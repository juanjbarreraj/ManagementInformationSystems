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0a07873b5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811a8ae2db6f4c21"/>
    <x:sheet xmlns:r="http://schemas.openxmlformats.org/officeDocument/2006/relationships" name="Lookup Tables" sheetId="2" r:id="R04ef1fe2cdb645ab"/>
    <x:sheet xmlns:r="http://schemas.openxmlformats.org/officeDocument/2006/relationships" name="Calculations" sheetId="3" r:id="R0e69e14e3e204acb"/>
    <x:sheet xmlns:r="http://schemas.openxmlformats.org/officeDocument/2006/relationships" name="Dashboard" sheetId="4" r:id="R490e436c4bc5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/d/yyyy"/>
    <x:numFmt numFmtId="201" formatCode="$#,##0.00"/>
    <x:numFmt numFmtId="202" formatCode="0.0%"/>
    <x:numFmt numFmtId="203" formatCode="#,##0"/>
    <x:numFmt numFmtId="204" formatCode="mmm"/>
    <x:numFmt numFmtId="205" formatCode="$#,##0"/>
    <x:numFmt numFmtId="206" formatCode="@"/>
  </x:numFmts>
  <x:fonts count="10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6"/>
      <x:color rgb="FFFFFF"/>
      <x:name val="Carlito"/>
    </x:font>
    <x:font>
      <x:i/>
      <x:sz val="11"/>
      <x:color rgb="555555"/>
      <x:name val="Carlito"/>
    </x:font>
    <x:font>
      <x:b/>
      <x:sz val="18"/>
      <x:color rgb="FFFFFF"/>
      <x:name val="Carlito"/>
    </x:font>
    <x:font>
      <x:b/>
      <x:sz val="11"/>
      <x:color rgb="1F4E78"/>
      <x:name val="Carlito"/>
    </x:font>
    <x:font>
      <x:b/>
      <x:sz val="14"/>
      <x:name val="Carlito"/>
    </x:font>
    <x:font>
      <x:sz val="11"/>
      <x:color rgb="5A3E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3F6FA"/>
      </x:patternFill>
    </x:fill>
    <x:fill>
      <x:patternFill patternType="solid">
        <x:fgColor rgb="FFF7E6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201" fontId="8" fillId="4" borderId="0" xfId="0" applyNumberFormat="1" applyFont="1" applyFill="1" applyBorder="1"/>
    <x:xf numFmtId="203" fontId="8" fillId="4" borderId="0" xfId="0" applyNumberFormat="1" applyFont="1" applyFill="1" applyBorder="1"/>
    <x:xf numFmtId="0" fontId="8" fillId="4" borderId="0" xfId="0" applyNumberFormat="1" applyFont="1" applyFill="1" applyBorder="1"/>
    <x:xf numFmtId="201" fontId="8" fillId="4" borderId="0" xfId="0" applyNumberFormat="1" applyFont="1" applyFill="1" applyBorder="1" applyAlignment="1">
      <x:alignment horizontal="right"/>
    </x:xf>
    <x:xf numFmtId="203" fontId="8" fillId="4" borderId="0" xfId="0" applyNumberFormat="1" applyFont="1" applyFill="1" applyBorder="1" applyAlignment="1">
      <x:alignment horizontal="right"/>
    </x:xf>
    <x:xf numFmtId="0" fontId="8" fillId="4" borderId="0" xfId="0" applyNumberFormat="1" applyFont="1" applyFill="1" applyBorder="1" applyAlignment="1">
      <x:alignment horizontal="right"/>
    </x:xf>
    <x:xf numFmtId="201" fontId="8" fillId="4" borderId="1" xfId="0" applyNumberFormat="1" applyFont="1" applyFill="1" applyBorder="1"/>
    <x:xf numFmtId="203" fontId="8" fillId="4" borderId="1" xfId="0" applyNumberFormat="1" applyFont="1" applyFill="1" applyBorder="1"/>
    <x:xf numFmtId="0" fontId="8" fillId="4" borderId="1" xfId="0" applyNumberFormat="1" applyFont="1" applyFill="1" applyBorder="1"/>
    <x:xf numFmtId="201" fontId="8" fillId="4" borderId="1" xfId="0" applyNumberFormat="1" applyFont="1" applyFill="1" applyBorder="1" applyAlignment="1">
      <x:alignment horizontal="right"/>
    </x:xf>
    <x:xf numFmtId="203" fontId="8" fillId="4" borderId="1" xfId="0" applyNumberFormat="1" applyFont="1" applyFill="1" applyBorder="1" applyAlignment="1">
      <x:alignment horizontal="right"/>
    </x:xf>
    <x:xf numFmtId="0" fontId="8" fillId="4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1c8d8877b4e8f" /><Relationship Type="http://schemas.openxmlformats.org/officeDocument/2006/relationships/theme" Target="/xl/theme/theme1.xml" Id="R1f089cfc415b4b05" /><Relationship Type="http://schemas.openxmlformats.org/officeDocument/2006/relationships/sharedStrings" Target="/xl/sharedStrings.xml" Id="Rbcb3d129e23e4550" /><Relationship Type="http://schemas.openxmlformats.org/officeDocument/2006/relationships/worksheet" Target="/xl/worksheets/sheet1.xml" Id="R811a8ae2db6f4c21" /><Relationship Type="http://schemas.openxmlformats.org/officeDocument/2006/relationships/worksheet" Target="/xl/worksheets/sheet2.xml" Id="R04ef1fe2cdb645ab" /><Relationship Type="http://schemas.openxmlformats.org/officeDocument/2006/relationships/worksheet" Target="/xl/worksheets/sheet3.xml" Id="R0e69e14e3e204acb" /><Relationship Type="http://schemas.openxmlformats.org/officeDocument/2006/relationships/worksheet" Target="/xl/worksheets/sheet4.xml" Id="R490e436c4bc54f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f908747ef04789" /><Relationship Type="http://schemas.openxmlformats.org/officeDocument/2006/relationships/chart" Target="/xl/drawings/charts/chart2.xml" Id="Rd6ef369191e64c7a" /><Relationship Type="http://schemas.openxmlformats.org/officeDocument/2006/relationships/chart" Target="/xl/drawings/charts/chart3.xml" Id="R5c94be7ece6045d9" /><Relationship Type="http://schemas.openxmlformats.org/officeDocument/2006/relationships/chart" Target="/xl/drawings/charts/chart4.xml" Id="R697a28e668154c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Sales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Revenue</c:v>
          </c:tx>
          <c:cat>
            <c:strRef>
              <c:f>'Dashboard'!$D$11:$D$22</c:f>
              <c:strCache>
                <c:ptCount val="0"/>
              </c:strCache>
            </c:strRef>
          </c:cat>
          <c:val>
            <c:numRef>
              <c:f>'Dashboard'!$E$11:$E$22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Products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'Dashboard'!$G$11:$G$20</c:f>
              <c:strCache>
                <c:ptCount val="0"/>
              </c:strCache>
            </c:strRef>
          </c:cat>
          <c:val>
            <c:numRef>
              <c:f>'Dashboard'!$H$11:$H$20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Salesperson Performance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'Dashboard'!$J$11:$J$22</c:f>
              <c:strCache>
                <c:ptCount val="0"/>
              </c:strCache>
            </c:strRef>
          </c:cat>
          <c:val>
            <c:numRef>
              <c:f>'Dashboard'!$K$11:$K$22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f908747ef04789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ef369191e64c7a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94be7ece6045d9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0</xdr:colOff>
      <xdr:row>62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7a28e668154c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1:Q321" headerRowCount="1">
  <x:tableColumns count="17">
    <x:tableColumn id="1" name="Date"/>
    <x:tableColumn id="2" name="Region"/>
    <x:tableColumn id="3" name="Product ID"/>
    <x:tableColumn id="4" name="Product Name"/>
    <x:tableColumn id="5" name="Salesperson"/>
    <x:tableColumn id="6" name="Quantity"/>
    <x:tableColumn id="7" name="Revenue"/>
    <x:tableColumn id="8" name="Cost"/>
    <x:tableColumn id="9" name="Customer Type"/>
    <x:tableColumn id="10" name="Product Category"/>
    <x:tableColumn id="11" name="Regional Manager"/>
    <x:tableColumn id="12" name="Commission Rate"/>
    <x:tableColumn id="13" name="Gross Profit"/>
    <x:tableColumn id="14" name="High Value Flag"/>
    <x:tableColumn id="15" name="Profitability Flag"/>
    <x:tableColumn id="16" name="Month"/>
    <x:tableColumn id="17" name="Commission"/>
  </x:tableColumns>
  <x:tableStyleInfo name="TableStyleMedium2" showRowStripes="1"/>
</x:table>
</file>

<file path=xl/tables/table2.xml><?xml version="1.0" encoding="utf-8"?>
<x:table xmlns:x="http://schemas.openxmlformats.org/spreadsheetml/2006/main" id="2" name="ProductLookup" displayName="ProductLookup" ref="A2:D12" headerRowCount="1">
  <x:tableColumns count="4">
    <x:tableColumn id="1" name="Product ID"/>
    <x:tableColumn id="2" name="Product Name"/>
    <x:tableColumn id="3" name="Category"/>
    <x:tableColumn id="4" name="Standard Price"/>
  </x:tableColumns>
  <x:tableStyleInfo name="TableStyleMedium2" showRowStripes="1"/>
</x:table>
</file>

<file path=xl/tables/table3.xml><?xml version="1.0" encoding="utf-8"?>
<x:table xmlns:x="http://schemas.openxmlformats.org/spreadsheetml/2006/main" id="3" name="RegionLookup" displayName="RegionLookup" ref="F2:H6" headerRowCount="1">
  <x:tableColumns count="3">
    <x:tableColumn id="1" name="Region"/>
    <x:tableColumn id="2" name="Regional Manager"/>
    <x:tableColumn id="3" name="Commission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5d13b9da3248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235c02629048ee" /><Relationship Type="http://schemas.openxmlformats.org/officeDocument/2006/relationships/table" Target="/xl/tables/table3.xml" Id="Raa2076a83af6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77e0c2df2754dcf" /></Relationships>
</file>

<file path=xl/worksheets/sheet1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8.210000038146973" hidden="0" customWidth="1"/>
    <x:col min="3" max="3" width="11.3100004196167" hidden="0" customWidth="1"/>
    <x:col min="4" max="4" width="24" hidden="0" customWidth="1"/>
    <x:col min="5" max="5" width="20" hidden="0" customWidth="1"/>
    <x:col min="6" max="6" width="9.829999923706055" hidden="0" customWidth="1"/>
    <x:col min="7" max="7" width="9.6899995803833" hidden="0" customWidth="1"/>
    <x:col min="8" max="8" width="8.880000114440918" hidden="0" customWidth="1"/>
    <x:col min="9" max="9" width="14.800000190734863" hidden="0" customWidth="1"/>
    <x:col min="10" max="10" width="20" hidden="0" customWidth="1"/>
    <x:col min="11" max="11" width="20" hidden="0" customWidth="1"/>
    <x:col min="12" max="12" width="16.81999969482422" hidden="0" customWidth="1"/>
    <x:col min="13" max="13" width="12.25" hidden="0" customWidth="1"/>
    <x:col min="14" max="14" width="15.069999694824219" hidden="0" customWidth="1"/>
    <x:col min="15" max="15" width="16.020000457763672" hidden="0" customWidth="1"/>
    <x:col min="16" max="16" width="8.210000038146973" hidden="0" customWidth="1"/>
    <x:col min="17" max="17" width="12.649999618530273" hidden="0" customWidth="1"/>
  </x:cols>
  <x:sheetData>
    <x:row r="1">
      <x:c r="A1" s="5" t="str">
        <x:v>Date</x:v>
      </x:c>
      <x:c r="B1" s="5" t="str">
        <x:v>Region</x:v>
      </x:c>
      <x:c r="C1" s="5" t="str">
        <x:v>Product ID</x:v>
      </x:c>
      <x:c r="D1" s="5" t="str">
        <x:v>Product Name</x:v>
      </x:c>
      <x:c r="E1" s="5" t="str">
        <x:v>Salesperson</x:v>
      </x:c>
      <x:c r="F1" s="5" t="str">
        <x:v>Quantity</x:v>
      </x:c>
      <x:c r="G1" s="5" t="str">
        <x:v>Revenue</x:v>
      </x:c>
      <x:c r="H1" s="5" t="str">
        <x:v>Cost</x:v>
      </x:c>
      <x:c r="I1" s="5" t="str">
        <x:v>Customer Type</x:v>
      </x:c>
      <x:c r="J1" s="5" t="str">
        <x:v>Product Category</x:v>
      </x:c>
      <x:c r="K1" s="5" t="str">
        <x:v>Regional Manager</x:v>
      </x:c>
      <x:c r="L1" s="5" t="str">
        <x:v>Commission Rate</x:v>
      </x:c>
      <x:c r="M1" s="5" t="str">
        <x:v>Gross Profit</x:v>
      </x:c>
      <x:c r="N1" s="5" t="str">
        <x:v>High Value Flag</x:v>
      </x:c>
      <x:c r="O1" s="5" t="str">
        <x:v>Profitability Flag</x:v>
      </x:c>
      <x:c r="P1" s="5" t="str">
        <x:v>Month</x:v>
      </x:c>
      <x:c r="Q1" s="5" t="str">
        <x:v>Commission</x:v>
      </x:c>
    </x:row>
    <x:row r="2">
      <x:c r="A2" s="10" t="n">
        <x:v>45659</x:v>
      </x:c>
      <x:c r="B2" t="str">
        <x:v>Midwest</x:v>
      </x:c>
      <x:c r="C2" t="str">
        <x:v>P-1009</x:v>
      </x:c>
      <x:c r="D2" t="str">
        <x:v>Travel Backpack</x:v>
      </x:c>
      <x:c r="E2" t="str">
        <x:v>Sophia Martinez</x:v>
      </x:c>
      <x:c r="F2" t="n">
        <x:v>22</x:v>
      </x:c>
      <x:c r="G2" s="12" t="n">
        <x:v>1860.99</x:v>
      </x:c>
      <x:c r="H2" s="12" t="n">
        <x:v>961.83</x:v>
      </x:c>
      <x:c r="I2" t="str">
        <x:v>Wholesale</x:v>
      </x:c>
      <x:c r="J2" t="str">
        <x:f>XLOOKUP(C2,'Lookup Tables'!$A$3:$A$12,'Lookup Tables'!$C$3:$C$12,"Not Found")</x:f>
        <x:v>Accessories</x:v>
      </x:c>
      <x:c r="K2" t="str">
        <x:f>XLOOKUP(B2,'Lookup Tables'!$F$3:$F$6,'Lookup Tables'!$G$3:$G$6,"Not Found")</x:f>
        <x:v>Marcus Reed</x:v>
      </x:c>
      <x:c r="L2" s="14" t="n">
        <x:f>XLOOKUP(B2,'Lookup Tables'!$F$3:$F$6,'Lookup Tables'!$H$3:$H$6,0)</x:f>
        <x:v>0.035</x:v>
      </x:c>
      <x:c r="M2" s="12" t="n">
        <x:f>G2-H2</x:f>
        <x:v>899.16</x:v>
      </x:c>
      <x:c r="N2" t="str">
        <x:f>IF(G2&gt;=10000,"High Value","Standard")</x:f>
        <x:v>Standard</x:v>
      </x:c>
      <x:c r="O2" t="str">
        <x:f>IF(M2/G2&gt;=0.40,"Strong Margin","Review Margin")</x:f>
        <x:v>Strong Margin</x:v>
      </x:c>
      <x:c r="P2" t="str">
        <x:f>TEXT(A2,"mmm")</x:f>
        <x:v>Jan</x:v>
      </x:c>
      <x:c r="Q2" s="12" t="n">
        <x:f>G2*L2</x:f>
        <x:v>65.13465000000001</x:v>
      </x:c>
    </x:row>
    <x:row r="3">
      <x:c r="A3" s="10" t="n">
        <x:v>45661</x:v>
      </x:c>
      <x:c r="B3" t="str">
        <x:v>South</x:v>
      </x:c>
      <x:c r="C3" t="str">
        <x:v>P-1002</x:v>
      </x:c>
      <x:c r="D3" t="str">
        <x:v>Smart Home Hub</x:v>
      </x:c>
      <x:c r="E3" t="str">
        <x:v>Ava Davis</x:v>
      </x:c>
      <x:c r="F3" t="n">
        <x:v>4</x:v>
      </x:c>
      <x:c r="G3" s="12" t="n">
        <x:v>799.96</x:v>
      </x:c>
      <x:c r="H3" s="12" t="n">
        <x:v>454.72</x:v>
      </x:c>
      <x:c r="I3" t="str">
        <x:v>Retail</x:v>
      </x:c>
      <x:c r="J3" t="str">
        <x:f>XLOOKUP(C3,'Lookup Tables'!$A$3:$A$12,'Lookup Tables'!$C$3:$C$12,"Not Found")</x:f>
        <x:v>Electronics</x:v>
      </x:c>
      <x:c r="K3" t="str">
        <x:f>XLOOKUP(B3,'Lookup Tables'!$F$3:$F$6,'Lookup Tables'!$G$3:$G$6,"Not Found")</x:f>
        <x:v>Priya Patel</x:v>
      </x:c>
      <x:c r="L3" s="14" t="n">
        <x:f>XLOOKUP(B3,'Lookup Tables'!$F$3:$F$6,'Lookup Tables'!$H$3:$H$6,0)</x:f>
        <x:v>0.05</x:v>
      </x:c>
      <x:c r="M3" s="12" t="n">
        <x:f>G3-H3</x:f>
        <x:v>345.24</x:v>
      </x:c>
      <x:c r="N3" t="str">
        <x:f>IF(G3&gt;=10000,"High Value","Standard")</x:f>
        <x:v>Standard</x:v>
      </x:c>
      <x:c r="O3" t="str">
        <x:f>IF(M3/G3&gt;=0.40,"Strong Margin","Review Margin")</x:f>
        <x:v>Strong Margin</x:v>
      </x:c>
      <x:c r="P3" t="str">
        <x:f>TEXT(A3,"mmm")</x:f>
        <x:v>Jan</x:v>
      </x:c>
      <x:c r="Q3" s="12" t="n">
        <x:f>G3*L3</x:f>
        <x:v>39.998000000000005</x:v>
      </x:c>
    </x:row>
    <x:row r="4">
      <x:c r="A4" s="10" t="n">
        <x:v>45662</x:v>
      </x:c>
      <x:c r="B4" t="str">
        <x:v>West</x:v>
      </x:c>
      <x:c r="C4" t="str">
        <x:v>P-1010</x:v>
      </x:c>
      <x:c r="D4" t="str">
        <x:v>Insulated Water Bottle</x:v>
      </x:c>
      <x:c r="E4" t="str">
        <x:v>Ethan Smith</x:v>
      </x:c>
      <x:c r="F4" t="n">
        <x:v>3</x:v>
      </x:c>
      <x:c r="G4" s="12" t="n">
        <x:v>104.97</x:v>
      </x:c>
      <x:c r="H4" s="12" t="n">
        <x:v>35.61</x:v>
      </x:c>
      <x:c r="I4" t="str">
        <x:v>Retail</x:v>
      </x:c>
      <x:c r="J4" t="str">
        <x:f>XLOOKUP(C4,'Lookup Tables'!$A$3:$A$12,'Lookup Tables'!$C$3:$C$12,"Not Found")</x:f>
        <x:v>Accessories</x:v>
      </x:c>
      <x:c r="K4" t="str">
        <x:f>XLOOKUP(B4,'Lookup Tables'!$F$3:$F$6,'Lookup Tables'!$G$3:$G$6,"Not Found")</x:f>
        <x:v>Daniel Kim</x:v>
      </x:c>
      <x:c r="L4" s="14" t="n">
        <x:f>XLOOKUP(B4,'Lookup Tables'!$F$3:$F$6,'Lookup Tables'!$H$3:$H$6,0)</x:f>
        <x:v>0.045</x:v>
      </x:c>
      <x:c r="M4" s="12" t="n">
        <x:f>G4-H4</x:f>
        <x:v>69.36</x:v>
      </x:c>
      <x:c r="N4" t="str">
        <x:f>IF(G4&gt;=10000,"High Value","Standard")</x:f>
        <x:v>Standard</x:v>
      </x:c>
      <x:c r="O4" t="str">
        <x:f>IF(M4/G4&gt;=0.40,"Strong Margin","Review Margin")</x:f>
        <x:v>Strong Margin</x:v>
      </x:c>
      <x:c r="P4" t="str">
        <x:f>TEXT(A4,"mmm")</x:f>
        <x:v>Jan</x:v>
      </x:c>
      <x:c r="Q4" s="12" t="n">
        <x:f>G4*L4</x:f>
        <x:v>4.72365</x:v>
      </x:c>
    </x:row>
    <x:row r="5">
      <x:c r="A5" s="10" t="n">
        <x:v>45665</x:v>
      </x:c>
      <x:c r="B5" t="str">
        <x:v>Midwest</x:v>
      </x:c>
      <x:c r="C5" t="str">
        <x:v>P-1009</x:v>
      </x:c>
      <x:c r="D5" t="str">
        <x:v>Travel Backpack</x:v>
      </x:c>
      <x:c r="E5" t="str">
        <x:v>Noah Brown</x:v>
      </x:c>
      <x:c r="F5" t="n">
        <x:v>5</x:v>
      </x:c>
      <x:c r="G5" s="12" t="n">
        <x:v>449.95</x:v>
      </x:c>
      <x:c r="H5" s="12" t="n">
        <x:v>218.51</x:v>
      </x:c>
      <x:c r="I5" t="str">
        <x:v>Retail</x:v>
      </x:c>
      <x:c r="J5" t="str">
        <x:f>XLOOKUP(C5,'Lookup Tables'!$A$3:$A$12,'Lookup Tables'!$C$3:$C$12,"Not Found")</x:f>
        <x:v>Accessories</x:v>
      </x:c>
      <x:c r="K5" t="str">
        <x:f>XLOOKUP(B5,'Lookup Tables'!$F$3:$F$6,'Lookup Tables'!$G$3:$G$6,"Not Found")</x:f>
        <x:v>Marcus Reed</x:v>
      </x:c>
      <x:c r="L5" s="14" t="n">
        <x:f>XLOOKUP(B5,'Lookup Tables'!$F$3:$F$6,'Lookup Tables'!$H$3:$H$6,0)</x:f>
        <x:v>0.035</x:v>
      </x:c>
      <x:c r="M5" s="12" t="n">
        <x:f>G5-H5</x:f>
        <x:v>231.44</x:v>
      </x:c>
      <x:c r="N5" t="str">
        <x:f>IF(G5&gt;=10000,"High Value","Standard")</x:f>
        <x:v>Standard</x:v>
      </x:c>
      <x:c r="O5" t="str">
        <x:f>IF(M5/G5&gt;=0.40,"Strong Margin","Review Margin")</x:f>
        <x:v>Strong Margin</x:v>
      </x:c>
      <x:c r="P5" t="str">
        <x:f>TEXT(A5,"mmm")</x:f>
        <x:v>Jan</x:v>
      </x:c>
      <x:c r="Q5" s="12" t="n">
        <x:f>G5*L5</x:f>
        <x:v>15.74825</x:v>
      </x:c>
    </x:row>
    <x:row r="6">
      <x:c r="A6" s="10" t="n">
        <x:v>45666</x:v>
      </x:c>
      <x:c r="B6" t="str">
        <x:v>Midwest</x:v>
      </x:c>
      <x:c r="C6" t="str">
        <x:v>P-1005</x:v>
      </x:c>
      <x:c r="D6" t="str">
        <x:v>Stainless Cookware Set</x:v>
      </x:c>
      <x:c r="E6" t="str">
        <x:v>Benjamin Moore</x:v>
      </x:c>
      <x:c r="F6" t="n">
        <x:v>10</x:v>
      </x:c>
      <x:c r="G6" s="12" t="n">
        <x:v>1503.91</x:v>
      </x:c>
      <x:c r="H6" s="12" t="n">
        <x:v>877.21</x:v>
      </x:c>
      <x:c r="I6" t="str">
        <x:v>Wholesale</x:v>
      </x:c>
      <x:c r="J6" t="str">
        <x:f>XLOOKUP(C6,'Lookup Tables'!$A$3:$A$12,'Lookup Tables'!$C$3:$C$12,"Not Found")</x:f>
        <x:v>Home Goods</x:v>
      </x:c>
      <x:c r="K6" t="str">
        <x:f>XLOOKUP(B6,'Lookup Tables'!$F$3:$F$6,'Lookup Tables'!$G$3:$G$6,"Not Found")</x:f>
        <x:v>Marcus Reed</x:v>
      </x:c>
      <x:c r="L6" s="14" t="n">
        <x:f>XLOOKUP(B6,'Lookup Tables'!$F$3:$F$6,'Lookup Tables'!$H$3:$H$6,0)</x:f>
        <x:v>0.035</x:v>
      </x:c>
      <x:c r="M6" s="12" t="n">
        <x:f>G6-H6</x:f>
        <x:v>626.7</x:v>
      </x:c>
      <x:c r="N6" t="str">
        <x:f>IF(G6&gt;=10000,"High Value","Standard")</x:f>
        <x:v>Standard</x:v>
      </x:c>
      <x:c r="O6" t="str">
        <x:f>IF(M6/G6&gt;=0.40,"Strong Margin","Review Margin")</x:f>
        <x:v>Strong Margin</x:v>
      </x:c>
      <x:c r="P6" t="str">
        <x:f>TEXT(A6,"mmm")</x:f>
        <x:v>Jan</x:v>
      </x:c>
      <x:c r="Q6" s="12" t="n">
        <x:f>G6*L6</x:f>
        <x:v>52.63685000000001</x:v>
      </x:c>
    </x:row>
    <x:row r="7">
      <x:c r="A7" s="10" t="n">
        <x:v>45668</x:v>
      </x:c>
      <x:c r="B7" t="str">
        <x:v>Midwest</x:v>
      </x:c>
      <x:c r="C7" t="str">
        <x:v>P-1006</x:v>
      </x:c>
      <x:c r="D7" t="str">
        <x:v>Air Fryer XL</x:v>
      </x:c>
      <x:c r="E7" t="str">
        <x:v>Sophia Martinez</x:v>
      </x:c>
      <x:c r="F7" t="n">
        <x:v>3</x:v>
      </x:c>
      <x:c r="G7" s="12" t="n">
        <x:v>419.97</x:v>
      </x:c>
      <x:c r="H7" s="12" t="n">
        <x:v>227.68</x:v>
      </x:c>
      <x:c r="I7" t="str">
        <x:v>Retail</x:v>
      </x:c>
      <x:c r="J7" t="str">
        <x:f>XLOOKUP(C7,'Lookup Tables'!$A$3:$A$12,'Lookup Tables'!$C$3:$C$12,"Not Found")</x:f>
        <x:v>Home Goods</x:v>
      </x:c>
      <x:c r="K7" t="str">
        <x:f>XLOOKUP(B7,'Lookup Tables'!$F$3:$F$6,'Lookup Tables'!$G$3:$G$6,"Not Found")</x:f>
        <x:v>Marcus Reed</x:v>
      </x:c>
      <x:c r="L7" s="14" t="n">
        <x:f>XLOOKUP(B7,'Lookup Tables'!$F$3:$F$6,'Lookup Tables'!$H$3:$H$6,0)</x:f>
        <x:v>0.035</x:v>
      </x:c>
      <x:c r="M7" s="12" t="n">
        <x:f>G7-H7</x:f>
        <x:v>192.29000000000002</x:v>
      </x:c>
      <x:c r="N7" t="str">
        <x:f>IF(G7&gt;=10000,"High Value","Standard")</x:f>
        <x:v>Standard</x:v>
      </x:c>
      <x:c r="O7" t="str">
        <x:f>IF(M7/G7&gt;=0.40,"Strong Margin","Review Margin")</x:f>
        <x:v>Strong Margin</x:v>
      </x:c>
      <x:c r="P7" t="str">
        <x:f>TEXT(A7,"mmm")</x:f>
        <x:v>Jan</x:v>
      </x:c>
      <x:c r="Q7" s="12" t="n">
        <x:f>G7*L7</x:f>
        <x:v>14.698950000000002</x:v>
      </x:c>
    </x:row>
    <x:row r="8">
      <x:c r="A8" s="10" t="n">
        <x:v>45671</x:v>
      </x:c>
      <x:c r="B8" t="str">
        <x:v>South</x:v>
      </x:c>
      <x:c r="C8" t="str">
        <x:v>P-1007</x:v>
      </x:c>
      <x:c r="D8" t="str">
        <x:v>Fitness Tracker</x:v>
      </x:c>
      <x:c r="E8" t="str">
        <x:v>Benjamin Moore</x:v>
      </x:c>
      <x:c r="F8" t="n">
        <x:v>4</x:v>
      </x:c>
      <x:c r="G8" s="12" t="n">
        <x:v>479.96</x:v>
      </x:c>
      <x:c r="H8" s="12" t="n">
        <x:v>239.87</x:v>
      </x:c>
      <x:c r="I8" t="str">
        <x:v>Retail</x:v>
      </x:c>
      <x:c r="J8" t="str">
        <x:f>XLOOKUP(C8,'Lookup Tables'!$A$3:$A$12,'Lookup Tables'!$C$3:$C$12,"Not Found")</x:f>
        <x:v>Fitness</x:v>
      </x:c>
      <x:c r="K8" t="str">
        <x:f>XLOOKUP(B8,'Lookup Tables'!$F$3:$F$6,'Lookup Tables'!$G$3:$G$6,"Not Found")</x:f>
        <x:v>Priya Patel</x:v>
      </x:c>
      <x:c r="L8" s="14" t="n">
        <x:f>XLOOKUP(B8,'Lookup Tables'!$F$3:$F$6,'Lookup Tables'!$H$3:$H$6,0)</x:f>
        <x:v>0.05</x:v>
      </x:c>
      <x:c r="M8" s="12" t="n">
        <x:f>G8-H8</x:f>
        <x:v>240.08999999999997</x:v>
      </x:c>
      <x:c r="N8" t="str">
        <x:f>IF(G8&gt;=10000,"High Value","Standard")</x:f>
        <x:v>Standard</x:v>
      </x:c>
      <x:c r="O8" t="str">
        <x:f>IF(M8/G8&gt;=0.40,"Strong Margin","Review Margin")</x:f>
        <x:v>Strong Margin</x:v>
      </x:c>
      <x:c r="P8" t="str">
        <x:f>TEXT(A8,"mmm")</x:f>
        <x:v>Jan</x:v>
      </x:c>
      <x:c r="Q8" s="12" t="n">
        <x:f>G8*L8</x:f>
        <x:v>23.998</x:v>
      </x:c>
    </x:row>
    <x:row r="9">
      <x:c r="A9" s="10" t="n">
        <x:v>45675</x:v>
      </x:c>
      <x:c r="B9" t="str">
        <x:v>West</x:v>
      </x:c>
      <x:c r="C9" t="str">
        <x:v>P-1006</x:v>
      </x:c>
      <x:c r="D9" t="str">
        <x:v>Air Fryer XL</x:v>
      </x:c>
      <x:c r="E9" t="str">
        <x:v>Maya Johnson</x:v>
      </x:c>
      <x:c r="F9" t="n">
        <x:v>1</x:v>
      </x:c>
      <x:c r="G9" s="12" t="n">
        <x:v>139.99</x:v>
      </x:c>
      <x:c r="H9" s="12" t="n">
        <x:v>73.73</x:v>
      </x:c>
      <x:c r="I9" t="str">
        <x:v>Retail</x:v>
      </x:c>
      <x:c r="J9" t="str">
        <x:f>XLOOKUP(C9,'Lookup Tables'!$A$3:$A$12,'Lookup Tables'!$C$3:$C$12,"Not Found")</x:f>
        <x:v>Home Goods</x:v>
      </x:c>
      <x:c r="K9" t="str">
        <x:f>XLOOKUP(B9,'Lookup Tables'!$F$3:$F$6,'Lookup Tables'!$G$3:$G$6,"Not Found")</x:f>
        <x:v>Daniel Kim</x:v>
      </x:c>
      <x:c r="L9" s="14" t="n">
        <x:f>XLOOKUP(B9,'Lookup Tables'!$F$3:$F$6,'Lookup Tables'!$H$3:$H$6,0)</x:f>
        <x:v>0.045</x:v>
      </x:c>
      <x:c r="M9" s="12" t="n">
        <x:f>G9-H9</x:f>
        <x:v>66.26</x:v>
      </x:c>
      <x:c r="N9" t="str">
        <x:f>IF(G9&gt;=10000,"High Value","Standard")</x:f>
        <x:v>Standard</x:v>
      </x:c>
      <x:c r="O9" t="str">
        <x:f>IF(M9/G9&gt;=0.40,"Strong Margin","Review Margin")</x:f>
        <x:v>Strong Margin</x:v>
      </x:c>
      <x:c r="P9" t="str">
        <x:f>TEXT(A9,"mmm")</x:f>
        <x:v>Jan</x:v>
      </x:c>
      <x:c r="Q9" s="12" t="n">
        <x:f>G9*L9</x:f>
        <x:v>6.29955</x:v>
      </x:c>
    </x:row>
    <x:row r="10">
      <x:c r="A10" s="10" t="n">
        <x:v>45676</x:v>
      </x:c>
      <x:c r="B10" t="str">
        <x:v>Midwest</x:v>
      </x:c>
      <x:c r="C10" t="str">
        <x:v>P-1003</x:v>
      </x:c>
      <x:c r="D10" t="str">
        <x:v>Ergonomic Office Chair</x:v>
      </x:c>
      <x:c r="E10" t="str">
        <x:v>Lucas Miller</x:v>
      </x:c>
      <x:c r="F10" t="n">
        <x:v>8</x:v>
      </x:c>
      <x:c r="G10" s="12" t="n">
        <x:v>1999.92</x:v>
      </x:c>
      <x:c r="H10" s="12" t="n">
        <x:v>1211.99</x:v>
      </x:c>
      <x:c r="I10" t="str">
        <x:v>Retail</x:v>
      </x:c>
      <x:c r="J10" t="str">
        <x:f>XLOOKUP(C10,'Lookup Tables'!$A$3:$A$12,'Lookup Tables'!$C$3:$C$12,"Not Found")</x:f>
        <x:v>Furniture</x:v>
      </x:c>
      <x:c r="K10" t="str">
        <x:f>XLOOKUP(B10,'Lookup Tables'!$F$3:$F$6,'Lookup Tables'!$G$3:$G$6,"Not Found")</x:f>
        <x:v>Marcus Reed</x:v>
      </x:c>
      <x:c r="L10" s="14" t="n">
        <x:f>XLOOKUP(B10,'Lookup Tables'!$F$3:$F$6,'Lookup Tables'!$H$3:$H$6,0)</x:f>
        <x:v>0.035</x:v>
      </x:c>
      <x:c r="M10" s="12" t="n">
        <x:f>G10-H10</x:f>
        <x:v>787.9300000000001</x:v>
      </x:c>
      <x:c r="N10" t="str">
        <x:f>IF(G10&gt;=10000,"High Value","Standard")</x:f>
        <x:v>Standard</x:v>
      </x:c>
      <x:c r="O10" t="str">
        <x:f>IF(M10/G10&gt;=0.40,"Strong Margin","Review Margin")</x:f>
        <x:v>Review Margin</x:v>
      </x:c>
      <x:c r="P10" t="str">
        <x:f>TEXT(A10,"mmm")</x:f>
        <x:v>Jan</x:v>
      </x:c>
      <x:c r="Q10" s="12" t="n">
        <x:f>G10*L10</x:f>
        <x:v>69.9972</x:v>
      </x:c>
    </x:row>
    <x:row r="11">
      <x:c r="A11" s="10" t="n">
        <x:v>45677</x:v>
      </x:c>
      <x:c r="B11" t="str">
        <x:v>South</x:v>
      </x:c>
      <x:c r="C11" t="str">
        <x:v>P-1009</x:v>
      </x:c>
      <x:c r="D11" t="str">
        <x:v>Travel Backpack</x:v>
      </x:c>
      <x:c r="E11" t="str">
        <x:v>James Anderson</x:v>
      </x:c>
      <x:c r="F11" t="n">
        <x:v>4</x:v>
      </x:c>
      <x:c r="G11" s="12" t="n">
        <x:v>359.96</x:v>
      </x:c>
      <x:c r="H11" s="12" t="n">
        <x:v>166.77</x:v>
      </x:c>
      <x:c r="I11" t="str">
        <x:v>Retail</x:v>
      </x:c>
      <x:c r="J11" t="str">
        <x:f>XLOOKUP(C11,'Lookup Tables'!$A$3:$A$12,'Lookup Tables'!$C$3:$C$12,"Not Found")</x:f>
        <x:v>Accessories</x:v>
      </x:c>
      <x:c r="K11" t="str">
        <x:f>XLOOKUP(B11,'Lookup Tables'!$F$3:$F$6,'Lookup Tables'!$G$3:$G$6,"Not Found")</x:f>
        <x:v>Priya Patel</x:v>
      </x:c>
      <x:c r="L11" s="14" t="n">
        <x:f>XLOOKUP(B11,'Lookup Tables'!$F$3:$F$6,'Lookup Tables'!$H$3:$H$6,0)</x:f>
        <x:v>0.05</x:v>
      </x:c>
      <x:c r="M11" s="12" t="n">
        <x:f>G11-H11</x:f>
        <x:v>193.18999999999997</x:v>
      </x:c>
      <x:c r="N11" t="str">
        <x:f>IF(G11&gt;=10000,"High Value","Standard")</x:f>
        <x:v>Standard</x:v>
      </x:c>
      <x:c r="O11" t="str">
        <x:f>IF(M11/G11&gt;=0.40,"Strong Margin","Review Margin")</x:f>
        <x:v>Strong Margin</x:v>
      </x:c>
      <x:c r="P11" t="str">
        <x:f>TEXT(A11,"mmm")</x:f>
        <x:v>Jan</x:v>
      </x:c>
      <x:c r="Q11" s="12" t="n">
        <x:f>G11*L11</x:f>
        <x:v>17.998</x:v>
      </x:c>
    </x:row>
    <x:row r="12">
      <x:c r="A12" s="10" t="n">
        <x:v>45677</x:v>
      </x:c>
      <x:c r="B12" t="str">
        <x:v>East</x:v>
      </x:c>
      <x:c r="C12" t="str">
        <x:v>P-1003</x:v>
      </x:c>
      <x:c r="D12" t="str">
        <x:v>Ergonomic Office Chair</x:v>
      </x:c>
      <x:c r="E12" t="str">
        <x:v>Lucas Miller</x:v>
      </x:c>
      <x:c r="F12" t="n">
        <x:v>2</x:v>
      </x:c>
      <x:c r="G12" s="12" t="n">
        <x:v>499.98</x:v>
      </x:c>
      <x:c r="H12" s="12" t="n">
        <x:v>294.66</x:v>
      </x:c>
      <x:c r="I12" t="str">
        <x:v>Retail</x:v>
      </x:c>
      <x:c r="J12" t="str">
        <x:f>XLOOKUP(C12,'Lookup Tables'!$A$3:$A$12,'Lookup Tables'!$C$3:$C$12,"Not Found")</x:f>
        <x:v>Furniture</x:v>
      </x:c>
      <x:c r="K12" t="str">
        <x:f>XLOOKUP(B12,'Lookup Tables'!$F$3:$F$6,'Lookup Tables'!$G$3:$G$6,"Not Found")</x:f>
        <x:v>Alicia Morgan</x:v>
      </x:c>
      <x:c r="L12" s="14" t="n">
        <x:f>XLOOKUP(B12,'Lookup Tables'!$F$3:$F$6,'Lookup Tables'!$H$3:$H$6,0)</x:f>
        <x:v>0.04</x:v>
      </x:c>
      <x:c r="M12" s="12" t="n">
        <x:f>G12-H12</x:f>
        <x:v>205.32</x:v>
      </x:c>
      <x:c r="N12" t="str">
        <x:f>IF(G12&gt;=10000,"High Value","Standard")</x:f>
        <x:v>Standard</x:v>
      </x:c>
      <x:c r="O12" t="str">
        <x:f>IF(M12/G12&gt;=0.40,"Strong Margin","Review Margin")</x:f>
        <x:v>Strong Margin</x:v>
      </x:c>
      <x:c r="P12" t="str">
        <x:f>TEXT(A12,"mmm")</x:f>
        <x:v>Jan</x:v>
      </x:c>
      <x:c r="Q12" s="12" t="n">
        <x:f>G12*L12</x:f>
        <x:v>19.999200000000002</x:v>
      </x:c>
    </x:row>
    <x:row r="13">
      <x:c r="A13" s="10" t="n">
        <x:v>45677</x:v>
      </x:c>
      <x:c r="B13" t="str">
        <x:v>East</x:v>
      </x:c>
      <x:c r="C13" t="str">
        <x:v>P-1005</x:v>
      </x:c>
      <x:c r="D13" t="str">
        <x:v>Stainless Cookware Set</x:v>
      </x:c>
      <x:c r="E13" t="str">
        <x:v>Ethan Smith</x:v>
      </x:c>
      <x:c r="F13" t="n">
        <x:v>25</x:v>
      </x:c>
      <x:c r="G13" s="12" t="n">
        <x:v>3759.76</x:v>
      </x:c>
      <x:c r="H13" s="12" t="n">
        <x:v>2254.76</x:v>
      </x:c>
      <x:c r="I13" t="str">
        <x:v>Wholesale</x:v>
      </x:c>
      <x:c r="J13" t="str">
        <x:f>XLOOKUP(C13,'Lookup Tables'!$A$3:$A$12,'Lookup Tables'!$C$3:$C$12,"Not Found")</x:f>
        <x:v>Home Goods</x:v>
      </x:c>
      <x:c r="K13" t="str">
        <x:f>XLOOKUP(B13,'Lookup Tables'!$F$3:$F$6,'Lookup Tables'!$G$3:$G$6,"Not Found")</x:f>
        <x:v>Alicia Morgan</x:v>
      </x:c>
      <x:c r="L13" s="14" t="n">
        <x:f>XLOOKUP(B13,'Lookup Tables'!$F$3:$F$6,'Lookup Tables'!$H$3:$H$6,0)</x:f>
        <x:v>0.04</x:v>
      </x:c>
      <x:c r="M13" s="12" t="n">
        <x:f>G13-H13</x:f>
        <x:v>1505</x:v>
      </x:c>
      <x:c r="N13" t="str">
        <x:f>IF(G13&gt;=10000,"High Value","Standard")</x:f>
        <x:v>Standard</x:v>
      </x:c>
      <x:c r="O13" t="str">
        <x:f>IF(M13/G13&gt;=0.40,"Strong Margin","Review Margin")</x:f>
        <x:v>Strong Margin</x:v>
      </x:c>
      <x:c r="P13" t="str">
        <x:f>TEXT(A13,"mmm")</x:f>
        <x:v>Jan</x:v>
      </x:c>
      <x:c r="Q13" s="12" t="n">
        <x:f>G13*L13</x:f>
        <x:v>150.3904</x:v>
      </x:c>
    </x:row>
    <x:row r="14">
      <x:c r="A14" s="10" t="n">
        <x:v>45678</x:v>
      </x:c>
      <x:c r="B14" t="str">
        <x:v>Midwest</x:v>
      </x:c>
      <x:c r="C14" t="str">
        <x:v>P-1002</x:v>
      </x:c>
      <x:c r="D14" t="str">
        <x:v>Smart Home Hub</x:v>
      </x:c>
      <x:c r="E14" t="str">
        <x:v>Noah Brown</x:v>
      </x:c>
      <x:c r="F14" t="n">
        <x:v>6</x:v>
      </x:c>
      <x:c r="G14" s="12" t="n">
        <x:v>1199.94</x:v>
      </x:c>
      <x:c r="H14" s="12" t="n">
        <x:v>687.65</x:v>
      </x:c>
      <x:c r="I14" t="str">
        <x:v>Retail</x:v>
      </x:c>
      <x:c r="J14" t="str">
        <x:f>XLOOKUP(C14,'Lookup Tables'!$A$3:$A$12,'Lookup Tables'!$C$3:$C$12,"Not Found")</x:f>
        <x:v>Electronics</x:v>
      </x:c>
      <x:c r="K14" t="str">
        <x:f>XLOOKUP(B14,'Lookup Tables'!$F$3:$F$6,'Lookup Tables'!$G$3:$G$6,"Not Found")</x:f>
        <x:v>Marcus Reed</x:v>
      </x:c>
      <x:c r="L14" s="14" t="n">
        <x:f>XLOOKUP(B14,'Lookup Tables'!$F$3:$F$6,'Lookup Tables'!$H$3:$H$6,0)</x:f>
        <x:v>0.035</x:v>
      </x:c>
      <x:c r="M14" s="12" t="n">
        <x:f>G14-H14</x:f>
        <x:v>512.2900000000001</x:v>
      </x:c>
      <x:c r="N14" t="str">
        <x:f>IF(G14&gt;=10000,"High Value","Standard")</x:f>
        <x:v>Standard</x:v>
      </x:c>
      <x:c r="O14" t="str">
        <x:f>IF(M14/G14&gt;=0.40,"Strong Margin","Review Margin")</x:f>
        <x:v>Strong Margin</x:v>
      </x:c>
      <x:c r="P14" t="str">
        <x:f>TEXT(A14,"mmm")</x:f>
        <x:v>Jan</x:v>
      </x:c>
      <x:c r="Q14" s="12" t="n">
        <x:f>G14*L14</x:f>
        <x:v>41.99790000000001</x:v>
      </x:c>
    </x:row>
    <x:row r="15">
      <x:c r="A15" s="10" t="n">
        <x:v>45679</x:v>
      </x:c>
      <x:c r="B15" t="str">
        <x:v>West</x:v>
      </x:c>
      <x:c r="C15" t="str">
        <x:v>P-1004</x:v>
      </x:c>
      <x:c r="D15" t="str">
        <x:v>Standing Desk Converter</x:v>
      </x:c>
      <x:c r="E15" t="str">
        <x:v>Liam Wilson</x:v>
      </x:c>
      <x:c r="F15" t="n">
        <x:v>10</x:v>
      </x:c>
      <x:c r="G15" s="12" t="n">
        <x:v>1899.9</x:v>
      </x:c>
      <x:c r="H15" s="12" t="n">
        <x:v>1091.44</x:v>
      </x:c>
      <x:c r="I15" t="str">
        <x:v>Retail</x:v>
      </x:c>
      <x:c r="J15" t="str">
        <x:f>XLOOKUP(C15,'Lookup Tables'!$A$3:$A$12,'Lookup Tables'!$C$3:$C$12,"Not Found")</x:f>
        <x:v>Furniture</x:v>
      </x:c>
      <x:c r="K15" t="str">
        <x:f>XLOOKUP(B15,'Lookup Tables'!$F$3:$F$6,'Lookup Tables'!$G$3:$G$6,"Not Found")</x:f>
        <x:v>Daniel Kim</x:v>
      </x:c>
      <x:c r="L15" s="14" t="n">
        <x:f>XLOOKUP(B15,'Lookup Tables'!$F$3:$F$6,'Lookup Tables'!$H$3:$H$6,0)</x:f>
        <x:v>0.045</x:v>
      </x:c>
      <x:c r="M15" s="12" t="n">
        <x:f>G15-H15</x:f>
        <x:v>808.46</x:v>
      </x:c>
      <x:c r="N15" t="str">
        <x:f>IF(G15&gt;=10000,"High Value","Standard")</x:f>
        <x:v>Standard</x:v>
      </x:c>
      <x:c r="O15" t="str">
        <x:f>IF(M15/G15&gt;=0.40,"Strong Margin","Review Margin")</x:f>
        <x:v>Strong Margin</x:v>
      </x:c>
      <x:c r="P15" t="str">
        <x:f>TEXT(A15,"mmm")</x:f>
        <x:v>Jan</x:v>
      </x:c>
      <x:c r="Q15" s="12" t="n">
        <x:f>G15*L15</x:f>
        <x:v>85.4955</x:v>
      </x:c>
    </x:row>
    <x:row r="16">
      <x:c r="A16" s="10" t="n">
        <x:v>45679</x:v>
      </x:c>
      <x:c r="B16" t="str">
        <x:v>West</x:v>
      </x:c>
      <x:c r="C16" t="str">
        <x:v>P-1008</x:v>
      </x:c>
      <x:c r="D16" t="str">
        <x:v>Yoga Starter Kit</x:v>
      </x:c>
      <x:c r="E16" t="str">
        <x:v>Mia Thomas</x:v>
      </x:c>
      <x:c r="F16" t="n">
        <x:v>6</x:v>
      </x:c>
      <x:c r="G16" s="12" t="n">
        <x:v>359.94</x:v>
      </x:c>
      <x:c r="H16" s="12" t="n">
        <x:v>142.64</x:v>
      </x:c>
      <x:c r="I16" t="str">
        <x:v>Retail</x:v>
      </x:c>
      <x:c r="J16" t="str">
        <x:f>XLOOKUP(C16,'Lookup Tables'!$A$3:$A$12,'Lookup Tables'!$C$3:$C$12,"Not Found")</x:f>
        <x:v>Fitness</x:v>
      </x:c>
      <x:c r="K16" t="str">
        <x:f>XLOOKUP(B16,'Lookup Tables'!$F$3:$F$6,'Lookup Tables'!$G$3:$G$6,"Not Found")</x:f>
        <x:v>Daniel Kim</x:v>
      </x:c>
      <x:c r="L16" s="14" t="n">
        <x:f>XLOOKUP(B16,'Lookup Tables'!$F$3:$F$6,'Lookup Tables'!$H$3:$H$6,0)</x:f>
        <x:v>0.045</x:v>
      </x:c>
      <x:c r="M16" s="12" t="n">
        <x:f>G16-H16</x:f>
        <x:v>217.3</x:v>
      </x:c>
      <x:c r="N16" t="str">
        <x:f>IF(G16&gt;=10000,"High Value","Standard")</x:f>
        <x:v>Standard</x:v>
      </x:c>
      <x:c r="O16" t="str">
        <x:f>IF(M16/G16&gt;=0.40,"Strong Margin","Review Margin")</x:f>
        <x:v>Strong Margin</x:v>
      </x:c>
      <x:c r="P16" t="str">
        <x:f>TEXT(A16,"mmm")</x:f>
        <x:v>Jan</x:v>
      </x:c>
      <x:c r="Q16" s="12" t="n">
        <x:f>G16*L16</x:f>
        <x:v>16.1973</x:v>
      </x:c>
    </x:row>
    <x:row r="17">
      <x:c r="A17" s="10" t="n">
        <x:v>45680</x:v>
      </x:c>
      <x:c r="B17" t="str">
        <x:v>South</x:v>
      </x:c>
      <x:c r="C17" t="str">
        <x:v>P-1009</x:v>
      </x:c>
      <x:c r="D17" t="str">
        <x:v>Travel Backpack</x:v>
      </x:c>
      <x:c r="E17" t="str">
        <x:v>Mia Thomas</x:v>
      </x:c>
      <x:c r="F17" t="n">
        <x:v>7</x:v>
      </x:c>
      <x:c r="G17" s="12" t="n">
        <x:v>629.93</x:v>
      </x:c>
      <x:c r="H17" s="12" t="n">
        <x:v>288.76</x:v>
      </x:c>
      <x:c r="I17" t="str">
        <x:v>Retail</x:v>
      </x:c>
      <x:c r="J17" t="str">
        <x:f>XLOOKUP(C17,'Lookup Tables'!$A$3:$A$12,'Lookup Tables'!$C$3:$C$12,"Not Found")</x:f>
        <x:v>Accessories</x:v>
      </x:c>
      <x:c r="K17" t="str">
        <x:f>XLOOKUP(B17,'Lookup Tables'!$F$3:$F$6,'Lookup Tables'!$G$3:$G$6,"Not Found")</x:f>
        <x:v>Priya Patel</x:v>
      </x:c>
      <x:c r="L17" s="14" t="n">
        <x:f>XLOOKUP(B17,'Lookup Tables'!$F$3:$F$6,'Lookup Tables'!$H$3:$H$6,0)</x:f>
        <x:v>0.05</x:v>
      </x:c>
      <x:c r="M17" s="12" t="n">
        <x:f>G17-H17</x:f>
        <x:v>341.16999999999996</x:v>
      </x:c>
      <x:c r="N17" t="str">
        <x:f>IF(G17&gt;=10000,"High Value","Standard")</x:f>
        <x:v>Standard</x:v>
      </x:c>
      <x:c r="O17" t="str">
        <x:f>IF(M17/G17&gt;=0.40,"Strong Margin","Review Margin")</x:f>
        <x:v>Strong Margin</x:v>
      </x:c>
      <x:c r="P17" t="str">
        <x:f>TEXT(A17,"mmm")</x:f>
        <x:v>Jan</x:v>
      </x:c>
      <x:c r="Q17" s="12" t="n">
        <x:f>G17*L17</x:f>
        <x:v>31.496499999999997</x:v>
      </x:c>
    </x:row>
    <x:row r="18">
      <x:c r="A18" s="10" t="n">
        <x:v>45681</x:v>
      </x:c>
      <x:c r="B18" t="str">
        <x:v>South</x:v>
      </x:c>
      <x:c r="C18" t="str">
        <x:v>P-1007</x:v>
      </x:c>
      <x:c r="D18" t="str">
        <x:v>Fitness Tracker</x:v>
      </x:c>
      <x:c r="E18" t="str">
        <x:v>Ethan Smith</x:v>
      </x:c>
      <x:c r="F18" t="n">
        <x:v>22</x:v>
      </x:c>
      <x:c r="G18" s="12" t="n">
        <x:v>2481.39</x:v>
      </x:c>
      <x:c r="H18" s="12" t="n">
        <x:v>1352.34</x:v>
      </x:c>
      <x:c r="I18" t="str">
        <x:v>Wholesale</x:v>
      </x:c>
      <x:c r="J18" t="str">
        <x:f>XLOOKUP(C18,'Lookup Tables'!$A$3:$A$12,'Lookup Tables'!$C$3:$C$12,"Not Found")</x:f>
        <x:v>Fitness</x:v>
      </x:c>
      <x:c r="K18" t="str">
        <x:f>XLOOKUP(B18,'Lookup Tables'!$F$3:$F$6,'Lookup Tables'!$G$3:$G$6,"Not Found")</x:f>
        <x:v>Priya Patel</x:v>
      </x:c>
      <x:c r="L18" s="14" t="n">
        <x:f>XLOOKUP(B18,'Lookup Tables'!$F$3:$F$6,'Lookup Tables'!$H$3:$H$6,0)</x:f>
        <x:v>0.05</x:v>
      </x:c>
      <x:c r="M18" s="12" t="n">
        <x:f>G18-H18</x:f>
        <x:v>1129.05</x:v>
      </x:c>
      <x:c r="N18" t="str">
        <x:f>IF(G18&gt;=10000,"High Value","Standard")</x:f>
        <x:v>Standard</x:v>
      </x:c>
      <x:c r="O18" t="str">
        <x:f>IF(M18/G18&gt;=0.40,"Strong Margin","Review Margin")</x:f>
        <x:v>Strong Margin</x:v>
      </x:c>
      <x:c r="P18" t="str">
        <x:f>TEXT(A18,"mmm")</x:f>
        <x:v>Jan</x:v>
      </x:c>
      <x:c r="Q18" s="12" t="n">
        <x:f>G18*L18</x:f>
        <x:v>124.0695</x:v>
      </x:c>
    </x:row>
    <x:row r="19">
      <x:c r="A19" s="10" t="n">
        <x:v>45681</x:v>
      </x:c>
      <x:c r="B19" t="str">
        <x:v>Midwest</x:v>
      </x:c>
      <x:c r="C19" t="str">
        <x:v>P-1006</x:v>
      </x:c>
      <x:c r="D19" t="str">
        <x:v>Air Fryer XL</x:v>
      </x:c>
      <x:c r="E19" t="str">
        <x:v>Sophia Martinez</x:v>
      </x:c>
      <x:c r="F19" t="n">
        <x:v>14</x:v>
      </x:c>
      <x:c r="G19" s="12" t="n">
        <x:v>1842.27</x:v>
      </x:c>
      <x:c r="H19" s="12" t="n">
        <x:v>1076.95</x:v>
      </x:c>
      <x:c r="I19" t="str">
        <x:v>Wholesale</x:v>
      </x:c>
      <x:c r="J19" t="str">
        <x:f>XLOOKUP(C19,'Lookup Tables'!$A$3:$A$12,'Lookup Tables'!$C$3:$C$12,"Not Found")</x:f>
        <x:v>Home Goods</x:v>
      </x:c>
      <x:c r="K19" t="str">
        <x:f>XLOOKUP(B19,'Lookup Tables'!$F$3:$F$6,'Lookup Tables'!$G$3:$G$6,"Not Found")</x:f>
        <x:v>Marcus Reed</x:v>
      </x:c>
      <x:c r="L19" s="14" t="n">
        <x:f>XLOOKUP(B19,'Lookup Tables'!$F$3:$F$6,'Lookup Tables'!$H$3:$H$6,0)</x:f>
        <x:v>0.035</x:v>
      </x:c>
      <x:c r="M19" s="12" t="n">
        <x:f>G19-H19</x:f>
        <x:v>765.3199999999999</x:v>
      </x:c>
      <x:c r="N19" t="str">
        <x:f>IF(G19&gt;=10000,"High Value","Standard")</x:f>
        <x:v>Standard</x:v>
      </x:c>
      <x:c r="O19" t="str">
        <x:f>IF(M19/G19&gt;=0.40,"Strong Margin","Review Margin")</x:f>
        <x:v>Strong Margin</x:v>
      </x:c>
      <x:c r="P19" t="str">
        <x:f>TEXT(A19,"mmm")</x:f>
        <x:v>Jan</x:v>
      </x:c>
      <x:c r="Q19" s="12" t="n">
        <x:f>G19*L19</x:f>
        <x:v>64.47945</x:v>
      </x:c>
    </x:row>
    <x:row r="20">
      <x:c r="A20" s="10" t="n">
        <x:v>45683</x:v>
      </x:c>
      <x:c r="B20" t="str">
        <x:v>South</x:v>
      </x:c>
      <x:c r="C20" t="str">
        <x:v>P-1002</x:v>
      </x:c>
      <x:c r="D20" t="str">
        <x:v>Smart Home Hub</x:v>
      </x:c>
      <x:c r="E20" t="str">
        <x:v>Olivia Garcia</x:v>
      </x:c>
      <x:c r="F20" t="n">
        <x:v>21</x:v>
      </x:c>
      <x:c r="G20" s="12" t="n">
        <x:v>3947.8</x:v>
      </x:c>
      <x:c r="H20" s="12" t="n">
        <x:v>2353.42</x:v>
      </x:c>
      <x:c r="I20" t="str">
        <x:v>Wholesale</x:v>
      </x:c>
      <x:c r="J20" t="str">
        <x:f>XLOOKUP(C20,'Lookup Tables'!$A$3:$A$12,'Lookup Tables'!$C$3:$C$12,"Not Found")</x:f>
        <x:v>Electronics</x:v>
      </x:c>
      <x:c r="K20" t="str">
        <x:f>XLOOKUP(B20,'Lookup Tables'!$F$3:$F$6,'Lookup Tables'!$G$3:$G$6,"Not Found")</x:f>
        <x:v>Priya Patel</x:v>
      </x:c>
      <x:c r="L20" s="14" t="n">
        <x:f>XLOOKUP(B20,'Lookup Tables'!$F$3:$F$6,'Lookup Tables'!$H$3:$H$6,0)</x:f>
        <x:v>0.05</x:v>
      </x:c>
      <x:c r="M20" s="12" t="n">
        <x:f>G20-H20</x:f>
        <x:v>1594.38</x:v>
      </x:c>
      <x:c r="N20" t="str">
        <x:f>IF(G20&gt;=10000,"High Value","Standard")</x:f>
        <x:v>Standard</x:v>
      </x:c>
      <x:c r="O20" t="str">
        <x:f>IF(M20/G20&gt;=0.40,"Strong Margin","Review Margin")</x:f>
        <x:v>Strong Margin</x:v>
      </x:c>
      <x:c r="P20" t="str">
        <x:f>TEXT(A20,"mmm")</x:f>
        <x:v>Jan</x:v>
      </x:c>
      <x:c r="Q20" s="12" t="n">
        <x:f>G20*L20</x:f>
        <x:v>197.39000000000001</x:v>
      </x:c>
    </x:row>
    <x:row r="21">
      <x:c r="A21" s="10" t="n">
        <x:v>45683</x:v>
      </x:c>
      <x:c r="B21" t="str">
        <x:v>West</x:v>
      </x:c>
      <x:c r="C21" t="str">
        <x:v>P-1003</x:v>
      </x:c>
      <x:c r="D21" t="str">
        <x:v>Ergonomic Office Chair</x:v>
      </x:c>
      <x:c r="E21" t="str">
        <x:v>James Anderson</x:v>
      </x:c>
      <x:c r="F21" t="n">
        <x:v>3</x:v>
      </x:c>
      <x:c r="G21" s="12" t="n">
        <x:v>749.97</x:v>
      </x:c>
      <x:c r="H21" s="12" t="n">
        <x:v>454.73</x:v>
      </x:c>
      <x:c r="I21" t="str">
        <x:v>Retail</x:v>
      </x:c>
      <x:c r="J21" t="str">
        <x:f>XLOOKUP(C21,'Lookup Tables'!$A$3:$A$12,'Lookup Tables'!$C$3:$C$12,"Not Found")</x:f>
        <x:v>Furniture</x:v>
      </x:c>
      <x:c r="K21" t="str">
        <x:f>XLOOKUP(B21,'Lookup Tables'!$F$3:$F$6,'Lookup Tables'!$G$3:$G$6,"Not Found")</x:f>
        <x:v>Daniel Kim</x:v>
      </x:c>
      <x:c r="L21" s="14" t="n">
        <x:f>XLOOKUP(B21,'Lookup Tables'!$F$3:$F$6,'Lookup Tables'!$H$3:$H$6,0)</x:f>
        <x:v>0.045</x:v>
      </x:c>
      <x:c r="M21" s="12" t="n">
        <x:f>G21-H21</x:f>
        <x:v>295.24</x:v>
      </x:c>
      <x:c r="N21" t="str">
        <x:f>IF(G21&gt;=10000,"High Value","Standard")</x:f>
        <x:v>Standard</x:v>
      </x:c>
      <x:c r="O21" t="str">
        <x:f>IF(M21/G21&gt;=0.40,"Strong Margin","Review Margin")</x:f>
        <x:v>Review Margin</x:v>
      </x:c>
      <x:c r="P21" t="str">
        <x:f>TEXT(A21,"mmm")</x:f>
        <x:v>Jan</x:v>
      </x:c>
      <x:c r="Q21" s="12" t="n">
        <x:f>G21*L21</x:f>
        <x:v>33.74865</x:v>
      </x:c>
    </x:row>
    <x:row r="22">
      <x:c r="A22" s="10" t="n">
        <x:v>45684</x:v>
      </x:c>
      <x:c r="B22" t="str">
        <x:v>Midwest</x:v>
      </x:c>
      <x:c r="C22" t="str">
        <x:v>P-1006</x:v>
      </x:c>
      <x:c r="D22" t="str">
        <x:v>Air Fryer XL</x:v>
      </x:c>
      <x:c r="E22" t="str">
        <x:v>Liam Wilson</x:v>
      </x:c>
      <x:c r="F22" t="n">
        <x:v>6</x:v>
      </x:c>
      <x:c r="G22" s="12" t="n">
        <x:v>839.94</x:v>
      </x:c>
      <x:c r="H22" s="12" t="n">
        <x:v>455.53</x:v>
      </x:c>
      <x:c r="I22" t="str">
        <x:v>Retail</x:v>
      </x:c>
      <x:c r="J22" t="str">
        <x:f>XLOOKUP(C22,'Lookup Tables'!$A$3:$A$12,'Lookup Tables'!$C$3:$C$12,"Not Found")</x:f>
        <x:v>Home Goods</x:v>
      </x:c>
      <x:c r="K22" t="str">
        <x:f>XLOOKUP(B22,'Lookup Tables'!$F$3:$F$6,'Lookup Tables'!$G$3:$G$6,"Not Found")</x:f>
        <x:v>Marcus Reed</x:v>
      </x:c>
      <x:c r="L22" s="14" t="n">
        <x:f>XLOOKUP(B22,'Lookup Tables'!$F$3:$F$6,'Lookup Tables'!$H$3:$H$6,0)</x:f>
        <x:v>0.035</x:v>
      </x:c>
      <x:c r="M22" s="12" t="n">
        <x:f>G22-H22</x:f>
        <x:v>384.4100000000001</x:v>
      </x:c>
      <x:c r="N22" t="str">
        <x:f>IF(G22&gt;=10000,"High Value","Standard")</x:f>
        <x:v>Standard</x:v>
      </x:c>
      <x:c r="O22" t="str">
        <x:f>IF(M22/G22&gt;=0.40,"Strong Margin","Review Margin")</x:f>
        <x:v>Strong Margin</x:v>
      </x:c>
      <x:c r="P22" t="str">
        <x:f>TEXT(A22,"mmm")</x:f>
        <x:v>Jan</x:v>
      </x:c>
      <x:c r="Q22" s="12" t="n">
        <x:f>G22*L22</x:f>
        <x:v>29.397900000000003</x:v>
      </x:c>
    </x:row>
    <x:row r="23">
      <x:c r="A23" s="10" t="n">
        <x:v>45684</x:v>
      </x:c>
      <x:c r="B23" t="str">
        <x:v>East</x:v>
      </x:c>
      <x:c r="C23" t="str">
        <x:v>P-1006</x:v>
      </x:c>
      <x:c r="D23" t="str">
        <x:v>Air Fryer XL</x:v>
      </x:c>
      <x:c r="E23" t="str">
        <x:v>James Anderson</x:v>
      </x:c>
      <x:c r="F23" t="n">
        <x:v>1</x:v>
      </x:c>
      <x:c r="G23" s="12" t="n">
        <x:v>139.99</x:v>
      </x:c>
      <x:c r="H23" s="12" t="n">
        <x:v>76.47</x:v>
      </x:c>
      <x:c r="I23" t="str">
        <x:v>Retail</x:v>
      </x:c>
      <x:c r="J23" t="str">
        <x:f>XLOOKUP(C23,'Lookup Tables'!$A$3:$A$12,'Lookup Tables'!$C$3:$C$12,"Not Found")</x:f>
        <x:v>Home Goods</x:v>
      </x:c>
      <x:c r="K23" t="str">
        <x:f>XLOOKUP(B23,'Lookup Tables'!$F$3:$F$6,'Lookup Tables'!$G$3:$G$6,"Not Found")</x:f>
        <x:v>Alicia Morgan</x:v>
      </x:c>
      <x:c r="L23" s="14" t="n">
        <x:f>XLOOKUP(B23,'Lookup Tables'!$F$3:$F$6,'Lookup Tables'!$H$3:$H$6,0)</x:f>
        <x:v>0.04</x:v>
      </x:c>
      <x:c r="M23" s="12" t="n">
        <x:f>G23-H23</x:f>
        <x:v>63.52000000000001</x:v>
      </x:c>
      <x:c r="N23" t="str">
        <x:f>IF(G23&gt;=10000,"High Value","Standard")</x:f>
        <x:v>Standard</x:v>
      </x:c>
      <x:c r="O23" t="str">
        <x:f>IF(M23/G23&gt;=0.40,"Strong Margin","Review Margin")</x:f>
        <x:v>Strong Margin</x:v>
      </x:c>
      <x:c r="P23" t="str">
        <x:f>TEXT(A23,"mmm")</x:f>
        <x:v>Jan</x:v>
      </x:c>
      <x:c r="Q23" s="12" t="n">
        <x:f>G23*L23</x:f>
        <x:v>5.599600000000001</x:v>
      </x:c>
    </x:row>
    <x:row r="24">
      <x:c r="A24" s="10" t="n">
        <x:v>45685</x:v>
      </x:c>
      <x:c r="B24" t="str">
        <x:v>East</x:v>
      </x:c>
      <x:c r="C24" t="str">
        <x:v>P-1002</x:v>
      </x:c>
      <x:c r="D24" t="str">
        <x:v>Smart Home Hub</x:v>
      </x:c>
      <x:c r="E24" t="str">
        <x:v>Ethan Smith</x:v>
      </x:c>
      <x:c r="F24" t="n">
        <x:v>18</x:v>
      </x:c>
      <x:c r="G24" s="12" t="n">
        <x:v>3599.82</x:v>
      </x:c>
      <x:c r="H24" s="12" t="n">
        <x:v>1995.38</x:v>
      </x:c>
      <x:c r="I24" t="str">
        <x:v>Retail</x:v>
      </x:c>
      <x:c r="J24" t="str">
        <x:f>XLOOKUP(C24,'Lookup Tables'!$A$3:$A$12,'Lookup Tables'!$C$3:$C$12,"Not Found")</x:f>
        <x:v>Electronics</x:v>
      </x:c>
      <x:c r="K24" t="str">
        <x:f>XLOOKUP(B24,'Lookup Tables'!$F$3:$F$6,'Lookup Tables'!$G$3:$G$6,"Not Found")</x:f>
        <x:v>Alicia Morgan</x:v>
      </x:c>
      <x:c r="L24" s="14" t="n">
        <x:f>XLOOKUP(B24,'Lookup Tables'!$F$3:$F$6,'Lookup Tables'!$H$3:$H$6,0)</x:f>
        <x:v>0.04</x:v>
      </x:c>
      <x:c r="M24" s="12" t="n">
        <x:f>G24-H24</x:f>
        <x:v>1604.44</x:v>
      </x:c>
      <x:c r="N24" t="str">
        <x:f>IF(G24&gt;=10000,"High Value","Standard")</x:f>
        <x:v>Standard</x:v>
      </x:c>
      <x:c r="O24" t="str">
        <x:f>IF(M24/G24&gt;=0.40,"Strong Margin","Review Margin")</x:f>
        <x:v>Strong Margin</x:v>
      </x:c>
      <x:c r="P24" t="str">
        <x:f>TEXT(A24,"mmm")</x:f>
        <x:v>Jan</x:v>
      </x:c>
      <x:c r="Q24" s="12" t="n">
        <x:f>G24*L24</x:f>
        <x:v>143.99280000000002</x:v>
      </x:c>
    </x:row>
    <x:row r="25">
      <x:c r="A25" s="10" t="n">
        <x:v>45688</x:v>
      </x:c>
      <x:c r="B25" t="str">
        <x:v>East</x:v>
      </x:c>
      <x:c r="C25" t="str">
        <x:v>P-1001</x:v>
      </x:c>
      <x:c r="D25" t="str">
        <x:v>Wireless Headphones</x:v>
      </x:c>
      <x:c r="E25" t="str">
        <x:v>Ava Davis</x:v>
      </x:c>
      <x:c r="F25" t="n">
        <x:v>9</x:v>
      </x:c>
      <x:c r="G25" s="12" t="n">
        <x:v>1169.91</x:v>
      </x:c>
      <x:c r="H25" s="12" t="n">
        <x:v>629.6</x:v>
      </x:c>
      <x:c r="I25" t="str">
        <x:v>Retail</x:v>
      </x:c>
      <x:c r="J25" t="str">
        <x:f>XLOOKUP(C25,'Lookup Tables'!$A$3:$A$12,'Lookup Tables'!$C$3:$C$12,"Not Found")</x:f>
        <x:v>Electronics</x:v>
      </x:c>
      <x:c r="K25" t="str">
        <x:f>XLOOKUP(B25,'Lookup Tables'!$F$3:$F$6,'Lookup Tables'!$G$3:$G$6,"Not Found")</x:f>
        <x:v>Alicia Morgan</x:v>
      </x:c>
      <x:c r="L25" s="14" t="n">
        <x:f>XLOOKUP(B25,'Lookup Tables'!$F$3:$F$6,'Lookup Tables'!$H$3:$H$6,0)</x:f>
        <x:v>0.04</x:v>
      </x:c>
      <x:c r="M25" s="12" t="n">
        <x:f>G25-H25</x:f>
        <x:v>540.3100000000001</x:v>
      </x:c>
      <x:c r="N25" t="str">
        <x:f>IF(G25&gt;=10000,"High Value","Standard")</x:f>
        <x:v>Standard</x:v>
      </x:c>
      <x:c r="O25" t="str">
        <x:f>IF(M25/G25&gt;=0.40,"Strong Margin","Review Margin")</x:f>
        <x:v>Strong Margin</x:v>
      </x:c>
      <x:c r="P25" t="str">
        <x:f>TEXT(A25,"mmm")</x:f>
        <x:v>Jan</x:v>
      </x:c>
      <x:c r="Q25" s="12" t="n">
        <x:f>G25*L25</x:f>
        <x:v>46.796400000000006</x:v>
      </x:c>
    </x:row>
    <x:row r="26">
      <x:c r="A26" s="10" t="n">
        <x:v>45689</x:v>
      </x:c>
      <x:c r="B26" t="str">
        <x:v>West</x:v>
      </x:c>
      <x:c r="C26" t="str">
        <x:v>P-1008</x:v>
      </x:c>
      <x:c r="D26" t="str">
        <x:v>Yoga Starter Kit</x:v>
      </x:c>
      <x:c r="E26" t="str">
        <x:v>Liam Wilson</x:v>
      </x:c>
      <x:c r="F26" t="n">
        <x:v>20</x:v>
      </x:c>
      <x:c r="G26" s="12" t="n">
        <x:v>1127.81</x:v>
      </x:c>
      <x:c r="H26" s="12" t="n">
        <x:v>471.72</x:v>
      </x:c>
      <x:c r="I26" t="str">
        <x:v>Wholesale</x:v>
      </x:c>
      <x:c r="J26" t="str">
        <x:f>XLOOKUP(C26,'Lookup Tables'!$A$3:$A$12,'Lookup Tables'!$C$3:$C$12,"Not Found")</x:f>
        <x:v>Fitness</x:v>
      </x:c>
      <x:c r="K26" t="str">
        <x:f>XLOOKUP(B26,'Lookup Tables'!$F$3:$F$6,'Lookup Tables'!$G$3:$G$6,"Not Found")</x:f>
        <x:v>Daniel Kim</x:v>
      </x:c>
      <x:c r="L26" s="14" t="n">
        <x:f>XLOOKUP(B26,'Lookup Tables'!$F$3:$F$6,'Lookup Tables'!$H$3:$H$6,0)</x:f>
        <x:v>0.045</x:v>
      </x:c>
      <x:c r="M26" s="12" t="n">
        <x:f>G26-H26</x:f>
        <x:v>656.0899999999999</x:v>
      </x:c>
      <x:c r="N26" t="str">
        <x:f>IF(G26&gt;=10000,"High Value","Standard")</x:f>
        <x:v>Standard</x:v>
      </x:c>
      <x:c r="O26" t="str">
        <x:f>IF(M26/G26&gt;=0.40,"Strong Margin","Review Margin")</x:f>
        <x:v>Strong Margin</x:v>
      </x:c>
      <x:c r="P26" t="str">
        <x:f>TEXT(A26,"mmm")</x:f>
        <x:v>Feb</x:v>
      </x:c>
      <x:c r="Q26" s="12" t="n">
        <x:f>G26*L26</x:f>
        <x:v>50.75145</x:v>
      </x:c>
    </x:row>
    <x:row r="27">
      <x:c r="A27" s="10" t="n">
        <x:v>45689</x:v>
      </x:c>
      <x:c r="B27" t="str">
        <x:v>South</x:v>
      </x:c>
      <x:c r="C27" t="str">
        <x:v>P-1009</x:v>
      </x:c>
      <x:c r="D27" t="str">
        <x:v>Travel Backpack</x:v>
      </x:c>
      <x:c r="E27" t="str">
        <x:v>Noah Brown</x:v>
      </x:c>
      <x:c r="F27" t="n">
        <x:v>2</x:v>
      </x:c>
      <x:c r="G27" s="12" t="n">
        <x:v>179.98</x:v>
      </x:c>
      <x:c r="H27" s="12" t="n">
        <x:v>87.34</x:v>
      </x:c>
      <x:c r="I27" t="str">
        <x:v>Retail</x:v>
      </x:c>
      <x:c r="J27" t="str">
        <x:f>XLOOKUP(C27,'Lookup Tables'!$A$3:$A$12,'Lookup Tables'!$C$3:$C$12,"Not Found")</x:f>
        <x:v>Accessories</x:v>
      </x:c>
      <x:c r="K27" t="str">
        <x:f>XLOOKUP(B27,'Lookup Tables'!$F$3:$F$6,'Lookup Tables'!$G$3:$G$6,"Not Found")</x:f>
        <x:v>Priya Patel</x:v>
      </x:c>
      <x:c r="L27" s="14" t="n">
        <x:f>XLOOKUP(B27,'Lookup Tables'!$F$3:$F$6,'Lookup Tables'!$H$3:$H$6,0)</x:f>
        <x:v>0.05</x:v>
      </x:c>
      <x:c r="M27" s="12" t="n">
        <x:f>G27-H27</x:f>
        <x:v>92.63999999999999</x:v>
      </x:c>
      <x:c r="N27" t="str">
        <x:f>IF(G27&gt;=10000,"High Value","Standard")</x:f>
        <x:v>Standard</x:v>
      </x:c>
      <x:c r="O27" t="str">
        <x:f>IF(M27/G27&gt;=0.40,"Strong Margin","Review Margin")</x:f>
        <x:v>Strong Margin</x:v>
      </x:c>
      <x:c r="P27" t="str">
        <x:f>TEXT(A27,"mmm")</x:f>
        <x:v>Feb</x:v>
      </x:c>
      <x:c r="Q27" s="12" t="n">
        <x:f>G27*L27</x:f>
        <x:v>8.999</x:v>
      </x:c>
    </x:row>
    <x:row r="28">
      <x:c r="A28" s="10" t="n">
        <x:v>45690</x:v>
      </x:c>
      <x:c r="B28" t="str">
        <x:v>West</x:v>
      </x:c>
      <x:c r="C28" t="str">
        <x:v>P-1007</x:v>
      </x:c>
      <x:c r="D28" t="str">
        <x:v>Fitness Tracker</x:v>
      </x:c>
      <x:c r="E28" t="str">
        <x:v>Isabella Taylor</x:v>
      </x:c>
      <x:c r="F28" t="n">
        <x:v>6</x:v>
      </x:c>
      <x:c r="G28" s="12" t="n">
        <x:v>719.94</x:v>
      </x:c>
      <x:c r="H28" s="12" t="n">
        <x:v>376.62</x:v>
      </x:c>
      <x:c r="I28" t="str">
        <x:v>Retail</x:v>
      </x:c>
      <x:c r="J28" t="str">
        <x:f>XLOOKUP(C28,'Lookup Tables'!$A$3:$A$12,'Lookup Tables'!$C$3:$C$12,"Not Found")</x:f>
        <x:v>Fitness</x:v>
      </x:c>
      <x:c r="K28" t="str">
        <x:f>XLOOKUP(B28,'Lookup Tables'!$F$3:$F$6,'Lookup Tables'!$G$3:$G$6,"Not Found")</x:f>
        <x:v>Daniel Kim</x:v>
      </x:c>
      <x:c r="L28" s="14" t="n">
        <x:f>XLOOKUP(B28,'Lookup Tables'!$F$3:$F$6,'Lookup Tables'!$H$3:$H$6,0)</x:f>
        <x:v>0.045</x:v>
      </x:c>
      <x:c r="M28" s="12" t="n">
        <x:f>G28-H28</x:f>
        <x:v>343.32000000000005</x:v>
      </x:c>
      <x:c r="N28" t="str">
        <x:f>IF(G28&gt;=10000,"High Value","Standard")</x:f>
        <x:v>Standard</x:v>
      </x:c>
      <x:c r="O28" t="str">
        <x:f>IF(M28/G28&gt;=0.40,"Strong Margin","Review Margin")</x:f>
        <x:v>Strong Margin</x:v>
      </x:c>
      <x:c r="P28" t="str">
        <x:f>TEXT(A28,"mmm")</x:f>
        <x:v>Feb</x:v>
      </x:c>
      <x:c r="Q28" s="12" t="n">
        <x:f>G28*L28</x:f>
        <x:v>32.3973</x:v>
      </x:c>
    </x:row>
    <x:row r="29">
      <x:c r="A29" s="10" t="n">
        <x:v>45693</x:v>
      </x:c>
      <x:c r="B29" t="str">
        <x:v>East</x:v>
      </x:c>
      <x:c r="C29" t="str">
        <x:v>P-1006</x:v>
      </x:c>
      <x:c r="D29" t="str">
        <x:v>Air Fryer XL</x:v>
      </x:c>
      <x:c r="E29" t="str">
        <x:v>Sophia Martinez</x:v>
      </x:c>
      <x:c r="F29" t="n">
        <x:v>27</x:v>
      </x:c>
      <x:c r="G29" s="12" t="n">
        <x:v>3552.95</x:v>
      </x:c>
      <x:c r="H29" s="12" t="n">
        <x:v>1971.81</x:v>
      </x:c>
      <x:c r="I29" t="str">
        <x:v>Wholesale</x:v>
      </x:c>
      <x:c r="J29" t="str">
        <x:f>XLOOKUP(C29,'Lookup Tables'!$A$3:$A$12,'Lookup Tables'!$C$3:$C$12,"Not Found")</x:f>
        <x:v>Home Goods</x:v>
      </x:c>
      <x:c r="K29" t="str">
        <x:f>XLOOKUP(B29,'Lookup Tables'!$F$3:$F$6,'Lookup Tables'!$G$3:$G$6,"Not Found")</x:f>
        <x:v>Alicia Morgan</x:v>
      </x:c>
      <x:c r="L29" s="14" t="n">
        <x:f>XLOOKUP(B29,'Lookup Tables'!$F$3:$F$6,'Lookup Tables'!$H$3:$H$6,0)</x:f>
        <x:v>0.04</x:v>
      </x:c>
      <x:c r="M29" s="12" t="n">
        <x:f>G29-H29</x:f>
        <x:v>1581.1399999999999</x:v>
      </x:c>
      <x:c r="N29" t="str">
        <x:f>IF(G29&gt;=10000,"High Value","Standard")</x:f>
        <x:v>Standard</x:v>
      </x:c>
      <x:c r="O29" t="str">
        <x:f>IF(M29/G29&gt;=0.40,"Strong Margin","Review Margin")</x:f>
        <x:v>Strong Margin</x:v>
      </x:c>
      <x:c r="P29" t="str">
        <x:f>TEXT(A29,"mmm")</x:f>
        <x:v>Feb</x:v>
      </x:c>
      <x:c r="Q29" s="12" t="n">
        <x:f>G29*L29</x:f>
        <x:v>142.118</x:v>
      </x:c>
    </x:row>
    <x:row r="30">
      <x:c r="A30" s="10" t="n">
        <x:v>45694</x:v>
      </x:c>
      <x:c r="B30" t="str">
        <x:v>West</x:v>
      </x:c>
      <x:c r="C30" t="str">
        <x:v>P-1007</x:v>
      </x:c>
      <x:c r="D30" t="str">
        <x:v>Fitness Tracker</x:v>
      </x:c>
      <x:c r="E30" t="str">
        <x:v>Ava Davis</x:v>
      </x:c>
      <x:c r="F30" t="n">
        <x:v>2</x:v>
      </x:c>
      <x:c r="G30" s="12" t="n">
        <x:v>239.98</x:v>
      </x:c>
      <x:c r="H30" s="12" t="n">
        <x:v>122.44</x:v>
      </x:c>
      <x:c r="I30" t="str">
        <x:v>Retail</x:v>
      </x:c>
      <x:c r="J30" t="str">
        <x:f>XLOOKUP(C30,'Lookup Tables'!$A$3:$A$12,'Lookup Tables'!$C$3:$C$12,"Not Found")</x:f>
        <x:v>Fitness</x:v>
      </x:c>
      <x:c r="K30" t="str">
        <x:f>XLOOKUP(B30,'Lookup Tables'!$F$3:$F$6,'Lookup Tables'!$G$3:$G$6,"Not Found")</x:f>
        <x:v>Daniel Kim</x:v>
      </x:c>
      <x:c r="L30" s="14" t="n">
        <x:f>XLOOKUP(B30,'Lookup Tables'!$F$3:$F$6,'Lookup Tables'!$H$3:$H$6,0)</x:f>
        <x:v>0.045</x:v>
      </x:c>
      <x:c r="M30" s="12" t="n">
        <x:f>G30-H30</x:f>
        <x:v>117.53999999999999</x:v>
      </x:c>
      <x:c r="N30" t="str">
        <x:f>IF(G30&gt;=10000,"High Value","Standard")</x:f>
        <x:v>Standard</x:v>
      </x:c>
      <x:c r="O30" t="str">
        <x:f>IF(M30/G30&gt;=0.40,"Strong Margin","Review Margin")</x:f>
        <x:v>Strong Margin</x:v>
      </x:c>
      <x:c r="P30" t="str">
        <x:f>TEXT(A30,"mmm")</x:f>
        <x:v>Feb</x:v>
      </x:c>
      <x:c r="Q30" s="12" t="n">
        <x:f>G30*L30</x:f>
        <x:v>10.7991</x:v>
      </x:c>
    </x:row>
    <x:row r="31">
      <x:c r="A31" s="10" t="n">
        <x:v>45695</x:v>
      </x:c>
      <x:c r="B31" t="str">
        <x:v>West</x:v>
      </x:c>
      <x:c r="C31" t="str">
        <x:v>P-1009</x:v>
      </x:c>
      <x:c r="D31" t="str">
        <x:v>Travel Backpack</x:v>
      </x:c>
      <x:c r="E31" t="str">
        <x:v>James Anderson</x:v>
      </x:c>
      <x:c r="F31" t="n">
        <x:v>7</x:v>
      </x:c>
      <x:c r="G31" s="12" t="n">
        <x:v>629.93</x:v>
      </x:c>
      <x:c r="H31" s="12" t="n">
        <x:v>296.34</x:v>
      </x:c>
      <x:c r="I31" t="str">
        <x:v>Retail</x:v>
      </x:c>
      <x:c r="J31" t="str">
        <x:f>XLOOKUP(C31,'Lookup Tables'!$A$3:$A$12,'Lookup Tables'!$C$3:$C$12,"Not Found")</x:f>
        <x:v>Accessories</x:v>
      </x:c>
      <x:c r="K31" t="str">
        <x:f>XLOOKUP(B31,'Lookup Tables'!$F$3:$F$6,'Lookup Tables'!$G$3:$G$6,"Not Found")</x:f>
        <x:v>Daniel Kim</x:v>
      </x:c>
      <x:c r="L31" s="14" t="n">
        <x:f>XLOOKUP(B31,'Lookup Tables'!$F$3:$F$6,'Lookup Tables'!$H$3:$H$6,0)</x:f>
        <x:v>0.045</x:v>
      </x:c>
      <x:c r="M31" s="12" t="n">
        <x:f>G31-H31</x:f>
        <x:v>333.59</x:v>
      </x:c>
      <x:c r="N31" t="str">
        <x:f>IF(G31&gt;=10000,"High Value","Standard")</x:f>
        <x:v>Standard</x:v>
      </x:c>
      <x:c r="O31" t="str">
        <x:f>IF(M31/G31&gt;=0.40,"Strong Margin","Review Margin")</x:f>
        <x:v>Strong Margin</x:v>
      </x:c>
      <x:c r="P31" t="str">
        <x:f>TEXT(A31,"mmm")</x:f>
        <x:v>Feb</x:v>
      </x:c>
      <x:c r="Q31" s="12" t="n">
        <x:f>G31*L31</x:f>
        <x:v>28.346849999999996</x:v>
      </x:c>
    </x:row>
    <x:row r="32">
      <x:c r="A32" s="10" t="n">
        <x:v>45695</x:v>
      </x:c>
      <x:c r="B32" t="str">
        <x:v>South</x:v>
      </x:c>
      <x:c r="C32" t="str">
        <x:v>P-1006</x:v>
      </x:c>
      <x:c r="D32" t="str">
        <x:v>Air Fryer XL</x:v>
      </x:c>
      <x:c r="E32" t="str">
        <x:v>Olivia Garcia</x:v>
      </x:c>
      <x:c r="F32" t="n">
        <x:v>13</x:v>
      </x:c>
      <x:c r="G32" s="12" t="n">
        <x:v>1819.87</x:v>
      </x:c>
      <x:c r="H32" s="12" t="n">
        <x:v>948.5</x:v>
      </x:c>
      <x:c r="I32" t="str">
        <x:v>Retail</x:v>
      </x:c>
      <x:c r="J32" t="str">
        <x:f>XLOOKUP(C32,'Lookup Tables'!$A$3:$A$12,'Lookup Tables'!$C$3:$C$12,"Not Found")</x:f>
        <x:v>Home Goods</x:v>
      </x:c>
      <x:c r="K32" t="str">
        <x:f>XLOOKUP(B32,'Lookup Tables'!$F$3:$F$6,'Lookup Tables'!$G$3:$G$6,"Not Found")</x:f>
        <x:v>Priya Patel</x:v>
      </x:c>
      <x:c r="L32" s="14" t="n">
        <x:f>XLOOKUP(B32,'Lookup Tables'!$F$3:$F$6,'Lookup Tables'!$H$3:$H$6,0)</x:f>
        <x:v>0.05</x:v>
      </x:c>
      <x:c r="M32" s="12" t="n">
        <x:f>G32-H32</x:f>
        <x:v>871.3699999999999</x:v>
      </x:c>
      <x:c r="N32" t="str">
        <x:f>IF(G32&gt;=10000,"High Value","Standard")</x:f>
        <x:v>Standard</x:v>
      </x:c>
      <x:c r="O32" t="str">
        <x:f>IF(M32/G32&gt;=0.40,"Strong Margin","Review Margin")</x:f>
        <x:v>Strong Margin</x:v>
      </x:c>
      <x:c r="P32" t="str">
        <x:f>TEXT(A32,"mmm")</x:f>
        <x:v>Feb</x:v>
      </x:c>
      <x:c r="Q32" s="12" t="n">
        <x:f>G32*L32</x:f>
        <x:v>90.9935</x:v>
      </x:c>
    </x:row>
    <x:row r="33">
      <x:c r="A33" s="10" t="n">
        <x:v>45695</x:v>
      </x:c>
      <x:c r="B33" t="str">
        <x:v>West</x:v>
      </x:c>
      <x:c r="C33" t="str">
        <x:v>P-1009</x:v>
      </x:c>
      <x:c r="D33" t="str">
        <x:v>Travel Backpack</x:v>
      </x:c>
      <x:c r="E33" t="str">
        <x:v>Lucas Miller</x:v>
      </x:c>
      <x:c r="F33" t="n">
        <x:v>20</x:v>
      </x:c>
      <x:c r="G33" s="12" t="n">
        <x:v>1691.81</x:v>
      </x:c>
      <x:c r="H33" s="12" t="n">
        <x:v>864.92</x:v>
      </x:c>
      <x:c r="I33" t="str">
        <x:v>Wholesale</x:v>
      </x:c>
      <x:c r="J33" t="str">
        <x:f>XLOOKUP(C33,'Lookup Tables'!$A$3:$A$12,'Lookup Tables'!$C$3:$C$12,"Not Found")</x:f>
        <x:v>Accessories</x:v>
      </x:c>
      <x:c r="K33" t="str">
        <x:f>XLOOKUP(B33,'Lookup Tables'!$F$3:$F$6,'Lookup Tables'!$G$3:$G$6,"Not Found")</x:f>
        <x:v>Daniel Kim</x:v>
      </x:c>
      <x:c r="L33" s="14" t="n">
        <x:f>XLOOKUP(B33,'Lookup Tables'!$F$3:$F$6,'Lookup Tables'!$H$3:$H$6,0)</x:f>
        <x:v>0.045</x:v>
      </x:c>
      <x:c r="M33" s="12" t="n">
        <x:f>G33-H33</x:f>
        <x:v>826.89</x:v>
      </x:c>
      <x:c r="N33" t="str">
        <x:f>IF(G33&gt;=10000,"High Value","Standard")</x:f>
        <x:v>Standard</x:v>
      </x:c>
      <x:c r="O33" t="str">
        <x:f>IF(M33/G33&gt;=0.40,"Strong Margin","Review Margin")</x:f>
        <x:v>Strong Margin</x:v>
      </x:c>
      <x:c r="P33" t="str">
        <x:f>TEXT(A33,"mmm")</x:f>
        <x:v>Feb</x:v>
      </x:c>
      <x:c r="Q33" s="12" t="n">
        <x:f>G33*L33</x:f>
        <x:v>76.13145</x:v>
      </x:c>
    </x:row>
    <x:row r="34">
      <x:c r="A34" s="10" t="n">
        <x:v>45696</x:v>
      </x:c>
      <x:c r="B34" t="str">
        <x:v>East</x:v>
      </x:c>
      <x:c r="C34" t="str">
        <x:v>P-1004</x:v>
      </x:c>
      <x:c r="D34" t="str">
        <x:v>Standing Desk Converter</x:v>
      </x:c>
      <x:c r="E34" t="str">
        <x:v>Benjamin Moore</x:v>
      </x:c>
      <x:c r="F34" t="n">
        <x:v>3</x:v>
      </x:c>
      <x:c r="G34" s="12" t="n">
        <x:v>569.97</x:v>
      </x:c>
      <x:c r="H34" s="12" t="n">
        <x:v>315.05</x:v>
      </x:c>
      <x:c r="I34" t="str">
        <x:v>Retail</x:v>
      </x:c>
      <x:c r="J34" t="str">
        <x:f>XLOOKUP(C34,'Lookup Tables'!$A$3:$A$12,'Lookup Tables'!$C$3:$C$12,"Not Found")</x:f>
        <x:v>Furniture</x:v>
      </x:c>
      <x:c r="K34" t="str">
        <x:f>XLOOKUP(B34,'Lookup Tables'!$F$3:$F$6,'Lookup Tables'!$G$3:$G$6,"Not Found")</x:f>
        <x:v>Alicia Morgan</x:v>
      </x:c>
      <x:c r="L34" s="14" t="n">
        <x:f>XLOOKUP(B34,'Lookup Tables'!$F$3:$F$6,'Lookup Tables'!$H$3:$H$6,0)</x:f>
        <x:v>0.04</x:v>
      </x:c>
      <x:c r="M34" s="12" t="n">
        <x:f>G34-H34</x:f>
        <x:v>254.92000000000002</x:v>
      </x:c>
      <x:c r="N34" t="str">
        <x:f>IF(G34&gt;=10000,"High Value","Standard")</x:f>
        <x:v>Standard</x:v>
      </x:c>
      <x:c r="O34" t="str">
        <x:f>IF(M34/G34&gt;=0.40,"Strong Margin","Review Margin")</x:f>
        <x:v>Strong Margin</x:v>
      </x:c>
      <x:c r="P34" t="str">
        <x:f>TEXT(A34,"mmm")</x:f>
        <x:v>Feb</x:v>
      </x:c>
      <x:c r="Q34" s="12" t="n">
        <x:f>G34*L34</x:f>
        <x:v>22.7988</x:v>
      </x:c>
    </x:row>
    <x:row r="35">
      <x:c r="A35" s="10" t="n">
        <x:v>45698</x:v>
      </x:c>
      <x:c r="B35" t="str">
        <x:v>South</x:v>
      </x:c>
      <x:c r="C35" t="str">
        <x:v>P-1003</x:v>
      </x:c>
      <x:c r="D35" t="str">
        <x:v>Ergonomic Office Chair</x:v>
      </x:c>
      <x:c r="E35" t="str">
        <x:v>Mia Thomas</x:v>
      </x:c>
      <x:c r="F35" t="n">
        <x:v>7</x:v>
      </x:c>
      <x:c r="G35" s="12" t="n">
        <x:v>1749.93</x:v>
      </x:c>
      <x:c r="H35" s="12" t="n">
        <x:v>1027.46</x:v>
      </x:c>
      <x:c r="I35" t="str">
        <x:v>Retail</x:v>
      </x:c>
      <x:c r="J35" t="str">
        <x:f>XLOOKUP(C35,'Lookup Tables'!$A$3:$A$12,'Lookup Tables'!$C$3:$C$12,"Not Found")</x:f>
        <x:v>Furniture</x:v>
      </x:c>
      <x:c r="K35" t="str">
        <x:f>XLOOKUP(B35,'Lookup Tables'!$F$3:$F$6,'Lookup Tables'!$G$3:$G$6,"Not Found")</x:f>
        <x:v>Priya Patel</x:v>
      </x:c>
      <x:c r="L35" s="14" t="n">
        <x:f>XLOOKUP(B35,'Lookup Tables'!$F$3:$F$6,'Lookup Tables'!$H$3:$H$6,0)</x:f>
        <x:v>0.05</x:v>
      </x:c>
      <x:c r="M35" s="12" t="n">
        <x:f>G35-H35</x:f>
        <x:v>722.47</x:v>
      </x:c>
      <x:c r="N35" t="str">
        <x:f>IF(G35&gt;=10000,"High Value","Standard")</x:f>
        <x:v>Standard</x:v>
      </x:c>
      <x:c r="O35" t="str">
        <x:f>IF(M35/G35&gt;=0.40,"Strong Margin","Review Margin")</x:f>
        <x:v>Strong Margin</x:v>
      </x:c>
      <x:c r="P35" t="str">
        <x:f>TEXT(A35,"mmm")</x:f>
        <x:v>Feb</x:v>
      </x:c>
      <x:c r="Q35" s="12" t="n">
        <x:f>G35*L35</x:f>
        <x:v>87.49650000000001</x:v>
      </x:c>
    </x:row>
    <x:row r="36">
      <x:c r="A36" s="10" t="n">
        <x:v>45699</x:v>
      </x:c>
      <x:c r="B36" t="str">
        <x:v>East</x:v>
      </x:c>
      <x:c r="C36" t="str">
        <x:v>P-1006</x:v>
      </x:c>
      <x:c r="D36" t="str">
        <x:v>Air Fryer XL</x:v>
      </x:c>
      <x:c r="E36" t="str">
        <x:v>James Anderson</x:v>
      </x:c>
      <x:c r="F36" t="n">
        <x:v>4</x:v>
      </x:c>
      <x:c r="G36" s="12" t="n">
        <x:v>559.96</x:v>
      </x:c>
      <x:c r="H36" s="12" t="n">
        <x:v>298.71</x:v>
      </x:c>
      <x:c r="I36" t="str">
        <x:v>Retail</x:v>
      </x:c>
      <x:c r="J36" t="str">
        <x:f>XLOOKUP(C36,'Lookup Tables'!$A$3:$A$12,'Lookup Tables'!$C$3:$C$12,"Not Found")</x:f>
        <x:v>Home Goods</x:v>
      </x:c>
      <x:c r="K36" t="str">
        <x:f>XLOOKUP(B36,'Lookup Tables'!$F$3:$F$6,'Lookup Tables'!$G$3:$G$6,"Not Found")</x:f>
        <x:v>Alicia Morgan</x:v>
      </x:c>
      <x:c r="L36" s="14" t="n">
        <x:f>XLOOKUP(B36,'Lookup Tables'!$F$3:$F$6,'Lookup Tables'!$H$3:$H$6,0)</x:f>
        <x:v>0.04</x:v>
      </x:c>
      <x:c r="M36" s="12" t="n">
        <x:f>G36-H36</x:f>
        <x:v>261.25000000000006</x:v>
      </x:c>
      <x:c r="N36" t="str">
        <x:f>IF(G36&gt;=10000,"High Value","Standard")</x:f>
        <x:v>Standard</x:v>
      </x:c>
      <x:c r="O36" t="str">
        <x:f>IF(M36/G36&gt;=0.40,"Strong Margin","Review Margin")</x:f>
        <x:v>Strong Margin</x:v>
      </x:c>
      <x:c r="P36" t="str">
        <x:f>TEXT(A36,"mmm")</x:f>
        <x:v>Feb</x:v>
      </x:c>
      <x:c r="Q36" s="12" t="n">
        <x:f>G36*L36</x:f>
        <x:v>22.398400000000002</x:v>
      </x:c>
    </x:row>
    <x:row r="37">
      <x:c r="A37" s="10" t="n">
        <x:v>45699</x:v>
      </x:c>
      <x:c r="B37" t="str">
        <x:v>South</x:v>
      </x:c>
      <x:c r="C37" t="str">
        <x:v>P-1008</x:v>
      </x:c>
      <x:c r="D37" t="str">
        <x:v>Yoga Starter Kit</x:v>
      </x:c>
      <x:c r="E37" t="str">
        <x:v>Maya Johnson</x:v>
      </x:c>
      <x:c r="F37" t="n">
        <x:v>5</x:v>
      </x:c>
      <x:c r="G37" s="12" t="n">
        <x:v>299.95</x:v>
      </x:c>
      <x:c r="H37" s="12" t="n">
        <x:v>121.6</x:v>
      </x:c>
      <x:c r="I37" t="str">
        <x:v>Retail</x:v>
      </x:c>
      <x:c r="J37" t="str">
        <x:f>XLOOKUP(C37,'Lookup Tables'!$A$3:$A$12,'Lookup Tables'!$C$3:$C$12,"Not Found")</x:f>
        <x:v>Fitness</x:v>
      </x:c>
      <x:c r="K37" t="str">
        <x:f>XLOOKUP(B37,'Lookup Tables'!$F$3:$F$6,'Lookup Tables'!$G$3:$G$6,"Not Found")</x:f>
        <x:v>Priya Patel</x:v>
      </x:c>
      <x:c r="L37" s="14" t="n">
        <x:f>XLOOKUP(B37,'Lookup Tables'!$F$3:$F$6,'Lookup Tables'!$H$3:$H$6,0)</x:f>
        <x:v>0.05</x:v>
      </x:c>
      <x:c r="M37" s="12" t="n">
        <x:f>G37-H37</x:f>
        <x:v>178.35</x:v>
      </x:c>
      <x:c r="N37" t="str">
        <x:f>IF(G37&gt;=10000,"High Value","Standard")</x:f>
        <x:v>Standard</x:v>
      </x:c>
      <x:c r="O37" t="str">
        <x:f>IF(M37/G37&gt;=0.40,"Strong Margin","Review Margin")</x:f>
        <x:v>Strong Margin</x:v>
      </x:c>
      <x:c r="P37" t="str">
        <x:f>TEXT(A37,"mmm")</x:f>
        <x:v>Feb</x:v>
      </x:c>
      <x:c r="Q37" s="12" t="n">
        <x:f>G37*L37</x:f>
        <x:v>14.9975</x:v>
      </x:c>
    </x:row>
    <x:row r="38">
      <x:c r="A38" s="10" t="n">
        <x:v>45701</x:v>
      </x:c>
      <x:c r="B38" t="str">
        <x:v>Midwest</x:v>
      </x:c>
      <x:c r="C38" t="str">
        <x:v>P-1002</x:v>
      </x:c>
      <x:c r="D38" t="str">
        <x:v>Smart Home Hub</x:v>
      </x:c>
      <x:c r="E38" t="str">
        <x:v>James Anderson</x:v>
      </x:c>
      <x:c r="F38" t="n">
        <x:v>1</x:v>
      </x:c>
      <x:c r="G38" s="12" t="n">
        <x:v>199.99</x:v>
      </x:c>
      <x:c r="H38" s="12" t="n">
        <x:v>112.9</x:v>
      </x:c>
      <x:c r="I38" t="str">
        <x:v>Retail</x:v>
      </x:c>
      <x:c r="J38" t="str">
        <x:f>XLOOKUP(C38,'Lookup Tables'!$A$3:$A$12,'Lookup Tables'!$C$3:$C$12,"Not Found")</x:f>
        <x:v>Electronics</x:v>
      </x:c>
      <x:c r="K38" t="str">
        <x:f>XLOOKUP(B38,'Lookup Tables'!$F$3:$F$6,'Lookup Tables'!$G$3:$G$6,"Not Found")</x:f>
        <x:v>Marcus Reed</x:v>
      </x:c>
      <x:c r="L38" s="14" t="n">
        <x:f>XLOOKUP(B38,'Lookup Tables'!$F$3:$F$6,'Lookup Tables'!$H$3:$H$6,0)</x:f>
        <x:v>0.035</x:v>
      </x:c>
      <x:c r="M38" s="12" t="n">
        <x:f>G38-H38</x:f>
        <x:v>87.09</x:v>
      </x:c>
      <x:c r="N38" t="str">
        <x:f>IF(G38&gt;=10000,"High Value","Standard")</x:f>
        <x:v>Standard</x:v>
      </x:c>
      <x:c r="O38" t="str">
        <x:f>IF(M38/G38&gt;=0.40,"Strong Margin","Review Margin")</x:f>
        <x:v>Strong Margin</x:v>
      </x:c>
      <x:c r="P38" t="str">
        <x:f>TEXT(A38,"mmm")</x:f>
        <x:v>Feb</x:v>
      </x:c>
      <x:c r="Q38" s="12" t="n">
        <x:f>G38*L38</x:f>
        <x:v>6.999650000000001</x:v>
      </x:c>
    </x:row>
    <x:row r="39">
      <x:c r="A39" s="10" t="n">
        <x:v>45704</x:v>
      </x:c>
      <x:c r="B39" t="str">
        <x:v>South</x:v>
      </x:c>
      <x:c r="C39" t="str">
        <x:v>P-1001</x:v>
      </x:c>
      <x:c r="D39" t="str">
        <x:v>Wireless Headphones</x:v>
      </x:c>
      <x:c r="E39" t="str">
        <x:v>Ethan Smith</x:v>
      </x:c>
      <x:c r="F39" t="n">
        <x:v>28</x:v>
      </x:c>
      <x:c r="G39" s="12" t="n">
        <x:v>3421.34</x:v>
      </x:c>
      <x:c r="H39" s="12" t="n">
        <x:v>1944.08</x:v>
      </x:c>
      <x:c r="I39" t="str">
        <x:v>Wholesale</x:v>
      </x:c>
      <x:c r="J39" t="str">
        <x:f>XLOOKUP(C39,'Lookup Tables'!$A$3:$A$12,'Lookup Tables'!$C$3:$C$12,"Not Found")</x:f>
        <x:v>Electronics</x:v>
      </x:c>
      <x:c r="K39" t="str">
        <x:f>XLOOKUP(B39,'Lookup Tables'!$F$3:$F$6,'Lookup Tables'!$G$3:$G$6,"Not Found")</x:f>
        <x:v>Priya Patel</x:v>
      </x:c>
      <x:c r="L39" s="14" t="n">
        <x:f>XLOOKUP(B39,'Lookup Tables'!$F$3:$F$6,'Lookup Tables'!$H$3:$H$6,0)</x:f>
        <x:v>0.05</x:v>
      </x:c>
      <x:c r="M39" s="12" t="n">
        <x:f>G39-H39</x:f>
        <x:v>1477.2600000000002</x:v>
      </x:c>
      <x:c r="N39" t="str">
        <x:f>IF(G39&gt;=10000,"High Value","Standard")</x:f>
        <x:v>Standard</x:v>
      </x:c>
      <x:c r="O39" t="str">
        <x:f>IF(M39/G39&gt;=0.40,"Strong Margin","Review Margin")</x:f>
        <x:v>Strong Margin</x:v>
      </x:c>
      <x:c r="P39" t="str">
        <x:f>TEXT(A39,"mmm")</x:f>
        <x:v>Feb</x:v>
      </x:c>
      <x:c r="Q39" s="12" t="n">
        <x:f>G39*L39</x:f>
        <x:v>171.067</x:v>
      </x:c>
    </x:row>
    <x:row r="40">
      <x:c r="A40" s="10" t="n">
        <x:v>45705</x:v>
      </x:c>
      <x:c r="B40" t="str">
        <x:v>South</x:v>
      </x:c>
      <x:c r="C40" t="str">
        <x:v>P-1008</x:v>
      </x:c>
      <x:c r="D40" t="str">
        <x:v>Yoga Starter Kit</x:v>
      </x:c>
      <x:c r="E40" t="str">
        <x:v>Maya Johnson</x:v>
      </x:c>
      <x:c r="F40" t="n">
        <x:v>2</x:v>
      </x:c>
      <x:c r="G40" s="12" t="n">
        <x:v>119.98</x:v>
      </x:c>
      <x:c r="H40" s="12" t="n">
        <x:v>47.92</x:v>
      </x:c>
      <x:c r="I40" t="str">
        <x:v>Retail</x:v>
      </x:c>
      <x:c r="J40" t="str">
        <x:f>XLOOKUP(C40,'Lookup Tables'!$A$3:$A$12,'Lookup Tables'!$C$3:$C$12,"Not Found")</x:f>
        <x:v>Fitness</x:v>
      </x:c>
      <x:c r="K40" t="str">
        <x:f>XLOOKUP(B40,'Lookup Tables'!$F$3:$F$6,'Lookup Tables'!$G$3:$G$6,"Not Found")</x:f>
        <x:v>Priya Patel</x:v>
      </x:c>
      <x:c r="L40" s="14" t="n">
        <x:f>XLOOKUP(B40,'Lookup Tables'!$F$3:$F$6,'Lookup Tables'!$H$3:$H$6,0)</x:f>
        <x:v>0.05</x:v>
      </x:c>
      <x:c r="M40" s="12" t="n">
        <x:f>G40-H40</x:f>
        <x:v>72.06</x:v>
      </x:c>
      <x:c r="N40" t="str">
        <x:f>IF(G40&gt;=10000,"High Value","Standard")</x:f>
        <x:v>Standard</x:v>
      </x:c>
      <x:c r="O40" t="str">
        <x:f>IF(M40/G40&gt;=0.40,"Strong Margin","Review Margin")</x:f>
        <x:v>Strong Margin</x:v>
      </x:c>
      <x:c r="P40" t="str">
        <x:f>TEXT(A40,"mmm")</x:f>
        <x:v>Feb</x:v>
      </x:c>
      <x:c r="Q40" s="12" t="n">
        <x:f>G40*L40</x:f>
        <x:v>5.9990000000000006</x:v>
      </x:c>
    </x:row>
    <x:row r="41">
      <x:c r="A41" s="10" t="n">
        <x:v>45705</x:v>
      </x:c>
      <x:c r="B41" t="str">
        <x:v>West</x:v>
      </x:c>
      <x:c r="C41" t="str">
        <x:v>P-1004</x:v>
      </x:c>
      <x:c r="D41" t="str">
        <x:v>Standing Desk Converter</x:v>
      </x:c>
      <x:c r="E41" t="str">
        <x:v>Noah Brown</x:v>
      </x:c>
      <x:c r="F41" t="n">
        <x:v>9</x:v>
      </x:c>
      <x:c r="G41" s="12" t="n">
        <x:v>1709.91</x:v>
      </x:c>
      <x:c r="H41" s="12" t="n">
        <x:v>962.71</x:v>
      </x:c>
      <x:c r="I41" t="str">
        <x:v>Retail</x:v>
      </x:c>
      <x:c r="J41" t="str">
        <x:f>XLOOKUP(C41,'Lookup Tables'!$A$3:$A$12,'Lookup Tables'!$C$3:$C$12,"Not Found")</x:f>
        <x:v>Furniture</x:v>
      </x:c>
      <x:c r="K41" t="str">
        <x:f>XLOOKUP(B41,'Lookup Tables'!$F$3:$F$6,'Lookup Tables'!$G$3:$G$6,"Not Found")</x:f>
        <x:v>Daniel Kim</x:v>
      </x:c>
      <x:c r="L41" s="14" t="n">
        <x:f>XLOOKUP(B41,'Lookup Tables'!$F$3:$F$6,'Lookup Tables'!$H$3:$H$6,0)</x:f>
        <x:v>0.045</x:v>
      </x:c>
      <x:c r="M41" s="12" t="n">
        <x:f>G41-H41</x:f>
        <x:v>747.2</x:v>
      </x:c>
      <x:c r="N41" t="str">
        <x:f>IF(G41&gt;=10000,"High Value","Standard")</x:f>
        <x:v>Standard</x:v>
      </x:c>
      <x:c r="O41" t="str">
        <x:f>IF(M41/G41&gt;=0.40,"Strong Margin","Review Margin")</x:f>
        <x:v>Strong Margin</x:v>
      </x:c>
      <x:c r="P41" t="str">
        <x:f>TEXT(A41,"mmm")</x:f>
        <x:v>Feb</x:v>
      </x:c>
      <x:c r="Q41" s="12" t="n">
        <x:f>G41*L41</x:f>
        <x:v>76.94595</x:v>
      </x:c>
    </x:row>
    <x:row r="42">
      <x:c r="A42" s="10" t="n">
        <x:v>45706</x:v>
      </x:c>
      <x:c r="B42" t="str">
        <x:v>West</x:v>
      </x:c>
      <x:c r="C42" t="str">
        <x:v>P-1003</x:v>
      </x:c>
      <x:c r="D42" t="str">
        <x:v>Ergonomic Office Chair</x:v>
      </x:c>
      <x:c r="E42" t="str">
        <x:v>Sophia Martinez</x:v>
      </x:c>
      <x:c r="F42" t="n">
        <x:v>4</x:v>
      </x:c>
      <x:c r="G42" s="12" t="n">
        <x:v>999.96</x:v>
      </x:c>
      <x:c r="H42" s="12" t="n">
        <x:v>587.66</x:v>
      </x:c>
      <x:c r="I42" t="str">
        <x:v>Retail</x:v>
      </x:c>
      <x:c r="J42" t="str">
        <x:f>XLOOKUP(C42,'Lookup Tables'!$A$3:$A$12,'Lookup Tables'!$C$3:$C$12,"Not Found")</x:f>
        <x:v>Furniture</x:v>
      </x:c>
      <x:c r="K42" t="str">
        <x:f>XLOOKUP(B42,'Lookup Tables'!$F$3:$F$6,'Lookup Tables'!$G$3:$G$6,"Not Found")</x:f>
        <x:v>Daniel Kim</x:v>
      </x:c>
      <x:c r="L42" s="14" t="n">
        <x:f>XLOOKUP(B42,'Lookup Tables'!$F$3:$F$6,'Lookup Tables'!$H$3:$H$6,0)</x:f>
        <x:v>0.045</x:v>
      </x:c>
      <x:c r="M42" s="12" t="n">
        <x:f>G42-H42</x:f>
        <x:v>412.30000000000007</x:v>
      </x:c>
      <x:c r="N42" t="str">
        <x:f>IF(G42&gt;=10000,"High Value","Standard")</x:f>
        <x:v>Standard</x:v>
      </x:c>
      <x:c r="O42" t="str">
        <x:f>IF(M42/G42&gt;=0.40,"Strong Margin","Review Margin")</x:f>
        <x:v>Strong Margin</x:v>
      </x:c>
      <x:c r="P42" t="str">
        <x:f>TEXT(A42,"mmm")</x:f>
        <x:v>Feb</x:v>
      </x:c>
      <x:c r="Q42" s="12" t="n">
        <x:f>G42*L42</x:f>
        <x:v>44.9982</x:v>
      </x:c>
    </x:row>
    <x:row r="43">
      <x:c r="A43" s="10" t="n">
        <x:v>45706</x:v>
      </x:c>
      <x:c r="B43" t="str">
        <x:v>Midwest</x:v>
      </x:c>
      <x:c r="C43" t="str">
        <x:v>P-1009</x:v>
      </x:c>
      <x:c r="D43" t="str">
        <x:v>Travel Backpack</x:v>
      </x:c>
      <x:c r="E43" t="str">
        <x:v>Noah Brown</x:v>
      </x:c>
      <x:c r="F43" t="n">
        <x:v>8</x:v>
      </x:c>
      <x:c r="G43" s="12" t="n">
        <x:v>719.92</x:v>
      </x:c>
      <x:c r="H43" s="12" t="n">
        <x:v>340.46</x:v>
      </x:c>
      <x:c r="I43" t="str">
        <x:v>Retail</x:v>
      </x:c>
      <x:c r="J43" t="str">
        <x:f>XLOOKUP(C43,'Lookup Tables'!$A$3:$A$12,'Lookup Tables'!$C$3:$C$12,"Not Found")</x:f>
        <x:v>Accessories</x:v>
      </x:c>
      <x:c r="K43" t="str">
        <x:f>XLOOKUP(B43,'Lookup Tables'!$F$3:$F$6,'Lookup Tables'!$G$3:$G$6,"Not Found")</x:f>
        <x:v>Marcus Reed</x:v>
      </x:c>
      <x:c r="L43" s="14" t="n">
        <x:f>XLOOKUP(B43,'Lookup Tables'!$F$3:$F$6,'Lookup Tables'!$H$3:$H$6,0)</x:f>
        <x:v>0.035</x:v>
      </x:c>
      <x:c r="M43" s="12" t="n">
        <x:f>G43-H43</x:f>
        <x:v>379.46</x:v>
      </x:c>
      <x:c r="N43" t="str">
        <x:f>IF(G43&gt;=10000,"High Value","Standard")</x:f>
        <x:v>Standard</x:v>
      </x:c>
      <x:c r="O43" t="str">
        <x:f>IF(M43/G43&gt;=0.40,"Strong Margin","Review Margin")</x:f>
        <x:v>Strong Margin</x:v>
      </x:c>
      <x:c r="P43" t="str">
        <x:f>TEXT(A43,"mmm")</x:f>
        <x:v>Feb</x:v>
      </x:c>
      <x:c r="Q43" s="12" t="n">
        <x:f>G43*L43</x:f>
        <x:v>25.197200000000002</x:v>
      </x:c>
    </x:row>
    <x:row r="44">
      <x:c r="A44" s="10" t="n">
        <x:v>45708</x:v>
      </x:c>
      <x:c r="B44" t="str">
        <x:v>Midwest</x:v>
      </x:c>
      <x:c r="C44" t="str">
        <x:v>P-1002</x:v>
      </x:c>
      <x:c r="D44" t="str">
        <x:v>Smart Home Hub</x:v>
      </x:c>
      <x:c r="E44" t="str">
        <x:v>Noah Brown</x:v>
      </x:c>
      <x:c r="F44" t="n">
        <x:v>1</x:v>
      </x:c>
      <x:c r="G44" s="12" t="n">
        <x:v>199.99</x:v>
      </x:c>
      <x:c r="H44" s="12" t="n">
        <x:v>109.14</x:v>
      </x:c>
      <x:c r="I44" t="str">
        <x:v>Retail</x:v>
      </x:c>
      <x:c r="J44" t="str">
        <x:f>XLOOKUP(C44,'Lookup Tables'!$A$3:$A$12,'Lookup Tables'!$C$3:$C$12,"Not Found")</x:f>
        <x:v>Electronics</x:v>
      </x:c>
      <x:c r="K44" t="str">
        <x:f>XLOOKUP(B44,'Lookup Tables'!$F$3:$F$6,'Lookup Tables'!$G$3:$G$6,"Not Found")</x:f>
        <x:v>Marcus Reed</x:v>
      </x:c>
      <x:c r="L44" s="14" t="n">
        <x:f>XLOOKUP(B44,'Lookup Tables'!$F$3:$F$6,'Lookup Tables'!$H$3:$H$6,0)</x:f>
        <x:v>0.035</x:v>
      </x:c>
      <x:c r="M44" s="12" t="n">
        <x:f>G44-H44</x:f>
        <x:v>90.85000000000001</x:v>
      </x:c>
      <x:c r="N44" t="str">
        <x:f>IF(G44&gt;=10000,"High Value","Standard")</x:f>
        <x:v>Standard</x:v>
      </x:c>
      <x:c r="O44" t="str">
        <x:f>IF(M44/G44&gt;=0.40,"Strong Margin","Review Margin")</x:f>
        <x:v>Strong Margin</x:v>
      </x:c>
      <x:c r="P44" t="str">
        <x:f>TEXT(A44,"mmm")</x:f>
        <x:v>Feb</x:v>
      </x:c>
      <x:c r="Q44" s="12" t="n">
        <x:f>G44*L44</x:f>
        <x:v>6.999650000000001</x:v>
      </x:c>
    </x:row>
    <x:row r="45">
      <x:c r="A45" s="10" t="n">
        <x:v>45710</x:v>
      </x:c>
      <x:c r="B45" t="str">
        <x:v>East</x:v>
      </x:c>
      <x:c r="C45" t="str">
        <x:v>P-1001</x:v>
      </x:c>
      <x:c r="D45" t="str">
        <x:v>Wireless Headphones</x:v>
      </x:c>
      <x:c r="E45" t="str">
        <x:v>Liam Wilson</x:v>
      </x:c>
      <x:c r="F45" t="n">
        <x:v>1</x:v>
      </x:c>
      <x:c r="G45" s="12" t="n">
        <x:v>129.99</x:v>
      </x:c>
      <x:c r="H45" s="12" t="n">
        <x:v>69.19</x:v>
      </x:c>
      <x:c r="I45" t="str">
        <x:v>Retail</x:v>
      </x:c>
      <x:c r="J45" t="str">
        <x:f>XLOOKUP(C45,'Lookup Tables'!$A$3:$A$12,'Lookup Tables'!$C$3:$C$12,"Not Found")</x:f>
        <x:v>Electronics</x:v>
      </x:c>
      <x:c r="K45" t="str">
        <x:f>XLOOKUP(B45,'Lookup Tables'!$F$3:$F$6,'Lookup Tables'!$G$3:$G$6,"Not Found")</x:f>
        <x:v>Alicia Morgan</x:v>
      </x:c>
      <x:c r="L45" s="14" t="n">
        <x:f>XLOOKUP(B45,'Lookup Tables'!$F$3:$F$6,'Lookup Tables'!$H$3:$H$6,0)</x:f>
        <x:v>0.04</x:v>
      </x:c>
      <x:c r="M45" s="12" t="n">
        <x:f>G45-H45</x:f>
        <x:v>60.80000000000001</x:v>
      </x:c>
      <x:c r="N45" t="str">
        <x:f>IF(G45&gt;=10000,"High Value","Standard")</x:f>
        <x:v>Standard</x:v>
      </x:c>
      <x:c r="O45" t="str">
        <x:f>IF(M45/G45&gt;=0.40,"Strong Margin","Review Margin")</x:f>
        <x:v>Strong Margin</x:v>
      </x:c>
      <x:c r="P45" t="str">
        <x:f>TEXT(A45,"mmm")</x:f>
        <x:v>Feb</x:v>
      </x:c>
      <x:c r="Q45" s="12" t="n">
        <x:f>G45*L45</x:f>
        <x:v>5.1996</x:v>
      </x:c>
    </x:row>
    <x:row r="46">
      <x:c r="A46" s="10" t="n">
        <x:v>45710</x:v>
      </x:c>
      <x:c r="B46" t="str">
        <x:v>South</x:v>
      </x:c>
      <x:c r="C46" t="str">
        <x:v>P-1003</x:v>
      </x:c>
      <x:c r="D46" t="str">
        <x:v>Ergonomic Office Chair</x:v>
      </x:c>
      <x:c r="E46" t="str">
        <x:v>Mia Thomas</x:v>
      </x:c>
      <x:c r="F46" t="n">
        <x:v>2</x:v>
      </x:c>
      <x:c r="G46" s="12" t="n">
        <x:v>499.98</x:v>
      </x:c>
      <x:c r="H46" s="12" t="n">
        <x:v>295.69</x:v>
      </x:c>
      <x:c r="I46" t="str">
        <x:v>Retail</x:v>
      </x:c>
      <x:c r="J46" t="str">
        <x:f>XLOOKUP(C46,'Lookup Tables'!$A$3:$A$12,'Lookup Tables'!$C$3:$C$12,"Not Found")</x:f>
        <x:v>Furniture</x:v>
      </x:c>
      <x:c r="K46" t="str">
        <x:f>XLOOKUP(B46,'Lookup Tables'!$F$3:$F$6,'Lookup Tables'!$G$3:$G$6,"Not Found")</x:f>
        <x:v>Priya Patel</x:v>
      </x:c>
      <x:c r="L46" s="14" t="n">
        <x:f>XLOOKUP(B46,'Lookup Tables'!$F$3:$F$6,'Lookup Tables'!$H$3:$H$6,0)</x:f>
        <x:v>0.05</x:v>
      </x:c>
      <x:c r="M46" s="12" t="n">
        <x:f>G46-H46</x:f>
        <x:v>204.29000000000002</x:v>
      </x:c>
      <x:c r="N46" t="str">
        <x:f>IF(G46&gt;=10000,"High Value","Standard")</x:f>
        <x:v>Standard</x:v>
      </x:c>
      <x:c r="O46" t="str">
        <x:f>IF(M46/G46&gt;=0.40,"Strong Margin","Review Margin")</x:f>
        <x:v>Strong Margin</x:v>
      </x:c>
      <x:c r="P46" t="str">
        <x:f>TEXT(A46,"mmm")</x:f>
        <x:v>Feb</x:v>
      </x:c>
      <x:c r="Q46" s="12" t="n">
        <x:f>G46*L46</x:f>
        <x:v>24.999000000000002</x:v>
      </x:c>
    </x:row>
    <x:row r="47">
      <x:c r="A47" s="10" t="n">
        <x:v>45712</x:v>
      </x:c>
      <x:c r="B47" t="str">
        <x:v>Midwest</x:v>
      </x:c>
      <x:c r="C47" t="str">
        <x:v>P-1005</x:v>
      </x:c>
      <x:c r="D47" t="str">
        <x:v>Stainless Cookware Set</x:v>
      </x:c>
      <x:c r="E47" t="str">
        <x:v>Noah Brown</x:v>
      </x:c>
      <x:c r="F47" t="n">
        <x:v>5</x:v>
      </x:c>
      <x:c r="G47" s="12" t="n">
        <x:v>799.95</x:v>
      </x:c>
      <x:c r="H47" s="12" t="n">
        <x:v>442.12</x:v>
      </x:c>
      <x:c r="I47" t="str">
        <x:v>Retail</x:v>
      </x:c>
      <x:c r="J47" t="str">
        <x:f>XLOOKUP(C47,'Lookup Tables'!$A$3:$A$12,'Lookup Tables'!$C$3:$C$12,"Not Found")</x:f>
        <x:v>Home Goods</x:v>
      </x:c>
      <x:c r="K47" t="str">
        <x:f>XLOOKUP(B47,'Lookup Tables'!$F$3:$F$6,'Lookup Tables'!$G$3:$G$6,"Not Found")</x:f>
        <x:v>Marcus Reed</x:v>
      </x:c>
      <x:c r="L47" s="14" t="n">
        <x:f>XLOOKUP(B47,'Lookup Tables'!$F$3:$F$6,'Lookup Tables'!$H$3:$H$6,0)</x:f>
        <x:v>0.035</x:v>
      </x:c>
      <x:c r="M47" s="12" t="n">
        <x:f>G47-H47</x:f>
        <x:v>357.83000000000004</x:v>
      </x:c>
      <x:c r="N47" t="str">
        <x:f>IF(G47&gt;=10000,"High Value","Standard")</x:f>
        <x:v>Standard</x:v>
      </x:c>
      <x:c r="O47" t="str">
        <x:f>IF(M47/G47&gt;=0.40,"Strong Margin","Review Margin")</x:f>
        <x:v>Strong Margin</x:v>
      </x:c>
      <x:c r="P47" t="str">
        <x:f>TEXT(A47,"mmm")</x:f>
        <x:v>Feb</x:v>
      </x:c>
      <x:c r="Q47" s="12" t="n">
        <x:f>G47*L47</x:f>
        <x:v>27.998250000000006</x:v>
      </x:c>
    </x:row>
    <x:row r="48">
      <x:c r="A48" s="10" t="n">
        <x:v>45715</x:v>
      </x:c>
      <x:c r="B48" t="str">
        <x:v>East</x:v>
      </x:c>
      <x:c r="C48" t="str">
        <x:v>P-1006</x:v>
      </x:c>
      <x:c r="D48" t="str">
        <x:v>Air Fryer XL</x:v>
      </x:c>
      <x:c r="E48" t="str">
        <x:v>James Anderson</x:v>
      </x:c>
      <x:c r="F48" t="n">
        <x:v>10</x:v>
      </x:c>
      <x:c r="G48" s="12" t="n">
        <x:v>1315.91</x:v>
      </x:c>
      <x:c r="H48" s="12" t="n">
        <x:v>730.43</x:v>
      </x:c>
      <x:c r="I48" t="str">
        <x:v>Wholesale</x:v>
      </x:c>
      <x:c r="J48" t="str">
        <x:f>XLOOKUP(C48,'Lookup Tables'!$A$3:$A$12,'Lookup Tables'!$C$3:$C$12,"Not Found")</x:f>
        <x:v>Home Goods</x:v>
      </x:c>
      <x:c r="K48" t="str">
        <x:f>XLOOKUP(B48,'Lookup Tables'!$F$3:$F$6,'Lookup Tables'!$G$3:$G$6,"Not Found")</x:f>
        <x:v>Alicia Morgan</x:v>
      </x:c>
      <x:c r="L48" s="14" t="n">
        <x:f>XLOOKUP(B48,'Lookup Tables'!$F$3:$F$6,'Lookup Tables'!$H$3:$H$6,0)</x:f>
        <x:v>0.04</x:v>
      </x:c>
      <x:c r="M48" s="12" t="n">
        <x:f>G48-H48</x:f>
        <x:v>585.4800000000001</x:v>
      </x:c>
      <x:c r="N48" t="str">
        <x:f>IF(G48&gt;=10000,"High Value","Standard")</x:f>
        <x:v>Standard</x:v>
      </x:c>
      <x:c r="O48" t="str">
        <x:f>IF(M48/G48&gt;=0.40,"Strong Margin","Review Margin")</x:f>
        <x:v>Strong Margin</x:v>
      </x:c>
      <x:c r="P48" t="str">
        <x:f>TEXT(A48,"mmm")</x:f>
        <x:v>Feb</x:v>
      </x:c>
      <x:c r="Q48" s="12" t="n">
        <x:f>G48*L48</x:f>
        <x:v>52.6364</x:v>
      </x:c>
    </x:row>
    <x:row r="49">
      <x:c r="A49" s="10" t="n">
        <x:v>45716</x:v>
      </x:c>
      <x:c r="B49" t="str">
        <x:v>South</x:v>
      </x:c>
      <x:c r="C49" t="str">
        <x:v>P-1005</x:v>
      </x:c>
      <x:c r="D49" t="str">
        <x:v>Stainless Cookware Set</x:v>
      </x:c>
      <x:c r="E49" t="str">
        <x:v>Sophia Martinez</x:v>
      </x:c>
      <x:c r="F49" t="n">
        <x:v>21</x:v>
      </x:c>
      <x:c r="G49" s="12" t="n">
        <x:v>3158.2</x:v>
      </x:c>
      <x:c r="H49" s="12" t="n">
        <x:v>1831.5</x:v>
      </x:c>
      <x:c r="I49" t="str">
        <x:v>Wholesale</x:v>
      </x:c>
      <x:c r="J49" t="str">
        <x:f>XLOOKUP(C49,'Lookup Tables'!$A$3:$A$12,'Lookup Tables'!$C$3:$C$12,"Not Found")</x:f>
        <x:v>Home Goods</x:v>
      </x:c>
      <x:c r="K49" t="str">
        <x:f>XLOOKUP(B49,'Lookup Tables'!$F$3:$F$6,'Lookup Tables'!$G$3:$G$6,"Not Found")</x:f>
        <x:v>Priya Patel</x:v>
      </x:c>
      <x:c r="L49" s="14" t="n">
        <x:f>XLOOKUP(B49,'Lookup Tables'!$F$3:$F$6,'Lookup Tables'!$H$3:$H$6,0)</x:f>
        <x:v>0.05</x:v>
      </x:c>
      <x:c r="M49" s="12" t="n">
        <x:f>G49-H49</x:f>
        <x:v>1326.6999999999998</x:v>
      </x:c>
      <x:c r="N49" t="str">
        <x:f>IF(G49&gt;=10000,"High Value","Standard")</x:f>
        <x:v>Standard</x:v>
      </x:c>
      <x:c r="O49" t="str">
        <x:f>IF(M49/G49&gt;=0.40,"Strong Margin","Review Margin")</x:f>
        <x:v>Strong Margin</x:v>
      </x:c>
      <x:c r="P49" t="str">
        <x:f>TEXT(A49,"mmm")</x:f>
        <x:v>Feb</x:v>
      </x:c>
      <x:c r="Q49" s="12" t="n">
        <x:f>G49*L49</x:f>
        <x:v>157.91</x:v>
      </x:c>
    </x:row>
    <x:row r="50">
      <x:c r="A50" s="10" t="n">
        <x:v>45716</x:v>
      </x:c>
      <x:c r="B50" t="str">
        <x:v>West</x:v>
      </x:c>
      <x:c r="C50" t="str">
        <x:v>P-1001</x:v>
      </x:c>
      <x:c r="D50" t="str">
        <x:v>Wireless Headphones</x:v>
      </x:c>
      <x:c r="E50" t="str">
        <x:v>Olivia Garcia</x:v>
      </x:c>
      <x:c r="F50" t="n">
        <x:v>11</x:v>
      </x:c>
      <x:c r="G50" s="12" t="n">
        <x:v>1429.89</x:v>
      </x:c>
      <x:c r="H50" s="12" t="n">
        <x:v>769.98</x:v>
      </x:c>
      <x:c r="I50" t="str">
        <x:v>Retail</x:v>
      </x:c>
      <x:c r="J50" t="str">
        <x:f>XLOOKUP(C50,'Lookup Tables'!$A$3:$A$12,'Lookup Tables'!$C$3:$C$12,"Not Found")</x:f>
        <x:v>Electronics</x:v>
      </x:c>
      <x:c r="K50" t="str">
        <x:f>XLOOKUP(B50,'Lookup Tables'!$F$3:$F$6,'Lookup Tables'!$G$3:$G$6,"Not Found")</x:f>
        <x:v>Daniel Kim</x:v>
      </x:c>
      <x:c r="L50" s="14" t="n">
        <x:f>XLOOKUP(B50,'Lookup Tables'!$F$3:$F$6,'Lookup Tables'!$H$3:$H$6,0)</x:f>
        <x:v>0.045</x:v>
      </x:c>
      <x:c r="M50" s="12" t="n">
        <x:f>G50-H50</x:f>
        <x:v>659.9100000000001</x:v>
      </x:c>
      <x:c r="N50" t="str">
        <x:f>IF(G50&gt;=10000,"High Value","Standard")</x:f>
        <x:v>Standard</x:v>
      </x:c>
      <x:c r="O50" t="str">
        <x:f>IF(M50/G50&gt;=0.40,"Strong Margin","Review Margin")</x:f>
        <x:v>Strong Margin</x:v>
      </x:c>
      <x:c r="P50" t="str">
        <x:f>TEXT(A50,"mmm")</x:f>
        <x:v>Feb</x:v>
      </x:c>
      <x:c r="Q50" s="12" t="n">
        <x:f>G50*L50</x:f>
        <x:v>64.34505</x:v>
      </x:c>
    </x:row>
    <x:row r="51">
      <x:c r="A51" s="10" t="n">
        <x:v>45718</x:v>
      </x:c>
      <x:c r="B51" t="str">
        <x:v>West</x:v>
      </x:c>
      <x:c r="C51" t="str">
        <x:v>P-1002</x:v>
      </x:c>
      <x:c r="D51" t="str">
        <x:v>Smart Home Hub</x:v>
      </x:c>
      <x:c r="E51" t="str">
        <x:v>Mia Thomas</x:v>
      </x:c>
      <x:c r="F51" t="n">
        <x:v>17</x:v>
      </x:c>
      <x:c r="G51" s="12" t="n">
        <x:v>3399.83</x:v>
      </x:c>
      <x:c r="H51" s="12" t="n">
        <x:v>1922.96</x:v>
      </x:c>
      <x:c r="I51" t="str">
        <x:v>Retail</x:v>
      </x:c>
      <x:c r="J51" t="str">
        <x:f>XLOOKUP(C51,'Lookup Tables'!$A$3:$A$12,'Lookup Tables'!$C$3:$C$12,"Not Found")</x:f>
        <x:v>Electronics</x:v>
      </x:c>
      <x:c r="K51" t="str">
        <x:f>XLOOKUP(B51,'Lookup Tables'!$F$3:$F$6,'Lookup Tables'!$G$3:$G$6,"Not Found")</x:f>
        <x:v>Daniel Kim</x:v>
      </x:c>
      <x:c r="L51" s="14" t="n">
        <x:f>XLOOKUP(B51,'Lookup Tables'!$F$3:$F$6,'Lookup Tables'!$H$3:$H$6,0)</x:f>
        <x:v>0.045</x:v>
      </x:c>
      <x:c r="M51" s="12" t="n">
        <x:f>G51-H51</x:f>
        <x:v>1476.87</x:v>
      </x:c>
      <x:c r="N51" t="str">
        <x:f>IF(G51&gt;=10000,"High Value","Standard")</x:f>
        <x:v>Standard</x:v>
      </x:c>
      <x:c r="O51" t="str">
        <x:f>IF(M51/G51&gt;=0.40,"Strong Margin","Review Margin")</x:f>
        <x:v>Strong Margin</x:v>
      </x:c>
      <x:c r="P51" t="str">
        <x:f>TEXT(A51,"mmm")</x:f>
        <x:v>Mar</x:v>
      </x:c>
      <x:c r="Q51" s="12" t="n">
        <x:f>G51*L51</x:f>
        <x:v>152.99235</x:v>
      </x:c>
    </x:row>
    <x:row r="52">
      <x:c r="A52" s="10" t="n">
        <x:v>45718</x:v>
      </x:c>
      <x:c r="B52" t="str">
        <x:v>South</x:v>
      </x:c>
      <x:c r="C52" t="str">
        <x:v>P-1007</x:v>
      </x:c>
      <x:c r="D52" t="str">
        <x:v>Fitness Tracker</x:v>
      </x:c>
      <x:c r="E52" t="str">
        <x:v>Noah Brown</x:v>
      </x:c>
      <x:c r="F52" t="n">
        <x:v>29</x:v>
      </x:c>
      <x:c r="G52" s="12" t="n">
        <x:v>3270.93</x:v>
      </x:c>
      <x:c r="H52" s="12" t="n">
        <x:v>1734.35</x:v>
      </x:c>
      <x:c r="I52" t="str">
        <x:v>Wholesale</x:v>
      </x:c>
      <x:c r="J52" t="str">
        <x:f>XLOOKUP(C52,'Lookup Tables'!$A$3:$A$12,'Lookup Tables'!$C$3:$C$12,"Not Found")</x:f>
        <x:v>Fitness</x:v>
      </x:c>
      <x:c r="K52" t="str">
        <x:f>XLOOKUP(B52,'Lookup Tables'!$F$3:$F$6,'Lookup Tables'!$G$3:$G$6,"Not Found")</x:f>
        <x:v>Priya Patel</x:v>
      </x:c>
      <x:c r="L52" s="14" t="n">
        <x:f>XLOOKUP(B52,'Lookup Tables'!$F$3:$F$6,'Lookup Tables'!$H$3:$H$6,0)</x:f>
        <x:v>0.05</x:v>
      </x:c>
      <x:c r="M52" s="12" t="n">
        <x:f>G52-H52</x:f>
        <x:v>1536.58</x:v>
      </x:c>
      <x:c r="N52" t="str">
        <x:f>IF(G52&gt;=10000,"High Value","Standard")</x:f>
        <x:v>Standard</x:v>
      </x:c>
      <x:c r="O52" t="str">
        <x:f>IF(M52/G52&gt;=0.40,"Strong Margin","Review Margin")</x:f>
        <x:v>Strong Margin</x:v>
      </x:c>
      <x:c r="P52" t="str">
        <x:f>TEXT(A52,"mmm")</x:f>
        <x:v>Mar</x:v>
      </x:c>
      <x:c r="Q52" s="12" t="n">
        <x:f>G52*L52</x:f>
        <x:v>163.5465</x:v>
      </x:c>
    </x:row>
    <x:row r="53">
      <x:c r="A53" s="10" t="n">
        <x:v>45719</x:v>
      </x:c>
      <x:c r="B53" t="str">
        <x:v>South</x:v>
      </x:c>
      <x:c r="C53" t="str">
        <x:v>P-1003</x:v>
      </x:c>
      <x:c r="D53" t="str">
        <x:v>Ergonomic Office Chair</x:v>
      </x:c>
      <x:c r="E53" t="str">
        <x:v>Benjamin Moore</x:v>
      </x:c>
      <x:c r="F53" t="n">
        <x:v>12</x:v>
      </x:c>
      <x:c r="G53" s="12" t="n">
        <x:v>2999.88</x:v>
      </x:c>
      <x:c r="H53" s="12" t="n">
        <x:v>1731.56</x:v>
      </x:c>
      <x:c r="I53" t="str">
        <x:v>Retail</x:v>
      </x:c>
      <x:c r="J53" t="str">
        <x:f>XLOOKUP(C53,'Lookup Tables'!$A$3:$A$12,'Lookup Tables'!$C$3:$C$12,"Not Found")</x:f>
        <x:v>Furniture</x:v>
      </x:c>
      <x:c r="K53" t="str">
        <x:f>XLOOKUP(B53,'Lookup Tables'!$F$3:$F$6,'Lookup Tables'!$G$3:$G$6,"Not Found")</x:f>
        <x:v>Priya Patel</x:v>
      </x:c>
      <x:c r="L53" s="14" t="n">
        <x:f>XLOOKUP(B53,'Lookup Tables'!$F$3:$F$6,'Lookup Tables'!$H$3:$H$6,0)</x:f>
        <x:v>0.05</x:v>
      </x:c>
      <x:c r="M53" s="12" t="n">
        <x:f>G53-H53</x:f>
        <x:v>1268.3200000000002</x:v>
      </x:c>
      <x:c r="N53" t="str">
        <x:f>IF(G53&gt;=10000,"High Value","Standard")</x:f>
        <x:v>Standard</x:v>
      </x:c>
      <x:c r="O53" t="str">
        <x:f>IF(M53/G53&gt;=0.40,"Strong Margin","Review Margin")</x:f>
        <x:v>Strong Margin</x:v>
      </x:c>
      <x:c r="P53" t="str">
        <x:f>TEXT(A53,"mmm")</x:f>
        <x:v>Mar</x:v>
      </x:c>
      <x:c r="Q53" s="12" t="n">
        <x:f>G53*L53</x:f>
        <x:v>149.994</x:v>
      </x:c>
    </x:row>
    <x:row r="54">
      <x:c r="A54" s="10" t="n">
        <x:v>45720</x:v>
      </x:c>
      <x:c r="B54" t="str">
        <x:v>Midwest</x:v>
      </x:c>
      <x:c r="C54" t="str">
        <x:v>P-1008</x:v>
      </x:c>
      <x:c r="D54" t="str">
        <x:v>Yoga Starter Kit</x:v>
      </x:c>
      <x:c r="E54" t="str">
        <x:v>Ethan Smith</x:v>
      </x:c>
      <x:c r="F54" t="n">
        <x:v>7</x:v>
      </x:c>
      <x:c r="G54" s="12" t="n">
        <x:v>419.93</x:v>
      </x:c>
      <x:c r="H54" s="12" t="n">
        <x:v>176.06</x:v>
      </x:c>
      <x:c r="I54" t="str">
        <x:v>Retail</x:v>
      </x:c>
      <x:c r="J54" t="str">
        <x:f>XLOOKUP(C54,'Lookup Tables'!$A$3:$A$12,'Lookup Tables'!$C$3:$C$12,"Not Found")</x:f>
        <x:v>Fitness</x:v>
      </x:c>
      <x:c r="K54" t="str">
        <x:f>XLOOKUP(B54,'Lookup Tables'!$F$3:$F$6,'Lookup Tables'!$G$3:$G$6,"Not Found")</x:f>
        <x:v>Marcus Reed</x:v>
      </x:c>
      <x:c r="L54" s="14" t="n">
        <x:f>XLOOKUP(B54,'Lookup Tables'!$F$3:$F$6,'Lookup Tables'!$H$3:$H$6,0)</x:f>
        <x:v>0.035</x:v>
      </x:c>
      <x:c r="M54" s="12" t="n">
        <x:f>G54-H54</x:f>
        <x:v>243.87</x:v>
      </x:c>
      <x:c r="N54" t="str">
        <x:f>IF(G54&gt;=10000,"High Value","Standard")</x:f>
        <x:v>Standard</x:v>
      </x:c>
      <x:c r="O54" t="str">
        <x:f>IF(M54/G54&gt;=0.40,"Strong Margin","Review Margin")</x:f>
        <x:v>Strong Margin</x:v>
      </x:c>
      <x:c r="P54" t="str">
        <x:f>TEXT(A54,"mmm")</x:f>
        <x:v>Mar</x:v>
      </x:c>
      <x:c r="Q54" s="12" t="n">
        <x:f>G54*L54</x:f>
        <x:v>14.697550000000001</x:v>
      </x:c>
    </x:row>
    <x:row r="55">
      <x:c r="A55" s="10" t="n">
        <x:v>45722</x:v>
      </x:c>
      <x:c r="B55" t="str">
        <x:v>East</x:v>
      </x:c>
      <x:c r="C55" t="str">
        <x:v>P-1007</x:v>
      </x:c>
      <x:c r="D55" t="str">
        <x:v>Fitness Tracker</x:v>
      </x:c>
      <x:c r="E55" t="str">
        <x:v>Liam Wilson</x:v>
      </x:c>
      <x:c r="F55" t="n">
        <x:v>7</x:v>
      </x:c>
      <x:c r="G55" s="12" t="n">
        <x:v>839.93</x:v>
      </x:c>
      <x:c r="H55" s="12" t="n">
        <x:v>416.11</x:v>
      </x:c>
      <x:c r="I55" t="str">
        <x:v>Retail</x:v>
      </x:c>
      <x:c r="J55" t="str">
        <x:f>XLOOKUP(C55,'Lookup Tables'!$A$3:$A$12,'Lookup Tables'!$C$3:$C$12,"Not Found")</x:f>
        <x:v>Fitness</x:v>
      </x:c>
      <x:c r="K55" t="str">
        <x:f>XLOOKUP(B55,'Lookup Tables'!$F$3:$F$6,'Lookup Tables'!$G$3:$G$6,"Not Found")</x:f>
        <x:v>Alicia Morgan</x:v>
      </x:c>
      <x:c r="L55" s="14" t="n">
        <x:f>XLOOKUP(B55,'Lookup Tables'!$F$3:$F$6,'Lookup Tables'!$H$3:$H$6,0)</x:f>
        <x:v>0.04</x:v>
      </x:c>
      <x:c r="M55" s="12" t="n">
        <x:f>G55-H55</x:f>
        <x:v>423.81999999999994</x:v>
      </x:c>
      <x:c r="N55" t="str">
        <x:f>IF(G55&gt;=10000,"High Value","Standard")</x:f>
        <x:v>Standard</x:v>
      </x:c>
      <x:c r="O55" t="str">
        <x:f>IF(M55/G55&gt;=0.40,"Strong Margin","Review Margin")</x:f>
        <x:v>Strong Margin</x:v>
      </x:c>
      <x:c r="P55" t="str">
        <x:f>TEXT(A55,"mmm")</x:f>
        <x:v>Mar</x:v>
      </x:c>
      <x:c r="Q55" s="12" t="n">
        <x:f>G55*L55</x:f>
        <x:v>33.5972</x:v>
      </x:c>
    </x:row>
    <x:row r="56">
      <x:c r="A56" s="10" t="n">
        <x:v>45724</x:v>
      </x:c>
      <x:c r="B56" t="str">
        <x:v>West</x:v>
      </x:c>
      <x:c r="C56" t="str">
        <x:v>P-1008</x:v>
      </x:c>
      <x:c r="D56" t="str">
        <x:v>Yoga Starter Kit</x:v>
      </x:c>
      <x:c r="E56" t="str">
        <x:v>Ethan Smith</x:v>
      </x:c>
      <x:c r="F56" t="n">
        <x:v>1</x:v>
      </x:c>
      <x:c r="G56" s="12" t="n">
        <x:v>59.99</x:v>
      </x:c>
      <x:c r="H56" s="12" t="n">
        <x:v>24.12</x:v>
      </x:c>
      <x:c r="I56" t="str">
        <x:v>Retail</x:v>
      </x:c>
      <x:c r="J56" t="str">
        <x:f>XLOOKUP(C56,'Lookup Tables'!$A$3:$A$12,'Lookup Tables'!$C$3:$C$12,"Not Found")</x:f>
        <x:v>Fitness</x:v>
      </x:c>
      <x:c r="K56" t="str">
        <x:f>XLOOKUP(B56,'Lookup Tables'!$F$3:$F$6,'Lookup Tables'!$G$3:$G$6,"Not Found")</x:f>
        <x:v>Daniel Kim</x:v>
      </x:c>
      <x:c r="L56" s="14" t="n">
        <x:f>XLOOKUP(B56,'Lookup Tables'!$F$3:$F$6,'Lookup Tables'!$H$3:$H$6,0)</x:f>
        <x:v>0.045</x:v>
      </x:c>
      <x:c r="M56" s="12" t="n">
        <x:f>G56-H56</x:f>
        <x:v>35.870000000000005</x:v>
      </x:c>
      <x:c r="N56" t="str">
        <x:f>IF(G56&gt;=10000,"High Value","Standard")</x:f>
        <x:v>Standard</x:v>
      </x:c>
      <x:c r="O56" t="str">
        <x:f>IF(M56/G56&gt;=0.40,"Strong Margin","Review Margin")</x:f>
        <x:v>Strong Margin</x:v>
      </x:c>
      <x:c r="P56" t="str">
        <x:f>TEXT(A56,"mmm")</x:f>
        <x:v>Mar</x:v>
      </x:c>
      <x:c r="Q56" s="12" t="n">
        <x:f>G56*L56</x:f>
        <x:v>2.69955</x:v>
      </x:c>
    </x:row>
    <x:row r="57">
      <x:c r="A57" s="10" t="n">
        <x:v>45725</x:v>
      </x:c>
      <x:c r="B57" t="str">
        <x:v>West</x:v>
      </x:c>
      <x:c r="C57" t="str">
        <x:v>P-1004</x:v>
      </x:c>
      <x:c r="D57" t="str">
        <x:v>Standing Desk Converter</x:v>
      </x:c>
      <x:c r="E57" t="str">
        <x:v>Maya Johnson</x:v>
      </x:c>
      <x:c r="F57" t="n">
        <x:v>14</x:v>
      </x:c>
      <x:c r="G57" s="12" t="n">
        <x:v>2659.86</x:v>
      </x:c>
      <x:c r="H57" s="12" t="n">
        <x:v>1515.03</x:v>
      </x:c>
      <x:c r="I57" t="str">
        <x:v>Retail</x:v>
      </x:c>
      <x:c r="J57" t="str">
        <x:f>XLOOKUP(C57,'Lookup Tables'!$A$3:$A$12,'Lookup Tables'!$C$3:$C$12,"Not Found")</x:f>
        <x:v>Furniture</x:v>
      </x:c>
      <x:c r="K57" t="str">
        <x:f>XLOOKUP(B57,'Lookup Tables'!$F$3:$F$6,'Lookup Tables'!$G$3:$G$6,"Not Found")</x:f>
        <x:v>Daniel Kim</x:v>
      </x:c>
      <x:c r="L57" s="14" t="n">
        <x:f>XLOOKUP(B57,'Lookup Tables'!$F$3:$F$6,'Lookup Tables'!$H$3:$H$6,0)</x:f>
        <x:v>0.045</x:v>
      </x:c>
      <x:c r="M57" s="12" t="n">
        <x:f>G57-H57</x:f>
        <x:v>1144.8300000000002</x:v>
      </x:c>
      <x:c r="N57" t="str">
        <x:f>IF(G57&gt;=10000,"High Value","Standard")</x:f>
        <x:v>Standard</x:v>
      </x:c>
      <x:c r="O57" t="str">
        <x:f>IF(M57/G57&gt;=0.40,"Strong Margin","Review Margin")</x:f>
        <x:v>Strong Margin</x:v>
      </x:c>
      <x:c r="P57" t="str">
        <x:f>TEXT(A57,"mmm")</x:f>
        <x:v>Mar</x:v>
      </x:c>
      <x:c r="Q57" s="12" t="n">
        <x:f>G57*L57</x:f>
        <x:v>119.6937</x:v>
      </x:c>
    </x:row>
    <x:row r="58">
      <x:c r="A58" s="10" t="n">
        <x:v>45726</x:v>
      </x:c>
      <x:c r="B58" t="str">
        <x:v>East</x:v>
      </x:c>
      <x:c r="C58" t="str">
        <x:v>P-1009</x:v>
      </x:c>
      <x:c r="D58" t="str">
        <x:v>Travel Backpack</x:v>
      </x:c>
      <x:c r="E58" t="str">
        <x:v>Benjamin Moore</x:v>
      </x:c>
      <x:c r="F58" t="n">
        <x:v>4</x:v>
      </x:c>
      <x:c r="G58" s="12" t="n">
        <x:v>359.96</x:v>
      </x:c>
      <x:c r="H58" s="12" t="n">
        <x:v>167.12</x:v>
      </x:c>
      <x:c r="I58" t="str">
        <x:v>Retail</x:v>
      </x:c>
      <x:c r="J58" t="str">
        <x:f>XLOOKUP(C58,'Lookup Tables'!$A$3:$A$12,'Lookup Tables'!$C$3:$C$12,"Not Found")</x:f>
        <x:v>Accessories</x:v>
      </x:c>
      <x:c r="K58" t="str">
        <x:f>XLOOKUP(B58,'Lookup Tables'!$F$3:$F$6,'Lookup Tables'!$G$3:$G$6,"Not Found")</x:f>
        <x:v>Alicia Morgan</x:v>
      </x:c>
      <x:c r="L58" s="14" t="n">
        <x:f>XLOOKUP(B58,'Lookup Tables'!$F$3:$F$6,'Lookup Tables'!$H$3:$H$6,0)</x:f>
        <x:v>0.04</x:v>
      </x:c>
      <x:c r="M58" s="12" t="n">
        <x:f>G58-H58</x:f>
        <x:v>192.83999999999997</x:v>
      </x:c>
      <x:c r="N58" t="str">
        <x:f>IF(G58&gt;=10000,"High Value","Standard")</x:f>
        <x:v>Standard</x:v>
      </x:c>
      <x:c r="O58" t="str">
        <x:f>IF(M58/G58&gt;=0.40,"Strong Margin","Review Margin")</x:f>
        <x:v>Strong Margin</x:v>
      </x:c>
      <x:c r="P58" t="str">
        <x:f>TEXT(A58,"mmm")</x:f>
        <x:v>Mar</x:v>
      </x:c>
      <x:c r="Q58" s="12" t="n">
        <x:f>G58*L58</x:f>
        <x:v>14.398399999999999</x:v>
      </x:c>
    </x:row>
    <x:row r="59">
      <x:c r="A59" s="10" t="n">
        <x:v>45727</x:v>
      </x:c>
      <x:c r="B59" t="str">
        <x:v>South</x:v>
      </x:c>
      <x:c r="C59" t="str">
        <x:v>P-1010</x:v>
      </x:c>
      <x:c r="D59" t="str">
        <x:v>Insulated Water Bottle</x:v>
      </x:c>
      <x:c r="E59" t="str">
        <x:v>Mia Thomas</x:v>
      </x:c>
      <x:c r="F59" t="n">
        <x:v>15</x:v>
      </x:c>
      <x:c r="G59" s="12" t="n">
        <x:v>493.36</x:v>
      </x:c>
      <x:c r="H59" s="12" t="n">
        <x:v>187.96</x:v>
      </x:c>
      <x:c r="I59" t="str">
        <x:v>Wholesale</x:v>
      </x:c>
      <x:c r="J59" t="str">
        <x:f>XLOOKUP(C59,'Lookup Tables'!$A$3:$A$12,'Lookup Tables'!$C$3:$C$12,"Not Found")</x:f>
        <x:v>Accessories</x:v>
      </x:c>
      <x:c r="K59" t="str">
        <x:f>XLOOKUP(B59,'Lookup Tables'!$F$3:$F$6,'Lookup Tables'!$G$3:$G$6,"Not Found")</x:f>
        <x:v>Priya Patel</x:v>
      </x:c>
      <x:c r="L59" s="14" t="n">
        <x:f>XLOOKUP(B59,'Lookup Tables'!$F$3:$F$6,'Lookup Tables'!$H$3:$H$6,0)</x:f>
        <x:v>0.05</x:v>
      </x:c>
      <x:c r="M59" s="12" t="n">
        <x:f>G59-H59</x:f>
        <x:v>305.4</x:v>
      </x:c>
      <x:c r="N59" t="str">
        <x:f>IF(G59&gt;=10000,"High Value","Standard")</x:f>
        <x:v>Standard</x:v>
      </x:c>
      <x:c r="O59" t="str">
        <x:f>IF(M59/G59&gt;=0.40,"Strong Margin","Review Margin")</x:f>
        <x:v>Strong Margin</x:v>
      </x:c>
      <x:c r="P59" t="str">
        <x:f>TEXT(A59,"mmm")</x:f>
        <x:v>Mar</x:v>
      </x:c>
      <x:c r="Q59" s="12" t="n">
        <x:f>G59*L59</x:f>
        <x:v>24.668000000000003</x:v>
      </x:c>
    </x:row>
    <x:row r="60">
      <x:c r="A60" s="10" t="n">
        <x:v>45728</x:v>
      </x:c>
      <x:c r="B60" t="str">
        <x:v>West</x:v>
      </x:c>
      <x:c r="C60" t="str">
        <x:v>P-1001</x:v>
      </x:c>
      <x:c r="D60" t="str">
        <x:v>Wireless Headphones</x:v>
      </x:c>
      <x:c r="E60" t="str">
        <x:v>Maya Johnson</x:v>
      </x:c>
      <x:c r="F60" t="n">
        <x:v>35</x:v>
      </x:c>
      <x:c r="G60" s="12" t="n">
        <x:v>4276.67</x:v>
      </x:c>
      <x:c r="H60" s="12" t="n">
        <x:v>2445.77</x:v>
      </x:c>
      <x:c r="I60" t="str">
        <x:v>Wholesale</x:v>
      </x:c>
      <x:c r="J60" t="str">
        <x:f>XLOOKUP(C60,'Lookup Tables'!$A$3:$A$12,'Lookup Tables'!$C$3:$C$12,"Not Found")</x:f>
        <x:v>Electronics</x:v>
      </x:c>
      <x:c r="K60" t="str">
        <x:f>XLOOKUP(B60,'Lookup Tables'!$F$3:$F$6,'Lookup Tables'!$G$3:$G$6,"Not Found")</x:f>
        <x:v>Daniel Kim</x:v>
      </x:c>
      <x:c r="L60" s="14" t="n">
        <x:f>XLOOKUP(B60,'Lookup Tables'!$F$3:$F$6,'Lookup Tables'!$H$3:$H$6,0)</x:f>
        <x:v>0.045</x:v>
      </x:c>
      <x:c r="M60" s="12" t="n">
        <x:f>G60-H60</x:f>
        <x:v>1830.9</x:v>
      </x:c>
      <x:c r="N60" t="str">
        <x:f>IF(G60&gt;=10000,"High Value","Standard")</x:f>
        <x:v>Standard</x:v>
      </x:c>
      <x:c r="O60" t="str">
        <x:f>IF(M60/G60&gt;=0.40,"Strong Margin","Review Margin")</x:f>
        <x:v>Strong Margin</x:v>
      </x:c>
      <x:c r="P60" t="str">
        <x:f>TEXT(A60,"mmm")</x:f>
        <x:v>Mar</x:v>
      </x:c>
      <x:c r="Q60" s="12" t="n">
        <x:f>G60*L60</x:f>
        <x:v>192.45015</x:v>
      </x:c>
    </x:row>
    <x:row r="61">
      <x:c r="A61" s="10" t="n">
        <x:v>45729</x:v>
      </x:c>
      <x:c r="B61" t="str">
        <x:v>West</x:v>
      </x:c>
      <x:c r="C61" t="str">
        <x:v>P-1009</x:v>
      </x:c>
      <x:c r="D61" t="str">
        <x:v>Travel Backpack</x:v>
      </x:c>
      <x:c r="E61" t="str">
        <x:v>Maya Johnson</x:v>
      </x:c>
      <x:c r="F61" t="n">
        <x:v>4</x:v>
      </x:c>
      <x:c r="G61" s="12" t="n">
        <x:v>359.96</x:v>
      </x:c>
      <x:c r="H61" s="12" t="n">
        <x:v>167.78</x:v>
      </x:c>
      <x:c r="I61" t="str">
        <x:v>Retail</x:v>
      </x:c>
      <x:c r="J61" t="str">
        <x:f>XLOOKUP(C61,'Lookup Tables'!$A$3:$A$12,'Lookup Tables'!$C$3:$C$12,"Not Found")</x:f>
        <x:v>Accessories</x:v>
      </x:c>
      <x:c r="K61" t="str">
        <x:f>XLOOKUP(B61,'Lookup Tables'!$F$3:$F$6,'Lookup Tables'!$G$3:$G$6,"Not Found")</x:f>
        <x:v>Daniel Kim</x:v>
      </x:c>
      <x:c r="L61" s="14" t="n">
        <x:f>XLOOKUP(B61,'Lookup Tables'!$F$3:$F$6,'Lookup Tables'!$H$3:$H$6,0)</x:f>
        <x:v>0.045</x:v>
      </x:c>
      <x:c r="M61" s="12" t="n">
        <x:f>G61-H61</x:f>
        <x:v>192.17999999999998</x:v>
      </x:c>
      <x:c r="N61" t="str">
        <x:f>IF(G61&gt;=10000,"High Value","Standard")</x:f>
        <x:v>Standard</x:v>
      </x:c>
      <x:c r="O61" t="str">
        <x:f>IF(M61/G61&gt;=0.40,"Strong Margin","Review Margin")</x:f>
        <x:v>Strong Margin</x:v>
      </x:c>
      <x:c r="P61" t="str">
        <x:f>TEXT(A61,"mmm")</x:f>
        <x:v>Mar</x:v>
      </x:c>
      <x:c r="Q61" s="12" t="n">
        <x:f>G61*L61</x:f>
        <x:v>16.1982</x:v>
      </x:c>
    </x:row>
    <x:row r="62">
      <x:c r="A62" s="10" t="n">
        <x:v>45730</x:v>
      </x:c>
      <x:c r="B62" t="str">
        <x:v>East</x:v>
      </x:c>
      <x:c r="C62" t="str">
        <x:v>P-1002</x:v>
      </x:c>
      <x:c r="D62" t="str">
        <x:v>Smart Home Hub</x:v>
      </x:c>
      <x:c r="E62" t="str">
        <x:v>Sophia Martinez</x:v>
      </x:c>
      <x:c r="F62" t="n">
        <x:v>21</x:v>
      </x:c>
      <x:c r="G62" s="12" t="n">
        <x:v>4199.79</x:v>
      </x:c>
      <x:c r="H62" s="12" t="n">
        <x:v>2334.81</x:v>
      </x:c>
      <x:c r="I62" t="str">
        <x:v>Retail</x:v>
      </x:c>
      <x:c r="J62" t="str">
        <x:f>XLOOKUP(C62,'Lookup Tables'!$A$3:$A$12,'Lookup Tables'!$C$3:$C$12,"Not Found")</x:f>
        <x:v>Electronics</x:v>
      </x:c>
      <x:c r="K62" t="str">
        <x:f>XLOOKUP(B62,'Lookup Tables'!$F$3:$F$6,'Lookup Tables'!$G$3:$G$6,"Not Found")</x:f>
        <x:v>Alicia Morgan</x:v>
      </x:c>
      <x:c r="L62" s="14" t="n">
        <x:f>XLOOKUP(B62,'Lookup Tables'!$F$3:$F$6,'Lookup Tables'!$H$3:$H$6,0)</x:f>
        <x:v>0.04</x:v>
      </x:c>
      <x:c r="M62" s="12" t="n">
        <x:f>G62-H62</x:f>
        <x:v>1864.98</x:v>
      </x:c>
      <x:c r="N62" t="str">
        <x:f>IF(G62&gt;=10000,"High Value","Standard")</x:f>
        <x:v>Standard</x:v>
      </x:c>
      <x:c r="O62" t="str">
        <x:f>IF(M62/G62&gt;=0.40,"Strong Margin","Review Margin")</x:f>
        <x:v>Strong Margin</x:v>
      </x:c>
      <x:c r="P62" t="str">
        <x:f>TEXT(A62,"mmm")</x:f>
        <x:v>Mar</x:v>
      </x:c>
      <x:c r="Q62" s="12" t="n">
        <x:f>G62*L62</x:f>
        <x:v>167.9916</x:v>
      </x:c>
    </x:row>
    <x:row r="63">
      <x:c r="A63" s="10" t="n">
        <x:v>45730</x:v>
      </x:c>
      <x:c r="B63" t="str">
        <x:v>Midwest</x:v>
      </x:c>
      <x:c r="C63" t="str">
        <x:v>P-1003</x:v>
      </x:c>
      <x:c r="D63" t="str">
        <x:v>Ergonomic Office Chair</x:v>
      </x:c>
      <x:c r="E63" t="str">
        <x:v>Mia Thomas</x:v>
      </x:c>
      <x:c r="F63" t="n">
        <x:v>12</x:v>
      </x:c>
      <x:c r="G63" s="12" t="n">
        <x:v>2819.89</x:v>
      </x:c>
      <x:c r="H63" s="12" t="n">
        <x:v>1819.45</x:v>
      </x:c>
      <x:c r="I63" t="str">
        <x:v>Wholesale</x:v>
      </x:c>
      <x:c r="J63" t="str">
        <x:f>XLOOKUP(C63,'Lookup Tables'!$A$3:$A$12,'Lookup Tables'!$C$3:$C$12,"Not Found")</x:f>
        <x:v>Furniture</x:v>
      </x:c>
      <x:c r="K63" t="str">
        <x:f>XLOOKUP(B63,'Lookup Tables'!$F$3:$F$6,'Lookup Tables'!$G$3:$G$6,"Not Found")</x:f>
        <x:v>Marcus Reed</x:v>
      </x:c>
      <x:c r="L63" s="14" t="n">
        <x:f>XLOOKUP(B63,'Lookup Tables'!$F$3:$F$6,'Lookup Tables'!$H$3:$H$6,0)</x:f>
        <x:v>0.035</x:v>
      </x:c>
      <x:c r="M63" s="12" t="n">
        <x:f>G63-H63</x:f>
        <x:v>1000.4399999999998</x:v>
      </x:c>
      <x:c r="N63" t="str">
        <x:f>IF(G63&gt;=10000,"High Value","Standard")</x:f>
        <x:v>Standard</x:v>
      </x:c>
      <x:c r="O63" t="str">
        <x:f>IF(M63/G63&gt;=0.40,"Strong Margin","Review Margin")</x:f>
        <x:v>Review Margin</x:v>
      </x:c>
      <x:c r="P63" t="str">
        <x:f>TEXT(A63,"mmm")</x:f>
        <x:v>Mar</x:v>
      </x:c>
      <x:c r="Q63" s="12" t="n">
        <x:f>G63*L63</x:f>
        <x:v>98.69615</x:v>
      </x:c>
    </x:row>
    <x:row r="64">
      <x:c r="A64" s="10" t="n">
        <x:v>45731</x:v>
      </x:c>
      <x:c r="B64" t="str">
        <x:v>West</x:v>
      </x:c>
      <x:c r="C64" t="str">
        <x:v>P-1001</x:v>
      </x:c>
      <x:c r="D64" t="str">
        <x:v>Wireless Headphones</x:v>
      </x:c>
      <x:c r="E64" t="str">
        <x:v>Liam Wilson</x:v>
      </x:c>
      <x:c r="F64" t="n">
        <x:v>8</x:v>
      </x:c>
      <x:c r="G64" s="12" t="n">
        <x:v>1039.92</x:v>
      </x:c>
      <x:c r="H64" s="12" t="n">
        <x:v>558.57</x:v>
      </x:c>
      <x:c r="I64" t="str">
        <x:v>Retail</x:v>
      </x:c>
      <x:c r="J64" t="str">
        <x:f>XLOOKUP(C64,'Lookup Tables'!$A$3:$A$12,'Lookup Tables'!$C$3:$C$12,"Not Found")</x:f>
        <x:v>Electronics</x:v>
      </x:c>
      <x:c r="K64" t="str">
        <x:f>XLOOKUP(B64,'Lookup Tables'!$F$3:$F$6,'Lookup Tables'!$G$3:$G$6,"Not Found")</x:f>
        <x:v>Daniel Kim</x:v>
      </x:c>
      <x:c r="L64" s="14" t="n">
        <x:f>XLOOKUP(B64,'Lookup Tables'!$F$3:$F$6,'Lookup Tables'!$H$3:$H$6,0)</x:f>
        <x:v>0.045</x:v>
      </x:c>
      <x:c r="M64" s="12" t="n">
        <x:f>G64-H64</x:f>
        <x:v>481.35</x:v>
      </x:c>
      <x:c r="N64" t="str">
        <x:f>IF(G64&gt;=10000,"High Value","Standard")</x:f>
        <x:v>Standard</x:v>
      </x:c>
      <x:c r="O64" t="str">
        <x:f>IF(M64/G64&gt;=0.40,"Strong Margin","Review Margin")</x:f>
        <x:v>Strong Margin</x:v>
      </x:c>
      <x:c r="P64" t="str">
        <x:f>TEXT(A64,"mmm")</x:f>
        <x:v>Mar</x:v>
      </x:c>
      <x:c r="Q64" s="12" t="n">
        <x:f>G64*L64</x:f>
        <x:v>46.7964</x:v>
      </x:c>
    </x:row>
    <x:row r="65">
      <x:c r="A65" s="10" t="n">
        <x:v>45732</x:v>
      </x:c>
      <x:c r="B65" t="str">
        <x:v>East</x:v>
      </x:c>
      <x:c r="C65" t="str">
        <x:v>P-1002</x:v>
      </x:c>
      <x:c r="D65" t="str">
        <x:v>Smart Home Hub</x:v>
      </x:c>
      <x:c r="E65" t="str">
        <x:v>Olivia Garcia</x:v>
      </x:c>
      <x:c r="F65" t="n">
        <x:v>20</x:v>
      </x:c>
      <x:c r="G65" s="12" t="n">
        <x:v>3759.81</x:v>
      </x:c>
      <x:c r="H65" s="12" t="n">
        <x:v>2275.02</x:v>
      </x:c>
      <x:c r="I65" t="str">
        <x:v>Wholesale</x:v>
      </x:c>
      <x:c r="J65" t="str">
        <x:f>XLOOKUP(C65,'Lookup Tables'!$A$3:$A$12,'Lookup Tables'!$C$3:$C$12,"Not Found")</x:f>
        <x:v>Electronics</x:v>
      </x:c>
      <x:c r="K65" t="str">
        <x:f>XLOOKUP(B65,'Lookup Tables'!$F$3:$F$6,'Lookup Tables'!$G$3:$G$6,"Not Found")</x:f>
        <x:v>Alicia Morgan</x:v>
      </x:c>
      <x:c r="L65" s="14" t="n">
        <x:f>XLOOKUP(B65,'Lookup Tables'!$F$3:$F$6,'Lookup Tables'!$H$3:$H$6,0)</x:f>
        <x:v>0.04</x:v>
      </x:c>
      <x:c r="M65" s="12" t="n">
        <x:f>G65-H65</x:f>
        <x:v>1484.79</x:v>
      </x:c>
      <x:c r="N65" t="str">
        <x:f>IF(G65&gt;=10000,"High Value","Standard")</x:f>
        <x:v>Standard</x:v>
      </x:c>
      <x:c r="O65" t="str">
        <x:f>IF(M65/G65&gt;=0.40,"Strong Margin","Review Margin")</x:f>
        <x:v>Review Margin</x:v>
      </x:c>
      <x:c r="P65" t="str">
        <x:f>TEXT(A65,"mmm")</x:f>
        <x:v>Mar</x:v>
      </x:c>
      <x:c r="Q65" s="12" t="n">
        <x:f>G65*L65</x:f>
        <x:v>150.3924</x:v>
      </x:c>
    </x:row>
    <x:row r="66">
      <x:c r="A66" s="10" t="n">
        <x:v>45732</x:v>
      </x:c>
      <x:c r="B66" t="str">
        <x:v>West</x:v>
      </x:c>
      <x:c r="C66" t="str">
        <x:v>P-1002</x:v>
      </x:c>
      <x:c r="D66" t="str">
        <x:v>Smart Home Hub</x:v>
      </x:c>
      <x:c r="E66" t="str">
        <x:v>Benjamin Moore</x:v>
      </x:c>
      <x:c r="F66" t="n">
        <x:v>13</x:v>
      </x:c>
      <x:c r="G66" s="12" t="n">
        <x:v>2599.87</x:v>
      </x:c>
      <x:c r="H66" s="12" t="n">
        <x:v>1476.21</x:v>
      </x:c>
      <x:c r="I66" t="str">
        <x:v>Retail</x:v>
      </x:c>
      <x:c r="J66" t="str">
        <x:f>XLOOKUP(C66,'Lookup Tables'!$A$3:$A$12,'Lookup Tables'!$C$3:$C$12,"Not Found")</x:f>
        <x:v>Electronics</x:v>
      </x:c>
      <x:c r="K66" t="str">
        <x:f>XLOOKUP(B66,'Lookup Tables'!$F$3:$F$6,'Lookup Tables'!$G$3:$G$6,"Not Found")</x:f>
        <x:v>Daniel Kim</x:v>
      </x:c>
      <x:c r="L66" s="14" t="n">
        <x:f>XLOOKUP(B66,'Lookup Tables'!$F$3:$F$6,'Lookup Tables'!$H$3:$H$6,0)</x:f>
        <x:v>0.045</x:v>
      </x:c>
      <x:c r="M66" s="12" t="n">
        <x:f>G66-H66</x:f>
        <x:v>1123.6599999999999</x:v>
      </x:c>
      <x:c r="N66" t="str">
        <x:f>IF(G66&gt;=10000,"High Value","Standard")</x:f>
        <x:v>Standard</x:v>
      </x:c>
      <x:c r="O66" t="str">
        <x:f>IF(M66/G66&gt;=0.40,"Strong Margin","Review Margin")</x:f>
        <x:v>Strong Margin</x:v>
      </x:c>
      <x:c r="P66" t="str">
        <x:f>TEXT(A66,"mmm")</x:f>
        <x:v>Mar</x:v>
      </x:c>
      <x:c r="Q66" s="12" t="n">
        <x:f>G66*L66</x:f>
        <x:v>116.99414999999999</x:v>
      </x:c>
    </x:row>
    <x:row r="67">
      <x:c r="A67" s="10" t="n">
        <x:v>45733</x:v>
      </x:c>
      <x:c r="B67" t="str">
        <x:v>South</x:v>
      </x:c>
      <x:c r="C67" t="str">
        <x:v>P-1001</x:v>
      </x:c>
      <x:c r="D67" t="str">
        <x:v>Wireless Headphones</x:v>
      </x:c>
      <x:c r="E67" t="str">
        <x:v>Ethan Smith</x:v>
      </x:c>
      <x:c r="F67" t="n">
        <x:v>35</x:v>
      </x:c>
      <x:c r="G67" s="12" t="n">
        <x:v>4276.67</x:v>
      </x:c>
      <x:c r="H67" s="12" t="n">
        <x:v>2448.34</x:v>
      </x:c>
      <x:c r="I67" t="str">
        <x:v>Wholesale</x:v>
      </x:c>
      <x:c r="J67" t="str">
        <x:f>XLOOKUP(C67,'Lookup Tables'!$A$3:$A$12,'Lookup Tables'!$C$3:$C$12,"Not Found")</x:f>
        <x:v>Electronics</x:v>
      </x:c>
      <x:c r="K67" t="str">
        <x:f>XLOOKUP(B67,'Lookup Tables'!$F$3:$F$6,'Lookup Tables'!$G$3:$G$6,"Not Found")</x:f>
        <x:v>Priya Patel</x:v>
      </x:c>
      <x:c r="L67" s="14" t="n">
        <x:f>XLOOKUP(B67,'Lookup Tables'!$F$3:$F$6,'Lookup Tables'!$H$3:$H$6,0)</x:f>
        <x:v>0.05</x:v>
      </x:c>
      <x:c r="M67" s="12" t="n">
        <x:f>G67-H67</x:f>
        <x:v>1828.33</x:v>
      </x:c>
      <x:c r="N67" t="str">
        <x:f>IF(G67&gt;=10000,"High Value","Standard")</x:f>
        <x:v>Standard</x:v>
      </x:c>
      <x:c r="O67" t="str">
        <x:f>IF(M67/G67&gt;=0.40,"Strong Margin","Review Margin")</x:f>
        <x:v>Strong Margin</x:v>
      </x:c>
      <x:c r="P67" t="str">
        <x:f>TEXT(A67,"mmm")</x:f>
        <x:v>Mar</x:v>
      </x:c>
      <x:c r="Q67" s="12" t="n">
        <x:f>G67*L67</x:f>
        <x:v>213.83350000000002</x:v>
      </x:c>
    </x:row>
    <x:row r="68">
      <x:c r="A68" s="10" t="n">
        <x:v>45736</x:v>
      </x:c>
      <x:c r="B68" t="str">
        <x:v>East</x:v>
      </x:c>
      <x:c r="C68" t="str">
        <x:v>P-1006</x:v>
      </x:c>
      <x:c r="D68" t="str">
        <x:v>Air Fryer XL</x:v>
      </x:c>
      <x:c r="E68" t="str">
        <x:v>James Anderson</x:v>
      </x:c>
      <x:c r="F68" t="n">
        <x:v>7</x:v>
      </x:c>
      <x:c r="G68" s="12" t="n">
        <x:v>979.93</x:v>
      </x:c>
      <x:c r="H68" s="12" t="n">
        <x:v>538.96</x:v>
      </x:c>
      <x:c r="I68" t="str">
        <x:v>Retail</x:v>
      </x:c>
      <x:c r="J68" t="str">
        <x:f>XLOOKUP(C68,'Lookup Tables'!$A$3:$A$12,'Lookup Tables'!$C$3:$C$12,"Not Found")</x:f>
        <x:v>Home Goods</x:v>
      </x:c>
      <x:c r="K68" t="str">
        <x:f>XLOOKUP(B68,'Lookup Tables'!$F$3:$F$6,'Lookup Tables'!$G$3:$G$6,"Not Found")</x:f>
        <x:v>Alicia Morgan</x:v>
      </x:c>
      <x:c r="L68" s="14" t="n">
        <x:f>XLOOKUP(B68,'Lookup Tables'!$F$3:$F$6,'Lookup Tables'!$H$3:$H$6,0)</x:f>
        <x:v>0.04</x:v>
      </x:c>
      <x:c r="M68" s="12" t="n">
        <x:f>G68-H68</x:f>
        <x:v>440.9699999999999</x:v>
      </x:c>
      <x:c r="N68" t="str">
        <x:f>IF(G68&gt;=10000,"High Value","Standard")</x:f>
        <x:v>Standard</x:v>
      </x:c>
      <x:c r="O68" t="str">
        <x:f>IF(M68/G68&gt;=0.40,"Strong Margin","Review Margin")</x:f>
        <x:v>Strong Margin</x:v>
      </x:c>
      <x:c r="P68" t="str">
        <x:f>TEXT(A68,"mmm")</x:f>
        <x:v>Mar</x:v>
      </x:c>
      <x:c r="Q68" s="12" t="n">
        <x:f>G68*L68</x:f>
        <x:v>39.1972</x:v>
      </x:c>
    </x:row>
    <x:row r="69">
      <x:c r="A69" s="10" t="n">
        <x:v>45736</x:v>
      </x:c>
      <x:c r="B69" t="str">
        <x:v>West</x:v>
      </x:c>
      <x:c r="C69" t="str">
        <x:v>P-1007</x:v>
      </x:c>
      <x:c r="D69" t="str">
        <x:v>Fitness Tracker</x:v>
      </x:c>
      <x:c r="E69" t="str">
        <x:v>Olivia Garcia</x:v>
      </x:c>
      <x:c r="F69" t="n">
        <x:v>17</x:v>
      </x:c>
      <x:c r="G69" s="12" t="n">
        <x:v>1917.44</x:v>
      </x:c>
      <x:c r="H69" s="12" t="n">
        <x:v>999.97</x:v>
      </x:c>
      <x:c r="I69" t="str">
        <x:v>Wholesale</x:v>
      </x:c>
      <x:c r="J69" t="str">
        <x:f>XLOOKUP(C69,'Lookup Tables'!$A$3:$A$12,'Lookup Tables'!$C$3:$C$12,"Not Found")</x:f>
        <x:v>Fitness</x:v>
      </x:c>
      <x:c r="K69" t="str">
        <x:f>XLOOKUP(B69,'Lookup Tables'!$F$3:$F$6,'Lookup Tables'!$G$3:$G$6,"Not Found")</x:f>
        <x:v>Daniel Kim</x:v>
      </x:c>
      <x:c r="L69" s="14" t="n">
        <x:f>XLOOKUP(B69,'Lookup Tables'!$F$3:$F$6,'Lookup Tables'!$H$3:$H$6,0)</x:f>
        <x:v>0.045</x:v>
      </x:c>
      <x:c r="M69" s="12" t="n">
        <x:f>G69-H69</x:f>
        <x:v>917.47</x:v>
      </x:c>
      <x:c r="N69" t="str">
        <x:f>IF(G69&gt;=10000,"High Value","Standard")</x:f>
        <x:v>Standard</x:v>
      </x:c>
      <x:c r="O69" t="str">
        <x:f>IF(M69/G69&gt;=0.40,"Strong Margin","Review Margin")</x:f>
        <x:v>Strong Margin</x:v>
      </x:c>
      <x:c r="P69" t="str">
        <x:f>TEXT(A69,"mmm")</x:f>
        <x:v>Mar</x:v>
      </x:c>
      <x:c r="Q69" s="12" t="n">
        <x:f>G69*L69</x:f>
        <x:v>86.2848</x:v>
      </x:c>
    </x:row>
    <x:row r="70">
      <x:c r="A70" s="10" t="n">
        <x:v>45737</x:v>
      </x:c>
      <x:c r="B70" t="str">
        <x:v>East</x:v>
      </x:c>
      <x:c r="C70" t="str">
        <x:v>P-1008</x:v>
      </x:c>
      <x:c r="D70" t="str">
        <x:v>Yoga Starter Kit</x:v>
      </x:c>
      <x:c r="E70" t="str">
        <x:v>Ethan Smith</x:v>
      </x:c>
      <x:c r="F70" t="n">
        <x:v>9</x:v>
      </x:c>
      <x:c r="G70" s="12" t="n">
        <x:v>539.91</x:v>
      </x:c>
      <x:c r="H70" s="12" t="n">
        <x:v>225.04</x:v>
      </x:c>
      <x:c r="I70" t="str">
        <x:v>Retail</x:v>
      </x:c>
      <x:c r="J70" t="str">
        <x:f>XLOOKUP(C70,'Lookup Tables'!$A$3:$A$12,'Lookup Tables'!$C$3:$C$12,"Not Found")</x:f>
        <x:v>Fitness</x:v>
      </x:c>
      <x:c r="K70" t="str">
        <x:f>XLOOKUP(B70,'Lookup Tables'!$F$3:$F$6,'Lookup Tables'!$G$3:$G$6,"Not Found")</x:f>
        <x:v>Alicia Morgan</x:v>
      </x:c>
      <x:c r="L70" s="14" t="n">
        <x:f>XLOOKUP(B70,'Lookup Tables'!$F$3:$F$6,'Lookup Tables'!$H$3:$H$6,0)</x:f>
        <x:v>0.04</x:v>
      </x:c>
      <x:c r="M70" s="12" t="n">
        <x:f>G70-H70</x:f>
        <x:v>314.87</x:v>
      </x:c>
      <x:c r="N70" t="str">
        <x:f>IF(G70&gt;=10000,"High Value","Standard")</x:f>
        <x:v>Standard</x:v>
      </x:c>
      <x:c r="O70" t="str">
        <x:f>IF(M70/G70&gt;=0.40,"Strong Margin","Review Margin")</x:f>
        <x:v>Strong Margin</x:v>
      </x:c>
      <x:c r="P70" t="str">
        <x:f>TEXT(A70,"mmm")</x:f>
        <x:v>Mar</x:v>
      </x:c>
      <x:c r="Q70" s="12" t="n">
        <x:f>G70*L70</x:f>
        <x:v>21.5964</x:v>
      </x:c>
    </x:row>
    <x:row r="71">
      <x:c r="A71" s="10" t="n">
        <x:v>45744</x:v>
      </x:c>
      <x:c r="B71" t="str">
        <x:v>South</x:v>
      </x:c>
      <x:c r="C71" t="str">
        <x:v>P-1002</x:v>
      </x:c>
      <x:c r="D71" t="str">
        <x:v>Smart Home Hub</x:v>
      </x:c>
      <x:c r="E71" t="str">
        <x:v>Mia Thomas</x:v>
      </x:c>
      <x:c r="F71" t="n">
        <x:v>6</x:v>
      </x:c>
      <x:c r="G71" s="12" t="n">
        <x:v>1199.94</x:v>
      </x:c>
      <x:c r="H71" s="12" t="n">
        <x:v>690.78</x:v>
      </x:c>
      <x:c r="I71" t="str">
        <x:v>Retail</x:v>
      </x:c>
      <x:c r="J71" t="str">
        <x:f>XLOOKUP(C71,'Lookup Tables'!$A$3:$A$12,'Lookup Tables'!$C$3:$C$12,"Not Found")</x:f>
        <x:v>Electronics</x:v>
      </x:c>
      <x:c r="K71" t="str">
        <x:f>XLOOKUP(B71,'Lookup Tables'!$F$3:$F$6,'Lookup Tables'!$G$3:$G$6,"Not Found")</x:f>
        <x:v>Priya Patel</x:v>
      </x:c>
      <x:c r="L71" s="14" t="n">
        <x:f>XLOOKUP(B71,'Lookup Tables'!$F$3:$F$6,'Lookup Tables'!$H$3:$H$6,0)</x:f>
        <x:v>0.05</x:v>
      </x:c>
      <x:c r="M71" s="12" t="n">
        <x:f>G71-H71</x:f>
        <x:v>509.1600000000001</x:v>
      </x:c>
      <x:c r="N71" t="str">
        <x:f>IF(G71&gt;=10000,"High Value","Standard")</x:f>
        <x:v>Standard</x:v>
      </x:c>
      <x:c r="O71" t="str">
        <x:f>IF(M71/G71&gt;=0.40,"Strong Margin","Review Margin")</x:f>
        <x:v>Strong Margin</x:v>
      </x:c>
      <x:c r="P71" t="str">
        <x:f>TEXT(A71,"mmm")</x:f>
        <x:v>Mar</x:v>
      </x:c>
      <x:c r="Q71" s="12" t="n">
        <x:f>G71*L71</x:f>
        <x:v>59.99700000000001</x:v>
      </x:c>
    </x:row>
    <x:row r="72">
      <x:c r="A72" s="10" t="n">
        <x:v>45745</x:v>
      </x:c>
      <x:c r="B72" t="str">
        <x:v>West</x:v>
      </x:c>
      <x:c r="C72" t="str">
        <x:v>P-1002</x:v>
      </x:c>
      <x:c r="D72" t="str">
        <x:v>Smart Home Hub</x:v>
      </x:c>
      <x:c r="E72" t="str">
        <x:v>Lucas Miller</x:v>
      </x:c>
      <x:c r="F72" t="n">
        <x:v>14</x:v>
      </x:c>
      <x:c r="G72" s="12" t="n">
        <x:v>2799.86</x:v>
      </x:c>
      <x:c r="H72" s="12" t="n">
        <x:v>1532.87</x:v>
      </x:c>
      <x:c r="I72" t="str">
        <x:v>Retail</x:v>
      </x:c>
      <x:c r="J72" t="str">
        <x:f>XLOOKUP(C72,'Lookup Tables'!$A$3:$A$12,'Lookup Tables'!$C$3:$C$12,"Not Found")</x:f>
        <x:v>Electronics</x:v>
      </x:c>
      <x:c r="K72" t="str">
        <x:f>XLOOKUP(B72,'Lookup Tables'!$F$3:$F$6,'Lookup Tables'!$G$3:$G$6,"Not Found")</x:f>
        <x:v>Daniel Kim</x:v>
      </x:c>
      <x:c r="L72" s="14" t="n">
        <x:f>XLOOKUP(B72,'Lookup Tables'!$F$3:$F$6,'Lookup Tables'!$H$3:$H$6,0)</x:f>
        <x:v>0.045</x:v>
      </x:c>
      <x:c r="M72" s="12" t="n">
        <x:f>G72-H72</x:f>
        <x:v>1266.9900000000002</x:v>
      </x:c>
      <x:c r="N72" t="str">
        <x:f>IF(G72&gt;=10000,"High Value","Standard")</x:f>
        <x:v>Standard</x:v>
      </x:c>
      <x:c r="O72" t="str">
        <x:f>IF(M72/G72&gt;=0.40,"Strong Margin","Review Margin")</x:f>
        <x:v>Strong Margin</x:v>
      </x:c>
      <x:c r="P72" t="str">
        <x:f>TEXT(A72,"mmm")</x:f>
        <x:v>Mar</x:v>
      </x:c>
      <x:c r="Q72" s="12" t="n">
        <x:f>G72*L72</x:f>
        <x:v>125.9937</x:v>
      </x:c>
    </x:row>
    <x:row r="73">
      <x:c r="A73" s="10" t="n">
        <x:v>45747</x:v>
      </x:c>
      <x:c r="B73" t="str">
        <x:v>South</x:v>
      </x:c>
      <x:c r="C73" t="str">
        <x:v>P-1003</x:v>
      </x:c>
      <x:c r="D73" t="str">
        <x:v>Ergonomic Office Chair</x:v>
      </x:c>
      <x:c r="E73" t="str">
        <x:v>Isabella Taylor</x:v>
      </x:c>
      <x:c r="F73" t="n">
        <x:v>21</x:v>
      </x:c>
      <x:c r="G73" s="12" t="n">
        <x:v>4934.8</x:v>
      </x:c>
      <x:c r="H73" s="12" t="n">
        <x:v>3151.58</x:v>
      </x:c>
      <x:c r="I73" t="str">
        <x:v>Wholesale</x:v>
      </x:c>
      <x:c r="J73" t="str">
        <x:f>XLOOKUP(C73,'Lookup Tables'!$A$3:$A$12,'Lookup Tables'!$C$3:$C$12,"Not Found")</x:f>
        <x:v>Furniture</x:v>
      </x:c>
      <x:c r="K73" t="str">
        <x:f>XLOOKUP(B73,'Lookup Tables'!$F$3:$F$6,'Lookup Tables'!$G$3:$G$6,"Not Found")</x:f>
        <x:v>Priya Patel</x:v>
      </x:c>
      <x:c r="L73" s="14" t="n">
        <x:f>XLOOKUP(B73,'Lookup Tables'!$F$3:$F$6,'Lookup Tables'!$H$3:$H$6,0)</x:f>
        <x:v>0.05</x:v>
      </x:c>
      <x:c r="M73" s="12" t="n">
        <x:f>G73-H73</x:f>
        <x:v>1783.2200000000003</x:v>
      </x:c>
      <x:c r="N73" t="str">
        <x:f>IF(G73&gt;=10000,"High Value","Standard")</x:f>
        <x:v>Standard</x:v>
      </x:c>
      <x:c r="O73" t="str">
        <x:f>IF(M73/G73&gt;=0.40,"Strong Margin","Review Margin")</x:f>
        <x:v>Review Margin</x:v>
      </x:c>
      <x:c r="P73" t="str">
        <x:f>TEXT(A73,"mmm")</x:f>
        <x:v>Mar</x:v>
      </x:c>
      <x:c r="Q73" s="12" t="n">
        <x:f>G73*L73</x:f>
        <x:v>246.74</x:v>
      </x:c>
    </x:row>
    <x:row r="74">
      <x:c r="A74" s="10" t="n">
        <x:v>45749</x:v>
      </x:c>
      <x:c r="B74" t="str">
        <x:v>South</x:v>
      </x:c>
      <x:c r="C74" t="str">
        <x:v>P-1010</x:v>
      </x:c>
      <x:c r="D74" t="str">
        <x:v>Insulated Water Bottle</x:v>
      </x:c>
      <x:c r="E74" t="str">
        <x:v>Maya Johnson</x:v>
      </x:c>
      <x:c r="F74" t="n">
        <x:v>5</x:v>
      </x:c>
      <x:c r="G74" s="12" t="n">
        <x:v>174.95</x:v>
      </x:c>
      <x:c r="H74" s="12" t="n">
        <x:v>62.1</x:v>
      </x:c>
      <x:c r="I74" t="str">
        <x:v>Retail</x:v>
      </x:c>
      <x:c r="J74" t="str">
        <x:f>XLOOKUP(C74,'Lookup Tables'!$A$3:$A$12,'Lookup Tables'!$C$3:$C$12,"Not Found")</x:f>
        <x:v>Accessories</x:v>
      </x:c>
      <x:c r="K74" t="str">
        <x:f>XLOOKUP(B74,'Lookup Tables'!$F$3:$F$6,'Lookup Tables'!$G$3:$G$6,"Not Found")</x:f>
        <x:v>Priya Patel</x:v>
      </x:c>
      <x:c r="L74" s="14" t="n">
        <x:f>XLOOKUP(B74,'Lookup Tables'!$F$3:$F$6,'Lookup Tables'!$H$3:$H$6,0)</x:f>
        <x:v>0.05</x:v>
      </x:c>
      <x:c r="M74" s="12" t="n">
        <x:f>G74-H74</x:f>
        <x:v>112.85</x:v>
      </x:c>
      <x:c r="N74" t="str">
        <x:f>IF(G74&gt;=10000,"High Value","Standard")</x:f>
        <x:v>Standard</x:v>
      </x:c>
      <x:c r="O74" t="str">
        <x:f>IF(M74/G74&gt;=0.40,"Strong Margin","Review Margin")</x:f>
        <x:v>Strong Margin</x:v>
      </x:c>
      <x:c r="P74" t="str">
        <x:f>TEXT(A74,"mmm")</x:f>
        <x:v>Apr</x:v>
      </x:c>
      <x:c r="Q74" s="12" t="n">
        <x:f>G74*L74</x:f>
        <x:v>8.7475</x:v>
      </x:c>
    </x:row>
    <x:row r="75">
      <x:c r="A75" s="10" t="n">
        <x:v>45750</x:v>
      </x:c>
      <x:c r="B75" t="str">
        <x:v>South</x:v>
      </x:c>
      <x:c r="C75" t="str">
        <x:v>P-1005</x:v>
      </x:c>
      <x:c r="D75" t="str">
        <x:v>Stainless Cookware Set</x:v>
      </x:c>
      <x:c r="E75" t="str">
        <x:v>Benjamin Moore</x:v>
      </x:c>
      <x:c r="F75" t="n">
        <x:v>13</x:v>
      </x:c>
      <x:c r="G75" s="12" t="n">
        <x:v>2079.87</x:v>
      </x:c>
      <x:c r="H75" s="12" t="n">
        <x:v>1185</x:v>
      </x:c>
      <x:c r="I75" t="str">
        <x:v>Retail</x:v>
      </x:c>
      <x:c r="J75" t="str">
        <x:f>XLOOKUP(C75,'Lookup Tables'!$A$3:$A$12,'Lookup Tables'!$C$3:$C$12,"Not Found")</x:f>
        <x:v>Home Goods</x:v>
      </x:c>
      <x:c r="K75" t="str">
        <x:f>XLOOKUP(B75,'Lookup Tables'!$F$3:$F$6,'Lookup Tables'!$G$3:$G$6,"Not Found")</x:f>
        <x:v>Priya Patel</x:v>
      </x:c>
      <x:c r="L75" s="14" t="n">
        <x:f>XLOOKUP(B75,'Lookup Tables'!$F$3:$F$6,'Lookup Tables'!$H$3:$H$6,0)</x:f>
        <x:v>0.05</x:v>
      </x:c>
      <x:c r="M75" s="12" t="n">
        <x:f>G75-H75</x:f>
        <x:v>894.8699999999999</x:v>
      </x:c>
      <x:c r="N75" t="str">
        <x:f>IF(G75&gt;=10000,"High Value","Standard")</x:f>
        <x:v>Standard</x:v>
      </x:c>
      <x:c r="O75" t="str">
        <x:f>IF(M75/G75&gt;=0.40,"Strong Margin","Review Margin")</x:f>
        <x:v>Strong Margin</x:v>
      </x:c>
      <x:c r="P75" t="str">
        <x:f>TEXT(A75,"mmm")</x:f>
        <x:v>Apr</x:v>
      </x:c>
      <x:c r="Q75" s="12" t="n">
        <x:f>G75*L75</x:f>
        <x:v>103.9935</x:v>
      </x:c>
    </x:row>
    <x:row r="76">
      <x:c r="A76" s="10" t="n">
        <x:v>45753</x:v>
      </x:c>
      <x:c r="B76" t="str">
        <x:v>East</x:v>
      </x:c>
      <x:c r="C76" t="str">
        <x:v>P-1001</x:v>
      </x:c>
      <x:c r="D76" t="str">
        <x:v>Wireless Headphones</x:v>
      </x:c>
      <x:c r="E76" t="str">
        <x:v>Noah Brown</x:v>
      </x:c>
      <x:c r="F76" t="n">
        <x:v>13</x:v>
      </x:c>
      <x:c r="G76" s="12" t="n">
        <x:v>1689.87</x:v>
      </x:c>
      <x:c r="H76" s="12" t="n">
        <x:v>903.11</x:v>
      </x:c>
      <x:c r="I76" t="str">
        <x:v>Retail</x:v>
      </x:c>
      <x:c r="J76" t="str">
        <x:f>XLOOKUP(C76,'Lookup Tables'!$A$3:$A$12,'Lookup Tables'!$C$3:$C$12,"Not Found")</x:f>
        <x:v>Electronics</x:v>
      </x:c>
      <x:c r="K76" t="str">
        <x:f>XLOOKUP(B76,'Lookup Tables'!$F$3:$F$6,'Lookup Tables'!$G$3:$G$6,"Not Found")</x:f>
        <x:v>Alicia Morgan</x:v>
      </x:c>
      <x:c r="L76" s="14" t="n">
        <x:f>XLOOKUP(B76,'Lookup Tables'!$F$3:$F$6,'Lookup Tables'!$H$3:$H$6,0)</x:f>
        <x:v>0.04</x:v>
      </x:c>
      <x:c r="M76" s="12" t="n">
        <x:f>G76-H76</x:f>
        <x:v>786.7599999999999</x:v>
      </x:c>
      <x:c r="N76" t="str">
        <x:f>IF(G76&gt;=10000,"High Value","Standard")</x:f>
        <x:v>Standard</x:v>
      </x:c>
      <x:c r="O76" t="str">
        <x:f>IF(M76/G76&gt;=0.40,"Strong Margin","Review Margin")</x:f>
        <x:v>Strong Margin</x:v>
      </x:c>
      <x:c r="P76" t="str">
        <x:f>TEXT(A76,"mmm")</x:f>
        <x:v>Apr</x:v>
      </x:c>
      <x:c r="Q76" s="12" t="n">
        <x:f>G76*L76</x:f>
        <x:v>67.59479999999999</x:v>
      </x:c>
    </x:row>
    <x:row r="77">
      <x:c r="A77" s="10" t="n">
        <x:v>45753</x:v>
      </x:c>
      <x:c r="B77" t="str">
        <x:v>South</x:v>
      </x:c>
      <x:c r="C77" t="str">
        <x:v>P-1006</x:v>
      </x:c>
      <x:c r="D77" t="str">
        <x:v>Air Fryer XL</x:v>
      </x:c>
      <x:c r="E77" t="str">
        <x:v>Ethan Smith</x:v>
      </x:c>
      <x:c r="F77" t="n">
        <x:v>39</x:v>
      </x:c>
      <x:c r="G77" s="12" t="n">
        <x:v>5132.03</x:v>
      </x:c>
      <x:c r="H77" s="12" t="n">
        <x:v>2844.85</x:v>
      </x:c>
      <x:c r="I77" t="str">
        <x:v>Wholesale</x:v>
      </x:c>
      <x:c r="J77" t="str">
        <x:f>XLOOKUP(C77,'Lookup Tables'!$A$3:$A$12,'Lookup Tables'!$C$3:$C$12,"Not Found")</x:f>
        <x:v>Home Goods</x:v>
      </x:c>
      <x:c r="K77" t="str">
        <x:f>XLOOKUP(B77,'Lookup Tables'!$F$3:$F$6,'Lookup Tables'!$G$3:$G$6,"Not Found")</x:f>
        <x:v>Priya Patel</x:v>
      </x:c>
      <x:c r="L77" s="14" t="n">
        <x:f>XLOOKUP(B77,'Lookup Tables'!$F$3:$F$6,'Lookup Tables'!$H$3:$H$6,0)</x:f>
        <x:v>0.05</x:v>
      </x:c>
      <x:c r="M77" s="12" t="n">
        <x:f>G77-H77</x:f>
        <x:v>2287.18</x:v>
      </x:c>
      <x:c r="N77" t="str">
        <x:f>IF(G77&gt;=10000,"High Value","Standard")</x:f>
        <x:v>Standard</x:v>
      </x:c>
      <x:c r="O77" t="str">
        <x:f>IF(M77/G77&gt;=0.40,"Strong Margin","Review Margin")</x:f>
        <x:v>Strong Margin</x:v>
      </x:c>
      <x:c r="P77" t="str">
        <x:f>TEXT(A77,"mmm")</x:f>
        <x:v>Apr</x:v>
      </x:c>
      <x:c r="Q77" s="12" t="n">
        <x:f>G77*L77</x:f>
        <x:v>256.6015</x:v>
      </x:c>
    </x:row>
    <x:row r="78">
      <x:c r="A78" s="10" t="n">
        <x:v>45760</x:v>
      </x:c>
      <x:c r="B78" t="str">
        <x:v>West</x:v>
      </x:c>
      <x:c r="C78" t="str">
        <x:v>P-1002</x:v>
      </x:c>
      <x:c r="D78" t="str">
        <x:v>Smart Home Hub</x:v>
      </x:c>
      <x:c r="E78" t="str">
        <x:v>Ava Davis</x:v>
      </x:c>
      <x:c r="F78" t="n">
        <x:v>58</x:v>
      </x:c>
      <x:c r="G78" s="12" t="n">
        <x:v>10903.45</x:v>
      </x:c>
      <x:c r="H78" s="12" t="n">
        <x:v>6509.59</x:v>
      </x:c>
      <x:c r="I78" t="str">
        <x:v>Wholesale</x:v>
      </x:c>
      <x:c r="J78" t="str">
        <x:f>XLOOKUP(C78,'Lookup Tables'!$A$3:$A$12,'Lookup Tables'!$C$3:$C$12,"Not Found")</x:f>
        <x:v>Electronics</x:v>
      </x:c>
      <x:c r="K78" t="str">
        <x:f>XLOOKUP(B78,'Lookup Tables'!$F$3:$F$6,'Lookup Tables'!$G$3:$G$6,"Not Found")</x:f>
        <x:v>Daniel Kim</x:v>
      </x:c>
      <x:c r="L78" s="14" t="n">
        <x:f>XLOOKUP(B78,'Lookup Tables'!$F$3:$F$6,'Lookup Tables'!$H$3:$H$6,0)</x:f>
        <x:v>0.045</x:v>
      </x:c>
      <x:c r="M78" s="12" t="n">
        <x:f>G78-H78</x:f>
        <x:v>4393.860000000001</x:v>
      </x:c>
      <x:c r="N78" t="str">
        <x:f>IF(G78&gt;=10000,"High Value","Standard")</x:f>
        <x:v>High Value</x:v>
      </x:c>
      <x:c r="O78" t="str">
        <x:f>IF(M78/G78&gt;=0.40,"Strong Margin","Review Margin")</x:f>
        <x:v>Strong Margin</x:v>
      </x:c>
      <x:c r="P78" t="str">
        <x:f>TEXT(A78,"mmm")</x:f>
        <x:v>Apr</x:v>
      </x:c>
      <x:c r="Q78" s="12" t="n">
        <x:f>G78*L78</x:f>
        <x:v>490.65525</x:v>
      </x:c>
    </x:row>
    <x:row r="79">
      <x:c r="A79" s="10" t="n">
        <x:v>45762</x:v>
      </x:c>
      <x:c r="B79" t="str">
        <x:v>East</x:v>
      </x:c>
      <x:c r="C79" t="str">
        <x:v>P-1002</x:v>
      </x:c>
      <x:c r="D79" t="str">
        <x:v>Smart Home Hub</x:v>
      </x:c>
      <x:c r="E79" t="str">
        <x:v>Sophia Martinez</x:v>
      </x:c>
      <x:c r="F79" t="n">
        <x:v>22</x:v>
      </x:c>
      <x:c r="G79" s="12" t="n">
        <x:v>4399.78</x:v>
      </x:c>
      <x:c r="H79" s="12" t="n">
        <x:v>2376.49</x:v>
      </x:c>
      <x:c r="I79" t="str">
        <x:v>Retail</x:v>
      </x:c>
      <x:c r="J79" t="str">
        <x:f>XLOOKUP(C79,'Lookup Tables'!$A$3:$A$12,'Lookup Tables'!$C$3:$C$12,"Not Found")</x:f>
        <x:v>Electronics</x:v>
      </x:c>
      <x:c r="K79" t="str">
        <x:f>XLOOKUP(B79,'Lookup Tables'!$F$3:$F$6,'Lookup Tables'!$G$3:$G$6,"Not Found")</x:f>
        <x:v>Alicia Morgan</x:v>
      </x:c>
      <x:c r="L79" s="14" t="n">
        <x:f>XLOOKUP(B79,'Lookup Tables'!$F$3:$F$6,'Lookup Tables'!$H$3:$H$6,0)</x:f>
        <x:v>0.04</x:v>
      </x:c>
      <x:c r="M79" s="12" t="n">
        <x:f>G79-H79</x:f>
        <x:v>2023.29</x:v>
      </x:c>
      <x:c r="N79" t="str">
        <x:f>IF(G79&gt;=10000,"High Value","Standard")</x:f>
        <x:v>Standard</x:v>
      </x:c>
      <x:c r="O79" t="str">
        <x:f>IF(M79/G79&gt;=0.40,"Strong Margin","Review Margin")</x:f>
        <x:v>Strong Margin</x:v>
      </x:c>
      <x:c r="P79" t="str">
        <x:f>TEXT(A79,"mmm")</x:f>
        <x:v>Apr</x:v>
      </x:c>
      <x:c r="Q79" s="12" t="n">
        <x:f>G79*L79</x:f>
        <x:v>175.9912</x:v>
      </x:c>
    </x:row>
    <x:row r="80">
      <x:c r="A80" s="10" t="n">
        <x:v>45762</x:v>
      </x:c>
      <x:c r="B80" t="str">
        <x:v>West</x:v>
      </x:c>
      <x:c r="C80" t="str">
        <x:v>P-1002</x:v>
      </x:c>
      <x:c r="D80" t="str">
        <x:v>Smart Home Hub</x:v>
      </x:c>
      <x:c r="E80" t="str">
        <x:v>Olivia Garcia</x:v>
      </x:c>
      <x:c r="F80" t="n">
        <x:v>25</x:v>
      </x:c>
      <x:c r="G80" s="12" t="n">
        <x:v>4699.76</x:v>
      </x:c>
      <x:c r="H80" s="12" t="n">
        <x:v>2790.75</x:v>
      </x:c>
      <x:c r="I80" t="str">
        <x:v>Wholesale</x:v>
      </x:c>
      <x:c r="J80" t="str">
        <x:f>XLOOKUP(C80,'Lookup Tables'!$A$3:$A$12,'Lookup Tables'!$C$3:$C$12,"Not Found")</x:f>
        <x:v>Electronics</x:v>
      </x:c>
      <x:c r="K80" t="str">
        <x:f>XLOOKUP(B80,'Lookup Tables'!$F$3:$F$6,'Lookup Tables'!$G$3:$G$6,"Not Found")</x:f>
        <x:v>Daniel Kim</x:v>
      </x:c>
      <x:c r="L80" s="14" t="n">
        <x:f>XLOOKUP(B80,'Lookup Tables'!$F$3:$F$6,'Lookup Tables'!$H$3:$H$6,0)</x:f>
        <x:v>0.045</x:v>
      </x:c>
      <x:c r="M80" s="12" t="n">
        <x:f>G80-H80</x:f>
        <x:v>1909.0100000000002</x:v>
      </x:c>
      <x:c r="N80" t="str">
        <x:f>IF(G80&gt;=10000,"High Value","Standard")</x:f>
        <x:v>Standard</x:v>
      </x:c>
      <x:c r="O80" t="str">
        <x:f>IF(M80/G80&gt;=0.40,"Strong Margin","Review Margin")</x:f>
        <x:v>Strong Margin</x:v>
      </x:c>
      <x:c r="P80" t="str">
        <x:f>TEXT(A80,"mmm")</x:f>
        <x:v>Apr</x:v>
      </x:c>
      <x:c r="Q80" s="12" t="n">
        <x:f>G80*L80</x:f>
        <x:v>211.4892</x:v>
      </x:c>
    </x:row>
    <x:row r="81">
      <x:c r="A81" s="10" t="n">
        <x:v>45766</x:v>
      </x:c>
      <x:c r="B81" t="str">
        <x:v>Midwest</x:v>
      </x:c>
      <x:c r="C81" t="str">
        <x:v>P-1007</x:v>
      </x:c>
      <x:c r="D81" t="str">
        <x:v>Fitness Tracker</x:v>
      </x:c>
      <x:c r="E81" t="str">
        <x:v>Benjamin Moore</x:v>
      </x:c>
      <x:c r="F81" t="n">
        <x:v>3</x:v>
      </x:c>
      <x:c r="G81" s="12" t="n">
        <x:v>359.97</x:v>
      </x:c>
      <x:c r="H81" s="12" t="n">
        <x:v>184.86</x:v>
      </x:c>
      <x:c r="I81" t="str">
        <x:v>Retail</x:v>
      </x:c>
      <x:c r="J81" t="str">
        <x:f>XLOOKUP(C81,'Lookup Tables'!$A$3:$A$12,'Lookup Tables'!$C$3:$C$12,"Not Found")</x:f>
        <x:v>Fitness</x:v>
      </x:c>
      <x:c r="K81" t="str">
        <x:f>XLOOKUP(B81,'Lookup Tables'!$F$3:$F$6,'Lookup Tables'!$G$3:$G$6,"Not Found")</x:f>
        <x:v>Marcus Reed</x:v>
      </x:c>
      <x:c r="L81" s="14" t="n">
        <x:f>XLOOKUP(B81,'Lookup Tables'!$F$3:$F$6,'Lookup Tables'!$H$3:$H$6,0)</x:f>
        <x:v>0.035</x:v>
      </x:c>
      <x:c r="M81" s="12" t="n">
        <x:f>G81-H81</x:f>
        <x:v>175.11</x:v>
      </x:c>
      <x:c r="N81" t="str">
        <x:f>IF(G81&gt;=10000,"High Value","Standard")</x:f>
        <x:v>Standard</x:v>
      </x:c>
      <x:c r="O81" t="str">
        <x:f>IF(M81/G81&gt;=0.40,"Strong Margin","Review Margin")</x:f>
        <x:v>Strong Margin</x:v>
      </x:c>
      <x:c r="P81" t="str">
        <x:f>TEXT(A81,"mmm")</x:f>
        <x:v>Apr</x:v>
      </x:c>
      <x:c r="Q81" s="12" t="n">
        <x:f>G81*L81</x:f>
        <x:v>12.598950000000002</x:v>
      </x:c>
    </x:row>
    <x:row r="82">
      <x:c r="A82" s="10" t="n">
        <x:v>45767</x:v>
      </x:c>
      <x:c r="B82" t="str">
        <x:v>East</x:v>
      </x:c>
      <x:c r="C82" t="str">
        <x:v>P-1005</x:v>
      </x:c>
      <x:c r="D82" t="str">
        <x:v>Stainless Cookware Set</x:v>
      </x:c>
      <x:c r="E82" t="str">
        <x:v>Isabella Taylor</x:v>
      </x:c>
      <x:c r="F82" t="n">
        <x:v>16</x:v>
      </x:c>
      <x:c r="G82" s="12" t="n">
        <x:v>2406.25</x:v>
      </x:c>
      <x:c r="H82" s="12" t="n">
        <x:v>1437.68</x:v>
      </x:c>
      <x:c r="I82" t="str">
        <x:v>Wholesale</x:v>
      </x:c>
      <x:c r="J82" t="str">
        <x:f>XLOOKUP(C82,'Lookup Tables'!$A$3:$A$12,'Lookup Tables'!$C$3:$C$12,"Not Found")</x:f>
        <x:v>Home Goods</x:v>
      </x:c>
      <x:c r="K82" t="str">
        <x:f>XLOOKUP(B82,'Lookup Tables'!$F$3:$F$6,'Lookup Tables'!$G$3:$G$6,"Not Found")</x:f>
        <x:v>Alicia Morgan</x:v>
      </x:c>
      <x:c r="L82" s="14" t="n">
        <x:f>XLOOKUP(B82,'Lookup Tables'!$F$3:$F$6,'Lookup Tables'!$H$3:$H$6,0)</x:f>
        <x:v>0.04</x:v>
      </x:c>
      <x:c r="M82" s="12" t="n">
        <x:f>G82-H82</x:f>
        <x:v>968.5699999999999</x:v>
      </x:c>
      <x:c r="N82" t="str">
        <x:f>IF(G82&gt;=10000,"High Value","Standard")</x:f>
        <x:v>Standard</x:v>
      </x:c>
      <x:c r="O82" t="str">
        <x:f>IF(M82/G82&gt;=0.40,"Strong Margin","Review Margin")</x:f>
        <x:v>Strong Margin</x:v>
      </x:c>
      <x:c r="P82" t="str">
        <x:f>TEXT(A82,"mmm")</x:f>
        <x:v>Apr</x:v>
      </x:c>
      <x:c r="Q82" s="12" t="n">
        <x:f>G82*L82</x:f>
        <x:v>96.25</x:v>
      </x:c>
    </x:row>
    <x:row r="83">
      <x:c r="A83" s="10" t="n">
        <x:v>45769</x:v>
      </x:c>
      <x:c r="B83" t="str">
        <x:v>South</x:v>
      </x:c>
      <x:c r="C83" t="str">
        <x:v>P-1007</x:v>
      </x:c>
      <x:c r="D83" t="str">
        <x:v>Fitness Tracker</x:v>
      </x:c>
      <x:c r="E83" t="str">
        <x:v>Olivia Garcia</x:v>
      </x:c>
      <x:c r="F83" t="n">
        <x:v>4</x:v>
      </x:c>
      <x:c r="G83" s="12" t="n">
        <x:v>479.96</x:v>
      </x:c>
      <x:c r="H83" s="12" t="n">
        <x:v>250.6</x:v>
      </x:c>
      <x:c r="I83" t="str">
        <x:v>Retail</x:v>
      </x:c>
      <x:c r="J83" t="str">
        <x:f>XLOOKUP(C83,'Lookup Tables'!$A$3:$A$12,'Lookup Tables'!$C$3:$C$12,"Not Found")</x:f>
        <x:v>Fitness</x:v>
      </x:c>
      <x:c r="K83" t="str">
        <x:f>XLOOKUP(B83,'Lookup Tables'!$F$3:$F$6,'Lookup Tables'!$G$3:$G$6,"Not Found")</x:f>
        <x:v>Priya Patel</x:v>
      </x:c>
      <x:c r="L83" s="14" t="n">
        <x:f>XLOOKUP(B83,'Lookup Tables'!$F$3:$F$6,'Lookup Tables'!$H$3:$H$6,0)</x:f>
        <x:v>0.05</x:v>
      </x:c>
      <x:c r="M83" s="12" t="n">
        <x:f>G83-H83</x:f>
        <x:v>229.35999999999999</x:v>
      </x:c>
      <x:c r="N83" t="str">
        <x:f>IF(G83&gt;=10000,"High Value","Standard")</x:f>
        <x:v>Standard</x:v>
      </x:c>
      <x:c r="O83" t="str">
        <x:f>IF(M83/G83&gt;=0.40,"Strong Margin","Review Margin")</x:f>
        <x:v>Strong Margin</x:v>
      </x:c>
      <x:c r="P83" t="str">
        <x:f>TEXT(A83,"mmm")</x:f>
        <x:v>Apr</x:v>
      </x:c>
      <x:c r="Q83" s="12" t="n">
        <x:f>G83*L83</x:f>
        <x:v>23.998</x:v>
      </x:c>
    </x:row>
    <x:row r="84">
      <x:c r="A84" s="10" t="n">
        <x:v>45771</x:v>
      </x:c>
      <x:c r="B84" t="str">
        <x:v>West</x:v>
      </x:c>
      <x:c r="C84" t="str">
        <x:v>P-1005</x:v>
      </x:c>
      <x:c r="D84" t="str">
        <x:v>Stainless Cookware Set</x:v>
      </x:c>
      <x:c r="E84" t="str">
        <x:v>James Anderson</x:v>
      </x:c>
      <x:c r="F84" t="n">
        <x:v>23</x:v>
      </x:c>
      <x:c r="G84" s="12" t="n">
        <x:v>3458.98</x:v>
      </x:c>
      <x:c r="H84" s="12" t="n">
        <x:v>2049.13</x:v>
      </x:c>
      <x:c r="I84" t="str">
        <x:v>Wholesale</x:v>
      </x:c>
      <x:c r="J84" t="str">
        <x:f>XLOOKUP(C84,'Lookup Tables'!$A$3:$A$12,'Lookup Tables'!$C$3:$C$12,"Not Found")</x:f>
        <x:v>Home Goods</x:v>
      </x:c>
      <x:c r="K84" t="str">
        <x:f>XLOOKUP(B84,'Lookup Tables'!$F$3:$F$6,'Lookup Tables'!$G$3:$G$6,"Not Found")</x:f>
        <x:v>Daniel Kim</x:v>
      </x:c>
      <x:c r="L84" s="14" t="n">
        <x:f>XLOOKUP(B84,'Lookup Tables'!$F$3:$F$6,'Lookup Tables'!$H$3:$H$6,0)</x:f>
        <x:v>0.045</x:v>
      </x:c>
      <x:c r="M84" s="12" t="n">
        <x:f>G84-H84</x:f>
        <x:v>1409.85</x:v>
      </x:c>
      <x:c r="N84" t="str">
        <x:f>IF(G84&gt;=10000,"High Value","Standard")</x:f>
        <x:v>Standard</x:v>
      </x:c>
      <x:c r="O84" t="str">
        <x:f>IF(M84/G84&gt;=0.40,"Strong Margin","Review Margin")</x:f>
        <x:v>Strong Margin</x:v>
      </x:c>
      <x:c r="P84" t="str">
        <x:f>TEXT(A84,"mmm")</x:f>
        <x:v>Apr</x:v>
      </x:c>
      <x:c r="Q84" s="12" t="n">
        <x:f>G84*L84</x:f>
        <x:v>155.6541</x:v>
      </x:c>
    </x:row>
    <x:row r="85">
      <x:c r="A85" s="10" t="n">
        <x:v>45772</x:v>
      </x:c>
      <x:c r="B85" t="str">
        <x:v>South</x:v>
      </x:c>
      <x:c r="C85" t="str">
        <x:v>P-1003</x:v>
      </x:c>
      <x:c r="D85" t="str">
        <x:v>Ergonomic Office Chair</x:v>
      </x:c>
      <x:c r="E85" t="str">
        <x:v>Isabella Taylor</x:v>
      </x:c>
      <x:c r="F85" t="n">
        <x:v>6</x:v>
      </x:c>
      <x:c r="G85" s="12" t="n">
        <x:v>1499.94</x:v>
      </x:c>
      <x:c r="H85" s="12" t="n">
        <x:v>901.76</x:v>
      </x:c>
      <x:c r="I85" t="str">
        <x:v>Retail</x:v>
      </x:c>
      <x:c r="J85" t="str">
        <x:f>XLOOKUP(C85,'Lookup Tables'!$A$3:$A$12,'Lookup Tables'!$C$3:$C$12,"Not Found")</x:f>
        <x:v>Furniture</x:v>
      </x:c>
      <x:c r="K85" t="str">
        <x:f>XLOOKUP(B85,'Lookup Tables'!$F$3:$F$6,'Lookup Tables'!$G$3:$G$6,"Not Found")</x:f>
        <x:v>Priya Patel</x:v>
      </x:c>
      <x:c r="L85" s="14" t="n">
        <x:f>XLOOKUP(B85,'Lookup Tables'!$F$3:$F$6,'Lookup Tables'!$H$3:$H$6,0)</x:f>
        <x:v>0.05</x:v>
      </x:c>
      <x:c r="M85" s="12" t="n">
        <x:f>G85-H85</x:f>
        <x:v>598.1800000000001</x:v>
      </x:c>
      <x:c r="N85" t="str">
        <x:f>IF(G85&gt;=10000,"High Value","Standard")</x:f>
        <x:v>Standard</x:v>
      </x:c>
      <x:c r="O85" t="str">
        <x:f>IF(M85/G85&gt;=0.40,"Strong Margin","Review Margin")</x:f>
        <x:v>Review Margin</x:v>
      </x:c>
      <x:c r="P85" t="str">
        <x:f>TEXT(A85,"mmm")</x:f>
        <x:v>Apr</x:v>
      </x:c>
      <x:c r="Q85" s="12" t="n">
        <x:f>G85*L85</x:f>
        <x:v>74.997</x:v>
      </x:c>
    </x:row>
    <x:row r="86">
      <x:c r="A86" s="10" t="n">
        <x:v>45772</x:v>
      </x:c>
      <x:c r="B86" t="str">
        <x:v>East</x:v>
      </x:c>
      <x:c r="C86" t="str">
        <x:v>P-1002</x:v>
      </x:c>
      <x:c r="D86" t="str">
        <x:v>Smart Home Hub</x:v>
      </x:c>
      <x:c r="E86" t="str">
        <x:v>Olivia Garcia</x:v>
      </x:c>
      <x:c r="F86" t="n">
        <x:v>7</x:v>
      </x:c>
      <x:c r="G86" s="12" t="n">
        <x:v>1399.93</x:v>
      </x:c>
      <x:c r="H86" s="12" t="n">
        <x:v>784.46</x:v>
      </x:c>
      <x:c r="I86" t="str">
        <x:v>Retail</x:v>
      </x:c>
      <x:c r="J86" t="str">
        <x:f>XLOOKUP(C86,'Lookup Tables'!$A$3:$A$12,'Lookup Tables'!$C$3:$C$12,"Not Found")</x:f>
        <x:v>Electronics</x:v>
      </x:c>
      <x:c r="K86" t="str">
        <x:f>XLOOKUP(B86,'Lookup Tables'!$F$3:$F$6,'Lookup Tables'!$G$3:$G$6,"Not Found")</x:f>
        <x:v>Alicia Morgan</x:v>
      </x:c>
      <x:c r="L86" s="14" t="n">
        <x:f>XLOOKUP(B86,'Lookup Tables'!$F$3:$F$6,'Lookup Tables'!$H$3:$H$6,0)</x:f>
        <x:v>0.04</x:v>
      </x:c>
      <x:c r="M86" s="12" t="n">
        <x:f>G86-H86</x:f>
        <x:v>615.47</x:v>
      </x:c>
      <x:c r="N86" t="str">
        <x:f>IF(G86&gt;=10000,"High Value","Standard")</x:f>
        <x:v>Standard</x:v>
      </x:c>
      <x:c r="O86" t="str">
        <x:f>IF(M86/G86&gt;=0.40,"Strong Margin","Review Margin")</x:f>
        <x:v>Strong Margin</x:v>
      </x:c>
      <x:c r="P86" t="str">
        <x:f>TEXT(A86,"mmm")</x:f>
        <x:v>Apr</x:v>
      </x:c>
      <x:c r="Q86" s="12" t="n">
        <x:f>G86*L86</x:f>
        <x:v>55.99720000000001</x:v>
      </x:c>
    </x:row>
    <x:row r="87">
      <x:c r="A87" s="10" t="n">
        <x:v>45774</x:v>
      </x:c>
      <x:c r="B87" t="str">
        <x:v>East</x:v>
      </x:c>
      <x:c r="C87" t="str">
        <x:v>P-1006</x:v>
      </x:c>
      <x:c r="D87" t="str">
        <x:v>Air Fryer XL</x:v>
      </x:c>
      <x:c r="E87" t="str">
        <x:v>Ava Davis</x:v>
      </x:c>
      <x:c r="F87" t="n">
        <x:v>4</x:v>
      </x:c>
      <x:c r="G87" s="12" t="n">
        <x:v>559.96</x:v>
      </x:c>
      <x:c r="H87" s="12" t="n">
        <x:v>295.86</x:v>
      </x:c>
      <x:c r="I87" t="str">
        <x:v>Retail</x:v>
      </x:c>
      <x:c r="J87" t="str">
        <x:f>XLOOKUP(C87,'Lookup Tables'!$A$3:$A$12,'Lookup Tables'!$C$3:$C$12,"Not Found")</x:f>
        <x:v>Home Goods</x:v>
      </x:c>
      <x:c r="K87" t="str">
        <x:f>XLOOKUP(B87,'Lookup Tables'!$F$3:$F$6,'Lookup Tables'!$G$3:$G$6,"Not Found")</x:f>
        <x:v>Alicia Morgan</x:v>
      </x:c>
      <x:c r="L87" s="14" t="n">
        <x:f>XLOOKUP(B87,'Lookup Tables'!$F$3:$F$6,'Lookup Tables'!$H$3:$H$6,0)</x:f>
        <x:v>0.04</x:v>
      </x:c>
      <x:c r="M87" s="12" t="n">
        <x:f>G87-H87</x:f>
        <x:v>264.1</x:v>
      </x:c>
      <x:c r="N87" t="str">
        <x:f>IF(G87&gt;=10000,"High Value","Standard")</x:f>
        <x:v>Standard</x:v>
      </x:c>
      <x:c r="O87" t="str">
        <x:f>IF(M87/G87&gt;=0.40,"Strong Margin","Review Margin")</x:f>
        <x:v>Strong Margin</x:v>
      </x:c>
      <x:c r="P87" t="str">
        <x:f>TEXT(A87,"mmm")</x:f>
        <x:v>Apr</x:v>
      </x:c>
      <x:c r="Q87" s="12" t="n">
        <x:f>G87*L87</x:f>
        <x:v>22.398400000000002</x:v>
      </x:c>
    </x:row>
    <x:row r="88">
      <x:c r="A88" s="10" t="n">
        <x:v>45775</x:v>
      </x:c>
      <x:c r="B88" t="str">
        <x:v>South</x:v>
      </x:c>
      <x:c r="C88" t="str">
        <x:v>P-1001</x:v>
      </x:c>
      <x:c r="D88" t="str">
        <x:v>Wireless Headphones</x:v>
      </x:c>
      <x:c r="E88" t="str">
        <x:v>Benjamin Moore</x:v>
      </x:c>
      <x:c r="F88" t="n">
        <x:v>5</x:v>
      </x:c>
      <x:c r="G88" s="12" t="n">
        <x:v>649.95</x:v>
      </x:c>
      <x:c r="H88" s="12" t="n">
        <x:v>333.95</x:v>
      </x:c>
      <x:c r="I88" t="str">
        <x:v>Retail</x:v>
      </x:c>
      <x:c r="J88" t="str">
        <x:f>XLOOKUP(C88,'Lookup Tables'!$A$3:$A$12,'Lookup Tables'!$C$3:$C$12,"Not Found")</x:f>
        <x:v>Electronics</x:v>
      </x:c>
      <x:c r="K88" t="str">
        <x:f>XLOOKUP(B88,'Lookup Tables'!$F$3:$F$6,'Lookup Tables'!$G$3:$G$6,"Not Found")</x:f>
        <x:v>Priya Patel</x:v>
      </x:c>
      <x:c r="L88" s="14" t="n">
        <x:f>XLOOKUP(B88,'Lookup Tables'!$F$3:$F$6,'Lookup Tables'!$H$3:$H$6,0)</x:f>
        <x:v>0.05</x:v>
      </x:c>
      <x:c r="M88" s="12" t="n">
        <x:f>G88-H88</x:f>
        <x:v>316.00000000000006</x:v>
      </x:c>
      <x:c r="N88" t="str">
        <x:f>IF(G88&gt;=10000,"High Value","Standard")</x:f>
        <x:v>Standard</x:v>
      </x:c>
      <x:c r="O88" t="str">
        <x:f>IF(M88/G88&gt;=0.40,"Strong Margin","Review Margin")</x:f>
        <x:v>Strong Margin</x:v>
      </x:c>
      <x:c r="P88" t="str">
        <x:f>TEXT(A88,"mmm")</x:f>
        <x:v>Apr</x:v>
      </x:c>
      <x:c r="Q88" s="12" t="n">
        <x:f>G88*L88</x:f>
        <x:v>32.4975</x:v>
      </x:c>
    </x:row>
    <x:row r="89">
      <x:c r="A89" s="10" t="n">
        <x:v>45776</x:v>
      </x:c>
      <x:c r="B89" t="str">
        <x:v>East</x:v>
      </x:c>
      <x:c r="C89" t="str">
        <x:v>P-1002</x:v>
      </x:c>
      <x:c r="D89" t="str">
        <x:v>Smart Home Hub</x:v>
      </x:c>
      <x:c r="E89" t="str">
        <x:v>Noah Brown</x:v>
      </x:c>
      <x:c r="F89" t="n">
        <x:v>7</x:v>
      </x:c>
      <x:c r="G89" s="12" t="n">
        <x:v>1399.93</x:v>
      </x:c>
      <x:c r="H89" s="12" t="n">
        <x:v>788.97</x:v>
      </x:c>
      <x:c r="I89" t="str">
        <x:v>Retail</x:v>
      </x:c>
      <x:c r="J89" t="str">
        <x:f>XLOOKUP(C89,'Lookup Tables'!$A$3:$A$12,'Lookup Tables'!$C$3:$C$12,"Not Found")</x:f>
        <x:v>Electronics</x:v>
      </x:c>
      <x:c r="K89" t="str">
        <x:f>XLOOKUP(B89,'Lookup Tables'!$F$3:$F$6,'Lookup Tables'!$G$3:$G$6,"Not Found")</x:f>
        <x:v>Alicia Morgan</x:v>
      </x:c>
      <x:c r="L89" s="14" t="n">
        <x:f>XLOOKUP(B89,'Lookup Tables'!$F$3:$F$6,'Lookup Tables'!$H$3:$H$6,0)</x:f>
        <x:v>0.04</x:v>
      </x:c>
      <x:c r="M89" s="12" t="n">
        <x:f>G89-H89</x:f>
        <x:v>610.96</x:v>
      </x:c>
      <x:c r="N89" t="str">
        <x:f>IF(G89&gt;=10000,"High Value","Standard")</x:f>
        <x:v>Standard</x:v>
      </x:c>
      <x:c r="O89" t="str">
        <x:f>IF(M89/G89&gt;=0.40,"Strong Margin","Review Margin")</x:f>
        <x:v>Strong Margin</x:v>
      </x:c>
      <x:c r="P89" t="str">
        <x:f>TEXT(A89,"mmm")</x:f>
        <x:v>Apr</x:v>
      </x:c>
      <x:c r="Q89" s="12" t="n">
        <x:f>G89*L89</x:f>
        <x:v>55.99720000000001</x:v>
      </x:c>
    </x:row>
    <x:row r="90">
      <x:c r="A90" s="10" t="n">
        <x:v>45777</x:v>
      </x:c>
      <x:c r="B90" t="str">
        <x:v>West</x:v>
      </x:c>
      <x:c r="C90" t="str">
        <x:v>P-1006</x:v>
      </x:c>
      <x:c r="D90" t="str">
        <x:v>Air Fryer XL</x:v>
      </x:c>
      <x:c r="E90" t="str">
        <x:v>Isabella Taylor</x:v>
      </x:c>
      <x:c r="F90" t="n">
        <x:v>11</x:v>
      </x:c>
      <x:c r="G90" s="12" t="n">
        <x:v>1539.89</x:v>
      </x:c>
      <x:c r="H90" s="12" t="n">
        <x:v>801.32</x:v>
      </x:c>
      <x:c r="I90" t="str">
        <x:v>Retail</x:v>
      </x:c>
      <x:c r="J90" t="str">
        <x:f>XLOOKUP(C90,'Lookup Tables'!$A$3:$A$12,'Lookup Tables'!$C$3:$C$12,"Not Found")</x:f>
        <x:v>Home Goods</x:v>
      </x:c>
      <x:c r="K90" t="str">
        <x:f>XLOOKUP(B90,'Lookup Tables'!$F$3:$F$6,'Lookup Tables'!$G$3:$G$6,"Not Found")</x:f>
        <x:v>Daniel Kim</x:v>
      </x:c>
      <x:c r="L90" s="14" t="n">
        <x:f>XLOOKUP(B90,'Lookup Tables'!$F$3:$F$6,'Lookup Tables'!$H$3:$H$6,0)</x:f>
        <x:v>0.045</x:v>
      </x:c>
      <x:c r="M90" s="12" t="n">
        <x:f>G90-H90</x:f>
        <x:v>738.57</x:v>
      </x:c>
      <x:c r="N90" t="str">
        <x:f>IF(G90&gt;=10000,"High Value","Standard")</x:f>
        <x:v>Standard</x:v>
      </x:c>
      <x:c r="O90" t="str">
        <x:f>IF(M90/G90&gt;=0.40,"Strong Margin","Review Margin")</x:f>
        <x:v>Strong Margin</x:v>
      </x:c>
      <x:c r="P90" t="str">
        <x:f>TEXT(A90,"mmm")</x:f>
        <x:v>Apr</x:v>
      </x:c>
      <x:c r="Q90" s="12" t="n">
        <x:f>G90*L90</x:f>
        <x:v>69.29505</x:v>
      </x:c>
    </x:row>
    <x:row r="91">
      <x:c r="A91" s="10" t="n">
        <x:v>45778</x:v>
      </x:c>
      <x:c r="B91" t="str">
        <x:v>South</x:v>
      </x:c>
      <x:c r="C91" t="str">
        <x:v>P-1002</x:v>
      </x:c>
      <x:c r="D91" t="str">
        <x:v>Smart Home Hub</x:v>
      </x:c>
      <x:c r="E91" t="str">
        <x:v>Noah Brown</x:v>
      </x:c>
      <x:c r="F91" t="n">
        <x:v>2</x:v>
      </x:c>
      <x:c r="G91" s="12" t="n">
        <x:v>399.98</x:v>
      </x:c>
      <x:c r="H91" s="12" t="n">
        <x:v>222.92</x:v>
      </x:c>
      <x:c r="I91" t="str">
        <x:v>Retail</x:v>
      </x:c>
      <x:c r="J91" t="str">
        <x:f>XLOOKUP(C91,'Lookup Tables'!$A$3:$A$12,'Lookup Tables'!$C$3:$C$12,"Not Found")</x:f>
        <x:v>Electronics</x:v>
      </x:c>
      <x:c r="K91" t="str">
        <x:f>XLOOKUP(B91,'Lookup Tables'!$F$3:$F$6,'Lookup Tables'!$G$3:$G$6,"Not Found")</x:f>
        <x:v>Priya Patel</x:v>
      </x:c>
      <x:c r="L91" s="14" t="n">
        <x:f>XLOOKUP(B91,'Lookup Tables'!$F$3:$F$6,'Lookup Tables'!$H$3:$H$6,0)</x:f>
        <x:v>0.05</x:v>
      </x:c>
      <x:c r="M91" s="12" t="n">
        <x:f>G91-H91</x:f>
        <x:v>177.06000000000003</x:v>
      </x:c>
      <x:c r="N91" t="str">
        <x:f>IF(G91&gt;=10000,"High Value","Standard")</x:f>
        <x:v>Standard</x:v>
      </x:c>
      <x:c r="O91" t="str">
        <x:f>IF(M91/G91&gt;=0.40,"Strong Margin","Review Margin")</x:f>
        <x:v>Strong Margin</x:v>
      </x:c>
      <x:c r="P91" t="str">
        <x:f>TEXT(A91,"mmm")</x:f>
        <x:v>May</x:v>
      </x:c>
      <x:c r="Q91" s="12" t="n">
        <x:f>G91*L91</x:f>
        <x:v>19.999000000000002</x:v>
      </x:c>
    </x:row>
    <x:row r="92">
      <x:c r="A92" s="10" t="n">
        <x:v>45779</x:v>
      </x:c>
      <x:c r="B92" t="str">
        <x:v>South</x:v>
      </x:c>
      <x:c r="C92" t="str">
        <x:v>P-1001</x:v>
      </x:c>
      <x:c r="D92" t="str">
        <x:v>Wireless Headphones</x:v>
      </x:c>
      <x:c r="E92" t="str">
        <x:v>Sophia Martinez</x:v>
      </x:c>
      <x:c r="F92" t="n">
        <x:v>24</x:v>
      </x:c>
      <x:c r="G92" s="12" t="n">
        <x:v>3119.76</x:v>
      </x:c>
      <x:c r="H92" s="12" t="n">
        <x:v>1612.34</x:v>
      </x:c>
      <x:c r="I92" t="str">
        <x:v>Retail</x:v>
      </x:c>
      <x:c r="J92" t="str">
        <x:f>XLOOKUP(C92,'Lookup Tables'!$A$3:$A$12,'Lookup Tables'!$C$3:$C$12,"Not Found")</x:f>
        <x:v>Electronics</x:v>
      </x:c>
      <x:c r="K92" t="str">
        <x:f>XLOOKUP(B92,'Lookup Tables'!$F$3:$F$6,'Lookup Tables'!$G$3:$G$6,"Not Found")</x:f>
        <x:v>Priya Patel</x:v>
      </x:c>
      <x:c r="L92" s="14" t="n">
        <x:f>XLOOKUP(B92,'Lookup Tables'!$F$3:$F$6,'Lookup Tables'!$H$3:$H$6,0)</x:f>
        <x:v>0.05</x:v>
      </x:c>
      <x:c r="M92" s="12" t="n">
        <x:f>G92-H92</x:f>
        <x:v>1507.4200000000003</x:v>
      </x:c>
      <x:c r="N92" t="str">
        <x:f>IF(G92&gt;=10000,"High Value","Standard")</x:f>
        <x:v>Standard</x:v>
      </x:c>
      <x:c r="O92" t="str">
        <x:f>IF(M92/G92&gt;=0.40,"Strong Margin","Review Margin")</x:f>
        <x:v>Strong Margin</x:v>
      </x:c>
      <x:c r="P92" t="str">
        <x:f>TEXT(A92,"mmm")</x:f>
        <x:v>May</x:v>
      </x:c>
      <x:c r="Q92" s="12" t="n">
        <x:f>G92*L92</x:f>
        <x:v>155.98800000000003</x:v>
      </x:c>
    </x:row>
    <x:row r="93">
      <x:c r="A93" s="10" t="n">
        <x:v>45780</x:v>
      </x:c>
      <x:c r="B93" t="str">
        <x:v>East</x:v>
      </x:c>
      <x:c r="C93" t="str">
        <x:v>P-1002</x:v>
      </x:c>
      <x:c r="D93" t="str">
        <x:v>Smart Home Hub</x:v>
      </x:c>
      <x:c r="E93" t="str">
        <x:v>Mia Thomas</x:v>
      </x:c>
      <x:c r="F93" t="n">
        <x:v>10</x:v>
      </x:c>
      <x:c r="G93" s="12" t="n">
        <x:v>1999.9</x:v>
      </x:c>
      <x:c r="H93" s="12" t="n">
        <x:v>1150.05</x:v>
      </x:c>
      <x:c r="I93" t="str">
        <x:v>Retail</x:v>
      </x:c>
      <x:c r="J93" t="str">
        <x:f>XLOOKUP(C93,'Lookup Tables'!$A$3:$A$12,'Lookup Tables'!$C$3:$C$12,"Not Found")</x:f>
        <x:v>Electronics</x:v>
      </x:c>
      <x:c r="K93" t="str">
        <x:f>XLOOKUP(B93,'Lookup Tables'!$F$3:$F$6,'Lookup Tables'!$G$3:$G$6,"Not Found")</x:f>
        <x:v>Alicia Morgan</x:v>
      </x:c>
      <x:c r="L93" s="14" t="n">
        <x:f>XLOOKUP(B93,'Lookup Tables'!$F$3:$F$6,'Lookup Tables'!$H$3:$H$6,0)</x:f>
        <x:v>0.04</x:v>
      </x:c>
      <x:c r="M93" s="12" t="n">
        <x:f>G93-H93</x:f>
        <x:v>849.8500000000001</x:v>
      </x:c>
      <x:c r="N93" t="str">
        <x:f>IF(G93&gt;=10000,"High Value","Standard")</x:f>
        <x:v>Standard</x:v>
      </x:c>
      <x:c r="O93" t="str">
        <x:f>IF(M93/G93&gt;=0.40,"Strong Margin","Review Margin")</x:f>
        <x:v>Strong Margin</x:v>
      </x:c>
      <x:c r="P93" t="str">
        <x:f>TEXT(A93,"mmm")</x:f>
        <x:v>May</x:v>
      </x:c>
      <x:c r="Q93" s="12" t="n">
        <x:f>G93*L93</x:f>
        <x:v>79.99600000000001</x:v>
      </x:c>
    </x:row>
    <x:row r="94">
      <x:c r="A94" s="10" t="n">
        <x:v>45780</x:v>
      </x:c>
      <x:c r="B94" t="str">
        <x:v>South</x:v>
      </x:c>
      <x:c r="C94" t="str">
        <x:v>P-1002</x:v>
      </x:c>
      <x:c r="D94" t="str">
        <x:v>Smart Home Hub</x:v>
      </x:c>
      <x:c r="E94" t="str">
        <x:v>Ava Davis</x:v>
      </x:c>
      <x:c r="F94" t="n">
        <x:v>24</x:v>
      </x:c>
      <x:c r="G94" s="12" t="n">
        <x:v>4799.76</x:v>
      </x:c>
      <x:c r="H94" s="12" t="n">
        <x:v>2756</x:v>
      </x:c>
      <x:c r="I94" t="str">
        <x:v>Retail</x:v>
      </x:c>
      <x:c r="J94" t="str">
        <x:f>XLOOKUP(C94,'Lookup Tables'!$A$3:$A$12,'Lookup Tables'!$C$3:$C$12,"Not Found")</x:f>
        <x:v>Electronics</x:v>
      </x:c>
      <x:c r="K94" t="str">
        <x:f>XLOOKUP(B94,'Lookup Tables'!$F$3:$F$6,'Lookup Tables'!$G$3:$G$6,"Not Found")</x:f>
        <x:v>Priya Patel</x:v>
      </x:c>
      <x:c r="L94" s="14" t="n">
        <x:f>XLOOKUP(B94,'Lookup Tables'!$F$3:$F$6,'Lookup Tables'!$H$3:$H$6,0)</x:f>
        <x:v>0.05</x:v>
      </x:c>
      <x:c r="M94" s="12" t="n">
        <x:f>G94-H94</x:f>
        <x:v>2043.7600000000002</x:v>
      </x:c>
      <x:c r="N94" t="str">
        <x:f>IF(G94&gt;=10000,"High Value","Standard")</x:f>
        <x:v>Standard</x:v>
      </x:c>
      <x:c r="O94" t="str">
        <x:f>IF(M94/G94&gt;=0.40,"Strong Margin","Review Margin")</x:f>
        <x:v>Strong Margin</x:v>
      </x:c>
      <x:c r="P94" t="str">
        <x:f>TEXT(A94,"mmm")</x:f>
        <x:v>May</x:v>
      </x:c>
      <x:c r="Q94" s="12" t="n">
        <x:f>G94*L94</x:f>
        <x:v>239.98800000000003</x:v>
      </x:c>
    </x:row>
    <x:row r="95">
      <x:c r="A95" s="10" t="n">
        <x:v>45781</x:v>
      </x:c>
      <x:c r="B95" t="str">
        <x:v>South</x:v>
      </x:c>
      <x:c r="C95" t="str">
        <x:v>P-1006</x:v>
      </x:c>
      <x:c r="D95" t="str">
        <x:v>Air Fryer XL</x:v>
      </x:c>
      <x:c r="E95" t="str">
        <x:v>James Anderson</x:v>
      </x:c>
      <x:c r="F95" t="n">
        <x:v>16</x:v>
      </x:c>
      <x:c r="G95" s="12" t="n">
        <x:v>2105.45</x:v>
      </x:c>
      <x:c r="H95" s="12" t="n">
        <x:v>1205.57</x:v>
      </x:c>
      <x:c r="I95" t="str">
        <x:v>Wholesale</x:v>
      </x:c>
      <x:c r="J95" t="str">
        <x:f>XLOOKUP(C95,'Lookup Tables'!$A$3:$A$12,'Lookup Tables'!$C$3:$C$12,"Not Found")</x:f>
        <x:v>Home Goods</x:v>
      </x:c>
      <x:c r="K95" t="str">
        <x:f>XLOOKUP(B95,'Lookup Tables'!$F$3:$F$6,'Lookup Tables'!$G$3:$G$6,"Not Found")</x:f>
        <x:v>Priya Patel</x:v>
      </x:c>
      <x:c r="L95" s="14" t="n">
        <x:f>XLOOKUP(B95,'Lookup Tables'!$F$3:$F$6,'Lookup Tables'!$H$3:$H$6,0)</x:f>
        <x:v>0.05</x:v>
      </x:c>
      <x:c r="M95" s="12" t="n">
        <x:f>G95-H95</x:f>
        <x:v>899.8799999999999</x:v>
      </x:c>
      <x:c r="N95" t="str">
        <x:f>IF(G95&gt;=10000,"High Value","Standard")</x:f>
        <x:v>Standard</x:v>
      </x:c>
      <x:c r="O95" t="str">
        <x:f>IF(M95/G95&gt;=0.40,"Strong Margin","Review Margin")</x:f>
        <x:v>Strong Margin</x:v>
      </x:c>
      <x:c r="P95" t="str">
        <x:f>TEXT(A95,"mmm")</x:f>
        <x:v>May</x:v>
      </x:c>
      <x:c r="Q95" s="12" t="n">
        <x:f>G95*L95</x:f>
        <x:v>105.2725</x:v>
      </x:c>
    </x:row>
    <x:row r="96">
      <x:c r="A96" s="10" t="n">
        <x:v>45782</x:v>
      </x:c>
      <x:c r="B96" t="str">
        <x:v>East</x:v>
      </x:c>
      <x:c r="C96" t="str">
        <x:v>P-1009</x:v>
      </x:c>
      <x:c r="D96" t="str">
        <x:v>Travel Backpack</x:v>
      </x:c>
      <x:c r="E96" t="str">
        <x:v>Noah Brown</x:v>
      </x:c>
      <x:c r="F96" t="n">
        <x:v>1</x:v>
      </x:c>
      <x:c r="G96" s="12" t="n">
        <x:v>89.99</x:v>
      </x:c>
      <x:c r="H96" s="12" t="n">
        <x:v>42.13</x:v>
      </x:c>
      <x:c r="I96" t="str">
        <x:v>Retail</x:v>
      </x:c>
      <x:c r="J96" t="str">
        <x:f>XLOOKUP(C96,'Lookup Tables'!$A$3:$A$12,'Lookup Tables'!$C$3:$C$12,"Not Found")</x:f>
        <x:v>Accessories</x:v>
      </x:c>
      <x:c r="K96" t="str">
        <x:f>XLOOKUP(B96,'Lookup Tables'!$F$3:$F$6,'Lookup Tables'!$G$3:$G$6,"Not Found")</x:f>
        <x:v>Alicia Morgan</x:v>
      </x:c>
      <x:c r="L96" s="14" t="n">
        <x:f>XLOOKUP(B96,'Lookup Tables'!$F$3:$F$6,'Lookup Tables'!$H$3:$H$6,0)</x:f>
        <x:v>0.04</x:v>
      </x:c>
      <x:c r="M96" s="12" t="n">
        <x:f>G96-H96</x:f>
        <x:v>47.85999999999999</x:v>
      </x:c>
      <x:c r="N96" t="str">
        <x:f>IF(G96&gt;=10000,"High Value","Standard")</x:f>
        <x:v>Standard</x:v>
      </x:c>
      <x:c r="O96" t="str">
        <x:f>IF(M96/G96&gt;=0.40,"Strong Margin","Review Margin")</x:f>
        <x:v>Strong Margin</x:v>
      </x:c>
      <x:c r="P96" t="str">
        <x:f>TEXT(A96,"mmm")</x:f>
        <x:v>May</x:v>
      </x:c>
      <x:c r="Q96" s="12" t="n">
        <x:f>G96*L96</x:f>
        <x:v>3.5995999999999997</x:v>
      </x:c>
    </x:row>
    <x:row r="97">
      <x:c r="A97" s="10" t="n">
        <x:v>45782</x:v>
      </x:c>
      <x:c r="B97" t="str">
        <x:v>East</x:v>
      </x:c>
      <x:c r="C97" t="str">
        <x:v>P-1003</x:v>
      </x:c>
      <x:c r="D97" t="str">
        <x:v>Ergonomic Office Chair</x:v>
      </x:c>
      <x:c r="E97" t="str">
        <x:v>Ethan Smith</x:v>
      </x:c>
      <x:c r="F97" t="n">
        <x:v>23</x:v>
      </x:c>
      <x:c r="G97" s="12" t="n">
        <x:v>5404.78</x:v>
      </x:c>
      <x:c r="H97" s="12" t="n">
        <x:v>3461.92</x:v>
      </x:c>
      <x:c r="I97" t="str">
        <x:v>Wholesale</x:v>
      </x:c>
      <x:c r="J97" t="str">
        <x:f>XLOOKUP(C97,'Lookup Tables'!$A$3:$A$12,'Lookup Tables'!$C$3:$C$12,"Not Found")</x:f>
        <x:v>Furniture</x:v>
      </x:c>
      <x:c r="K97" t="str">
        <x:f>XLOOKUP(B97,'Lookup Tables'!$F$3:$F$6,'Lookup Tables'!$G$3:$G$6,"Not Found")</x:f>
        <x:v>Alicia Morgan</x:v>
      </x:c>
      <x:c r="L97" s="14" t="n">
        <x:f>XLOOKUP(B97,'Lookup Tables'!$F$3:$F$6,'Lookup Tables'!$H$3:$H$6,0)</x:f>
        <x:v>0.04</x:v>
      </x:c>
      <x:c r="M97" s="12" t="n">
        <x:f>G97-H97</x:f>
        <x:v>1942.8599999999997</x:v>
      </x:c>
      <x:c r="N97" t="str">
        <x:f>IF(G97&gt;=10000,"High Value","Standard")</x:f>
        <x:v>Standard</x:v>
      </x:c>
      <x:c r="O97" t="str">
        <x:f>IF(M97/G97&gt;=0.40,"Strong Margin","Review Margin")</x:f>
        <x:v>Review Margin</x:v>
      </x:c>
      <x:c r="P97" t="str">
        <x:f>TEXT(A97,"mmm")</x:f>
        <x:v>May</x:v>
      </x:c>
      <x:c r="Q97" s="12" t="n">
        <x:f>G97*L97</x:f>
        <x:v>216.19119999999998</x:v>
      </x:c>
    </x:row>
    <x:row r="98">
      <x:c r="A98" s="10" t="n">
        <x:v>45782</x:v>
      </x:c>
      <x:c r="B98" t="str">
        <x:v>West</x:v>
      </x:c>
      <x:c r="C98" t="str">
        <x:v>P-1002</x:v>
      </x:c>
      <x:c r="D98" t="str">
        <x:v>Smart Home Hub</x:v>
      </x:c>
      <x:c r="E98" t="str">
        <x:v>Ava Davis</x:v>
      </x:c>
      <x:c r="F98" t="n">
        <x:v>16</x:v>
      </x:c>
      <x:c r="G98" s="12" t="n">
        <x:v>3199.84</x:v>
      </x:c>
      <x:c r="H98" s="12" t="n">
        <x:v>1847.66</x:v>
      </x:c>
      <x:c r="I98" t="str">
        <x:v>Retail</x:v>
      </x:c>
      <x:c r="J98" t="str">
        <x:f>XLOOKUP(C98,'Lookup Tables'!$A$3:$A$12,'Lookup Tables'!$C$3:$C$12,"Not Found")</x:f>
        <x:v>Electronics</x:v>
      </x:c>
      <x:c r="K98" t="str">
        <x:f>XLOOKUP(B98,'Lookup Tables'!$F$3:$F$6,'Lookup Tables'!$G$3:$G$6,"Not Found")</x:f>
        <x:v>Daniel Kim</x:v>
      </x:c>
      <x:c r="L98" s="14" t="n">
        <x:f>XLOOKUP(B98,'Lookup Tables'!$F$3:$F$6,'Lookup Tables'!$H$3:$H$6,0)</x:f>
        <x:v>0.045</x:v>
      </x:c>
      <x:c r="M98" s="12" t="n">
        <x:f>G98-H98</x:f>
        <x:v>1352.18</x:v>
      </x:c>
      <x:c r="N98" t="str">
        <x:f>IF(G98&gt;=10000,"High Value","Standard")</x:f>
        <x:v>Standard</x:v>
      </x:c>
      <x:c r="O98" t="str">
        <x:f>IF(M98/G98&gt;=0.40,"Strong Margin","Review Margin")</x:f>
        <x:v>Strong Margin</x:v>
      </x:c>
      <x:c r="P98" t="str">
        <x:f>TEXT(A98,"mmm")</x:f>
        <x:v>May</x:v>
      </x:c>
      <x:c r="Q98" s="12" t="n">
        <x:f>G98*L98</x:f>
        <x:v>143.9928</x:v>
      </x:c>
    </x:row>
    <x:row r="99">
      <x:c r="A99" s="10" t="n">
        <x:v>45784</x:v>
      </x:c>
      <x:c r="B99" t="str">
        <x:v>South</x:v>
      </x:c>
      <x:c r="C99" t="str">
        <x:v>P-1005</x:v>
      </x:c>
      <x:c r="D99" t="str">
        <x:v>Stainless Cookware Set</x:v>
      </x:c>
      <x:c r="E99" t="str">
        <x:v>Benjamin Moore</x:v>
      </x:c>
      <x:c r="F99" t="n">
        <x:v>13</x:v>
      </x:c>
      <x:c r="G99" s="12" t="n">
        <x:v>2079.87</x:v>
      </x:c>
      <x:c r="H99" s="12" t="n">
        <x:v>1138.68</x:v>
      </x:c>
      <x:c r="I99" t="str">
        <x:v>Retail</x:v>
      </x:c>
      <x:c r="J99" t="str">
        <x:f>XLOOKUP(C99,'Lookup Tables'!$A$3:$A$12,'Lookup Tables'!$C$3:$C$12,"Not Found")</x:f>
        <x:v>Home Goods</x:v>
      </x:c>
      <x:c r="K99" t="str">
        <x:f>XLOOKUP(B99,'Lookup Tables'!$F$3:$F$6,'Lookup Tables'!$G$3:$G$6,"Not Found")</x:f>
        <x:v>Priya Patel</x:v>
      </x:c>
      <x:c r="L99" s="14" t="n">
        <x:f>XLOOKUP(B99,'Lookup Tables'!$F$3:$F$6,'Lookup Tables'!$H$3:$H$6,0)</x:f>
        <x:v>0.05</x:v>
      </x:c>
      <x:c r="M99" s="12" t="n">
        <x:f>G99-H99</x:f>
        <x:v>941.1899999999998</x:v>
      </x:c>
      <x:c r="N99" t="str">
        <x:f>IF(G99&gt;=10000,"High Value","Standard")</x:f>
        <x:v>Standard</x:v>
      </x:c>
      <x:c r="O99" t="str">
        <x:f>IF(M99/G99&gt;=0.40,"Strong Margin","Review Margin")</x:f>
        <x:v>Strong Margin</x:v>
      </x:c>
      <x:c r="P99" t="str">
        <x:f>TEXT(A99,"mmm")</x:f>
        <x:v>May</x:v>
      </x:c>
      <x:c r="Q99" s="12" t="n">
        <x:f>G99*L99</x:f>
        <x:v>103.9935</x:v>
      </x:c>
    </x:row>
    <x:row r="100">
      <x:c r="A100" s="10" t="n">
        <x:v>45785</x:v>
      </x:c>
      <x:c r="B100" t="str">
        <x:v>East</x:v>
      </x:c>
      <x:c r="C100" t="str">
        <x:v>P-1007</x:v>
      </x:c>
      <x:c r="D100" t="str">
        <x:v>Fitness Tracker</x:v>
      </x:c>
      <x:c r="E100" t="str">
        <x:v>James Anderson</x:v>
      </x:c>
      <x:c r="F100" t="n">
        <x:v>7</x:v>
      </x:c>
      <x:c r="G100" s="12" t="n">
        <x:v>839.93</x:v>
      </x:c>
      <x:c r="H100" s="12" t="n">
        <x:v>426.96</x:v>
      </x:c>
      <x:c r="I100" t="str">
        <x:v>Retail</x:v>
      </x:c>
      <x:c r="J100" t="str">
        <x:f>XLOOKUP(C100,'Lookup Tables'!$A$3:$A$12,'Lookup Tables'!$C$3:$C$12,"Not Found")</x:f>
        <x:v>Fitness</x:v>
      </x:c>
      <x:c r="K100" t="str">
        <x:f>XLOOKUP(B100,'Lookup Tables'!$F$3:$F$6,'Lookup Tables'!$G$3:$G$6,"Not Found")</x:f>
        <x:v>Alicia Morgan</x:v>
      </x:c>
      <x:c r="L100" s="14" t="n">
        <x:f>XLOOKUP(B100,'Lookup Tables'!$F$3:$F$6,'Lookup Tables'!$H$3:$H$6,0)</x:f>
        <x:v>0.04</x:v>
      </x:c>
      <x:c r="M100" s="12" t="n">
        <x:f>G100-H100</x:f>
        <x:v>412.96999999999997</x:v>
      </x:c>
      <x:c r="N100" t="str">
        <x:f>IF(G100&gt;=10000,"High Value","Standard")</x:f>
        <x:v>Standard</x:v>
      </x:c>
      <x:c r="O100" t="str">
        <x:f>IF(M100/G100&gt;=0.40,"Strong Margin","Review Margin")</x:f>
        <x:v>Strong Margin</x:v>
      </x:c>
      <x:c r="P100" t="str">
        <x:f>TEXT(A100,"mmm")</x:f>
        <x:v>May</x:v>
      </x:c>
      <x:c r="Q100" s="12" t="n">
        <x:f>G100*L100</x:f>
        <x:v>33.5972</x:v>
      </x:c>
    </x:row>
    <x:row r="101">
      <x:c r="A101" s="10" t="n">
        <x:v>45788</x:v>
      </x:c>
      <x:c r="B101" t="str">
        <x:v>West</x:v>
      </x:c>
      <x:c r="C101" t="str">
        <x:v>P-1006</x:v>
      </x:c>
      <x:c r="D101" t="str">
        <x:v>Air Fryer XL</x:v>
      </x:c>
      <x:c r="E101" t="str">
        <x:v>Lucas Miller</x:v>
      </x:c>
      <x:c r="F101" t="n">
        <x:v>33</x:v>
      </x:c>
      <x:c r="G101" s="12" t="n">
        <x:v>4342.49</x:v>
      </x:c>
      <x:c r="H101" s="12" t="n">
        <x:v>2468.67</x:v>
      </x:c>
      <x:c r="I101" t="str">
        <x:v>Wholesale</x:v>
      </x:c>
      <x:c r="J101" t="str">
        <x:f>XLOOKUP(C101,'Lookup Tables'!$A$3:$A$12,'Lookup Tables'!$C$3:$C$12,"Not Found")</x:f>
        <x:v>Home Goods</x:v>
      </x:c>
      <x:c r="K101" t="str">
        <x:f>XLOOKUP(B101,'Lookup Tables'!$F$3:$F$6,'Lookup Tables'!$G$3:$G$6,"Not Found")</x:f>
        <x:v>Daniel Kim</x:v>
      </x:c>
      <x:c r="L101" s="14" t="n">
        <x:f>XLOOKUP(B101,'Lookup Tables'!$F$3:$F$6,'Lookup Tables'!$H$3:$H$6,0)</x:f>
        <x:v>0.045</x:v>
      </x:c>
      <x:c r="M101" s="12" t="n">
        <x:f>G101-H101</x:f>
        <x:v>1873.8199999999997</x:v>
      </x:c>
      <x:c r="N101" t="str">
        <x:f>IF(G101&gt;=10000,"High Value","Standard")</x:f>
        <x:v>Standard</x:v>
      </x:c>
      <x:c r="O101" t="str">
        <x:f>IF(M101/G101&gt;=0.40,"Strong Margin","Review Margin")</x:f>
        <x:v>Strong Margin</x:v>
      </x:c>
      <x:c r="P101" t="str">
        <x:f>TEXT(A101,"mmm")</x:f>
        <x:v>May</x:v>
      </x:c>
      <x:c r="Q101" s="12" t="n">
        <x:f>G101*L101</x:f>
        <x:v>195.41205</x:v>
      </x:c>
    </x:row>
    <x:row r="102">
      <x:c r="A102" s="10" t="n">
        <x:v>45791</x:v>
      </x:c>
      <x:c r="B102" t="str">
        <x:v>West</x:v>
      </x:c>
      <x:c r="C102" t="str">
        <x:v>P-1002</x:v>
      </x:c>
      <x:c r="D102" t="str">
        <x:v>Smart Home Hub</x:v>
      </x:c>
      <x:c r="E102" t="str">
        <x:v>Liam Wilson</x:v>
      </x:c>
      <x:c r="F102" t="n">
        <x:v>11</x:v>
      </x:c>
      <x:c r="G102" s="12" t="n">
        <x:v>2199.89</x:v>
      </x:c>
      <x:c r="H102" s="12" t="n">
        <x:v>1266.37</x:v>
      </x:c>
      <x:c r="I102" t="str">
        <x:v>Retail</x:v>
      </x:c>
      <x:c r="J102" t="str">
        <x:f>XLOOKUP(C102,'Lookup Tables'!$A$3:$A$12,'Lookup Tables'!$C$3:$C$12,"Not Found")</x:f>
        <x:v>Electronics</x:v>
      </x:c>
      <x:c r="K102" t="str">
        <x:f>XLOOKUP(B102,'Lookup Tables'!$F$3:$F$6,'Lookup Tables'!$G$3:$G$6,"Not Found")</x:f>
        <x:v>Daniel Kim</x:v>
      </x:c>
      <x:c r="L102" s="14" t="n">
        <x:f>XLOOKUP(B102,'Lookup Tables'!$F$3:$F$6,'Lookup Tables'!$H$3:$H$6,0)</x:f>
        <x:v>0.045</x:v>
      </x:c>
      <x:c r="M102" s="12" t="n">
        <x:f>G102-H102</x:f>
        <x:v>933.52</x:v>
      </x:c>
      <x:c r="N102" t="str">
        <x:f>IF(G102&gt;=10000,"High Value","Standard")</x:f>
        <x:v>Standard</x:v>
      </x:c>
      <x:c r="O102" t="str">
        <x:f>IF(M102/G102&gt;=0.40,"Strong Margin","Review Margin")</x:f>
        <x:v>Strong Margin</x:v>
      </x:c>
      <x:c r="P102" t="str">
        <x:f>TEXT(A102,"mmm")</x:f>
        <x:v>May</x:v>
      </x:c>
      <x:c r="Q102" s="12" t="n">
        <x:f>G102*L102</x:f>
        <x:v>98.99504999999999</x:v>
      </x:c>
    </x:row>
    <x:row r="103">
      <x:c r="A103" s="10" t="n">
        <x:v>45792</x:v>
      </x:c>
      <x:c r="B103" t="str">
        <x:v>South</x:v>
      </x:c>
      <x:c r="C103" t="str">
        <x:v>P-1006</x:v>
      </x:c>
      <x:c r="D103" t="str">
        <x:v>Air Fryer XL</x:v>
      </x:c>
      <x:c r="E103" t="str">
        <x:v>Noah Brown</x:v>
      </x:c>
      <x:c r="F103" t="n">
        <x:v>40</x:v>
      </x:c>
      <x:c r="G103" s="12" t="n">
        <x:v>5263.62</x:v>
      </x:c>
      <x:c r="H103" s="12" t="n">
        <x:v>2928.92</x:v>
      </x:c>
      <x:c r="I103" t="str">
        <x:v>Wholesale</x:v>
      </x:c>
      <x:c r="J103" t="str">
        <x:f>XLOOKUP(C103,'Lookup Tables'!$A$3:$A$12,'Lookup Tables'!$C$3:$C$12,"Not Found")</x:f>
        <x:v>Home Goods</x:v>
      </x:c>
      <x:c r="K103" t="str">
        <x:f>XLOOKUP(B103,'Lookup Tables'!$F$3:$F$6,'Lookup Tables'!$G$3:$G$6,"Not Found")</x:f>
        <x:v>Priya Patel</x:v>
      </x:c>
      <x:c r="L103" s="14" t="n">
        <x:f>XLOOKUP(B103,'Lookup Tables'!$F$3:$F$6,'Lookup Tables'!$H$3:$H$6,0)</x:f>
        <x:v>0.05</x:v>
      </x:c>
      <x:c r="M103" s="12" t="n">
        <x:f>G103-H103</x:f>
        <x:v>2334.7</x:v>
      </x:c>
      <x:c r="N103" t="str">
        <x:f>IF(G103&gt;=10000,"High Value","Standard")</x:f>
        <x:v>Standard</x:v>
      </x:c>
      <x:c r="O103" t="str">
        <x:f>IF(M103/G103&gt;=0.40,"Strong Margin","Review Margin")</x:f>
        <x:v>Strong Margin</x:v>
      </x:c>
      <x:c r="P103" t="str">
        <x:f>TEXT(A103,"mmm")</x:f>
        <x:v>May</x:v>
      </x:c>
      <x:c r="Q103" s="12" t="n">
        <x:f>G103*L103</x:f>
        <x:v>263.181</x:v>
      </x:c>
    </x:row>
    <x:row r="104">
      <x:c r="A104" s="10" t="n">
        <x:v>45794</x:v>
      </x:c>
      <x:c r="B104" t="str">
        <x:v>South</x:v>
      </x:c>
      <x:c r="C104" t="str">
        <x:v>P-1002</x:v>
      </x:c>
      <x:c r="D104" t="str">
        <x:v>Smart Home Hub</x:v>
      </x:c>
      <x:c r="E104" t="str">
        <x:v>Sophia Martinez</x:v>
      </x:c>
      <x:c r="F104" t="n">
        <x:v>91</x:v>
      </x:c>
      <x:c r="G104" s="12" t="n">
        <x:v>17107.14</x:v>
      </x:c>
      <x:c r="H104" s="12" t="n">
        <x:v>10122.7</x:v>
      </x:c>
      <x:c r="I104" t="str">
        <x:v>Wholesale</x:v>
      </x:c>
      <x:c r="J104" t="str">
        <x:f>XLOOKUP(C104,'Lookup Tables'!$A$3:$A$12,'Lookup Tables'!$C$3:$C$12,"Not Found")</x:f>
        <x:v>Electronics</x:v>
      </x:c>
      <x:c r="K104" t="str">
        <x:f>XLOOKUP(B104,'Lookup Tables'!$F$3:$F$6,'Lookup Tables'!$G$3:$G$6,"Not Found")</x:f>
        <x:v>Priya Patel</x:v>
      </x:c>
      <x:c r="L104" s="14" t="n">
        <x:f>XLOOKUP(B104,'Lookup Tables'!$F$3:$F$6,'Lookup Tables'!$H$3:$H$6,0)</x:f>
        <x:v>0.05</x:v>
      </x:c>
      <x:c r="M104" s="12" t="n">
        <x:f>G104-H104</x:f>
        <x:v>6984.439999999999</x:v>
      </x:c>
      <x:c r="N104" t="str">
        <x:f>IF(G104&gt;=10000,"High Value","Standard")</x:f>
        <x:v>High Value</x:v>
      </x:c>
      <x:c r="O104" t="str">
        <x:f>IF(M104/G104&gt;=0.40,"Strong Margin","Review Margin")</x:f>
        <x:v>Strong Margin</x:v>
      </x:c>
      <x:c r="P104" t="str">
        <x:f>TEXT(A104,"mmm")</x:f>
        <x:v>May</x:v>
      </x:c>
      <x:c r="Q104" s="12" t="n">
        <x:f>G104*L104</x:f>
        <x:v>855.357</x:v>
      </x:c>
    </x:row>
    <x:row r="105">
      <x:c r="A105" s="10" t="n">
        <x:v>45798</x:v>
      </x:c>
      <x:c r="B105" t="str">
        <x:v>South</x:v>
      </x:c>
      <x:c r="C105" t="str">
        <x:v>P-1003</x:v>
      </x:c>
      <x:c r="D105" t="str">
        <x:v>Ergonomic Office Chair</x:v>
      </x:c>
      <x:c r="E105" t="str">
        <x:v>Ethan Smith</x:v>
      </x:c>
      <x:c r="F105" t="n">
        <x:v>10</x:v>
      </x:c>
      <x:c r="G105" s="12" t="n">
        <x:v>2499.9</x:v>
      </x:c>
      <x:c r="H105" s="12" t="n">
        <x:v>1458.43</x:v>
      </x:c>
      <x:c r="I105" t="str">
        <x:v>Retail</x:v>
      </x:c>
      <x:c r="J105" t="str">
        <x:f>XLOOKUP(C105,'Lookup Tables'!$A$3:$A$12,'Lookup Tables'!$C$3:$C$12,"Not Found")</x:f>
        <x:v>Furniture</x:v>
      </x:c>
      <x:c r="K105" t="str">
        <x:f>XLOOKUP(B105,'Lookup Tables'!$F$3:$F$6,'Lookup Tables'!$G$3:$G$6,"Not Found")</x:f>
        <x:v>Priya Patel</x:v>
      </x:c>
      <x:c r="L105" s="14" t="n">
        <x:f>XLOOKUP(B105,'Lookup Tables'!$F$3:$F$6,'Lookup Tables'!$H$3:$H$6,0)</x:f>
        <x:v>0.05</x:v>
      </x:c>
      <x:c r="M105" s="12" t="n">
        <x:f>G105-H105</x:f>
        <x:v>1041.47</x:v>
      </x:c>
      <x:c r="N105" t="str">
        <x:f>IF(G105&gt;=10000,"High Value","Standard")</x:f>
        <x:v>Standard</x:v>
      </x:c>
      <x:c r="O105" t="str">
        <x:f>IF(M105/G105&gt;=0.40,"Strong Margin","Review Margin")</x:f>
        <x:v>Strong Margin</x:v>
      </x:c>
      <x:c r="P105" t="str">
        <x:f>TEXT(A105,"mmm")</x:f>
        <x:v>May</x:v>
      </x:c>
      <x:c r="Q105" s="12" t="n">
        <x:f>G105*L105</x:f>
        <x:v>124.995</x:v>
      </x:c>
    </x:row>
    <x:row r="106">
      <x:c r="A106" s="10" t="n">
        <x:v>45798</x:v>
      </x:c>
      <x:c r="B106" t="str">
        <x:v>East</x:v>
      </x:c>
      <x:c r="C106" t="str">
        <x:v>P-1003</x:v>
      </x:c>
      <x:c r="D106" t="str">
        <x:v>Ergonomic Office Chair</x:v>
      </x:c>
      <x:c r="E106" t="str">
        <x:v>Isabella Taylor</x:v>
      </x:c>
      <x:c r="F106" t="n">
        <x:v>10</x:v>
      </x:c>
      <x:c r="G106" s="12" t="n">
        <x:v>2499.9</x:v>
      </x:c>
      <x:c r="H106" s="12" t="n">
        <x:v>1516.57</x:v>
      </x:c>
      <x:c r="I106" t="str">
        <x:v>Retail</x:v>
      </x:c>
      <x:c r="J106" t="str">
        <x:f>XLOOKUP(C106,'Lookup Tables'!$A$3:$A$12,'Lookup Tables'!$C$3:$C$12,"Not Found")</x:f>
        <x:v>Furniture</x:v>
      </x:c>
      <x:c r="K106" t="str">
        <x:f>XLOOKUP(B106,'Lookup Tables'!$F$3:$F$6,'Lookup Tables'!$G$3:$G$6,"Not Found")</x:f>
        <x:v>Alicia Morgan</x:v>
      </x:c>
      <x:c r="L106" s="14" t="n">
        <x:f>XLOOKUP(B106,'Lookup Tables'!$F$3:$F$6,'Lookup Tables'!$H$3:$H$6,0)</x:f>
        <x:v>0.04</x:v>
      </x:c>
      <x:c r="M106" s="12" t="n">
        <x:f>G106-H106</x:f>
        <x:v>983.3300000000002</x:v>
      </x:c>
      <x:c r="N106" t="str">
        <x:f>IF(G106&gt;=10000,"High Value","Standard")</x:f>
        <x:v>Standard</x:v>
      </x:c>
      <x:c r="O106" t="str">
        <x:f>IF(M106/G106&gt;=0.40,"Strong Margin","Review Margin")</x:f>
        <x:v>Review Margin</x:v>
      </x:c>
      <x:c r="P106" t="str">
        <x:f>TEXT(A106,"mmm")</x:f>
        <x:v>May</x:v>
      </x:c>
      <x:c r="Q106" s="12" t="n">
        <x:f>G106*L106</x:f>
        <x:v>99.99600000000001</x:v>
      </x:c>
    </x:row>
    <x:row r="107">
      <x:c r="A107" s="10" t="n">
        <x:v>45798</x:v>
      </x:c>
      <x:c r="B107" t="str">
        <x:v>West</x:v>
      </x:c>
      <x:c r="C107" t="str">
        <x:v>P-1005</x:v>
      </x:c>
      <x:c r="D107" t="str">
        <x:v>Stainless Cookware Set</x:v>
      </x:c>
      <x:c r="E107" t="str">
        <x:v>Isabella Taylor</x:v>
      </x:c>
      <x:c r="F107" t="n">
        <x:v>10</x:v>
      </x:c>
      <x:c r="G107" s="12" t="n">
        <x:v>1599.9</x:v>
      </x:c>
      <x:c r="H107" s="12" t="n">
        <x:v>921.2</x:v>
      </x:c>
      <x:c r="I107" t="str">
        <x:v>Retail</x:v>
      </x:c>
      <x:c r="J107" t="str">
        <x:f>XLOOKUP(C107,'Lookup Tables'!$A$3:$A$12,'Lookup Tables'!$C$3:$C$12,"Not Found")</x:f>
        <x:v>Home Goods</x:v>
      </x:c>
      <x:c r="K107" t="str">
        <x:f>XLOOKUP(B107,'Lookup Tables'!$F$3:$F$6,'Lookup Tables'!$G$3:$G$6,"Not Found")</x:f>
        <x:v>Daniel Kim</x:v>
      </x:c>
      <x:c r="L107" s="14" t="n">
        <x:f>XLOOKUP(B107,'Lookup Tables'!$F$3:$F$6,'Lookup Tables'!$H$3:$H$6,0)</x:f>
        <x:v>0.045</x:v>
      </x:c>
      <x:c r="M107" s="12" t="n">
        <x:f>G107-H107</x:f>
        <x:v>678.7</x:v>
      </x:c>
      <x:c r="N107" t="str">
        <x:f>IF(G107&gt;=10000,"High Value","Standard")</x:f>
        <x:v>Standard</x:v>
      </x:c>
      <x:c r="O107" t="str">
        <x:f>IF(M107/G107&gt;=0.40,"Strong Margin","Review Margin")</x:f>
        <x:v>Strong Margin</x:v>
      </x:c>
      <x:c r="P107" t="str">
        <x:f>TEXT(A107,"mmm")</x:f>
        <x:v>May</x:v>
      </x:c>
      <x:c r="Q107" s="12" t="n">
        <x:f>G107*L107</x:f>
        <x:v>71.9955</x:v>
      </x:c>
    </x:row>
    <x:row r="108">
      <x:c r="A108" s="10" t="n">
        <x:v>45798</x:v>
      </x:c>
      <x:c r="B108" t="str">
        <x:v>West</x:v>
      </x:c>
      <x:c r="C108" t="str">
        <x:v>P-1002</x:v>
      </x:c>
      <x:c r="D108" t="str">
        <x:v>Smart Home Hub</x:v>
      </x:c>
      <x:c r="E108" t="str">
        <x:v>Isabella Taylor</x:v>
      </x:c>
      <x:c r="F108" t="n">
        <x:v>58</x:v>
      </x:c>
      <x:c r="G108" s="12" t="n">
        <x:v>10903.45</x:v>
      </x:c>
      <x:c r="H108" s="12" t="n">
        <x:v>6658.7</x:v>
      </x:c>
      <x:c r="I108" t="str">
        <x:v>Wholesale</x:v>
      </x:c>
      <x:c r="J108" t="str">
        <x:f>XLOOKUP(C108,'Lookup Tables'!$A$3:$A$12,'Lookup Tables'!$C$3:$C$12,"Not Found")</x:f>
        <x:v>Electronics</x:v>
      </x:c>
      <x:c r="K108" t="str">
        <x:f>XLOOKUP(B108,'Lookup Tables'!$F$3:$F$6,'Lookup Tables'!$G$3:$G$6,"Not Found")</x:f>
        <x:v>Daniel Kim</x:v>
      </x:c>
      <x:c r="L108" s="14" t="n">
        <x:f>XLOOKUP(B108,'Lookup Tables'!$F$3:$F$6,'Lookup Tables'!$H$3:$H$6,0)</x:f>
        <x:v>0.045</x:v>
      </x:c>
      <x:c r="M108" s="12" t="n">
        <x:f>G108-H108</x:f>
        <x:v>4244.750000000001</x:v>
      </x:c>
      <x:c r="N108" t="str">
        <x:f>IF(G108&gt;=10000,"High Value","Standard")</x:f>
        <x:v>High Value</x:v>
      </x:c>
      <x:c r="O108" t="str">
        <x:f>IF(M108/G108&gt;=0.40,"Strong Margin","Review Margin")</x:f>
        <x:v>Review Margin</x:v>
      </x:c>
      <x:c r="P108" t="str">
        <x:f>TEXT(A108,"mmm")</x:f>
        <x:v>May</x:v>
      </x:c>
      <x:c r="Q108" s="12" t="n">
        <x:f>G108*L108</x:f>
        <x:v>490.65525</x:v>
      </x:c>
    </x:row>
    <x:row r="109">
      <x:c r="A109" s="10" t="n">
        <x:v>45800</x:v>
      </x:c>
      <x:c r="B109" t="str">
        <x:v>East</x:v>
      </x:c>
      <x:c r="C109" t="str">
        <x:v>P-1005</x:v>
      </x:c>
      <x:c r="D109" t="str">
        <x:v>Stainless Cookware Set</x:v>
      </x:c>
      <x:c r="E109" t="str">
        <x:v>Mia Thomas</x:v>
      </x:c>
      <x:c r="F109" t="n">
        <x:v>23</x:v>
      </x:c>
      <x:c r="G109" s="12" t="n">
        <x:v>3458.98</x:v>
      </x:c>
      <x:c r="H109" s="12" t="n">
        <x:v>2030.74</x:v>
      </x:c>
      <x:c r="I109" t="str">
        <x:v>Wholesale</x:v>
      </x:c>
      <x:c r="J109" t="str">
        <x:f>XLOOKUP(C109,'Lookup Tables'!$A$3:$A$12,'Lookup Tables'!$C$3:$C$12,"Not Found")</x:f>
        <x:v>Home Goods</x:v>
      </x:c>
      <x:c r="K109" t="str">
        <x:f>XLOOKUP(B109,'Lookup Tables'!$F$3:$F$6,'Lookup Tables'!$G$3:$G$6,"Not Found")</x:f>
        <x:v>Alicia Morgan</x:v>
      </x:c>
      <x:c r="L109" s="14" t="n">
        <x:f>XLOOKUP(B109,'Lookup Tables'!$F$3:$F$6,'Lookup Tables'!$H$3:$H$6,0)</x:f>
        <x:v>0.04</x:v>
      </x:c>
      <x:c r="M109" s="12" t="n">
        <x:f>G109-H109</x:f>
        <x:v>1428.24</x:v>
      </x:c>
      <x:c r="N109" t="str">
        <x:f>IF(G109&gt;=10000,"High Value","Standard")</x:f>
        <x:v>Standard</x:v>
      </x:c>
      <x:c r="O109" t="str">
        <x:f>IF(M109/G109&gt;=0.40,"Strong Margin","Review Margin")</x:f>
        <x:v>Strong Margin</x:v>
      </x:c>
      <x:c r="P109" t="str">
        <x:f>TEXT(A109,"mmm")</x:f>
        <x:v>May</x:v>
      </x:c>
      <x:c r="Q109" s="12" t="n">
        <x:f>G109*L109</x:f>
        <x:v>138.35920000000002</x:v>
      </x:c>
    </x:row>
    <x:row r="110">
      <x:c r="A110" s="10" t="n">
        <x:v>45800</x:v>
      </x:c>
      <x:c r="B110" t="str">
        <x:v>East</x:v>
      </x:c>
      <x:c r="C110" t="str">
        <x:v>P-1001</x:v>
      </x:c>
      <x:c r="D110" t="str">
        <x:v>Wireless Headphones</x:v>
      </x:c>
      <x:c r="E110" t="str">
        <x:v>Benjamin Moore</x:v>
      </x:c>
      <x:c r="F110" t="n">
        <x:v>11</x:v>
      </x:c>
      <x:c r="G110" s="12" t="n">
        <x:v>1429.89</x:v>
      </x:c>
      <x:c r="H110" s="12" t="n">
        <x:v>762.45</x:v>
      </x:c>
      <x:c r="I110" t="str">
        <x:v>Retail</x:v>
      </x:c>
      <x:c r="J110" t="str">
        <x:f>XLOOKUP(C110,'Lookup Tables'!$A$3:$A$12,'Lookup Tables'!$C$3:$C$12,"Not Found")</x:f>
        <x:v>Electronics</x:v>
      </x:c>
      <x:c r="K110" t="str">
        <x:f>XLOOKUP(B110,'Lookup Tables'!$F$3:$F$6,'Lookup Tables'!$G$3:$G$6,"Not Found")</x:f>
        <x:v>Alicia Morgan</x:v>
      </x:c>
      <x:c r="L110" s="14" t="n">
        <x:f>XLOOKUP(B110,'Lookup Tables'!$F$3:$F$6,'Lookup Tables'!$H$3:$H$6,0)</x:f>
        <x:v>0.04</x:v>
      </x:c>
      <x:c r="M110" s="12" t="n">
        <x:f>G110-H110</x:f>
        <x:v>667.44</x:v>
      </x:c>
      <x:c r="N110" t="str">
        <x:f>IF(G110&gt;=10000,"High Value","Standard")</x:f>
        <x:v>Standard</x:v>
      </x:c>
      <x:c r="O110" t="str">
        <x:f>IF(M110/G110&gt;=0.40,"Strong Margin","Review Margin")</x:f>
        <x:v>Strong Margin</x:v>
      </x:c>
      <x:c r="P110" t="str">
        <x:f>TEXT(A110,"mmm")</x:f>
        <x:v>May</x:v>
      </x:c>
      <x:c r="Q110" s="12" t="n">
        <x:f>G110*L110</x:f>
        <x:v>57.195600000000006</x:v>
      </x:c>
    </x:row>
    <x:row r="111">
      <x:c r="A111" s="10" t="n">
        <x:v>45802</x:v>
      </x:c>
      <x:c r="B111" t="str">
        <x:v>South</x:v>
      </x:c>
      <x:c r="C111" t="str">
        <x:v>P-1004</x:v>
      </x:c>
      <x:c r="D111" t="str">
        <x:v>Standing Desk Converter</x:v>
      </x:c>
      <x:c r="E111" t="str">
        <x:v>Mia Thomas</x:v>
      </x:c>
      <x:c r="F111" t="n">
        <x:v>6</x:v>
      </x:c>
      <x:c r="G111" s="12" t="n">
        <x:v>1139.94</x:v>
      </x:c>
      <x:c r="H111" s="12" t="n">
        <x:v>644.97</x:v>
      </x:c>
      <x:c r="I111" t="str">
        <x:v>Retail</x:v>
      </x:c>
      <x:c r="J111" t="str">
        <x:f>XLOOKUP(C111,'Lookup Tables'!$A$3:$A$12,'Lookup Tables'!$C$3:$C$12,"Not Found")</x:f>
        <x:v>Furniture</x:v>
      </x:c>
      <x:c r="K111" t="str">
        <x:f>XLOOKUP(B111,'Lookup Tables'!$F$3:$F$6,'Lookup Tables'!$G$3:$G$6,"Not Found")</x:f>
        <x:v>Priya Patel</x:v>
      </x:c>
      <x:c r="L111" s="14" t="n">
        <x:f>XLOOKUP(B111,'Lookup Tables'!$F$3:$F$6,'Lookup Tables'!$H$3:$H$6,0)</x:f>
        <x:v>0.05</x:v>
      </x:c>
      <x:c r="M111" s="12" t="n">
        <x:f>G111-H111</x:f>
        <x:v>494.97</x:v>
      </x:c>
      <x:c r="N111" t="str">
        <x:f>IF(G111&gt;=10000,"High Value","Standard")</x:f>
        <x:v>Standard</x:v>
      </x:c>
      <x:c r="O111" t="str">
        <x:f>IF(M111/G111&gt;=0.40,"Strong Margin","Review Margin")</x:f>
        <x:v>Strong Margin</x:v>
      </x:c>
      <x:c r="P111" t="str">
        <x:f>TEXT(A111,"mmm")</x:f>
        <x:v>May</x:v>
      </x:c>
      <x:c r="Q111" s="12" t="n">
        <x:f>G111*L111</x:f>
        <x:v>56.99700000000001</x:v>
      </x:c>
    </x:row>
    <x:row r="112">
      <x:c r="A112" s="10" t="n">
        <x:v>45804</x:v>
      </x:c>
      <x:c r="B112" t="str">
        <x:v>South</x:v>
      </x:c>
      <x:c r="C112" t="str">
        <x:v>P-1002</x:v>
      </x:c>
      <x:c r="D112" t="str">
        <x:v>Smart Home Hub</x:v>
      </x:c>
      <x:c r="E112" t="str">
        <x:v>Liam Wilson</x:v>
      </x:c>
      <x:c r="F112" t="n">
        <x:v>8</x:v>
      </x:c>
      <x:c r="G112" s="12" t="n">
        <x:v>1599.92</x:v>
      </x:c>
      <x:c r="H112" s="12" t="n">
        <x:v>904.15</x:v>
      </x:c>
      <x:c r="I112" t="str">
        <x:v>Retail</x:v>
      </x:c>
      <x:c r="J112" t="str">
        <x:f>XLOOKUP(C112,'Lookup Tables'!$A$3:$A$12,'Lookup Tables'!$C$3:$C$12,"Not Found")</x:f>
        <x:v>Electronics</x:v>
      </x:c>
      <x:c r="K112" t="str">
        <x:f>XLOOKUP(B112,'Lookup Tables'!$F$3:$F$6,'Lookup Tables'!$G$3:$G$6,"Not Found")</x:f>
        <x:v>Priya Patel</x:v>
      </x:c>
      <x:c r="L112" s="14" t="n">
        <x:f>XLOOKUP(B112,'Lookup Tables'!$F$3:$F$6,'Lookup Tables'!$H$3:$H$6,0)</x:f>
        <x:v>0.05</x:v>
      </x:c>
      <x:c r="M112" s="12" t="n">
        <x:f>G112-H112</x:f>
        <x:v>695.7700000000001</x:v>
      </x:c>
      <x:c r="N112" t="str">
        <x:f>IF(G112&gt;=10000,"High Value","Standard")</x:f>
        <x:v>Standard</x:v>
      </x:c>
      <x:c r="O112" t="str">
        <x:f>IF(M112/G112&gt;=0.40,"Strong Margin","Review Margin")</x:f>
        <x:v>Strong Margin</x:v>
      </x:c>
      <x:c r="P112" t="str">
        <x:f>TEXT(A112,"mmm")</x:f>
        <x:v>May</x:v>
      </x:c>
      <x:c r="Q112" s="12" t="n">
        <x:f>G112*L112</x:f>
        <x:v>79.99600000000001</x:v>
      </x:c>
    </x:row>
    <x:row r="113">
      <x:c r="A113" s="10" t="n">
        <x:v>45804</x:v>
      </x:c>
      <x:c r="B113" t="str">
        <x:v>East</x:v>
      </x:c>
      <x:c r="C113" t="str">
        <x:v>P-1009</x:v>
      </x:c>
      <x:c r="D113" t="str">
        <x:v>Travel Backpack</x:v>
      </x:c>
      <x:c r="E113" t="str">
        <x:v>Ethan Smith</x:v>
      </x:c>
      <x:c r="F113" t="n">
        <x:v>9</x:v>
      </x:c>
      <x:c r="G113" s="12" t="n">
        <x:v>809.91</x:v>
      </x:c>
      <x:c r="H113" s="12" t="n">
        <x:v>385.8</x:v>
      </x:c>
      <x:c r="I113" t="str">
        <x:v>Retail</x:v>
      </x:c>
      <x:c r="J113" t="str">
        <x:f>XLOOKUP(C113,'Lookup Tables'!$A$3:$A$12,'Lookup Tables'!$C$3:$C$12,"Not Found")</x:f>
        <x:v>Accessories</x:v>
      </x:c>
      <x:c r="K113" t="str">
        <x:f>XLOOKUP(B113,'Lookup Tables'!$F$3:$F$6,'Lookup Tables'!$G$3:$G$6,"Not Found")</x:f>
        <x:v>Alicia Morgan</x:v>
      </x:c>
      <x:c r="L113" s="14" t="n">
        <x:f>XLOOKUP(B113,'Lookup Tables'!$F$3:$F$6,'Lookup Tables'!$H$3:$H$6,0)</x:f>
        <x:v>0.04</x:v>
      </x:c>
      <x:c r="M113" s="12" t="n">
        <x:f>G113-H113</x:f>
        <x:v>424.10999999999996</x:v>
      </x:c>
      <x:c r="N113" t="str">
        <x:f>IF(G113&gt;=10000,"High Value","Standard")</x:f>
        <x:v>Standard</x:v>
      </x:c>
      <x:c r="O113" t="str">
        <x:f>IF(M113/G113&gt;=0.40,"Strong Margin","Review Margin")</x:f>
        <x:v>Strong Margin</x:v>
      </x:c>
      <x:c r="P113" t="str">
        <x:f>TEXT(A113,"mmm")</x:f>
        <x:v>May</x:v>
      </x:c>
      <x:c r="Q113" s="12" t="n">
        <x:f>G113*L113</x:f>
        <x:v>32.3964</x:v>
      </x:c>
    </x:row>
    <x:row r="114">
      <x:c r="A114" s="10" t="n">
        <x:v>45809</x:v>
      </x:c>
      <x:c r="B114" t="str">
        <x:v>South</x:v>
      </x:c>
      <x:c r="C114" t="str">
        <x:v>P-1003</x:v>
      </x:c>
      <x:c r="D114" t="str">
        <x:v>Ergonomic Office Chair</x:v>
      </x:c>
      <x:c r="E114" t="str">
        <x:v>Ethan Smith</x:v>
      </x:c>
      <x:c r="F114" t="n">
        <x:v>3</x:v>
      </x:c>
      <x:c r="G114" s="12" t="n">
        <x:v>749.97</x:v>
      </x:c>
      <x:c r="H114" s="12" t="n">
        <x:v>455.73</x:v>
      </x:c>
      <x:c r="I114" t="str">
        <x:v>Retail</x:v>
      </x:c>
      <x:c r="J114" t="str">
        <x:f>XLOOKUP(C114,'Lookup Tables'!$A$3:$A$12,'Lookup Tables'!$C$3:$C$12,"Not Found")</x:f>
        <x:v>Furniture</x:v>
      </x:c>
      <x:c r="K114" t="str">
        <x:f>XLOOKUP(B114,'Lookup Tables'!$F$3:$F$6,'Lookup Tables'!$G$3:$G$6,"Not Found")</x:f>
        <x:v>Priya Patel</x:v>
      </x:c>
      <x:c r="L114" s="14" t="n">
        <x:f>XLOOKUP(B114,'Lookup Tables'!$F$3:$F$6,'Lookup Tables'!$H$3:$H$6,0)</x:f>
        <x:v>0.05</x:v>
      </x:c>
      <x:c r="M114" s="12" t="n">
        <x:f>G114-H114</x:f>
        <x:v>294.24</x:v>
      </x:c>
      <x:c r="N114" t="str">
        <x:f>IF(G114&gt;=10000,"High Value","Standard")</x:f>
        <x:v>Standard</x:v>
      </x:c>
      <x:c r="O114" t="str">
        <x:f>IF(M114/G114&gt;=0.40,"Strong Margin","Review Margin")</x:f>
        <x:v>Review Margin</x:v>
      </x:c>
      <x:c r="P114" t="str">
        <x:f>TEXT(A114,"mmm")</x:f>
        <x:v>Jun</x:v>
      </x:c>
      <x:c r="Q114" s="12" t="n">
        <x:f>G114*L114</x:f>
        <x:v>37.4985</x:v>
      </x:c>
    </x:row>
    <x:row r="115">
      <x:c r="A115" s="10" t="n">
        <x:v>45809</x:v>
      </x:c>
      <x:c r="B115" t="str">
        <x:v>West</x:v>
      </x:c>
      <x:c r="C115" t="str">
        <x:v>P-1006</x:v>
      </x:c>
      <x:c r="D115" t="str">
        <x:v>Air Fryer XL</x:v>
      </x:c>
      <x:c r="E115" t="str">
        <x:v>Ava Davis</x:v>
      </x:c>
      <x:c r="F115" t="n">
        <x:v>12</x:v>
      </x:c>
      <x:c r="G115" s="12" t="n">
        <x:v>1679.88</x:v>
      </x:c>
      <x:c r="H115" s="12" t="n">
        <x:v>872.87</x:v>
      </x:c>
      <x:c r="I115" t="str">
        <x:v>Retail</x:v>
      </x:c>
      <x:c r="J115" t="str">
        <x:f>XLOOKUP(C115,'Lookup Tables'!$A$3:$A$12,'Lookup Tables'!$C$3:$C$12,"Not Found")</x:f>
        <x:v>Home Goods</x:v>
      </x:c>
      <x:c r="K115" t="str">
        <x:f>XLOOKUP(B115,'Lookup Tables'!$F$3:$F$6,'Lookup Tables'!$G$3:$G$6,"Not Found")</x:f>
        <x:v>Daniel Kim</x:v>
      </x:c>
      <x:c r="L115" s="14" t="n">
        <x:f>XLOOKUP(B115,'Lookup Tables'!$F$3:$F$6,'Lookup Tables'!$H$3:$H$6,0)</x:f>
        <x:v>0.045</x:v>
      </x:c>
      <x:c r="M115" s="12" t="n">
        <x:f>G115-H115</x:f>
        <x:v>807.0100000000001</x:v>
      </x:c>
      <x:c r="N115" t="str">
        <x:f>IF(G115&gt;=10000,"High Value","Standard")</x:f>
        <x:v>Standard</x:v>
      </x:c>
      <x:c r="O115" t="str">
        <x:f>IF(M115/G115&gt;=0.40,"Strong Margin","Review Margin")</x:f>
        <x:v>Strong Margin</x:v>
      </x:c>
      <x:c r="P115" t="str">
        <x:f>TEXT(A115,"mmm")</x:f>
        <x:v>Jun</x:v>
      </x:c>
      <x:c r="Q115" s="12" t="n">
        <x:f>G115*L115</x:f>
        <x:v>75.5946</x:v>
      </x:c>
    </x:row>
    <x:row r="116">
      <x:c r="A116" s="10" t="n">
        <x:v>45810</x:v>
      </x:c>
      <x:c r="B116" t="str">
        <x:v>South</x:v>
      </x:c>
      <x:c r="C116" t="str">
        <x:v>P-1005</x:v>
      </x:c>
      <x:c r="D116" t="str">
        <x:v>Stainless Cookware Set</x:v>
      </x:c>
      <x:c r="E116" t="str">
        <x:v>Noah Brown</x:v>
      </x:c>
      <x:c r="F116" t="n">
        <x:v>5</x:v>
      </x:c>
      <x:c r="G116" s="12" t="n">
        <x:v>799.95</x:v>
      </x:c>
      <x:c r="H116" s="12" t="n">
        <x:v>455.18</x:v>
      </x:c>
      <x:c r="I116" t="str">
        <x:v>Retail</x:v>
      </x:c>
      <x:c r="J116" t="str">
        <x:f>XLOOKUP(C116,'Lookup Tables'!$A$3:$A$12,'Lookup Tables'!$C$3:$C$12,"Not Found")</x:f>
        <x:v>Home Goods</x:v>
      </x:c>
      <x:c r="K116" t="str">
        <x:f>XLOOKUP(B116,'Lookup Tables'!$F$3:$F$6,'Lookup Tables'!$G$3:$G$6,"Not Found")</x:f>
        <x:v>Priya Patel</x:v>
      </x:c>
      <x:c r="L116" s="14" t="n">
        <x:f>XLOOKUP(B116,'Lookup Tables'!$F$3:$F$6,'Lookup Tables'!$H$3:$H$6,0)</x:f>
        <x:v>0.05</x:v>
      </x:c>
      <x:c r="M116" s="12" t="n">
        <x:f>G116-H116</x:f>
        <x:v>344.77000000000004</x:v>
      </x:c>
      <x:c r="N116" t="str">
        <x:f>IF(G116&gt;=10000,"High Value","Standard")</x:f>
        <x:v>Standard</x:v>
      </x:c>
      <x:c r="O116" t="str">
        <x:f>IF(M116/G116&gt;=0.40,"Strong Margin","Review Margin")</x:f>
        <x:v>Strong Margin</x:v>
      </x:c>
      <x:c r="P116" t="str">
        <x:f>TEXT(A116,"mmm")</x:f>
        <x:v>Jun</x:v>
      </x:c>
      <x:c r="Q116" s="12" t="n">
        <x:f>G116*L116</x:f>
        <x:v>39.9975</x:v>
      </x:c>
    </x:row>
    <x:row r="117">
      <x:c r="A117" s="10" t="n">
        <x:v>45810</x:v>
      </x:c>
      <x:c r="B117" t="str">
        <x:v>South</x:v>
      </x:c>
      <x:c r="C117" t="str">
        <x:v>P-1006</x:v>
      </x:c>
      <x:c r="D117" t="str">
        <x:v>Air Fryer XL</x:v>
      </x:c>
      <x:c r="E117" t="str">
        <x:v>Benjamin Moore</x:v>
      </x:c>
      <x:c r="F117" t="n">
        <x:v>41</x:v>
      </x:c>
      <x:c r="G117" s="12" t="n">
        <x:v>5395.21</x:v>
      </x:c>
      <x:c r="H117" s="12" t="n">
        <x:v>3171.62</x:v>
      </x:c>
      <x:c r="I117" t="str">
        <x:v>Wholesale</x:v>
      </x:c>
      <x:c r="J117" t="str">
        <x:f>XLOOKUP(C117,'Lookup Tables'!$A$3:$A$12,'Lookup Tables'!$C$3:$C$12,"Not Found")</x:f>
        <x:v>Home Goods</x:v>
      </x:c>
      <x:c r="K117" t="str">
        <x:f>XLOOKUP(B117,'Lookup Tables'!$F$3:$F$6,'Lookup Tables'!$G$3:$G$6,"Not Found")</x:f>
        <x:v>Priya Patel</x:v>
      </x:c>
      <x:c r="L117" s="14" t="n">
        <x:f>XLOOKUP(B117,'Lookup Tables'!$F$3:$F$6,'Lookup Tables'!$H$3:$H$6,0)</x:f>
        <x:v>0.05</x:v>
      </x:c>
      <x:c r="M117" s="12" t="n">
        <x:f>G117-H117</x:f>
        <x:v>2223.59</x:v>
      </x:c>
      <x:c r="N117" t="str">
        <x:f>IF(G117&gt;=10000,"High Value","Standard")</x:f>
        <x:v>Standard</x:v>
      </x:c>
      <x:c r="O117" t="str">
        <x:f>IF(M117/G117&gt;=0.40,"Strong Margin","Review Margin")</x:f>
        <x:v>Strong Margin</x:v>
      </x:c>
      <x:c r="P117" t="str">
        <x:f>TEXT(A117,"mmm")</x:f>
        <x:v>Jun</x:v>
      </x:c>
      <x:c r="Q117" s="12" t="n">
        <x:f>G117*L117</x:f>
        <x:v>269.76050000000004</x:v>
      </x:c>
    </x:row>
    <x:row r="118">
      <x:c r="A118" s="10" t="n">
        <x:v>45811</x:v>
      </x:c>
      <x:c r="B118" t="str">
        <x:v>West</x:v>
      </x:c>
      <x:c r="C118" t="str">
        <x:v>P-1001</x:v>
      </x:c>
      <x:c r="D118" t="str">
        <x:v>Wireless Headphones</x:v>
      </x:c>
      <x:c r="E118" t="str">
        <x:v>Sophia Martinez</x:v>
      </x:c>
      <x:c r="F118" t="n">
        <x:v>81</x:v>
      </x:c>
      <x:c r="G118" s="12" t="n">
        <x:v>9897.44</x:v>
      </x:c>
      <x:c r="H118" s="12" t="n">
        <x:v>5635.6</x:v>
      </x:c>
      <x:c r="I118" t="str">
        <x:v>Wholesale</x:v>
      </x:c>
      <x:c r="J118" t="str">
        <x:f>XLOOKUP(C118,'Lookup Tables'!$A$3:$A$12,'Lookup Tables'!$C$3:$C$12,"Not Found")</x:f>
        <x:v>Electronics</x:v>
      </x:c>
      <x:c r="K118" t="str">
        <x:f>XLOOKUP(B118,'Lookup Tables'!$F$3:$F$6,'Lookup Tables'!$G$3:$G$6,"Not Found")</x:f>
        <x:v>Daniel Kim</x:v>
      </x:c>
      <x:c r="L118" s="14" t="n">
        <x:f>XLOOKUP(B118,'Lookup Tables'!$F$3:$F$6,'Lookup Tables'!$H$3:$H$6,0)</x:f>
        <x:v>0.045</x:v>
      </x:c>
      <x:c r="M118" s="12" t="n">
        <x:f>G118-H118</x:f>
        <x:v>4261.84</x:v>
      </x:c>
      <x:c r="N118" t="str">
        <x:f>IF(G118&gt;=10000,"High Value","Standard")</x:f>
        <x:v>Standard</x:v>
      </x:c>
      <x:c r="O118" t="str">
        <x:f>IF(M118/G118&gt;=0.40,"Strong Margin","Review Margin")</x:f>
        <x:v>Strong Margin</x:v>
      </x:c>
      <x:c r="P118" t="str">
        <x:f>TEXT(A118,"mmm")</x:f>
        <x:v>Jun</x:v>
      </x:c>
      <x:c r="Q118" s="12" t="n">
        <x:f>G118*L118</x:f>
        <x:v>445.3848</x:v>
      </x:c>
    </x:row>
    <x:row r="119">
      <x:c r="A119" s="10" t="n">
        <x:v>45815</x:v>
      </x:c>
      <x:c r="B119" t="str">
        <x:v>East</x:v>
      </x:c>
      <x:c r="C119" t="str">
        <x:v>P-1002</x:v>
      </x:c>
      <x:c r="D119" t="str">
        <x:v>Smart Home Hub</x:v>
      </x:c>
      <x:c r="E119" t="str">
        <x:v>James Anderson</x:v>
      </x:c>
      <x:c r="F119" t="n">
        <x:v>36</x:v>
      </x:c>
      <x:c r="G119" s="12" t="n">
        <x:v>6767.66</x:v>
      </x:c>
      <x:c r="H119" s="12" t="n">
        <x:v>4151.9</x:v>
      </x:c>
      <x:c r="I119" t="str">
        <x:v>Wholesale</x:v>
      </x:c>
      <x:c r="J119" t="str">
        <x:f>XLOOKUP(C119,'Lookup Tables'!$A$3:$A$12,'Lookup Tables'!$C$3:$C$12,"Not Found")</x:f>
        <x:v>Electronics</x:v>
      </x:c>
      <x:c r="K119" t="str">
        <x:f>XLOOKUP(B119,'Lookup Tables'!$F$3:$F$6,'Lookup Tables'!$G$3:$G$6,"Not Found")</x:f>
        <x:v>Alicia Morgan</x:v>
      </x:c>
      <x:c r="L119" s="14" t="n">
        <x:f>XLOOKUP(B119,'Lookup Tables'!$F$3:$F$6,'Lookup Tables'!$H$3:$H$6,0)</x:f>
        <x:v>0.04</x:v>
      </x:c>
      <x:c r="M119" s="12" t="n">
        <x:f>G119-H119</x:f>
        <x:v>2615.76</x:v>
      </x:c>
      <x:c r="N119" t="str">
        <x:f>IF(G119&gt;=10000,"High Value","Standard")</x:f>
        <x:v>Standard</x:v>
      </x:c>
      <x:c r="O119" t="str">
        <x:f>IF(M119/G119&gt;=0.40,"Strong Margin","Review Margin")</x:f>
        <x:v>Review Margin</x:v>
      </x:c>
      <x:c r="P119" t="str">
        <x:f>TEXT(A119,"mmm")</x:f>
        <x:v>Jun</x:v>
      </x:c>
      <x:c r="Q119" s="12" t="n">
        <x:f>G119*L119</x:f>
        <x:v>270.7064</x:v>
      </x:c>
    </x:row>
    <x:row r="120">
      <x:c r="A120" s="10" t="n">
        <x:v>45815</x:v>
      </x:c>
      <x:c r="B120" t="str">
        <x:v>West</x:v>
      </x:c>
      <x:c r="C120" t="str">
        <x:v>P-1007</x:v>
      </x:c>
      <x:c r="D120" t="str">
        <x:v>Fitness Tracker</x:v>
      </x:c>
      <x:c r="E120" t="str">
        <x:v>Ethan Smith</x:v>
      </x:c>
      <x:c r="F120" t="n">
        <x:v>4</x:v>
      </x:c>
      <x:c r="G120" s="12" t="n">
        <x:v>479.96</x:v>
      </x:c>
      <x:c r="H120" s="12" t="n">
        <x:v>244.56</x:v>
      </x:c>
      <x:c r="I120" t="str">
        <x:v>Retail</x:v>
      </x:c>
      <x:c r="J120" t="str">
        <x:f>XLOOKUP(C120,'Lookup Tables'!$A$3:$A$12,'Lookup Tables'!$C$3:$C$12,"Not Found")</x:f>
        <x:v>Fitness</x:v>
      </x:c>
      <x:c r="K120" t="str">
        <x:f>XLOOKUP(B120,'Lookup Tables'!$F$3:$F$6,'Lookup Tables'!$G$3:$G$6,"Not Found")</x:f>
        <x:v>Daniel Kim</x:v>
      </x:c>
      <x:c r="L120" s="14" t="n">
        <x:f>XLOOKUP(B120,'Lookup Tables'!$F$3:$F$6,'Lookup Tables'!$H$3:$H$6,0)</x:f>
        <x:v>0.045</x:v>
      </x:c>
      <x:c r="M120" s="12" t="n">
        <x:f>G120-H120</x:f>
        <x:v>235.39999999999998</x:v>
      </x:c>
      <x:c r="N120" t="str">
        <x:f>IF(G120&gt;=10000,"High Value","Standard")</x:f>
        <x:v>Standard</x:v>
      </x:c>
      <x:c r="O120" t="str">
        <x:f>IF(M120/G120&gt;=0.40,"Strong Margin","Review Margin")</x:f>
        <x:v>Strong Margin</x:v>
      </x:c>
      <x:c r="P120" t="str">
        <x:f>TEXT(A120,"mmm")</x:f>
        <x:v>Jun</x:v>
      </x:c>
      <x:c r="Q120" s="12" t="n">
        <x:f>G120*L120</x:f>
        <x:v>21.5982</x:v>
      </x:c>
    </x:row>
    <x:row r="121">
      <x:c r="A121" s="10" t="n">
        <x:v>45816</x:v>
      </x:c>
      <x:c r="B121" t="str">
        <x:v>South</x:v>
      </x:c>
      <x:c r="C121" t="str">
        <x:v>P-1006</x:v>
      </x:c>
      <x:c r="D121" t="str">
        <x:v>Air Fryer XL</x:v>
      </x:c>
      <x:c r="E121" t="str">
        <x:v>Liam Wilson</x:v>
      </x:c>
      <x:c r="F121" t="n">
        <x:v>45</x:v>
      </x:c>
      <x:c r="G121" s="12" t="n">
        <x:v>5921.58</x:v>
      </x:c>
      <x:c r="H121" s="12" t="n">
        <x:v>3419.68</x:v>
      </x:c>
      <x:c r="I121" t="str">
        <x:v>Wholesale</x:v>
      </x:c>
      <x:c r="J121" t="str">
        <x:f>XLOOKUP(C121,'Lookup Tables'!$A$3:$A$12,'Lookup Tables'!$C$3:$C$12,"Not Found")</x:f>
        <x:v>Home Goods</x:v>
      </x:c>
      <x:c r="K121" t="str">
        <x:f>XLOOKUP(B121,'Lookup Tables'!$F$3:$F$6,'Lookup Tables'!$G$3:$G$6,"Not Found")</x:f>
        <x:v>Priya Patel</x:v>
      </x:c>
      <x:c r="L121" s="14" t="n">
        <x:f>XLOOKUP(B121,'Lookup Tables'!$F$3:$F$6,'Lookup Tables'!$H$3:$H$6,0)</x:f>
        <x:v>0.05</x:v>
      </x:c>
      <x:c r="M121" s="12" t="n">
        <x:f>G121-H121</x:f>
        <x:v>2501.9</x:v>
      </x:c>
      <x:c r="N121" t="str">
        <x:f>IF(G121&gt;=10000,"High Value","Standard")</x:f>
        <x:v>Standard</x:v>
      </x:c>
      <x:c r="O121" t="str">
        <x:f>IF(M121/G121&gt;=0.40,"Strong Margin","Review Margin")</x:f>
        <x:v>Strong Margin</x:v>
      </x:c>
      <x:c r="P121" t="str">
        <x:f>TEXT(A121,"mmm")</x:f>
        <x:v>Jun</x:v>
      </x:c>
      <x:c r="Q121" s="12" t="n">
        <x:f>G121*L121</x:f>
        <x:v>296.079</x:v>
      </x:c>
    </x:row>
    <x:row r="122">
      <x:c r="A122" s="10" t="n">
        <x:v>45818</x:v>
      </x:c>
      <x:c r="B122" t="str">
        <x:v>East</x:v>
      </x:c>
      <x:c r="C122" t="str">
        <x:v>P-1005</x:v>
      </x:c>
      <x:c r="D122" t="str">
        <x:v>Stainless Cookware Set</x:v>
      </x:c>
      <x:c r="E122" t="str">
        <x:v>Isabella Taylor</x:v>
      </x:c>
      <x:c r="F122" t="n">
        <x:v>19</x:v>
      </x:c>
      <x:c r="G122" s="12" t="n">
        <x:v>2857.42</x:v>
      </x:c>
      <x:c r="H122" s="12" t="n">
        <x:v>1698</x:v>
      </x:c>
      <x:c r="I122" t="str">
        <x:v>Wholesale</x:v>
      </x:c>
      <x:c r="J122" t="str">
        <x:f>XLOOKUP(C122,'Lookup Tables'!$A$3:$A$12,'Lookup Tables'!$C$3:$C$12,"Not Found")</x:f>
        <x:v>Home Goods</x:v>
      </x:c>
      <x:c r="K122" t="str">
        <x:f>XLOOKUP(B122,'Lookup Tables'!$F$3:$F$6,'Lookup Tables'!$G$3:$G$6,"Not Found")</x:f>
        <x:v>Alicia Morgan</x:v>
      </x:c>
      <x:c r="L122" s="14" t="n">
        <x:f>XLOOKUP(B122,'Lookup Tables'!$F$3:$F$6,'Lookup Tables'!$H$3:$H$6,0)</x:f>
        <x:v>0.04</x:v>
      </x:c>
      <x:c r="M122" s="12" t="n">
        <x:f>G122-H122</x:f>
        <x:v>1159.42</x:v>
      </x:c>
      <x:c r="N122" t="str">
        <x:f>IF(G122&gt;=10000,"High Value","Standard")</x:f>
        <x:v>Standard</x:v>
      </x:c>
      <x:c r="O122" t="str">
        <x:f>IF(M122/G122&gt;=0.40,"Strong Margin","Review Margin")</x:f>
        <x:v>Strong Margin</x:v>
      </x:c>
      <x:c r="P122" t="str">
        <x:f>TEXT(A122,"mmm")</x:f>
        <x:v>Jun</x:v>
      </x:c>
      <x:c r="Q122" s="12" t="n">
        <x:f>G122*L122</x:f>
        <x:v>114.2968</x:v>
      </x:c>
    </x:row>
    <x:row r="123">
      <x:c r="A123" s="10" t="n">
        <x:v>45818</x:v>
      </x:c>
      <x:c r="B123" t="str">
        <x:v>East</x:v>
      </x:c>
      <x:c r="C123" t="str">
        <x:v>P-1002</x:v>
      </x:c>
      <x:c r="D123" t="str">
        <x:v>Smart Home Hub</x:v>
      </x:c>
      <x:c r="E123" t="str">
        <x:v>Isabella Taylor</x:v>
      </x:c>
      <x:c r="F123" t="n">
        <x:v>7</x:v>
      </x:c>
      <x:c r="G123" s="12" t="n">
        <x:v>1399.93</x:v>
      </x:c>
      <x:c r="H123" s="12" t="n">
        <x:v>759.45</x:v>
      </x:c>
      <x:c r="I123" t="str">
        <x:v>Retail</x:v>
      </x:c>
      <x:c r="J123" t="str">
        <x:f>XLOOKUP(C123,'Lookup Tables'!$A$3:$A$12,'Lookup Tables'!$C$3:$C$12,"Not Found")</x:f>
        <x:v>Electronics</x:v>
      </x:c>
      <x:c r="K123" t="str">
        <x:f>XLOOKUP(B123,'Lookup Tables'!$F$3:$F$6,'Lookup Tables'!$G$3:$G$6,"Not Found")</x:f>
        <x:v>Alicia Morgan</x:v>
      </x:c>
      <x:c r="L123" s="14" t="n">
        <x:f>XLOOKUP(B123,'Lookup Tables'!$F$3:$F$6,'Lookup Tables'!$H$3:$H$6,0)</x:f>
        <x:v>0.04</x:v>
      </x:c>
      <x:c r="M123" s="12" t="n">
        <x:f>G123-H123</x:f>
        <x:v>640.48</x:v>
      </x:c>
      <x:c r="N123" t="str">
        <x:f>IF(G123&gt;=10000,"High Value","Standard")</x:f>
        <x:v>Standard</x:v>
      </x:c>
      <x:c r="O123" t="str">
        <x:f>IF(M123/G123&gt;=0.40,"Strong Margin","Review Margin")</x:f>
        <x:v>Strong Margin</x:v>
      </x:c>
      <x:c r="P123" t="str">
        <x:f>TEXT(A123,"mmm")</x:f>
        <x:v>Jun</x:v>
      </x:c>
      <x:c r="Q123" s="12" t="n">
        <x:f>G123*L123</x:f>
        <x:v>55.99720000000001</x:v>
      </x:c>
    </x:row>
    <x:row r="124">
      <x:c r="A124" s="10" t="n">
        <x:v>45822</x:v>
      </x:c>
      <x:c r="B124" t="str">
        <x:v>South</x:v>
      </x:c>
      <x:c r="C124" t="str">
        <x:v>P-1003</x:v>
      </x:c>
      <x:c r="D124" t="str">
        <x:v>Ergonomic Office Chair</x:v>
      </x:c>
      <x:c r="E124" t="str">
        <x:v>Isabella Taylor</x:v>
      </x:c>
      <x:c r="F124" t="n">
        <x:v>6</x:v>
      </x:c>
      <x:c r="G124" s="12" t="n">
        <x:v>1499.94</x:v>
      </x:c>
      <x:c r="H124" s="12" t="n">
        <x:v>883.83</x:v>
      </x:c>
      <x:c r="I124" t="str">
        <x:v>Retail</x:v>
      </x:c>
      <x:c r="J124" t="str">
        <x:f>XLOOKUP(C124,'Lookup Tables'!$A$3:$A$12,'Lookup Tables'!$C$3:$C$12,"Not Found")</x:f>
        <x:v>Furniture</x:v>
      </x:c>
      <x:c r="K124" t="str">
        <x:f>XLOOKUP(B124,'Lookup Tables'!$F$3:$F$6,'Lookup Tables'!$G$3:$G$6,"Not Found")</x:f>
        <x:v>Priya Patel</x:v>
      </x:c>
      <x:c r="L124" s="14" t="n">
        <x:f>XLOOKUP(B124,'Lookup Tables'!$F$3:$F$6,'Lookup Tables'!$H$3:$H$6,0)</x:f>
        <x:v>0.05</x:v>
      </x:c>
      <x:c r="M124" s="12" t="n">
        <x:f>G124-H124</x:f>
        <x:v>616.11</x:v>
      </x:c>
      <x:c r="N124" t="str">
        <x:f>IF(G124&gt;=10000,"High Value","Standard")</x:f>
        <x:v>Standard</x:v>
      </x:c>
      <x:c r="O124" t="str">
        <x:f>IF(M124/G124&gt;=0.40,"Strong Margin","Review Margin")</x:f>
        <x:v>Strong Margin</x:v>
      </x:c>
      <x:c r="P124" t="str">
        <x:f>TEXT(A124,"mmm")</x:f>
        <x:v>Jun</x:v>
      </x:c>
      <x:c r="Q124" s="12" t="n">
        <x:f>G124*L124</x:f>
        <x:v>74.997</x:v>
      </x:c>
    </x:row>
    <x:row r="125">
      <x:c r="A125" s="10" t="n">
        <x:v>45823</x:v>
      </x:c>
      <x:c r="B125" t="str">
        <x:v>Midwest</x:v>
      </x:c>
      <x:c r="C125" t="str">
        <x:v>P-1008</x:v>
      </x:c>
      <x:c r="D125" t="str">
        <x:v>Yoga Starter Kit</x:v>
      </x:c>
      <x:c r="E125" t="str">
        <x:v>Ethan Smith</x:v>
      </x:c>
      <x:c r="F125" t="n">
        <x:v>4</x:v>
      </x:c>
      <x:c r="G125" s="12" t="n">
        <x:v>239.96</x:v>
      </x:c>
      <x:c r="H125" s="12" t="n">
        <x:v>97.2</x:v>
      </x:c>
      <x:c r="I125" t="str">
        <x:v>Retail</x:v>
      </x:c>
      <x:c r="J125" t="str">
        <x:f>XLOOKUP(C125,'Lookup Tables'!$A$3:$A$12,'Lookup Tables'!$C$3:$C$12,"Not Found")</x:f>
        <x:v>Fitness</x:v>
      </x:c>
      <x:c r="K125" t="str">
        <x:f>XLOOKUP(B125,'Lookup Tables'!$F$3:$F$6,'Lookup Tables'!$G$3:$G$6,"Not Found")</x:f>
        <x:v>Marcus Reed</x:v>
      </x:c>
      <x:c r="L125" s="14" t="n">
        <x:f>XLOOKUP(B125,'Lookup Tables'!$F$3:$F$6,'Lookup Tables'!$H$3:$H$6,0)</x:f>
        <x:v>0.035</x:v>
      </x:c>
      <x:c r="M125" s="12" t="n">
        <x:f>G125-H125</x:f>
        <x:v>142.76</x:v>
      </x:c>
      <x:c r="N125" t="str">
        <x:f>IF(G125&gt;=10000,"High Value","Standard")</x:f>
        <x:v>Standard</x:v>
      </x:c>
      <x:c r="O125" t="str">
        <x:f>IF(M125/G125&gt;=0.40,"Strong Margin","Review Margin")</x:f>
        <x:v>Strong Margin</x:v>
      </x:c>
      <x:c r="P125" t="str">
        <x:f>TEXT(A125,"mmm")</x:f>
        <x:v>Jun</x:v>
      </x:c>
      <x:c r="Q125" s="12" t="n">
        <x:f>G125*L125</x:f>
        <x:v>8.398600000000002</x:v>
      </x:c>
    </x:row>
    <x:row r="126">
      <x:c r="A126" s="10" t="n">
        <x:v>45823</x:v>
      </x:c>
      <x:c r="B126" t="str">
        <x:v>Midwest</x:v>
      </x:c>
      <x:c r="C126" t="str">
        <x:v>P-1006</x:v>
      </x:c>
      <x:c r="D126" t="str">
        <x:v>Air Fryer XL</x:v>
      </x:c>
      <x:c r="E126" t="str">
        <x:v>Olivia Garcia</x:v>
      </x:c>
      <x:c r="F126" t="n">
        <x:v>6</x:v>
      </x:c>
      <x:c r="G126" s="12" t="n">
        <x:v>839.94</x:v>
      </x:c>
      <x:c r="H126" s="12" t="n">
        <x:v>444.53</x:v>
      </x:c>
      <x:c r="I126" t="str">
        <x:v>Retail</x:v>
      </x:c>
      <x:c r="J126" t="str">
        <x:f>XLOOKUP(C126,'Lookup Tables'!$A$3:$A$12,'Lookup Tables'!$C$3:$C$12,"Not Found")</x:f>
        <x:v>Home Goods</x:v>
      </x:c>
      <x:c r="K126" t="str">
        <x:f>XLOOKUP(B126,'Lookup Tables'!$F$3:$F$6,'Lookup Tables'!$G$3:$G$6,"Not Found")</x:f>
        <x:v>Marcus Reed</x:v>
      </x:c>
      <x:c r="L126" s="14" t="n">
        <x:f>XLOOKUP(B126,'Lookup Tables'!$F$3:$F$6,'Lookup Tables'!$H$3:$H$6,0)</x:f>
        <x:v>0.035</x:v>
      </x:c>
      <x:c r="M126" s="12" t="n">
        <x:f>G126-H126</x:f>
        <x:v>395.4100000000001</x:v>
      </x:c>
      <x:c r="N126" t="str">
        <x:f>IF(G126&gt;=10000,"High Value","Standard")</x:f>
        <x:v>Standard</x:v>
      </x:c>
      <x:c r="O126" t="str">
        <x:f>IF(M126/G126&gt;=0.40,"Strong Margin","Review Margin")</x:f>
        <x:v>Strong Margin</x:v>
      </x:c>
      <x:c r="P126" t="str">
        <x:f>TEXT(A126,"mmm")</x:f>
        <x:v>Jun</x:v>
      </x:c>
      <x:c r="Q126" s="12" t="n">
        <x:f>G126*L126</x:f>
        <x:v>29.397900000000003</x:v>
      </x:c>
    </x:row>
    <x:row r="127">
      <x:c r="A127" s="10" t="n">
        <x:v>45824</x:v>
      </x:c>
      <x:c r="B127" t="str">
        <x:v>South</x:v>
      </x:c>
      <x:c r="C127" t="str">
        <x:v>P-1007</x:v>
      </x:c>
      <x:c r="D127" t="str">
        <x:v>Fitness Tracker</x:v>
      </x:c>
      <x:c r="E127" t="str">
        <x:v>Noah Brown</x:v>
      </x:c>
      <x:c r="F127" t="n">
        <x:v>31</x:v>
      </x:c>
      <x:c r="G127" s="12" t="n">
        <x:v>3496.51</x:v>
      </x:c>
      <x:c r="H127" s="12" t="n">
        <x:v>1850.27</x:v>
      </x:c>
      <x:c r="I127" t="str">
        <x:v>Wholesale</x:v>
      </x:c>
      <x:c r="J127" t="str">
        <x:f>XLOOKUP(C127,'Lookup Tables'!$A$3:$A$12,'Lookup Tables'!$C$3:$C$12,"Not Found")</x:f>
        <x:v>Fitness</x:v>
      </x:c>
      <x:c r="K127" t="str">
        <x:f>XLOOKUP(B127,'Lookup Tables'!$F$3:$F$6,'Lookup Tables'!$G$3:$G$6,"Not Found")</x:f>
        <x:v>Priya Patel</x:v>
      </x:c>
      <x:c r="L127" s="14" t="n">
        <x:f>XLOOKUP(B127,'Lookup Tables'!$F$3:$F$6,'Lookup Tables'!$H$3:$H$6,0)</x:f>
        <x:v>0.05</x:v>
      </x:c>
      <x:c r="M127" s="12" t="n">
        <x:f>G127-H127</x:f>
        <x:v>1646.2400000000002</x:v>
      </x:c>
      <x:c r="N127" t="str">
        <x:f>IF(G127&gt;=10000,"High Value","Standard")</x:f>
        <x:v>Standard</x:v>
      </x:c>
      <x:c r="O127" t="str">
        <x:f>IF(M127/G127&gt;=0.40,"Strong Margin","Review Margin")</x:f>
        <x:v>Strong Margin</x:v>
      </x:c>
      <x:c r="P127" t="str">
        <x:f>TEXT(A127,"mmm")</x:f>
        <x:v>Jun</x:v>
      </x:c>
      <x:c r="Q127" s="12" t="n">
        <x:f>G127*L127</x:f>
        <x:v>174.82550000000003</x:v>
      </x:c>
    </x:row>
    <x:row r="128">
      <x:c r="A128" s="10" t="n">
        <x:v>45825</x:v>
      </x:c>
      <x:c r="B128" t="str">
        <x:v>West</x:v>
      </x:c>
      <x:c r="C128" t="str">
        <x:v>P-1003</x:v>
      </x:c>
      <x:c r="D128" t="str">
        <x:v>Ergonomic Office Chair</x:v>
      </x:c>
      <x:c r="E128" t="str">
        <x:v>Olivia Garcia</x:v>
      </x:c>
      <x:c r="F128" t="n">
        <x:v>16</x:v>
      </x:c>
      <x:c r="G128" s="12" t="n">
        <x:v>3999.84</x:v>
      </x:c>
      <x:c r="H128" s="12" t="n">
        <x:v>2383.6</x:v>
      </x:c>
      <x:c r="I128" t="str">
        <x:v>Retail</x:v>
      </x:c>
      <x:c r="J128" t="str">
        <x:f>XLOOKUP(C128,'Lookup Tables'!$A$3:$A$12,'Lookup Tables'!$C$3:$C$12,"Not Found")</x:f>
        <x:v>Furniture</x:v>
      </x:c>
      <x:c r="K128" t="str">
        <x:f>XLOOKUP(B128,'Lookup Tables'!$F$3:$F$6,'Lookup Tables'!$G$3:$G$6,"Not Found")</x:f>
        <x:v>Daniel Kim</x:v>
      </x:c>
      <x:c r="L128" s="14" t="n">
        <x:f>XLOOKUP(B128,'Lookup Tables'!$F$3:$F$6,'Lookup Tables'!$H$3:$H$6,0)</x:f>
        <x:v>0.045</x:v>
      </x:c>
      <x:c r="M128" s="12" t="n">
        <x:f>G128-H128</x:f>
        <x:v>1616.2400000000002</x:v>
      </x:c>
      <x:c r="N128" t="str">
        <x:f>IF(G128&gt;=10000,"High Value","Standard")</x:f>
        <x:v>Standard</x:v>
      </x:c>
      <x:c r="O128" t="str">
        <x:f>IF(M128/G128&gt;=0.40,"Strong Margin","Review Margin")</x:f>
        <x:v>Strong Margin</x:v>
      </x:c>
      <x:c r="P128" t="str">
        <x:f>TEXT(A128,"mmm")</x:f>
        <x:v>Jun</x:v>
      </x:c>
      <x:c r="Q128" s="12" t="n">
        <x:f>G128*L128</x:f>
        <x:v>179.9928</x:v>
      </x:c>
    </x:row>
    <x:row r="129">
      <x:c r="A129" s="10" t="n">
        <x:v>45825</x:v>
      </x:c>
      <x:c r="B129" t="str">
        <x:v>Midwest</x:v>
      </x:c>
      <x:c r="C129" t="str">
        <x:v>P-1003</x:v>
      </x:c>
      <x:c r="D129" t="str">
        <x:v>Ergonomic Office Chair</x:v>
      </x:c>
      <x:c r="E129" t="str">
        <x:v>Ava Davis</x:v>
      </x:c>
      <x:c r="F129" t="n">
        <x:v>28</x:v>
      </x:c>
      <x:c r="G129" s="12" t="n">
        <x:v>6579.74</x:v>
      </x:c>
      <x:c r="H129" s="12" t="n">
        <x:v>4122.98</x:v>
      </x:c>
      <x:c r="I129" t="str">
        <x:v>Wholesale</x:v>
      </x:c>
      <x:c r="J129" t="str">
        <x:f>XLOOKUP(C129,'Lookup Tables'!$A$3:$A$12,'Lookup Tables'!$C$3:$C$12,"Not Found")</x:f>
        <x:v>Furniture</x:v>
      </x:c>
      <x:c r="K129" t="str">
        <x:f>XLOOKUP(B129,'Lookup Tables'!$F$3:$F$6,'Lookup Tables'!$G$3:$G$6,"Not Found")</x:f>
        <x:v>Marcus Reed</x:v>
      </x:c>
      <x:c r="L129" s="14" t="n">
        <x:f>XLOOKUP(B129,'Lookup Tables'!$F$3:$F$6,'Lookup Tables'!$H$3:$H$6,0)</x:f>
        <x:v>0.035</x:v>
      </x:c>
      <x:c r="M129" s="12" t="n">
        <x:f>G129-H129</x:f>
        <x:v>2456.76</x:v>
      </x:c>
      <x:c r="N129" t="str">
        <x:f>IF(G129&gt;=10000,"High Value","Standard")</x:f>
        <x:v>Standard</x:v>
      </x:c>
      <x:c r="O129" t="str">
        <x:f>IF(M129/G129&gt;=0.40,"Strong Margin","Review Margin")</x:f>
        <x:v>Review Margin</x:v>
      </x:c>
      <x:c r="P129" t="str">
        <x:f>TEXT(A129,"mmm")</x:f>
        <x:v>Jun</x:v>
      </x:c>
      <x:c r="Q129" s="12" t="n">
        <x:f>G129*L129</x:f>
        <x:v>230.29090000000002</x:v>
      </x:c>
    </x:row>
    <x:row r="130">
      <x:c r="A130" s="10" t="n">
        <x:v>45825</x:v>
      </x:c>
      <x:c r="B130" t="str">
        <x:v>East</x:v>
      </x:c>
      <x:c r="C130" t="str">
        <x:v>P-1002</x:v>
      </x:c>
      <x:c r="D130" t="str">
        <x:v>Smart Home Hub</x:v>
      </x:c>
      <x:c r="E130" t="str">
        <x:v>Lucas Miller</x:v>
      </x:c>
      <x:c r="F130" t="n">
        <x:v>8</x:v>
      </x:c>
      <x:c r="G130" s="12" t="n">
        <x:v>1599.92</x:v>
      </x:c>
      <x:c r="H130" s="12" t="n">
        <x:v>885.53</x:v>
      </x:c>
      <x:c r="I130" t="str">
        <x:v>Retail</x:v>
      </x:c>
      <x:c r="J130" t="str">
        <x:f>XLOOKUP(C130,'Lookup Tables'!$A$3:$A$12,'Lookup Tables'!$C$3:$C$12,"Not Found")</x:f>
        <x:v>Electronics</x:v>
      </x:c>
      <x:c r="K130" t="str">
        <x:f>XLOOKUP(B130,'Lookup Tables'!$F$3:$F$6,'Lookup Tables'!$G$3:$G$6,"Not Found")</x:f>
        <x:v>Alicia Morgan</x:v>
      </x:c>
      <x:c r="L130" s="14" t="n">
        <x:f>XLOOKUP(B130,'Lookup Tables'!$F$3:$F$6,'Lookup Tables'!$H$3:$H$6,0)</x:f>
        <x:v>0.04</x:v>
      </x:c>
      <x:c r="M130" s="12" t="n">
        <x:f>G130-H130</x:f>
        <x:v>714.3900000000001</x:v>
      </x:c>
      <x:c r="N130" t="str">
        <x:f>IF(G130&gt;=10000,"High Value","Standard")</x:f>
        <x:v>Standard</x:v>
      </x:c>
      <x:c r="O130" t="str">
        <x:f>IF(M130/G130&gt;=0.40,"Strong Margin","Review Margin")</x:f>
        <x:v>Strong Margin</x:v>
      </x:c>
      <x:c r="P130" t="str">
        <x:f>TEXT(A130,"mmm")</x:f>
        <x:v>Jun</x:v>
      </x:c>
      <x:c r="Q130" s="12" t="n">
        <x:f>G130*L130</x:f>
        <x:v>63.99680000000001</x:v>
      </x:c>
    </x:row>
    <x:row r="131">
      <x:c r="A131" s="10" t="n">
        <x:v>45826</x:v>
      </x:c>
      <x:c r="B131" t="str">
        <x:v>Midwest</x:v>
      </x:c>
      <x:c r="C131" t="str">
        <x:v>P-1008</x:v>
      </x:c>
      <x:c r="D131" t="str">
        <x:v>Yoga Starter Kit</x:v>
      </x:c>
      <x:c r="E131" t="str">
        <x:v>Ava Davis</x:v>
      </x:c>
      <x:c r="F131" t="n">
        <x:v>26</x:v>
      </x:c>
      <x:c r="G131" s="12" t="n">
        <x:v>1466.16</x:v>
      </x:c>
      <x:c r="H131" s="12" t="n">
        <x:v>613.09</x:v>
      </x:c>
      <x:c r="I131" t="str">
        <x:v>Wholesale</x:v>
      </x:c>
      <x:c r="J131" t="str">
        <x:f>XLOOKUP(C131,'Lookup Tables'!$A$3:$A$12,'Lookup Tables'!$C$3:$C$12,"Not Found")</x:f>
        <x:v>Fitness</x:v>
      </x:c>
      <x:c r="K131" t="str">
        <x:f>XLOOKUP(B131,'Lookup Tables'!$F$3:$F$6,'Lookup Tables'!$G$3:$G$6,"Not Found")</x:f>
        <x:v>Marcus Reed</x:v>
      </x:c>
      <x:c r="L131" s="14" t="n">
        <x:f>XLOOKUP(B131,'Lookup Tables'!$F$3:$F$6,'Lookup Tables'!$H$3:$H$6,0)</x:f>
        <x:v>0.035</x:v>
      </x:c>
      <x:c r="M131" s="12" t="n">
        <x:f>G131-H131</x:f>
        <x:v>853.07</x:v>
      </x:c>
      <x:c r="N131" t="str">
        <x:f>IF(G131&gt;=10000,"High Value","Standard")</x:f>
        <x:v>Standard</x:v>
      </x:c>
      <x:c r="O131" t="str">
        <x:f>IF(M131/G131&gt;=0.40,"Strong Margin","Review Margin")</x:f>
        <x:v>Strong Margin</x:v>
      </x:c>
      <x:c r="P131" t="str">
        <x:f>TEXT(A131,"mmm")</x:f>
        <x:v>Jun</x:v>
      </x:c>
      <x:c r="Q131" s="12" t="n">
        <x:f>G131*L131</x:f>
        <x:v>51.31560000000001</x:v>
      </x:c>
    </x:row>
    <x:row r="132">
      <x:c r="A132" s="10" t="n">
        <x:v>45826</x:v>
      </x:c>
      <x:c r="B132" t="str">
        <x:v>West</x:v>
      </x:c>
      <x:c r="C132" t="str">
        <x:v>P-1007</x:v>
      </x:c>
      <x:c r="D132" t="str">
        <x:v>Fitness Tracker</x:v>
      </x:c>
      <x:c r="E132" t="str">
        <x:v>Maya Johnson</x:v>
      </x:c>
      <x:c r="F132" t="n">
        <x:v>8</x:v>
      </x:c>
      <x:c r="G132" s="12" t="n">
        <x:v>959.92</x:v>
      </x:c>
      <x:c r="H132" s="12" t="n">
        <x:v>472.49</x:v>
      </x:c>
      <x:c r="I132" t="str">
        <x:v>Retail</x:v>
      </x:c>
      <x:c r="J132" t="str">
        <x:f>XLOOKUP(C132,'Lookup Tables'!$A$3:$A$12,'Lookup Tables'!$C$3:$C$12,"Not Found")</x:f>
        <x:v>Fitness</x:v>
      </x:c>
      <x:c r="K132" t="str">
        <x:f>XLOOKUP(B132,'Lookup Tables'!$F$3:$F$6,'Lookup Tables'!$G$3:$G$6,"Not Found")</x:f>
        <x:v>Daniel Kim</x:v>
      </x:c>
      <x:c r="L132" s="14" t="n">
        <x:f>XLOOKUP(B132,'Lookup Tables'!$F$3:$F$6,'Lookup Tables'!$H$3:$H$6,0)</x:f>
        <x:v>0.045</x:v>
      </x:c>
      <x:c r="M132" s="12" t="n">
        <x:f>G132-H132</x:f>
        <x:v>487.42999999999995</x:v>
      </x:c>
      <x:c r="N132" t="str">
        <x:f>IF(G132&gt;=10000,"High Value","Standard")</x:f>
        <x:v>Standard</x:v>
      </x:c>
      <x:c r="O132" t="str">
        <x:f>IF(M132/G132&gt;=0.40,"Strong Margin","Review Margin")</x:f>
        <x:v>Strong Margin</x:v>
      </x:c>
      <x:c r="P132" t="str">
        <x:f>TEXT(A132,"mmm")</x:f>
        <x:v>Jun</x:v>
      </x:c>
      <x:c r="Q132" s="12" t="n">
        <x:f>G132*L132</x:f>
        <x:v>43.1964</x:v>
      </x:c>
    </x:row>
    <x:row r="133">
      <x:c r="A133" s="10" t="n">
        <x:v>45827</x:v>
      </x:c>
      <x:c r="B133" t="str">
        <x:v>East</x:v>
      </x:c>
      <x:c r="C133" t="str">
        <x:v>P-1002</x:v>
      </x:c>
      <x:c r="D133" t="str">
        <x:v>Smart Home Hub</x:v>
      </x:c>
      <x:c r="E133" t="str">
        <x:v>Mia Thomas</x:v>
      </x:c>
      <x:c r="F133" t="n">
        <x:v>10</x:v>
      </x:c>
      <x:c r="G133" s="12" t="n">
        <x:v>1999.9</x:v>
      </x:c>
      <x:c r="H133" s="12" t="n">
        <x:v>1150.03</x:v>
      </x:c>
      <x:c r="I133" t="str">
        <x:v>Retail</x:v>
      </x:c>
      <x:c r="J133" t="str">
        <x:f>XLOOKUP(C133,'Lookup Tables'!$A$3:$A$12,'Lookup Tables'!$C$3:$C$12,"Not Found")</x:f>
        <x:v>Electronics</x:v>
      </x:c>
      <x:c r="K133" t="str">
        <x:f>XLOOKUP(B133,'Lookup Tables'!$F$3:$F$6,'Lookup Tables'!$G$3:$G$6,"Not Found")</x:f>
        <x:v>Alicia Morgan</x:v>
      </x:c>
      <x:c r="L133" s="14" t="n">
        <x:f>XLOOKUP(B133,'Lookup Tables'!$F$3:$F$6,'Lookup Tables'!$H$3:$H$6,0)</x:f>
        <x:v>0.04</x:v>
      </x:c>
      <x:c r="M133" s="12" t="n">
        <x:f>G133-H133</x:f>
        <x:v>849.8700000000001</x:v>
      </x:c>
      <x:c r="N133" t="str">
        <x:f>IF(G133&gt;=10000,"High Value","Standard")</x:f>
        <x:v>Standard</x:v>
      </x:c>
      <x:c r="O133" t="str">
        <x:f>IF(M133/G133&gt;=0.40,"Strong Margin","Review Margin")</x:f>
        <x:v>Strong Margin</x:v>
      </x:c>
      <x:c r="P133" t="str">
        <x:f>TEXT(A133,"mmm")</x:f>
        <x:v>Jun</x:v>
      </x:c>
      <x:c r="Q133" s="12" t="n">
        <x:f>G133*L133</x:f>
        <x:v>79.99600000000001</x:v>
      </x:c>
    </x:row>
    <x:row r="134">
      <x:c r="A134" s="10" t="n">
        <x:v>45827</x:v>
      </x:c>
      <x:c r="B134" t="str">
        <x:v>Midwest</x:v>
      </x:c>
      <x:c r="C134" t="str">
        <x:v>P-1009</x:v>
      </x:c>
      <x:c r="D134" t="str">
        <x:v>Travel Backpack</x:v>
      </x:c>
      <x:c r="E134" t="str">
        <x:v>Lucas Miller</x:v>
      </x:c>
      <x:c r="F134" t="n">
        <x:v>3</x:v>
      </x:c>
      <x:c r="G134" s="12" t="n">
        <x:v>269.97</x:v>
      </x:c>
      <x:c r="H134" s="12" t="n">
        <x:v>124.75</x:v>
      </x:c>
      <x:c r="I134" t="str">
        <x:v>Retail</x:v>
      </x:c>
      <x:c r="J134" t="str">
        <x:f>XLOOKUP(C134,'Lookup Tables'!$A$3:$A$12,'Lookup Tables'!$C$3:$C$12,"Not Found")</x:f>
        <x:v>Accessories</x:v>
      </x:c>
      <x:c r="K134" t="str">
        <x:f>XLOOKUP(B134,'Lookup Tables'!$F$3:$F$6,'Lookup Tables'!$G$3:$G$6,"Not Found")</x:f>
        <x:v>Marcus Reed</x:v>
      </x:c>
      <x:c r="L134" s="14" t="n">
        <x:f>XLOOKUP(B134,'Lookup Tables'!$F$3:$F$6,'Lookup Tables'!$H$3:$H$6,0)</x:f>
        <x:v>0.035</x:v>
      </x:c>
      <x:c r="M134" s="12" t="n">
        <x:f>G134-H134</x:f>
        <x:v>145.22000000000003</x:v>
      </x:c>
      <x:c r="N134" t="str">
        <x:f>IF(G134&gt;=10000,"High Value","Standard")</x:f>
        <x:v>Standard</x:v>
      </x:c>
      <x:c r="O134" t="str">
        <x:f>IF(M134/G134&gt;=0.40,"Strong Margin","Review Margin")</x:f>
        <x:v>Strong Margin</x:v>
      </x:c>
      <x:c r="P134" t="str">
        <x:f>TEXT(A134,"mmm")</x:f>
        <x:v>Jun</x:v>
      </x:c>
      <x:c r="Q134" s="12" t="n">
        <x:f>G134*L134</x:f>
        <x:v>9.448950000000002</x:v>
      </x:c>
    </x:row>
    <x:row r="135">
      <x:c r="A135" s="10" t="n">
        <x:v>45828</x:v>
      </x:c>
      <x:c r="B135" t="str">
        <x:v>South</x:v>
      </x:c>
      <x:c r="C135" t="str">
        <x:v>P-1004</x:v>
      </x:c>
      <x:c r="D135" t="str">
        <x:v>Standing Desk Converter</x:v>
      </x:c>
      <x:c r="E135" t="str">
        <x:v>Mia Thomas</x:v>
      </x:c>
      <x:c r="F135" t="n">
        <x:v>18</x:v>
      </x:c>
      <x:c r="G135" s="12" t="n">
        <x:v>3214.63</x:v>
      </x:c>
      <x:c r="H135" s="12" t="n">
        <x:v>1944.98</x:v>
      </x:c>
      <x:c r="I135" t="str">
        <x:v>Wholesale</x:v>
      </x:c>
      <x:c r="J135" t="str">
        <x:f>XLOOKUP(C135,'Lookup Tables'!$A$3:$A$12,'Lookup Tables'!$C$3:$C$12,"Not Found")</x:f>
        <x:v>Furniture</x:v>
      </x:c>
      <x:c r="K135" t="str">
        <x:f>XLOOKUP(B135,'Lookup Tables'!$F$3:$F$6,'Lookup Tables'!$G$3:$G$6,"Not Found")</x:f>
        <x:v>Priya Patel</x:v>
      </x:c>
      <x:c r="L135" s="14" t="n">
        <x:f>XLOOKUP(B135,'Lookup Tables'!$F$3:$F$6,'Lookup Tables'!$H$3:$H$6,0)</x:f>
        <x:v>0.05</x:v>
      </x:c>
      <x:c r="M135" s="12" t="n">
        <x:f>G135-H135</x:f>
        <x:v>1269.65</x:v>
      </x:c>
      <x:c r="N135" t="str">
        <x:f>IF(G135&gt;=10000,"High Value","Standard")</x:f>
        <x:v>Standard</x:v>
      </x:c>
      <x:c r="O135" t="str">
        <x:f>IF(M135/G135&gt;=0.40,"Strong Margin","Review Margin")</x:f>
        <x:v>Review Margin</x:v>
      </x:c>
      <x:c r="P135" t="str">
        <x:f>TEXT(A135,"mmm")</x:f>
        <x:v>Jun</x:v>
      </x:c>
      <x:c r="Q135" s="12" t="n">
        <x:f>G135*L135</x:f>
        <x:v>160.7315</x:v>
      </x:c>
    </x:row>
    <x:row r="136">
      <x:c r="A136" s="10" t="n">
        <x:v>45831</x:v>
      </x:c>
      <x:c r="B136" t="str">
        <x:v>South</x:v>
      </x:c>
      <x:c r="C136" t="str">
        <x:v>P-1001</x:v>
      </x:c>
      <x:c r="D136" t="str">
        <x:v>Wireless Headphones</x:v>
      </x:c>
      <x:c r="E136" t="str">
        <x:v>Noah Brown</x:v>
      </x:c>
      <x:c r="F136" t="n">
        <x:v>12</x:v>
      </x:c>
      <x:c r="G136" s="12" t="n">
        <x:v>1559.88</x:v>
      </x:c>
      <x:c r="H136" s="12" t="n">
        <x:v>810.16</x:v>
      </x:c>
      <x:c r="I136" t="str">
        <x:v>Retail</x:v>
      </x:c>
      <x:c r="J136" t="str">
        <x:f>XLOOKUP(C136,'Lookup Tables'!$A$3:$A$12,'Lookup Tables'!$C$3:$C$12,"Not Found")</x:f>
        <x:v>Electronics</x:v>
      </x:c>
      <x:c r="K136" t="str">
        <x:f>XLOOKUP(B136,'Lookup Tables'!$F$3:$F$6,'Lookup Tables'!$G$3:$G$6,"Not Found")</x:f>
        <x:v>Priya Patel</x:v>
      </x:c>
      <x:c r="L136" s="14" t="n">
        <x:f>XLOOKUP(B136,'Lookup Tables'!$F$3:$F$6,'Lookup Tables'!$H$3:$H$6,0)</x:f>
        <x:v>0.05</x:v>
      </x:c>
      <x:c r="M136" s="12" t="n">
        <x:f>G136-H136</x:f>
        <x:v>749.7200000000001</x:v>
      </x:c>
      <x:c r="N136" t="str">
        <x:f>IF(G136&gt;=10000,"High Value","Standard")</x:f>
        <x:v>Standard</x:v>
      </x:c>
      <x:c r="O136" t="str">
        <x:f>IF(M136/G136&gt;=0.40,"Strong Margin","Review Margin")</x:f>
        <x:v>Strong Margin</x:v>
      </x:c>
      <x:c r="P136" t="str">
        <x:f>TEXT(A136,"mmm")</x:f>
        <x:v>Jun</x:v>
      </x:c>
      <x:c r="Q136" s="12" t="n">
        <x:f>G136*L136</x:f>
        <x:v>77.99400000000001</x:v>
      </x:c>
    </x:row>
    <x:row r="137">
      <x:c r="A137" s="10" t="n">
        <x:v>45831</x:v>
      </x:c>
      <x:c r="B137" t="str">
        <x:v>South</x:v>
      </x:c>
      <x:c r="C137" t="str">
        <x:v>P-1003</x:v>
      </x:c>
      <x:c r="D137" t="str">
        <x:v>Ergonomic Office Chair</x:v>
      </x:c>
      <x:c r="E137" t="str">
        <x:v>Olivia Garcia</x:v>
      </x:c>
      <x:c r="F137" t="n">
        <x:v>11</x:v>
      </x:c>
      <x:c r="G137" s="12" t="n">
        <x:v>2749.89</x:v>
      </x:c>
      <x:c r="H137" s="12" t="n">
        <x:v>1567.59</x:v>
      </x:c>
      <x:c r="I137" t="str">
        <x:v>Retail</x:v>
      </x:c>
      <x:c r="J137" t="str">
        <x:f>XLOOKUP(C137,'Lookup Tables'!$A$3:$A$12,'Lookup Tables'!$C$3:$C$12,"Not Found")</x:f>
        <x:v>Furniture</x:v>
      </x:c>
      <x:c r="K137" t="str">
        <x:f>XLOOKUP(B137,'Lookup Tables'!$F$3:$F$6,'Lookup Tables'!$G$3:$G$6,"Not Found")</x:f>
        <x:v>Priya Patel</x:v>
      </x:c>
      <x:c r="L137" s="14" t="n">
        <x:f>XLOOKUP(B137,'Lookup Tables'!$F$3:$F$6,'Lookup Tables'!$H$3:$H$6,0)</x:f>
        <x:v>0.05</x:v>
      </x:c>
      <x:c r="M137" s="12" t="n">
        <x:f>G137-H137</x:f>
        <x:v>1182.3</x:v>
      </x:c>
      <x:c r="N137" t="str">
        <x:f>IF(G137&gt;=10000,"High Value","Standard")</x:f>
        <x:v>Standard</x:v>
      </x:c>
      <x:c r="O137" t="str">
        <x:f>IF(M137/G137&gt;=0.40,"Strong Margin","Review Margin")</x:f>
        <x:v>Strong Margin</x:v>
      </x:c>
      <x:c r="P137" t="str">
        <x:f>TEXT(A137,"mmm")</x:f>
        <x:v>Jun</x:v>
      </x:c>
      <x:c r="Q137" s="12" t="n">
        <x:f>G137*L137</x:f>
        <x:v>137.4945</x:v>
      </x:c>
    </x:row>
    <x:row r="138">
      <x:c r="A138" s="10" t="n">
        <x:v>45832</x:v>
      </x:c>
      <x:c r="B138" t="str">
        <x:v>West</x:v>
      </x:c>
      <x:c r="C138" t="str">
        <x:v>P-1006</x:v>
      </x:c>
      <x:c r="D138" t="str">
        <x:v>Air Fryer XL</x:v>
      </x:c>
      <x:c r="E138" t="str">
        <x:v>Sophia Martinez</x:v>
      </x:c>
      <x:c r="F138" t="n">
        <x:v>21</x:v>
      </x:c>
      <x:c r="G138" s="12" t="n">
        <x:v>2939.79</x:v>
      </x:c>
      <x:c r="H138" s="12" t="n">
        <x:v>1532.23</x:v>
      </x:c>
      <x:c r="I138" t="str">
        <x:v>Retail</x:v>
      </x:c>
      <x:c r="J138" t="str">
        <x:f>XLOOKUP(C138,'Lookup Tables'!$A$3:$A$12,'Lookup Tables'!$C$3:$C$12,"Not Found")</x:f>
        <x:v>Home Goods</x:v>
      </x:c>
      <x:c r="K138" t="str">
        <x:f>XLOOKUP(B138,'Lookup Tables'!$F$3:$F$6,'Lookup Tables'!$G$3:$G$6,"Not Found")</x:f>
        <x:v>Daniel Kim</x:v>
      </x:c>
      <x:c r="L138" s="14" t="n">
        <x:f>XLOOKUP(B138,'Lookup Tables'!$F$3:$F$6,'Lookup Tables'!$H$3:$H$6,0)</x:f>
        <x:v>0.045</x:v>
      </x:c>
      <x:c r="M138" s="12" t="n">
        <x:f>G138-H138</x:f>
        <x:v>1407.56</x:v>
      </x:c>
      <x:c r="N138" t="str">
        <x:f>IF(G138&gt;=10000,"High Value","Standard")</x:f>
        <x:v>Standard</x:v>
      </x:c>
      <x:c r="O138" t="str">
        <x:f>IF(M138/G138&gt;=0.40,"Strong Margin","Review Margin")</x:f>
        <x:v>Strong Margin</x:v>
      </x:c>
      <x:c r="P138" t="str">
        <x:f>TEXT(A138,"mmm")</x:f>
        <x:v>Jun</x:v>
      </x:c>
      <x:c r="Q138" s="12" t="n">
        <x:f>G138*L138</x:f>
        <x:v>132.29055</x:v>
      </x:c>
    </x:row>
    <x:row r="139">
      <x:c r="A139" s="10" t="n">
        <x:v>45832</x:v>
      </x:c>
      <x:c r="B139" t="str">
        <x:v>South</x:v>
      </x:c>
      <x:c r="C139" t="str">
        <x:v>P-1003</x:v>
      </x:c>
      <x:c r="D139" t="str">
        <x:v>Ergonomic Office Chair</x:v>
      </x:c>
      <x:c r="E139" t="str">
        <x:v>Benjamin Moore</x:v>
      </x:c>
      <x:c r="F139" t="n">
        <x:v>11</x:v>
      </x:c>
      <x:c r="G139" s="12" t="n">
        <x:v>2749.89</x:v>
      </x:c>
      <x:c r="H139" s="12" t="n">
        <x:v>1577.7</x:v>
      </x:c>
      <x:c r="I139" t="str">
        <x:v>Retail</x:v>
      </x:c>
      <x:c r="J139" t="str">
        <x:f>XLOOKUP(C139,'Lookup Tables'!$A$3:$A$12,'Lookup Tables'!$C$3:$C$12,"Not Found")</x:f>
        <x:v>Furniture</x:v>
      </x:c>
      <x:c r="K139" t="str">
        <x:f>XLOOKUP(B139,'Lookup Tables'!$F$3:$F$6,'Lookup Tables'!$G$3:$G$6,"Not Found")</x:f>
        <x:v>Priya Patel</x:v>
      </x:c>
      <x:c r="L139" s="14" t="n">
        <x:f>XLOOKUP(B139,'Lookup Tables'!$F$3:$F$6,'Lookup Tables'!$H$3:$H$6,0)</x:f>
        <x:v>0.05</x:v>
      </x:c>
      <x:c r="M139" s="12" t="n">
        <x:f>G139-H139</x:f>
        <x:v>1172.1899999999998</x:v>
      </x:c>
      <x:c r="N139" t="str">
        <x:f>IF(G139&gt;=10000,"High Value","Standard")</x:f>
        <x:v>Standard</x:v>
      </x:c>
      <x:c r="O139" t="str">
        <x:f>IF(M139/G139&gt;=0.40,"Strong Margin","Review Margin")</x:f>
        <x:v>Strong Margin</x:v>
      </x:c>
      <x:c r="P139" t="str">
        <x:f>TEXT(A139,"mmm")</x:f>
        <x:v>Jun</x:v>
      </x:c>
      <x:c r="Q139" s="12" t="n">
        <x:f>G139*L139</x:f>
        <x:v>137.4945</x:v>
      </x:c>
    </x:row>
    <x:row r="140">
      <x:c r="A140" s="10" t="n">
        <x:v>45833</x:v>
      </x:c>
      <x:c r="B140" t="str">
        <x:v>East</x:v>
      </x:c>
      <x:c r="C140" t="str">
        <x:v>P-1006</x:v>
      </x:c>
      <x:c r="D140" t="str">
        <x:v>Air Fryer XL</x:v>
      </x:c>
      <x:c r="E140" t="str">
        <x:v>Sophia Martinez</x:v>
      </x:c>
      <x:c r="F140" t="n">
        <x:v>11</x:v>
      </x:c>
      <x:c r="G140" s="12" t="n">
        <x:v>1539.89</x:v>
      </x:c>
      <x:c r="H140" s="12" t="n">
        <x:v>845.93</x:v>
      </x:c>
      <x:c r="I140" t="str">
        <x:v>Retail</x:v>
      </x:c>
      <x:c r="J140" t="str">
        <x:f>XLOOKUP(C140,'Lookup Tables'!$A$3:$A$12,'Lookup Tables'!$C$3:$C$12,"Not Found")</x:f>
        <x:v>Home Goods</x:v>
      </x:c>
      <x:c r="K140" t="str">
        <x:f>XLOOKUP(B140,'Lookup Tables'!$F$3:$F$6,'Lookup Tables'!$G$3:$G$6,"Not Found")</x:f>
        <x:v>Alicia Morgan</x:v>
      </x:c>
      <x:c r="L140" s="14" t="n">
        <x:f>XLOOKUP(B140,'Lookup Tables'!$F$3:$F$6,'Lookup Tables'!$H$3:$H$6,0)</x:f>
        <x:v>0.04</x:v>
      </x:c>
      <x:c r="M140" s="12" t="n">
        <x:f>G140-H140</x:f>
        <x:v>693.9600000000002</x:v>
      </x:c>
      <x:c r="N140" t="str">
        <x:f>IF(G140&gt;=10000,"High Value","Standard")</x:f>
        <x:v>Standard</x:v>
      </x:c>
      <x:c r="O140" t="str">
        <x:f>IF(M140/G140&gt;=0.40,"Strong Margin","Review Margin")</x:f>
        <x:v>Strong Margin</x:v>
      </x:c>
      <x:c r="P140" t="str">
        <x:f>TEXT(A140,"mmm")</x:f>
        <x:v>Jun</x:v>
      </x:c>
      <x:c r="Q140" s="12" t="n">
        <x:f>G140*L140</x:f>
        <x:v>61.595600000000005</x:v>
      </x:c>
    </x:row>
    <x:row r="141">
      <x:c r="A141" s="10" t="n">
        <x:v>45834</x:v>
      </x:c>
      <x:c r="B141" t="str">
        <x:v>West</x:v>
      </x:c>
      <x:c r="C141" t="str">
        <x:v>P-1007</x:v>
      </x:c>
      <x:c r="D141" t="str">
        <x:v>Fitness Tracker</x:v>
      </x:c>
      <x:c r="E141" t="str">
        <x:v>Liam Wilson</x:v>
      </x:c>
      <x:c r="F141" t="n">
        <x:v>8</x:v>
      </x:c>
      <x:c r="G141" s="12" t="n">
        <x:v>959.92</x:v>
      </x:c>
      <x:c r="H141" s="12" t="n">
        <x:v>478.85</x:v>
      </x:c>
      <x:c r="I141" t="str">
        <x:v>Retail</x:v>
      </x:c>
      <x:c r="J141" t="str">
        <x:f>XLOOKUP(C141,'Lookup Tables'!$A$3:$A$12,'Lookup Tables'!$C$3:$C$12,"Not Found")</x:f>
        <x:v>Fitness</x:v>
      </x:c>
      <x:c r="K141" t="str">
        <x:f>XLOOKUP(B141,'Lookup Tables'!$F$3:$F$6,'Lookup Tables'!$G$3:$G$6,"Not Found")</x:f>
        <x:v>Daniel Kim</x:v>
      </x:c>
      <x:c r="L141" s="14" t="n">
        <x:f>XLOOKUP(B141,'Lookup Tables'!$F$3:$F$6,'Lookup Tables'!$H$3:$H$6,0)</x:f>
        <x:v>0.045</x:v>
      </x:c>
      <x:c r="M141" s="12" t="n">
        <x:f>G141-H141</x:f>
        <x:v>481.06999999999994</x:v>
      </x:c>
      <x:c r="N141" t="str">
        <x:f>IF(G141&gt;=10000,"High Value","Standard")</x:f>
        <x:v>Standard</x:v>
      </x:c>
      <x:c r="O141" t="str">
        <x:f>IF(M141/G141&gt;=0.40,"Strong Margin","Review Margin")</x:f>
        <x:v>Strong Margin</x:v>
      </x:c>
      <x:c r="P141" t="str">
        <x:f>TEXT(A141,"mmm")</x:f>
        <x:v>Jun</x:v>
      </x:c>
      <x:c r="Q141" s="12" t="n">
        <x:f>G141*L141</x:f>
        <x:v>43.1964</x:v>
      </x:c>
    </x:row>
    <x:row r="142">
      <x:c r="A142" s="10" t="n">
        <x:v>45834</x:v>
      </x:c>
      <x:c r="B142" t="str">
        <x:v>Midwest</x:v>
      </x:c>
      <x:c r="C142" t="str">
        <x:v>P-1003</x:v>
      </x:c>
      <x:c r="D142" t="str">
        <x:v>Ergonomic Office Chair</x:v>
      </x:c>
      <x:c r="E142" t="str">
        <x:v>Ava Davis</x:v>
      </x:c>
      <x:c r="F142" t="n">
        <x:v>19</x:v>
      </x:c>
      <x:c r="G142" s="12" t="n">
        <x:v>4464.82</x:v>
      </x:c>
      <x:c r="H142" s="12" t="n">
        <x:v>2774.09</x:v>
      </x:c>
      <x:c r="I142" t="str">
        <x:v>Wholesale</x:v>
      </x:c>
      <x:c r="J142" t="str">
        <x:f>XLOOKUP(C142,'Lookup Tables'!$A$3:$A$12,'Lookup Tables'!$C$3:$C$12,"Not Found")</x:f>
        <x:v>Furniture</x:v>
      </x:c>
      <x:c r="K142" t="str">
        <x:f>XLOOKUP(B142,'Lookup Tables'!$F$3:$F$6,'Lookup Tables'!$G$3:$G$6,"Not Found")</x:f>
        <x:v>Marcus Reed</x:v>
      </x:c>
      <x:c r="L142" s="14" t="n">
        <x:f>XLOOKUP(B142,'Lookup Tables'!$F$3:$F$6,'Lookup Tables'!$H$3:$H$6,0)</x:f>
        <x:v>0.035</x:v>
      </x:c>
      <x:c r="M142" s="12" t="n">
        <x:f>G142-H142</x:f>
        <x:v>1690.7299999999996</x:v>
      </x:c>
      <x:c r="N142" t="str">
        <x:f>IF(G142&gt;=10000,"High Value","Standard")</x:f>
        <x:v>Standard</x:v>
      </x:c>
      <x:c r="O142" t="str">
        <x:f>IF(M142/G142&gt;=0.40,"Strong Margin","Review Margin")</x:f>
        <x:v>Review Margin</x:v>
      </x:c>
      <x:c r="P142" t="str">
        <x:f>TEXT(A142,"mmm")</x:f>
        <x:v>Jun</x:v>
      </x:c>
      <x:c r="Q142" s="12" t="n">
        <x:f>G142*L142</x:f>
        <x:v>156.2687</x:v>
      </x:c>
    </x:row>
    <x:row r="143">
      <x:c r="A143" s="10" t="n">
        <x:v>45836</x:v>
      </x:c>
      <x:c r="B143" t="str">
        <x:v>Midwest</x:v>
      </x:c>
      <x:c r="C143" t="str">
        <x:v>P-1009</x:v>
      </x:c>
      <x:c r="D143" t="str">
        <x:v>Travel Backpack</x:v>
      </x:c>
      <x:c r="E143" t="str">
        <x:v>Liam Wilson</x:v>
      </x:c>
      <x:c r="F143" t="n">
        <x:v>7</x:v>
      </x:c>
      <x:c r="G143" s="12" t="n">
        <x:v>629.93</x:v>
      </x:c>
      <x:c r="H143" s="12" t="n">
        <x:v>302.6</x:v>
      </x:c>
      <x:c r="I143" t="str">
        <x:v>Retail</x:v>
      </x:c>
      <x:c r="J143" t="str">
        <x:f>XLOOKUP(C143,'Lookup Tables'!$A$3:$A$12,'Lookup Tables'!$C$3:$C$12,"Not Found")</x:f>
        <x:v>Accessories</x:v>
      </x:c>
      <x:c r="K143" t="str">
        <x:f>XLOOKUP(B143,'Lookup Tables'!$F$3:$F$6,'Lookup Tables'!$G$3:$G$6,"Not Found")</x:f>
        <x:v>Marcus Reed</x:v>
      </x:c>
      <x:c r="L143" s="14" t="n">
        <x:f>XLOOKUP(B143,'Lookup Tables'!$F$3:$F$6,'Lookup Tables'!$H$3:$H$6,0)</x:f>
        <x:v>0.035</x:v>
      </x:c>
      <x:c r="M143" s="12" t="n">
        <x:f>G143-H143</x:f>
        <x:v>327.3299999999999</x:v>
      </x:c>
      <x:c r="N143" t="str">
        <x:f>IF(G143&gt;=10000,"High Value","Standard")</x:f>
        <x:v>Standard</x:v>
      </x:c>
      <x:c r="O143" t="str">
        <x:f>IF(M143/G143&gt;=0.40,"Strong Margin","Review Margin")</x:f>
        <x:v>Strong Margin</x:v>
      </x:c>
      <x:c r="P143" t="str">
        <x:f>TEXT(A143,"mmm")</x:f>
        <x:v>Jun</x:v>
      </x:c>
      <x:c r="Q143" s="12" t="n">
        <x:f>G143*L143</x:f>
        <x:v>22.04755</x:v>
      </x:c>
    </x:row>
    <x:row r="144">
      <x:c r="A144" s="10" t="n">
        <x:v>45838</x:v>
      </x:c>
      <x:c r="B144" t="str">
        <x:v>South</x:v>
      </x:c>
      <x:c r="C144" t="str">
        <x:v>P-1004</x:v>
      </x:c>
      <x:c r="D144" t="str">
        <x:v>Standing Desk Converter</x:v>
      </x:c>
      <x:c r="E144" t="str">
        <x:v>Mia Thomas</x:v>
      </x:c>
      <x:c r="F144" t="n">
        <x:v>13</x:v>
      </x:c>
      <x:c r="G144" s="12" t="n">
        <x:v>2321.68</x:v>
      </x:c>
      <x:c r="H144" s="12" t="n">
        <x:v>1376.51</x:v>
      </x:c>
      <x:c r="I144" t="str">
        <x:v>Wholesale</x:v>
      </x:c>
      <x:c r="J144" t="str">
        <x:f>XLOOKUP(C144,'Lookup Tables'!$A$3:$A$12,'Lookup Tables'!$C$3:$C$12,"Not Found")</x:f>
        <x:v>Furniture</x:v>
      </x:c>
      <x:c r="K144" t="str">
        <x:f>XLOOKUP(B144,'Lookup Tables'!$F$3:$F$6,'Lookup Tables'!$G$3:$G$6,"Not Found")</x:f>
        <x:v>Priya Patel</x:v>
      </x:c>
      <x:c r="L144" s="14" t="n">
        <x:f>XLOOKUP(B144,'Lookup Tables'!$F$3:$F$6,'Lookup Tables'!$H$3:$H$6,0)</x:f>
        <x:v>0.05</x:v>
      </x:c>
      <x:c r="M144" s="12" t="n">
        <x:f>G144-H144</x:f>
        <x:v>945.1699999999998</x:v>
      </x:c>
      <x:c r="N144" t="str">
        <x:f>IF(G144&gt;=10000,"High Value","Standard")</x:f>
        <x:v>Standard</x:v>
      </x:c>
      <x:c r="O144" t="str">
        <x:f>IF(M144/G144&gt;=0.40,"Strong Margin","Review Margin")</x:f>
        <x:v>Strong Margin</x:v>
      </x:c>
      <x:c r="P144" t="str">
        <x:f>TEXT(A144,"mmm")</x:f>
        <x:v>Jun</x:v>
      </x:c>
      <x:c r="Q144" s="12" t="n">
        <x:f>G144*L144</x:f>
        <x:v>116.084</x:v>
      </x:c>
    </x:row>
    <x:row r="145">
      <x:c r="A145" s="10" t="n">
        <x:v>45838</x:v>
      </x:c>
      <x:c r="B145" t="str">
        <x:v>East</x:v>
      </x:c>
      <x:c r="C145" t="str">
        <x:v>P-1007</x:v>
      </x:c>
      <x:c r="D145" t="str">
        <x:v>Fitness Tracker</x:v>
      </x:c>
      <x:c r="E145" t="str">
        <x:v>Lucas Miller</x:v>
      </x:c>
      <x:c r="F145" t="n">
        <x:v>10</x:v>
      </x:c>
      <x:c r="G145" s="12" t="n">
        <x:v>1199.9</x:v>
      </x:c>
      <x:c r="H145" s="12" t="n">
        <x:v>628.2</x:v>
      </x:c>
      <x:c r="I145" t="str">
        <x:v>Retail</x:v>
      </x:c>
      <x:c r="J145" t="str">
        <x:f>XLOOKUP(C145,'Lookup Tables'!$A$3:$A$12,'Lookup Tables'!$C$3:$C$12,"Not Found")</x:f>
        <x:v>Fitness</x:v>
      </x:c>
      <x:c r="K145" t="str">
        <x:f>XLOOKUP(B145,'Lookup Tables'!$F$3:$F$6,'Lookup Tables'!$G$3:$G$6,"Not Found")</x:f>
        <x:v>Alicia Morgan</x:v>
      </x:c>
      <x:c r="L145" s="14" t="n">
        <x:f>XLOOKUP(B145,'Lookup Tables'!$F$3:$F$6,'Lookup Tables'!$H$3:$H$6,0)</x:f>
        <x:v>0.04</x:v>
      </x:c>
      <x:c r="M145" s="12" t="n">
        <x:f>G145-H145</x:f>
        <x:v>571.7</x:v>
      </x:c>
      <x:c r="N145" t="str">
        <x:f>IF(G145&gt;=10000,"High Value","Standard")</x:f>
        <x:v>Standard</x:v>
      </x:c>
      <x:c r="O145" t="str">
        <x:f>IF(M145/G145&gt;=0.40,"Strong Margin","Review Margin")</x:f>
        <x:v>Strong Margin</x:v>
      </x:c>
      <x:c r="P145" t="str">
        <x:f>TEXT(A145,"mmm")</x:f>
        <x:v>Jun</x:v>
      </x:c>
      <x:c r="Q145" s="12" t="n">
        <x:f>G145*L145</x:f>
        <x:v>47.996</x:v>
      </x:c>
    </x:row>
    <x:row r="146">
      <x:c r="A146" s="10" t="n">
        <x:v>45841</x:v>
      </x:c>
      <x:c r="B146" t="str">
        <x:v>West</x:v>
      </x:c>
      <x:c r="C146" t="str">
        <x:v>P-1002</x:v>
      </x:c>
      <x:c r="D146" t="str">
        <x:v>Smart Home Hub</x:v>
      </x:c>
      <x:c r="E146" t="str">
        <x:v>Isabella Taylor</x:v>
      </x:c>
      <x:c r="F146" t="n">
        <x:v>22</x:v>
      </x:c>
      <x:c r="G146" s="12" t="n">
        <x:v>4399.78</x:v>
      </x:c>
      <x:c r="H146" s="12" t="n">
        <x:v>2400.4</x:v>
      </x:c>
      <x:c r="I146" t="str">
        <x:v>Retail</x:v>
      </x:c>
      <x:c r="J146" t="str">
        <x:f>XLOOKUP(C146,'Lookup Tables'!$A$3:$A$12,'Lookup Tables'!$C$3:$C$12,"Not Found")</x:f>
        <x:v>Electronics</x:v>
      </x:c>
      <x:c r="K146" t="str">
        <x:f>XLOOKUP(B146,'Lookup Tables'!$F$3:$F$6,'Lookup Tables'!$G$3:$G$6,"Not Found")</x:f>
        <x:v>Daniel Kim</x:v>
      </x:c>
      <x:c r="L146" s="14" t="n">
        <x:f>XLOOKUP(B146,'Lookup Tables'!$F$3:$F$6,'Lookup Tables'!$H$3:$H$6,0)</x:f>
        <x:v>0.045</x:v>
      </x:c>
      <x:c r="M146" s="12" t="n">
        <x:f>G146-H146</x:f>
        <x:v>1999.3799999999997</x:v>
      </x:c>
      <x:c r="N146" t="str">
        <x:f>IF(G146&gt;=10000,"High Value","Standard")</x:f>
        <x:v>Standard</x:v>
      </x:c>
      <x:c r="O146" t="str">
        <x:f>IF(M146/G146&gt;=0.40,"Strong Margin","Review Margin")</x:f>
        <x:v>Strong Margin</x:v>
      </x:c>
      <x:c r="P146" t="str">
        <x:f>TEXT(A146,"mmm")</x:f>
        <x:v>Jul</x:v>
      </x:c>
      <x:c r="Q146" s="12" t="n">
        <x:f>G146*L146</x:f>
        <x:v>197.99009999999998</x:v>
      </x:c>
    </x:row>
    <x:row r="147">
      <x:c r="A147" s="10" t="n">
        <x:v>45842</x:v>
      </x:c>
      <x:c r="B147" t="str">
        <x:v>East</x:v>
      </x:c>
      <x:c r="C147" t="str">
        <x:v>P-1001</x:v>
      </x:c>
      <x:c r="D147" t="str">
        <x:v>Wireless Headphones</x:v>
      </x:c>
      <x:c r="E147" t="str">
        <x:v>Isabella Taylor</x:v>
      </x:c>
      <x:c r="F147" t="n">
        <x:v>2</x:v>
      </x:c>
      <x:c r="G147" s="12" t="n">
        <x:v>259.98</x:v>
      </x:c>
      <x:c r="H147" s="12" t="n">
        <x:v>138.55</x:v>
      </x:c>
      <x:c r="I147" t="str">
        <x:v>Retail</x:v>
      </x:c>
      <x:c r="J147" t="str">
        <x:f>XLOOKUP(C147,'Lookup Tables'!$A$3:$A$12,'Lookup Tables'!$C$3:$C$12,"Not Found")</x:f>
        <x:v>Electronics</x:v>
      </x:c>
      <x:c r="K147" t="str">
        <x:f>XLOOKUP(B147,'Lookup Tables'!$F$3:$F$6,'Lookup Tables'!$G$3:$G$6,"Not Found")</x:f>
        <x:v>Alicia Morgan</x:v>
      </x:c>
      <x:c r="L147" s="14" t="n">
        <x:f>XLOOKUP(B147,'Lookup Tables'!$F$3:$F$6,'Lookup Tables'!$H$3:$H$6,0)</x:f>
        <x:v>0.04</x:v>
      </x:c>
      <x:c r="M147" s="12" t="n">
        <x:f>G147-H147</x:f>
        <x:v>121.43</x:v>
      </x:c>
      <x:c r="N147" t="str">
        <x:f>IF(G147&gt;=10000,"High Value","Standard")</x:f>
        <x:v>Standard</x:v>
      </x:c>
      <x:c r="O147" t="str">
        <x:f>IF(M147/G147&gt;=0.40,"Strong Margin","Review Margin")</x:f>
        <x:v>Strong Margin</x:v>
      </x:c>
      <x:c r="P147" t="str">
        <x:f>TEXT(A147,"mmm")</x:f>
        <x:v>Jul</x:v>
      </x:c>
      <x:c r="Q147" s="12" t="n">
        <x:f>G147*L147</x:f>
        <x:v>10.3992</x:v>
      </x:c>
    </x:row>
    <x:row r="148">
      <x:c r="A148" s="10" t="n">
        <x:v>45843</x:v>
      </x:c>
      <x:c r="B148" t="str">
        <x:v>East</x:v>
      </x:c>
      <x:c r="C148" t="str">
        <x:v>P-1006</x:v>
      </x:c>
      <x:c r="D148" t="str">
        <x:v>Air Fryer XL</x:v>
      </x:c>
      <x:c r="E148" t="str">
        <x:v>Isabella Taylor</x:v>
      </x:c>
      <x:c r="F148" t="n">
        <x:v>31</x:v>
      </x:c>
      <x:c r="G148" s="12" t="n">
        <x:v>4079.31</x:v>
      </x:c>
      <x:c r="H148" s="12" t="n">
        <x:v>2292.42</x:v>
      </x:c>
      <x:c r="I148" t="str">
        <x:v>Wholesale</x:v>
      </x:c>
      <x:c r="J148" t="str">
        <x:f>XLOOKUP(C148,'Lookup Tables'!$A$3:$A$12,'Lookup Tables'!$C$3:$C$12,"Not Found")</x:f>
        <x:v>Home Goods</x:v>
      </x:c>
      <x:c r="K148" t="str">
        <x:f>XLOOKUP(B148,'Lookup Tables'!$F$3:$F$6,'Lookup Tables'!$G$3:$G$6,"Not Found")</x:f>
        <x:v>Alicia Morgan</x:v>
      </x:c>
      <x:c r="L148" s="14" t="n">
        <x:f>XLOOKUP(B148,'Lookup Tables'!$F$3:$F$6,'Lookup Tables'!$H$3:$H$6,0)</x:f>
        <x:v>0.04</x:v>
      </x:c>
      <x:c r="M148" s="12" t="n">
        <x:f>G148-H148</x:f>
        <x:v>1786.8899999999999</x:v>
      </x:c>
      <x:c r="N148" t="str">
        <x:f>IF(G148&gt;=10000,"High Value","Standard")</x:f>
        <x:v>Standard</x:v>
      </x:c>
      <x:c r="O148" t="str">
        <x:f>IF(M148/G148&gt;=0.40,"Strong Margin","Review Margin")</x:f>
        <x:v>Strong Margin</x:v>
      </x:c>
      <x:c r="P148" t="str">
        <x:f>TEXT(A148,"mmm")</x:f>
        <x:v>Jul</x:v>
      </x:c>
      <x:c r="Q148" s="12" t="n">
        <x:f>G148*L148</x:f>
        <x:v>163.1724</x:v>
      </x:c>
    </x:row>
    <x:row r="149">
      <x:c r="A149" s="10" t="n">
        <x:v>45844</x:v>
      </x:c>
      <x:c r="B149" t="str">
        <x:v>East</x:v>
      </x:c>
      <x:c r="C149" t="str">
        <x:v>P-1003</x:v>
      </x:c>
      <x:c r="D149" t="str">
        <x:v>Ergonomic Office Chair</x:v>
      </x:c>
      <x:c r="E149" t="str">
        <x:v>Mia Thomas</x:v>
      </x:c>
      <x:c r="F149" t="n">
        <x:v>13</x:v>
      </x:c>
      <x:c r="G149" s="12" t="n">
        <x:v>3249.87</x:v>
      </x:c>
      <x:c r="H149" s="12" t="n">
        <x:v>1927.67</x:v>
      </x:c>
      <x:c r="I149" t="str">
        <x:v>Retail</x:v>
      </x:c>
      <x:c r="J149" t="str">
        <x:f>XLOOKUP(C149,'Lookup Tables'!$A$3:$A$12,'Lookup Tables'!$C$3:$C$12,"Not Found")</x:f>
        <x:v>Furniture</x:v>
      </x:c>
      <x:c r="K149" t="str">
        <x:f>XLOOKUP(B149,'Lookup Tables'!$F$3:$F$6,'Lookup Tables'!$G$3:$G$6,"Not Found")</x:f>
        <x:v>Alicia Morgan</x:v>
      </x:c>
      <x:c r="L149" s="14" t="n">
        <x:f>XLOOKUP(B149,'Lookup Tables'!$F$3:$F$6,'Lookup Tables'!$H$3:$H$6,0)</x:f>
        <x:v>0.04</x:v>
      </x:c>
      <x:c r="M149" s="12" t="n">
        <x:f>G149-H149</x:f>
        <x:v>1322.1999999999998</x:v>
      </x:c>
      <x:c r="N149" t="str">
        <x:f>IF(G149&gt;=10000,"High Value","Standard")</x:f>
        <x:v>Standard</x:v>
      </x:c>
      <x:c r="O149" t="str">
        <x:f>IF(M149/G149&gt;=0.40,"Strong Margin","Review Margin")</x:f>
        <x:v>Strong Margin</x:v>
      </x:c>
      <x:c r="P149" t="str">
        <x:f>TEXT(A149,"mmm")</x:f>
        <x:v>Jul</x:v>
      </x:c>
      <x:c r="Q149" s="12" t="n">
        <x:f>G149*L149</x:f>
        <x:v>129.9948</x:v>
      </x:c>
    </x:row>
    <x:row r="150">
      <x:c r="A150" s="10" t="n">
        <x:v>45846</x:v>
      </x:c>
      <x:c r="B150" t="str">
        <x:v>West</x:v>
      </x:c>
      <x:c r="C150" t="str">
        <x:v>P-1010</x:v>
      </x:c>
      <x:c r="D150" t="str">
        <x:v>Insulated Water Bottle</x:v>
      </x:c>
      <x:c r="E150" t="str">
        <x:v>Olivia Garcia</x:v>
      </x:c>
      <x:c r="F150" t="n">
        <x:v>1</x:v>
      </x:c>
      <x:c r="G150" s="12" t="n">
        <x:v>34.99</x:v>
      </x:c>
      <x:c r="H150" s="12" t="n">
        <x:v>12.09</x:v>
      </x:c>
      <x:c r="I150" t="str">
        <x:v>Retail</x:v>
      </x:c>
      <x:c r="J150" t="str">
        <x:f>XLOOKUP(C150,'Lookup Tables'!$A$3:$A$12,'Lookup Tables'!$C$3:$C$12,"Not Found")</x:f>
        <x:v>Accessories</x:v>
      </x:c>
      <x:c r="K150" t="str">
        <x:f>XLOOKUP(B150,'Lookup Tables'!$F$3:$F$6,'Lookup Tables'!$G$3:$G$6,"Not Found")</x:f>
        <x:v>Daniel Kim</x:v>
      </x:c>
      <x:c r="L150" s="14" t="n">
        <x:f>XLOOKUP(B150,'Lookup Tables'!$F$3:$F$6,'Lookup Tables'!$H$3:$H$6,0)</x:f>
        <x:v>0.045</x:v>
      </x:c>
      <x:c r="M150" s="12" t="n">
        <x:f>G150-H150</x:f>
        <x:v>22.900000000000002</x:v>
      </x:c>
      <x:c r="N150" t="str">
        <x:f>IF(G150&gt;=10000,"High Value","Standard")</x:f>
        <x:v>Standard</x:v>
      </x:c>
      <x:c r="O150" t="str">
        <x:f>IF(M150/G150&gt;=0.40,"Strong Margin","Review Margin")</x:f>
        <x:v>Strong Margin</x:v>
      </x:c>
      <x:c r="P150" t="str">
        <x:f>TEXT(A150,"mmm")</x:f>
        <x:v>Jul</x:v>
      </x:c>
      <x:c r="Q150" s="12" t="n">
        <x:f>G150*L150</x:f>
        <x:v>1.5745500000000001</x:v>
      </x:c>
    </x:row>
    <x:row r="151">
      <x:c r="A151" s="10" t="n">
        <x:v>45847</x:v>
      </x:c>
      <x:c r="B151" t="str">
        <x:v>South</x:v>
      </x:c>
      <x:c r="C151" t="str">
        <x:v>P-1002</x:v>
      </x:c>
      <x:c r="D151" t="str">
        <x:v>Smart Home Hub</x:v>
      </x:c>
      <x:c r="E151" t="str">
        <x:v>Olivia Garcia</x:v>
      </x:c>
      <x:c r="F151" t="n">
        <x:v>13</x:v>
      </x:c>
      <x:c r="G151" s="12" t="n">
        <x:v>2599.87</x:v>
      </x:c>
      <x:c r="H151" s="12" t="n">
        <x:v>1481.09</x:v>
      </x:c>
      <x:c r="I151" t="str">
        <x:v>Retail</x:v>
      </x:c>
      <x:c r="J151" t="str">
        <x:f>XLOOKUP(C151,'Lookup Tables'!$A$3:$A$12,'Lookup Tables'!$C$3:$C$12,"Not Found")</x:f>
        <x:v>Electronics</x:v>
      </x:c>
      <x:c r="K151" t="str">
        <x:f>XLOOKUP(B151,'Lookup Tables'!$F$3:$F$6,'Lookup Tables'!$G$3:$G$6,"Not Found")</x:f>
        <x:v>Priya Patel</x:v>
      </x:c>
      <x:c r="L151" s="14" t="n">
        <x:f>XLOOKUP(B151,'Lookup Tables'!$F$3:$F$6,'Lookup Tables'!$H$3:$H$6,0)</x:f>
        <x:v>0.05</x:v>
      </x:c>
      <x:c r="M151" s="12" t="n">
        <x:f>G151-H151</x:f>
        <x:v>1118.78</x:v>
      </x:c>
      <x:c r="N151" t="str">
        <x:f>IF(G151&gt;=10000,"High Value","Standard")</x:f>
        <x:v>Standard</x:v>
      </x:c>
      <x:c r="O151" t="str">
        <x:f>IF(M151/G151&gt;=0.40,"Strong Margin","Review Margin")</x:f>
        <x:v>Strong Margin</x:v>
      </x:c>
      <x:c r="P151" t="str">
        <x:f>TEXT(A151,"mmm")</x:f>
        <x:v>Jul</x:v>
      </x:c>
      <x:c r="Q151" s="12" t="n">
        <x:f>G151*L151</x:f>
        <x:v>129.9935</x:v>
      </x:c>
    </x:row>
    <x:row r="152">
      <x:c r="A152" s="10" t="n">
        <x:v>45847</x:v>
      </x:c>
      <x:c r="B152" t="str">
        <x:v>West</x:v>
      </x:c>
      <x:c r="C152" t="str">
        <x:v>P-1001</x:v>
      </x:c>
      <x:c r="D152" t="str">
        <x:v>Wireless Headphones</x:v>
      </x:c>
      <x:c r="E152" t="str">
        <x:v>Noah Brown</x:v>
      </x:c>
      <x:c r="F152" t="n">
        <x:v>9</x:v>
      </x:c>
      <x:c r="G152" s="12" t="n">
        <x:v>1169.91</x:v>
      </x:c>
      <x:c r="H152" s="12" t="n">
        <x:v>605.8</x:v>
      </x:c>
      <x:c r="I152" t="str">
        <x:v>Retail</x:v>
      </x:c>
      <x:c r="J152" t="str">
        <x:f>XLOOKUP(C152,'Lookup Tables'!$A$3:$A$12,'Lookup Tables'!$C$3:$C$12,"Not Found")</x:f>
        <x:v>Electronics</x:v>
      </x:c>
      <x:c r="K152" t="str">
        <x:f>XLOOKUP(B152,'Lookup Tables'!$F$3:$F$6,'Lookup Tables'!$G$3:$G$6,"Not Found")</x:f>
        <x:v>Daniel Kim</x:v>
      </x:c>
      <x:c r="L152" s="14" t="n">
        <x:f>XLOOKUP(B152,'Lookup Tables'!$F$3:$F$6,'Lookup Tables'!$H$3:$H$6,0)</x:f>
        <x:v>0.045</x:v>
      </x:c>
      <x:c r="M152" s="12" t="n">
        <x:f>G152-H152</x:f>
        <x:v>564.1100000000001</x:v>
      </x:c>
      <x:c r="N152" t="str">
        <x:f>IF(G152&gt;=10000,"High Value","Standard")</x:f>
        <x:v>Standard</x:v>
      </x:c>
      <x:c r="O152" t="str">
        <x:f>IF(M152/G152&gt;=0.40,"Strong Margin","Review Margin")</x:f>
        <x:v>Strong Margin</x:v>
      </x:c>
      <x:c r="P152" t="str">
        <x:f>TEXT(A152,"mmm")</x:f>
        <x:v>Jul</x:v>
      </x:c>
      <x:c r="Q152" s="12" t="n">
        <x:f>G152*L152</x:f>
        <x:v>52.64595</x:v>
      </x:c>
    </x:row>
    <x:row r="153">
      <x:c r="A153" s="10" t="n">
        <x:v>45848</x:v>
      </x:c>
      <x:c r="B153" t="str">
        <x:v>South</x:v>
      </x:c>
      <x:c r="C153" t="str">
        <x:v>P-1001</x:v>
      </x:c>
      <x:c r="D153" t="str">
        <x:v>Wireless Headphones</x:v>
      </x:c>
      <x:c r="E153" t="str">
        <x:v>Isabella Taylor</x:v>
      </x:c>
      <x:c r="F153" t="n">
        <x:v>30</x:v>
      </x:c>
      <x:c r="G153" s="12" t="n">
        <x:v>3665.72</x:v>
      </x:c>
      <x:c r="H153" s="12" t="n">
        <x:v>2038.15</x:v>
      </x:c>
      <x:c r="I153" t="str">
        <x:v>Wholesale</x:v>
      </x:c>
      <x:c r="J153" t="str">
        <x:f>XLOOKUP(C153,'Lookup Tables'!$A$3:$A$12,'Lookup Tables'!$C$3:$C$12,"Not Found")</x:f>
        <x:v>Electronics</x:v>
      </x:c>
      <x:c r="K153" t="str">
        <x:f>XLOOKUP(B153,'Lookup Tables'!$F$3:$F$6,'Lookup Tables'!$G$3:$G$6,"Not Found")</x:f>
        <x:v>Priya Patel</x:v>
      </x:c>
      <x:c r="L153" s="14" t="n">
        <x:f>XLOOKUP(B153,'Lookup Tables'!$F$3:$F$6,'Lookup Tables'!$H$3:$H$6,0)</x:f>
        <x:v>0.05</x:v>
      </x:c>
      <x:c r="M153" s="12" t="n">
        <x:f>G153-H153</x:f>
        <x:v>1627.5699999999997</x:v>
      </x:c>
      <x:c r="N153" t="str">
        <x:f>IF(G153&gt;=10000,"High Value","Standard")</x:f>
        <x:v>Standard</x:v>
      </x:c>
      <x:c r="O153" t="str">
        <x:f>IF(M153/G153&gt;=0.40,"Strong Margin","Review Margin")</x:f>
        <x:v>Strong Margin</x:v>
      </x:c>
      <x:c r="P153" t="str">
        <x:f>TEXT(A153,"mmm")</x:f>
        <x:v>Jul</x:v>
      </x:c>
      <x:c r="Q153" s="12" t="n">
        <x:f>G153*L153</x:f>
        <x:v>183.286</x:v>
      </x:c>
    </x:row>
    <x:row r="154">
      <x:c r="A154" s="10" t="n">
        <x:v>45849</x:v>
      </x:c>
      <x:c r="B154" t="str">
        <x:v>West</x:v>
      </x:c>
      <x:c r="C154" t="str">
        <x:v>P-1005</x:v>
      </x:c>
      <x:c r="D154" t="str">
        <x:v>Stainless Cookware Set</x:v>
      </x:c>
      <x:c r="E154" t="str">
        <x:v>Ethan Smith</x:v>
      </x:c>
      <x:c r="F154" t="n">
        <x:v>3</x:v>
      </x:c>
      <x:c r="G154" s="12" t="n">
        <x:v>479.97</x:v>
      </x:c>
      <x:c r="H154" s="12" t="n">
        <x:v>269.59</x:v>
      </x:c>
      <x:c r="I154" t="str">
        <x:v>Retail</x:v>
      </x:c>
      <x:c r="J154" t="str">
        <x:f>XLOOKUP(C154,'Lookup Tables'!$A$3:$A$12,'Lookup Tables'!$C$3:$C$12,"Not Found")</x:f>
        <x:v>Home Goods</x:v>
      </x:c>
      <x:c r="K154" t="str">
        <x:f>XLOOKUP(B154,'Lookup Tables'!$F$3:$F$6,'Lookup Tables'!$G$3:$G$6,"Not Found")</x:f>
        <x:v>Daniel Kim</x:v>
      </x:c>
      <x:c r="L154" s="14" t="n">
        <x:f>XLOOKUP(B154,'Lookup Tables'!$F$3:$F$6,'Lookup Tables'!$H$3:$H$6,0)</x:f>
        <x:v>0.045</x:v>
      </x:c>
      <x:c r="M154" s="12" t="n">
        <x:f>G154-H154</x:f>
        <x:v>210.38000000000005</x:v>
      </x:c>
      <x:c r="N154" t="str">
        <x:f>IF(G154&gt;=10000,"High Value","Standard")</x:f>
        <x:v>Standard</x:v>
      </x:c>
      <x:c r="O154" t="str">
        <x:f>IF(M154/G154&gt;=0.40,"Strong Margin","Review Margin")</x:f>
        <x:v>Strong Margin</x:v>
      </x:c>
      <x:c r="P154" t="str">
        <x:f>TEXT(A154,"mmm")</x:f>
        <x:v>Jul</x:v>
      </x:c>
      <x:c r="Q154" s="12" t="n">
        <x:f>G154*L154</x:f>
        <x:v>21.59865</x:v>
      </x:c>
    </x:row>
    <x:row r="155">
      <x:c r="A155" s="10" t="n">
        <x:v>45849</x:v>
      </x:c>
      <x:c r="B155" t="str">
        <x:v>East</x:v>
      </x:c>
      <x:c r="C155" t="str">
        <x:v>P-1010</x:v>
      </x:c>
      <x:c r="D155" t="str">
        <x:v>Insulated Water Bottle</x:v>
      </x:c>
      <x:c r="E155" t="str">
        <x:v>Liam Wilson</x:v>
      </x:c>
      <x:c r="F155" t="n">
        <x:v>6</x:v>
      </x:c>
      <x:c r="G155" s="12" t="n">
        <x:v>209.94</x:v>
      </x:c>
      <x:c r="H155" s="12" t="n">
        <x:v>74.79</x:v>
      </x:c>
      <x:c r="I155" t="str">
        <x:v>Retail</x:v>
      </x:c>
      <x:c r="J155" t="str">
        <x:f>XLOOKUP(C155,'Lookup Tables'!$A$3:$A$12,'Lookup Tables'!$C$3:$C$12,"Not Found")</x:f>
        <x:v>Accessories</x:v>
      </x:c>
      <x:c r="K155" t="str">
        <x:f>XLOOKUP(B155,'Lookup Tables'!$F$3:$F$6,'Lookup Tables'!$G$3:$G$6,"Not Found")</x:f>
        <x:v>Alicia Morgan</x:v>
      </x:c>
      <x:c r="L155" s="14" t="n">
        <x:f>XLOOKUP(B155,'Lookup Tables'!$F$3:$F$6,'Lookup Tables'!$H$3:$H$6,0)</x:f>
        <x:v>0.04</x:v>
      </x:c>
      <x:c r="M155" s="12" t="n">
        <x:f>G155-H155</x:f>
        <x:v>135.14999999999998</x:v>
      </x:c>
      <x:c r="N155" t="str">
        <x:f>IF(G155&gt;=10000,"High Value","Standard")</x:f>
        <x:v>Standard</x:v>
      </x:c>
      <x:c r="O155" t="str">
        <x:f>IF(M155/G155&gt;=0.40,"Strong Margin","Review Margin")</x:f>
        <x:v>Strong Margin</x:v>
      </x:c>
      <x:c r="P155" t="str">
        <x:f>TEXT(A155,"mmm")</x:f>
        <x:v>Jul</x:v>
      </x:c>
      <x:c r="Q155" s="12" t="n">
        <x:f>G155*L155</x:f>
        <x:v>8.3976</x:v>
      </x:c>
    </x:row>
    <x:row r="156">
      <x:c r="A156" s="10" t="n">
        <x:v>45850</x:v>
      </x:c>
      <x:c r="B156" t="str">
        <x:v>West</x:v>
      </x:c>
      <x:c r="C156" t="str">
        <x:v>P-1003</x:v>
      </x:c>
      <x:c r="D156" t="str">
        <x:v>Ergonomic Office Chair</x:v>
      </x:c>
      <x:c r="E156" t="str">
        <x:v>Liam Wilson</x:v>
      </x:c>
      <x:c r="F156" t="n">
        <x:v>10</x:v>
      </x:c>
      <x:c r="G156" s="12" t="n">
        <x:v>2499.9</x:v>
      </x:c>
      <x:c r="H156" s="12" t="n">
        <x:v>1478.61</x:v>
      </x:c>
      <x:c r="I156" t="str">
        <x:v>Retail</x:v>
      </x:c>
      <x:c r="J156" t="str">
        <x:f>XLOOKUP(C156,'Lookup Tables'!$A$3:$A$12,'Lookup Tables'!$C$3:$C$12,"Not Found")</x:f>
        <x:v>Furniture</x:v>
      </x:c>
      <x:c r="K156" t="str">
        <x:f>XLOOKUP(B156,'Lookup Tables'!$F$3:$F$6,'Lookup Tables'!$G$3:$G$6,"Not Found")</x:f>
        <x:v>Daniel Kim</x:v>
      </x:c>
      <x:c r="L156" s="14" t="n">
        <x:f>XLOOKUP(B156,'Lookup Tables'!$F$3:$F$6,'Lookup Tables'!$H$3:$H$6,0)</x:f>
        <x:v>0.045</x:v>
      </x:c>
      <x:c r="M156" s="12" t="n">
        <x:f>G156-H156</x:f>
        <x:v>1021.2900000000002</x:v>
      </x:c>
      <x:c r="N156" t="str">
        <x:f>IF(G156&gt;=10000,"High Value","Standard")</x:f>
        <x:v>Standard</x:v>
      </x:c>
      <x:c r="O156" t="str">
        <x:f>IF(M156/G156&gt;=0.40,"Strong Margin","Review Margin")</x:f>
        <x:v>Strong Margin</x:v>
      </x:c>
      <x:c r="P156" t="str">
        <x:f>TEXT(A156,"mmm")</x:f>
        <x:v>Jul</x:v>
      </x:c>
      <x:c r="Q156" s="12" t="n">
        <x:f>G156*L156</x:f>
        <x:v>112.4955</x:v>
      </x:c>
    </x:row>
    <x:row r="157">
      <x:c r="A157" s="10" t="n">
        <x:v>45851</x:v>
      </x:c>
      <x:c r="B157" t="str">
        <x:v>East</x:v>
      </x:c>
      <x:c r="C157" t="str">
        <x:v>P-1003</x:v>
      </x:c>
      <x:c r="D157" t="str">
        <x:v>Ergonomic Office Chair</x:v>
      </x:c>
      <x:c r="E157" t="str">
        <x:v>Mia Thomas</x:v>
      </x:c>
      <x:c r="F157" t="n">
        <x:v>7</x:v>
      </x:c>
      <x:c r="G157" s="12" t="n">
        <x:v>1749.93</x:v>
      </x:c>
      <x:c r="H157" s="12" t="n">
        <x:v>1044.76</x:v>
      </x:c>
      <x:c r="I157" t="str">
        <x:v>Retail</x:v>
      </x:c>
      <x:c r="J157" t="str">
        <x:f>XLOOKUP(C157,'Lookup Tables'!$A$3:$A$12,'Lookup Tables'!$C$3:$C$12,"Not Found")</x:f>
        <x:v>Furniture</x:v>
      </x:c>
      <x:c r="K157" t="str">
        <x:f>XLOOKUP(B157,'Lookup Tables'!$F$3:$F$6,'Lookup Tables'!$G$3:$G$6,"Not Found")</x:f>
        <x:v>Alicia Morgan</x:v>
      </x:c>
      <x:c r="L157" s="14" t="n">
        <x:f>XLOOKUP(B157,'Lookup Tables'!$F$3:$F$6,'Lookup Tables'!$H$3:$H$6,0)</x:f>
        <x:v>0.04</x:v>
      </x:c>
      <x:c r="M157" s="12" t="n">
        <x:f>G157-H157</x:f>
        <x:v>705.1700000000001</x:v>
      </x:c>
      <x:c r="N157" t="str">
        <x:f>IF(G157&gt;=10000,"High Value","Standard")</x:f>
        <x:v>Standard</x:v>
      </x:c>
      <x:c r="O157" t="str">
        <x:f>IF(M157/G157&gt;=0.40,"Strong Margin","Review Margin")</x:f>
        <x:v>Strong Margin</x:v>
      </x:c>
      <x:c r="P157" t="str">
        <x:f>TEXT(A157,"mmm")</x:f>
        <x:v>Jul</x:v>
      </x:c>
      <x:c r="Q157" s="12" t="n">
        <x:f>G157*L157</x:f>
        <x:v>69.9972</x:v>
      </x:c>
    </x:row>
    <x:row r="158">
      <x:c r="A158" s="10" t="n">
        <x:v>45851</x:v>
      </x:c>
      <x:c r="B158" t="str">
        <x:v>West</x:v>
      </x:c>
      <x:c r="C158" t="str">
        <x:v>P-1006</x:v>
      </x:c>
      <x:c r="D158" t="str">
        <x:v>Air Fryer XL</x:v>
      </x:c>
      <x:c r="E158" t="str">
        <x:v>Mia Thomas</x:v>
      </x:c>
      <x:c r="F158" t="n">
        <x:v>50</x:v>
      </x:c>
      <x:c r="G158" s="12" t="n">
        <x:v>6579.53</x:v>
      </x:c>
      <x:c r="H158" s="12" t="n">
        <x:v>3656.73</x:v>
      </x:c>
      <x:c r="I158" t="str">
        <x:v>Wholesale</x:v>
      </x:c>
      <x:c r="J158" t="str">
        <x:f>XLOOKUP(C158,'Lookup Tables'!$A$3:$A$12,'Lookup Tables'!$C$3:$C$12,"Not Found")</x:f>
        <x:v>Home Goods</x:v>
      </x:c>
      <x:c r="K158" t="str">
        <x:f>XLOOKUP(B158,'Lookup Tables'!$F$3:$F$6,'Lookup Tables'!$G$3:$G$6,"Not Found")</x:f>
        <x:v>Daniel Kim</x:v>
      </x:c>
      <x:c r="L158" s="14" t="n">
        <x:f>XLOOKUP(B158,'Lookup Tables'!$F$3:$F$6,'Lookup Tables'!$H$3:$H$6,0)</x:f>
        <x:v>0.045</x:v>
      </x:c>
      <x:c r="M158" s="12" t="n">
        <x:f>G158-H158</x:f>
        <x:v>2922.7999999999997</x:v>
      </x:c>
      <x:c r="N158" t="str">
        <x:f>IF(G158&gt;=10000,"High Value","Standard")</x:f>
        <x:v>Standard</x:v>
      </x:c>
      <x:c r="O158" t="str">
        <x:f>IF(M158/G158&gt;=0.40,"Strong Margin","Review Margin")</x:f>
        <x:v>Strong Margin</x:v>
      </x:c>
      <x:c r="P158" t="str">
        <x:f>TEXT(A158,"mmm")</x:f>
        <x:v>Jul</x:v>
      </x:c>
      <x:c r="Q158" s="12" t="n">
        <x:f>G158*L158</x:f>
        <x:v>296.07885</x:v>
      </x:c>
    </x:row>
    <x:row r="159">
      <x:c r="A159" s="10" t="n">
        <x:v>45852</x:v>
      </x:c>
      <x:c r="B159" t="str">
        <x:v>East</x:v>
      </x:c>
      <x:c r="C159" t="str">
        <x:v>P-1002</x:v>
      </x:c>
      <x:c r="D159" t="str">
        <x:v>Smart Home Hub</x:v>
      </x:c>
      <x:c r="E159" t="str">
        <x:v>Sophia Martinez</x:v>
      </x:c>
      <x:c r="F159" t="n">
        <x:v>3</x:v>
      </x:c>
      <x:c r="G159" s="12" t="n">
        <x:v>599.97</x:v>
      </x:c>
      <x:c r="H159" s="12" t="n">
        <x:v>329.77</x:v>
      </x:c>
      <x:c r="I159" t="str">
        <x:v>Retail</x:v>
      </x:c>
      <x:c r="J159" t="str">
        <x:f>XLOOKUP(C159,'Lookup Tables'!$A$3:$A$12,'Lookup Tables'!$C$3:$C$12,"Not Found")</x:f>
        <x:v>Electronics</x:v>
      </x:c>
      <x:c r="K159" t="str">
        <x:f>XLOOKUP(B159,'Lookup Tables'!$F$3:$F$6,'Lookup Tables'!$G$3:$G$6,"Not Found")</x:f>
        <x:v>Alicia Morgan</x:v>
      </x:c>
      <x:c r="L159" s="14" t="n">
        <x:f>XLOOKUP(B159,'Lookup Tables'!$F$3:$F$6,'Lookup Tables'!$H$3:$H$6,0)</x:f>
        <x:v>0.04</x:v>
      </x:c>
      <x:c r="M159" s="12" t="n">
        <x:f>G159-H159</x:f>
        <x:v>270.20000000000005</x:v>
      </x:c>
      <x:c r="N159" t="str">
        <x:f>IF(G159&gt;=10000,"High Value","Standard")</x:f>
        <x:v>Standard</x:v>
      </x:c>
      <x:c r="O159" t="str">
        <x:f>IF(M159/G159&gt;=0.40,"Strong Margin","Review Margin")</x:f>
        <x:v>Strong Margin</x:v>
      </x:c>
      <x:c r="P159" t="str">
        <x:f>TEXT(A159,"mmm")</x:f>
        <x:v>Jul</x:v>
      </x:c>
      <x:c r="Q159" s="12" t="n">
        <x:f>G159*L159</x:f>
        <x:v>23.998800000000003</x:v>
      </x:c>
    </x:row>
    <x:row r="160">
      <x:c r="A160" s="10" t="n">
        <x:v>45853</x:v>
      </x:c>
      <x:c r="B160" t="str">
        <x:v>Midwest</x:v>
      </x:c>
      <x:c r="C160" t="str">
        <x:v>P-1008</x:v>
      </x:c>
      <x:c r="D160" t="str">
        <x:v>Yoga Starter Kit</x:v>
      </x:c>
      <x:c r="E160" t="str">
        <x:v>Noah Brown</x:v>
      </x:c>
      <x:c r="F160" t="n">
        <x:v>5</x:v>
      </x:c>
      <x:c r="G160" s="12" t="n">
        <x:v>299.95</x:v>
      </x:c>
      <x:c r="H160" s="12" t="n">
        <x:v>124.49</x:v>
      </x:c>
      <x:c r="I160" t="str">
        <x:v>Retail</x:v>
      </x:c>
      <x:c r="J160" t="str">
        <x:f>XLOOKUP(C160,'Lookup Tables'!$A$3:$A$12,'Lookup Tables'!$C$3:$C$12,"Not Found")</x:f>
        <x:v>Fitness</x:v>
      </x:c>
      <x:c r="K160" t="str">
        <x:f>XLOOKUP(B160,'Lookup Tables'!$F$3:$F$6,'Lookup Tables'!$G$3:$G$6,"Not Found")</x:f>
        <x:v>Marcus Reed</x:v>
      </x:c>
      <x:c r="L160" s="14" t="n">
        <x:f>XLOOKUP(B160,'Lookup Tables'!$F$3:$F$6,'Lookup Tables'!$H$3:$H$6,0)</x:f>
        <x:v>0.035</x:v>
      </x:c>
      <x:c r="M160" s="12" t="n">
        <x:f>G160-H160</x:f>
        <x:v>175.45999999999998</x:v>
      </x:c>
      <x:c r="N160" t="str">
        <x:f>IF(G160&gt;=10000,"High Value","Standard")</x:f>
        <x:v>Standard</x:v>
      </x:c>
      <x:c r="O160" t="str">
        <x:f>IF(M160/G160&gt;=0.40,"Strong Margin","Review Margin")</x:f>
        <x:v>Strong Margin</x:v>
      </x:c>
      <x:c r="P160" t="str">
        <x:f>TEXT(A160,"mmm")</x:f>
        <x:v>Jul</x:v>
      </x:c>
      <x:c r="Q160" s="12" t="n">
        <x:f>G160*L160</x:f>
        <x:v>10.49825</x:v>
      </x:c>
    </x:row>
    <x:row r="161">
      <x:c r="A161" s="10" t="n">
        <x:v>45853</x:v>
      </x:c>
      <x:c r="B161" t="str">
        <x:v>West</x:v>
      </x:c>
      <x:c r="C161" t="str">
        <x:v>P-1006</x:v>
      </x:c>
      <x:c r="D161" t="str">
        <x:v>Air Fryer XL</x:v>
      </x:c>
      <x:c r="E161" t="str">
        <x:v>Mia Thomas</x:v>
      </x:c>
      <x:c r="F161" t="n">
        <x:v>18</x:v>
      </x:c>
      <x:c r="G161" s="12" t="n">
        <x:v>2368.63</x:v>
      </x:c>
      <x:c r="H161" s="12" t="n">
        <x:v>1395.37</x:v>
      </x:c>
      <x:c r="I161" t="str">
        <x:v>Wholesale</x:v>
      </x:c>
      <x:c r="J161" t="str">
        <x:f>XLOOKUP(C161,'Lookup Tables'!$A$3:$A$12,'Lookup Tables'!$C$3:$C$12,"Not Found")</x:f>
        <x:v>Home Goods</x:v>
      </x:c>
      <x:c r="K161" t="str">
        <x:f>XLOOKUP(B161,'Lookup Tables'!$F$3:$F$6,'Lookup Tables'!$G$3:$G$6,"Not Found")</x:f>
        <x:v>Daniel Kim</x:v>
      </x:c>
      <x:c r="L161" s="14" t="n">
        <x:f>XLOOKUP(B161,'Lookup Tables'!$F$3:$F$6,'Lookup Tables'!$H$3:$H$6,0)</x:f>
        <x:v>0.045</x:v>
      </x:c>
      <x:c r="M161" s="12" t="n">
        <x:f>G161-H161</x:f>
        <x:v>973.2600000000002</x:v>
      </x:c>
      <x:c r="N161" t="str">
        <x:f>IF(G161&gt;=10000,"High Value","Standard")</x:f>
        <x:v>Standard</x:v>
      </x:c>
      <x:c r="O161" t="str">
        <x:f>IF(M161/G161&gt;=0.40,"Strong Margin","Review Margin")</x:f>
        <x:v>Strong Margin</x:v>
      </x:c>
      <x:c r="P161" t="str">
        <x:f>TEXT(A161,"mmm")</x:f>
        <x:v>Jul</x:v>
      </x:c>
      <x:c r="Q161" s="12" t="n">
        <x:f>G161*L161</x:f>
        <x:v>106.58835</x:v>
      </x:c>
    </x:row>
    <x:row r="162">
      <x:c r="A162" s="10" t="n">
        <x:v>45855</x:v>
      </x:c>
      <x:c r="B162" t="str">
        <x:v>West</x:v>
      </x:c>
      <x:c r="C162" t="str">
        <x:v>P-1002</x:v>
      </x:c>
      <x:c r="D162" t="str">
        <x:v>Smart Home Hub</x:v>
      </x:c>
      <x:c r="E162" t="str">
        <x:v>Benjamin Moore</x:v>
      </x:c>
      <x:c r="F162" t="n">
        <x:v>14</x:v>
      </x:c>
      <x:c r="G162" s="12" t="n">
        <x:v>2799.86</x:v>
      </x:c>
      <x:c r="H162" s="12" t="n">
        <x:v>1518.11</x:v>
      </x:c>
      <x:c r="I162" t="str">
        <x:v>Retail</x:v>
      </x:c>
      <x:c r="J162" t="str">
        <x:f>XLOOKUP(C162,'Lookup Tables'!$A$3:$A$12,'Lookup Tables'!$C$3:$C$12,"Not Found")</x:f>
        <x:v>Electronics</x:v>
      </x:c>
      <x:c r="K162" t="str">
        <x:f>XLOOKUP(B162,'Lookup Tables'!$F$3:$F$6,'Lookup Tables'!$G$3:$G$6,"Not Found")</x:f>
        <x:v>Daniel Kim</x:v>
      </x:c>
      <x:c r="L162" s="14" t="n">
        <x:f>XLOOKUP(B162,'Lookup Tables'!$F$3:$F$6,'Lookup Tables'!$H$3:$H$6,0)</x:f>
        <x:v>0.045</x:v>
      </x:c>
      <x:c r="M162" s="12" t="n">
        <x:f>G162-H162</x:f>
        <x:v>1281.7500000000002</x:v>
      </x:c>
      <x:c r="N162" t="str">
        <x:f>IF(G162&gt;=10000,"High Value","Standard")</x:f>
        <x:v>Standard</x:v>
      </x:c>
      <x:c r="O162" t="str">
        <x:f>IF(M162/G162&gt;=0.40,"Strong Margin","Review Margin")</x:f>
        <x:v>Strong Margin</x:v>
      </x:c>
      <x:c r="P162" t="str">
        <x:f>TEXT(A162,"mmm")</x:f>
        <x:v>Jul</x:v>
      </x:c>
      <x:c r="Q162" s="12" t="n">
        <x:f>G162*L162</x:f>
        <x:v>125.9937</x:v>
      </x:c>
    </x:row>
    <x:row r="163">
      <x:c r="A163" s="10" t="n">
        <x:v>45855</x:v>
      </x:c>
      <x:c r="B163" t="str">
        <x:v>East</x:v>
      </x:c>
      <x:c r="C163" t="str">
        <x:v>P-1004</x:v>
      </x:c>
      <x:c r="D163" t="str">
        <x:v>Standing Desk Converter</x:v>
      </x:c>
      <x:c r="E163" t="str">
        <x:v>Ethan Smith</x:v>
      </x:c>
      <x:c r="F163" t="n">
        <x:v>35</x:v>
      </x:c>
      <x:c r="G163" s="12" t="n">
        <x:v>6250.67</x:v>
      </x:c>
      <x:c r="H163" s="12" t="n">
        <x:v>3645.13</x:v>
      </x:c>
      <x:c r="I163" t="str">
        <x:v>Wholesale</x:v>
      </x:c>
      <x:c r="J163" t="str">
        <x:f>XLOOKUP(C163,'Lookup Tables'!$A$3:$A$12,'Lookup Tables'!$C$3:$C$12,"Not Found")</x:f>
        <x:v>Furniture</x:v>
      </x:c>
      <x:c r="K163" t="str">
        <x:f>XLOOKUP(B163,'Lookup Tables'!$F$3:$F$6,'Lookup Tables'!$G$3:$G$6,"Not Found")</x:f>
        <x:v>Alicia Morgan</x:v>
      </x:c>
      <x:c r="L163" s="14" t="n">
        <x:f>XLOOKUP(B163,'Lookup Tables'!$F$3:$F$6,'Lookup Tables'!$H$3:$H$6,0)</x:f>
        <x:v>0.04</x:v>
      </x:c>
      <x:c r="M163" s="12" t="n">
        <x:f>G163-H163</x:f>
        <x:v>2605.54</x:v>
      </x:c>
      <x:c r="N163" t="str">
        <x:f>IF(G163&gt;=10000,"High Value","Standard")</x:f>
        <x:v>Standard</x:v>
      </x:c>
      <x:c r="O163" t="str">
        <x:f>IF(M163/G163&gt;=0.40,"Strong Margin","Review Margin")</x:f>
        <x:v>Strong Margin</x:v>
      </x:c>
      <x:c r="P163" t="str">
        <x:f>TEXT(A163,"mmm")</x:f>
        <x:v>Jul</x:v>
      </x:c>
      <x:c r="Q163" s="12" t="n">
        <x:f>G163*L163</x:f>
        <x:v>250.0268</x:v>
      </x:c>
    </x:row>
    <x:row r="164">
      <x:c r="A164" s="10" t="n">
        <x:v>45857</x:v>
      </x:c>
      <x:c r="B164" t="str">
        <x:v>West</x:v>
      </x:c>
      <x:c r="C164" t="str">
        <x:v>P-1006</x:v>
      </x:c>
      <x:c r="D164" t="str">
        <x:v>Air Fryer XL</x:v>
      </x:c>
      <x:c r="E164" t="str">
        <x:v>Ava Davis</x:v>
      </x:c>
      <x:c r="F164" t="n">
        <x:v>46</x:v>
      </x:c>
      <x:c r="G164" s="12" t="n">
        <x:v>6053.17</x:v>
      </x:c>
      <x:c r="H164" s="12" t="n">
        <x:v>3463.19</x:v>
      </x:c>
      <x:c r="I164" t="str">
        <x:v>Wholesale</x:v>
      </x:c>
      <x:c r="J164" t="str">
        <x:f>XLOOKUP(C164,'Lookup Tables'!$A$3:$A$12,'Lookup Tables'!$C$3:$C$12,"Not Found")</x:f>
        <x:v>Home Goods</x:v>
      </x:c>
      <x:c r="K164" t="str">
        <x:f>XLOOKUP(B164,'Lookup Tables'!$F$3:$F$6,'Lookup Tables'!$G$3:$G$6,"Not Found")</x:f>
        <x:v>Daniel Kim</x:v>
      </x:c>
      <x:c r="L164" s="14" t="n">
        <x:f>XLOOKUP(B164,'Lookup Tables'!$F$3:$F$6,'Lookup Tables'!$H$3:$H$6,0)</x:f>
        <x:v>0.045</x:v>
      </x:c>
      <x:c r="M164" s="12" t="n">
        <x:f>G164-H164</x:f>
        <x:v>2589.98</x:v>
      </x:c>
      <x:c r="N164" t="str">
        <x:f>IF(G164&gt;=10000,"High Value","Standard")</x:f>
        <x:v>Standard</x:v>
      </x:c>
      <x:c r="O164" t="str">
        <x:f>IF(M164/G164&gt;=0.40,"Strong Margin","Review Margin")</x:f>
        <x:v>Strong Margin</x:v>
      </x:c>
      <x:c r="P164" t="str">
        <x:f>TEXT(A164,"mmm")</x:f>
        <x:v>Jul</x:v>
      </x:c>
      <x:c r="Q164" s="12" t="n">
        <x:f>G164*L164</x:f>
        <x:v>272.39265</x:v>
      </x:c>
    </x:row>
    <x:row r="165">
      <x:c r="A165" s="10" t="n">
        <x:v>45857</x:v>
      </x:c>
      <x:c r="B165" t="str">
        <x:v>South</x:v>
      </x:c>
      <x:c r="C165" t="str">
        <x:v>P-1005</x:v>
      </x:c>
      <x:c r="D165" t="str">
        <x:v>Stainless Cookware Set</x:v>
      </x:c>
      <x:c r="E165" t="str">
        <x:v>Ava Davis</x:v>
      </x:c>
      <x:c r="F165" t="n">
        <x:v>23</x:v>
      </x:c>
      <x:c r="G165" s="12" t="n">
        <x:v>3458.98</x:v>
      </x:c>
      <x:c r="H165" s="12" t="n">
        <x:v>2121.56</x:v>
      </x:c>
      <x:c r="I165" t="str">
        <x:v>Wholesale</x:v>
      </x:c>
      <x:c r="J165" t="str">
        <x:f>XLOOKUP(C165,'Lookup Tables'!$A$3:$A$12,'Lookup Tables'!$C$3:$C$12,"Not Found")</x:f>
        <x:v>Home Goods</x:v>
      </x:c>
      <x:c r="K165" t="str">
        <x:f>XLOOKUP(B165,'Lookup Tables'!$F$3:$F$6,'Lookup Tables'!$G$3:$G$6,"Not Found")</x:f>
        <x:v>Priya Patel</x:v>
      </x:c>
      <x:c r="L165" s="14" t="n">
        <x:f>XLOOKUP(B165,'Lookup Tables'!$F$3:$F$6,'Lookup Tables'!$H$3:$H$6,0)</x:f>
        <x:v>0.05</x:v>
      </x:c>
      <x:c r="M165" s="12" t="n">
        <x:f>G165-H165</x:f>
        <x:v>1337.42</x:v>
      </x:c>
      <x:c r="N165" t="str">
        <x:f>IF(G165&gt;=10000,"High Value","Standard")</x:f>
        <x:v>Standard</x:v>
      </x:c>
      <x:c r="O165" t="str">
        <x:f>IF(M165/G165&gt;=0.40,"Strong Margin","Review Margin")</x:f>
        <x:v>Review Margin</x:v>
      </x:c>
      <x:c r="P165" t="str">
        <x:f>TEXT(A165,"mmm")</x:f>
        <x:v>Jul</x:v>
      </x:c>
      <x:c r="Q165" s="12" t="n">
        <x:f>G165*L165</x:f>
        <x:v>172.949</x:v>
      </x:c>
    </x:row>
    <x:row r="166">
      <x:c r="A166" s="10" t="n">
        <x:v>45859</x:v>
      </x:c>
      <x:c r="B166" t="str">
        <x:v>South</x:v>
      </x:c>
      <x:c r="C166" t="str">
        <x:v>P-1006</x:v>
      </x:c>
      <x:c r="D166" t="str">
        <x:v>Air Fryer XL</x:v>
      </x:c>
      <x:c r="E166" t="str">
        <x:v>Ethan Smith</x:v>
      </x:c>
      <x:c r="F166" t="n">
        <x:v>7</x:v>
      </x:c>
      <x:c r="G166" s="12" t="n">
        <x:v>979.93</x:v>
      </x:c>
      <x:c r="H166" s="12" t="n">
        <x:v>514.23</x:v>
      </x:c>
      <x:c r="I166" t="str">
        <x:v>Retail</x:v>
      </x:c>
      <x:c r="J166" t="str">
        <x:f>XLOOKUP(C166,'Lookup Tables'!$A$3:$A$12,'Lookup Tables'!$C$3:$C$12,"Not Found")</x:f>
        <x:v>Home Goods</x:v>
      </x:c>
      <x:c r="K166" t="str">
        <x:f>XLOOKUP(B166,'Lookup Tables'!$F$3:$F$6,'Lookup Tables'!$G$3:$G$6,"Not Found")</x:f>
        <x:v>Priya Patel</x:v>
      </x:c>
      <x:c r="L166" s="14" t="n">
        <x:f>XLOOKUP(B166,'Lookup Tables'!$F$3:$F$6,'Lookup Tables'!$H$3:$H$6,0)</x:f>
        <x:v>0.05</x:v>
      </x:c>
      <x:c r="M166" s="12" t="n">
        <x:f>G166-H166</x:f>
        <x:v>465.69999999999993</x:v>
      </x:c>
      <x:c r="N166" t="str">
        <x:f>IF(G166&gt;=10000,"High Value","Standard")</x:f>
        <x:v>Standard</x:v>
      </x:c>
      <x:c r="O166" t="str">
        <x:f>IF(M166/G166&gt;=0.40,"Strong Margin","Review Margin")</x:f>
        <x:v>Strong Margin</x:v>
      </x:c>
      <x:c r="P166" t="str">
        <x:f>TEXT(A166,"mmm")</x:f>
        <x:v>Jul</x:v>
      </x:c>
      <x:c r="Q166" s="12" t="n">
        <x:f>G166*L166</x:f>
        <x:v>48.9965</x:v>
      </x:c>
    </x:row>
    <x:row r="167">
      <x:c r="A167" s="10" t="n">
        <x:v>45859</x:v>
      </x:c>
      <x:c r="B167" t="str">
        <x:v>West</x:v>
      </x:c>
      <x:c r="C167" t="str">
        <x:v>P-1010</x:v>
      </x:c>
      <x:c r="D167" t="str">
        <x:v>Insulated Water Bottle</x:v>
      </x:c>
      <x:c r="E167" t="str">
        <x:v>Noah Brown</x:v>
      </x:c>
      <x:c r="F167" t="n">
        <x:v>1</x:v>
      </x:c>
      <x:c r="G167" s="12" t="n">
        <x:v>34.99</x:v>
      </x:c>
      <x:c r="H167" s="12" t="n">
        <x:v>12.18</x:v>
      </x:c>
      <x:c r="I167" t="str">
        <x:v>Retail</x:v>
      </x:c>
      <x:c r="J167" t="str">
        <x:f>XLOOKUP(C167,'Lookup Tables'!$A$3:$A$12,'Lookup Tables'!$C$3:$C$12,"Not Found")</x:f>
        <x:v>Accessories</x:v>
      </x:c>
      <x:c r="K167" t="str">
        <x:f>XLOOKUP(B167,'Lookup Tables'!$F$3:$F$6,'Lookup Tables'!$G$3:$G$6,"Not Found")</x:f>
        <x:v>Daniel Kim</x:v>
      </x:c>
      <x:c r="L167" s="14" t="n">
        <x:f>XLOOKUP(B167,'Lookup Tables'!$F$3:$F$6,'Lookup Tables'!$H$3:$H$6,0)</x:f>
        <x:v>0.045</x:v>
      </x:c>
      <x:c r="M167" s="12" t="n">
        <x:f>G167-H167</x:f>
        <x:v>22.810000000000002</x:v>
      </x:c>
      <x:c r="N167" t="str">
        <x:f>IF(G167&gt;=10000,"High Value","Standard")</x:f>
        <x:v>Standard</x:v>
      </x:c>
      <x:c r="O167" t="str">
        <x:f>IF(M167/G167&gt;=0.40,"Strong Margin","Review Margin")</x:f>
        <x:v>Strong Margin</x:v>
      </x:c>
      <x:c r="P167" t="str">
        <x:f>TEXT(A167,"mmm")</x:f>
        <x:v>Jul</x:v>
      </x:c>
      <x:c r="Q167" s="12" t="n">
        <x:f>G167*L167</x:f>
        <x:v>1.5745500000000001</x:v>
      </x:c>
    </x:row>
    <x:row r="168">
      <x:c r="A168" s="10" t="n">
        <x:v>45860</x:v>
      </x:c>
      <x:c r="B168" t="str">
        <x:v>East</x:v>
      </x:c>
      <x:c r="C168" t="str">
        <x:v>P-1001</x:v>
      </x:c>
      <x:c r="D168" t="str">
        <x:v>Wireless Headphones</x:v>
      </x:c>
      <x:c r="E168" t="str">
        <x:v>Noah Brown</x:v>
      </x:c>
      <x:c r="F168" t="n">
        <x:v>2</x:v>
      </x:c>
      <x:c r="G168" s="12" t="n">
        <x:v>259.98</x:v>
      </x:c>
      <x:c r="H168" s="12" t="n">
        <x:v>139.95</x:v>
      </x:c>
      <x:c r="I168" t="str">
        <x:v>Retail</x:v>
      </x:c>
      <x:c r="J168" t="str">
        <x:f>XLOOKUP(C168,'Lookup Tables'!$A$3:$A$12,'Lookup Tables'!$C$3:$C$12,"Not Found")</x:f>
        <x:v>Electronics</x:v>
      </x:c>
      <x:c r="K168" t="str">
        <x:f>XLOOKUP(B168,'Lookup Tables'!$F$3:$F$6,'Lookup Tables'!$G$3:$G$6,"Not Found")</x:f>
        <x:v>Alicia Morgan</x:v>
      </x:c>
      <x:c r="L168" s="14" t="n">
        <x:f>XLOOKUP(B168,'Lookup Tables'!$F$3:$F$6,'Lookup Tables'!$H$3:$H$6,0)</x:f>
        <x:v>0.04</x:v>
      </x:c>
      <x:c r="M168" s="12" t="n">
        <x:f>G168-H168</x:f>
        <x:v>120.03000000000003</x:v>
      </x:c>
      <x:c r="N168" t="str">
        <x:f>IF(G168&gt;=10000,"High Value","Standard")</x:f>
        <x:v>Standard</x:v>
      </x:c>
      <x:c r="O168" t="str">
        <x:f>IF(M168/G168&gt;=0.40,"Strong Margin","Review Margin")</x:f>
        <x:v>Strong Margin</x:v>
      </x:c>
      <x:c r="P168" t="str">
        <x:f>TEXT(A168,"mmm")</x:f>
        <x:v>Jul</x:v>
      </x:c>
      <x:c r="Q168" s="12" t="n">
        <x:f>G168*L168</x:f>
        <x:v>10.3992</x:v>
      </x:c>
    </x:row>
    <x:row r="169">
      <x:c r="A169" s="10" t="n">
        <x:v>45861</x:v>
      </x:c>
      <x:c r="B169" t="str">
        <x:v>East</x:v>
      </x:c>
      <x:c r="C169" t="str">
        <x:v>P-1010</x:v>
      </x:c>
      <x:c r="D169" t="str">
        <x:v>Insulated Water Bottle</x:v>
      </x:c>
      <x:c r="E169" t="str">
        <x:v>Lucas Miller</x:v>
      </x:c>
      <x:c r="F169" t="n">
        <x:v>6</x:v>
      </x:c>
      <x:c r="G169" s="12" t="n">
        <x:v>209.94</x:v>
      </x:c>
      <x:c r="H169" s="12" t="n">
        <x:v>74.01</x:v>
      </x:c>
      <x:c r="I169" t="str">
        <x:v>Retail</x:v>
      </x:c>
      <x:c r="J169" t="str">
        <x:f>XLOOKUP(C169,'Lookup Tables'!$A$3:$A$12,'Lookup Tables'!$C$3:$C$12,"Not Found")</x:f>
        <x:v>Accessories</x:v>
      </x:c>
      <x:c r="K169" t="str">
        <x:f>XLOOKUP(B169,'Lookup Tables'!$F$3:$F$6,'Lookup Tables'!$G$3:$G$6,"Not Found")</x:f>
        <x:v>Alicia Morgan</x:v>
      </x:c>
      <x:c r="L169" s="14" t="n">
        <x:f>XLOOKUP(B169,'Lookup Tables'!$F$3:$F$6,'Lookup Tables'!$H$3:$H$6,0)</x:f>
        <x:v>0.04</x:v>
      </x:c>
      <x:c r="M169" s="12" t="n">
        <x:f>G169-H169</x:f>
        <x:v>135.93</x:v>
      </x:c>
      <x:c r="N169" t="str">
        <x:f>IF(G169&gt;=10000,"High Value","Standard")</x:f>
        <x:v>Standard</x:v>
      </x:c>
      <x:c r="O169" t="str">
        <x:f>IF(M169/G169&gt;=0.40,"Strong Margin","Review Margin")</x:f>
        <x:v>Strong Margin</x:v>
      </x:c>
      <x:c r="P169" t="str">
        <x:f>TEXT(A169,"mmm")</x:f>
        <x:v>Jul</x:v>
      </x:c>
      <x:c r="Q169" s="12" t="n">
        <x:f>G169*L169</x:f>
        <x:v>8.3976</x:v>
      </x:c>
    </x:row>
    <x:row r="170">
      <x:c r="A170" s="10" t="n">
        <x:v>45864</x:v>
      </x:c>
      <x:c r="B170" t="str">
        <x:v>West</x:v>
      </x:c>
      <x:c r="C170" t="str">
        <x:v>P-1004</x:v>
      </x:c>
      <x:c r="D170" t="str">
        <x:v>Standing Desk Converter</x:v>
      </x:c>
      <x:c r="E170" t="str">
        <x:v>James Anderson</x:v>
      </x:c>
      <x:c r="F170" t="n">
        <x:v>6</x:v>
      </x:c>
      <x:c r="G170" s="12" t="n">
        <x:v>1139.94</x:v>
      </x:c>
      <x:c r="H170" s="12" t="n">
        <x:v>620.64</x:v>
      </x:c>
      <x:c r="I170" t="str">
        <x:v>Retail</x:v>
      </x:c>
      <x:c r="J170" t="str">
        <x:f>XLOOKUP(C170,'Lookup Tables'!$A$3:$A$12,'Lookup Tables'!$C$3:$C$12,"Not Found")</x:f>
        <x:v>Furniture</x:v>
      </x:c>
      <x:c r="K170" t="str">
        <x:f>XLOOKUP(B170,'Lookup Tables'!$F$3:$F$6,'Lookup Tables'!$G$3:$G$6,"Not Found")</x:f>
        <x:v>Daniel Kim</x:v>
      </x:c>
      <x:c r="L170" s="14" t="n">
        <x:f>XLOOKUP(B170,'Lookup Tables'!$F$3:$F$6,'Lookup Tables'!$H$3:$H$6,0)</x:f>
        <x:v>0.045</x:v>
      </x:c>
      <x:c r="M170" s="12" t="n">
        <x:f>G170-H170</x:f>
        <x:v>519.3000000000001</x:v>
      </x:c>
      <x:c r="N170" t="str">
        <x:f>IF(G170&gt;=10000,"High Value","Standard")</x:f>
        <x:v>Standard</x:v>
      </x:c>
      <x:c r="O170" t="str">
        <x:f>IF(M170/G170&gt;=0.40,"Strong Margin","Review Margin")</x:f>
        <x:v>Strong Margin</x:v>
      </x:c>
      <x:c r="P170" t="str">
        <x:f>TEXT(A170,"mmm")</x:f>
        <x:v>Jul</x:v>
      </x:c>
      <x:c r="Q170" s="12" t="n">
        <x:f>G170*L170</x:f>
        <x:v>51.2973</x:v>
      </x:c>
    </x:row>
    <x:row r="171">
      <x:c r="A171" s="10" t="n">
        <x:v>45866</x:v>
      </x:c>
      <x:c r="B171" t="str">
        <x:v>Midwest</x:v>
      </x:c>
      <x:c r="C171" t="str">
        <x:v>P-1007</x:v>
      </x:c>
      <x:c r="D171" t="str">
        <x:v>Fitness Tracker</x:v>
      </x:c>
      <x:c r="E171" t="str">
        <x:v>Noah Brown</x:v>
      </x:c>
      <x:c r="F171" t="n">
        <x:v>15</x:v>
      </x:c>
      <x:c r="G171" s="12" t="n">
        <x:v>1691.86</x:v>
      </x:c>
      <x:c r="H171" s="12" t="n">
        <x:v>928.4</x:v>
      </x:c>
      <x:c r="I171" t="str">
        <x:v>Wholesale</x:v>
      </x:c>
      <x:c r="J171" t="str">
        <x:f>XLOOKUP(C171,'Lookup Tables'!$A$3:$A$12,'Lookup Tables'!$C$3:$C$12,"Not Found")</x:f>
        <x:v>Fitness</x:v>
      </x:c>
      <x:c r="K171" t="str">
        <x:f>XLOOKUP(B171,'Lookup Tables'!$F$3:$F$6,'Lookup Tables'!$G$3:$G$6,"Not Found")</x:f>
        <x:v>Marcus Reed</x:v>
      </x:c>
      <x:c r="L171" s="14" t="n">
        <x:f>XLOOKUP(B171,'Lookup Tables'!$F$3:$F$6,'Lookup Tables'!$H$3:$H$6,0)</x:f>
        <x:v>0.035</x:v>
      </x:c>
      <x:c r="M171" s="12" t="n">
        <x:f>G171-H171</x:f>
        <x:v>763.4599999999999</x:v>
      </x:c>
      <x:c r="N171" t="str">
        <x:f>IF(G171&gt;=10000,"High Value","Standard")</x:f>
        <x:v>Standard</x:v>
      </x:c>
      <x:c r="O171" t="str">
        <x:f>IF(M171/G171&gt;=0.40,"Strong Margin","Review Margin")</x:f>
        <x:v>Strong Margin</x:v>
      </x:c>
      <x:c r="P171" t="str">
        <x:f>TEXT(A171,"mmm")</x:f>
        <x:v>Jul</x:v>
      </x:c>
      <x:c r="Q171" s="12" t="n">
        <x:f>G171*L171</x:f>
        <x:v>59.2151</x:v>
      </x:c>
    </x:row>
    <x:row r="172">
      <x:c r="A172" s="10" t="n">
        <x:v>45866</x:v>
      </x:c>
      <x:c r="B172" t="str">
        <x:v>West</x:v>
      </x:c>
      <x:c r="C172" t="str">
        <x:v>P-1007</x:v>
      </x:c>
      <x:c r="D172" t="str">
        <x:v>Fitness Tracker</x:v>
      </x:c>
      <x:c r="E172" t="str">
        <x:v>Benjamin Moore</x:v>
      </x:c>
      <x:c r="F172" t="n">
        <x:v>14</x:v>
      </x:c>
      <x:c r="G172" s="12" t="n">
        <x:v>1679.86</x:v>
      </x:c>
      <x:c r="H172" s="12" t="n">
        <x:v>869.82</x:v>
      </x:c>
      <x:c r="I172" t="str">
        <x:v>Retail</x:v>
      </x:c>
      <x:c r="J172" t="str">
        <x:f>XLOOKUP(C172,'Lookup Tables'!$A$3:$A$12,'Lookup Tables'!$C$3:$C$12,"Not Found")</x:f>
        <x:v>Fitness</x:v>
      </x:c>
      <x:c r="K172" t="str">
        <x:f>XLOOKUP(B172,'Lookup Tables'!$F$3:$F$6,'Lookup Tables'!$G$3:$G$6,"Not Found")</x:f>
        <x:v>Daniel Kim</x:v>
      </x:c>
      <x:c r="L172" s="14" t="n">
        <x:f>XLOOKUP(B172,'Lookup Tables'!$F$3:$F$6,'Lookup Tables'!$H$3:$H$6,0)</x:f>
        <x:v>0.045</x:v>
      </x:c>
      <x:c r="M172" s="12" t="n">
        <x:f>G172-H172</x:f>
        <x:v>810.0399999999998</x:v>
      </x:c>
      <x:c r="N172" t="str">
        <x:f>IF(G172&gt;=10000,"High Value","Standard")</x:f>
        <x:v>Standard</x:v>
      </x:c>
      <x:c r="O172" t="str">
        <x:f>IF(M172/G172&gt;=0.40,"Strong Margin","Review Margin")</x:f>
        <x:v>Strong Margin</x:v>
      </x:c>
      <x:c r="P172" t="str">
        <x:f>TEXT(A172,"mmm")</x:f>
        <x:v>Jul</x:v>
      </x:c>
      <x:c r="Q172" s="12" t="n">
        <x:f>G172*L172</x:f>
        <x:v>75.5937</x:v>
      </x:c>
    </x:row>
    <x:row r="173">
      <x:c r="A173" s="10" t="n">
        <x:v>45866</x:v>
      </x:c>
      <x:c r="B173" t="str">
        <x:v>Midwest</x:v>
      </x:c>
      <x:c r="C173" t="str">
        <x:v>P-1002</x:v>
      </x:c>
      <x:c r="D173" t="str">
        <x:v>Smart Home Hub</x:v>
      </x:c>
      <x:c r="E173" t="str">
        <x:v>Benjamin Moore</x:v>
      </x:c>
      <x:c r="F173" t="n">
        <x:v>8</x:v>
      </x:c>
      <x:c r="G173" s="12" t="n">
        <x:v>1599.92</x:v>
      </x:c>
      <x:c r="H173" s="12" t="n">
        <x:v>876.94</x:v>
      </x:c>
      <x:c r="I173" t="str">
        <x:v>Retail</x:v>
      </x:c>
      <x:c r="J173" t="str">
        <x:f>XLOOKUP(C173,'Lookup Tables'!$A$3:$A$12,'Lookup Tables'!$C$3:$C$12,"Not Found")</x:f>
        <x:v>Electronics</x:v>
      </x:c>
      <x:c r="K173" t="str">
        <x:f>XLOOKUP(B173,'Lookup Tables'!$F$3:$F$6,'Lookup Tables'!$G$3:$G$6,"Not Found")</x:f>
        <x:v>Marcus Reed</x:v>
      </x:c>
      <x:c r="L173" s="14" t="n">
        <x:f>XLOOKUP(B173,'Lookup Tables'!$F$3:$F$6,'Lookup Tables'!$H$3:$H$6,0)</x:f>
        <x:v>0.035</x:v>
      </x:c>
      <x:c r="M173" s="12" t="n">
        <x:f>G173-H173</x:f>
        <x:v>722.98</x:v>
      </x:c>
      <x:c r="N173" t="str">
        <x:f>IF(G173&gt;=10000,"High Value","Standard")</x:f>
        <x:v>Standard</x:v>
      </x:c>
      <x:c r="O173" t="str">
        <x:f>IF(M173/G173&gt;=0.40,"Strong Margin","Review Margin")</x:f>
        <x:v>Strong Margin</x:v>
      </x:c>
      <x:c r="P173" t="str">
        <x:f>TEXT(A173,"mmm")</x:f>
        <x:v>Jul</x:v>
      </x:c>
      <x:c r="Q173" s="12" t="n">
        <x:f>G173*L173</x:f>
        <x:v>55.99720000000001</x:v>
      </x:c>
    </x:row>
    <x:row r="174">
      <x:c r="A174" s="10" t="n">
        <x:v>45867</x:v>
      </x:c>
      <x:c r="B174" t="str">
        <x:v>South</x:v>
      </x:c>
      <x:c r="C174" t="str">
        <x:v>P-1006</x:v>
      </x:c>
      <x:c r="D174" t="str">
        <x:v>Air Fryer XL</x:v>
      </x:c>
      <x:c r="E174" t="str">
        <x:v>Maya Johnson</x:v>
      </x:c>
      <x:c r="F174" t="n">
        <x:v>39</x:v>
      </x:c>
      <x:c r="G174" s="12" t="n">
        <x:v>5132.03</x:v>
      </x:c>
      <x:c r="H174" s="12" t="n">
        <x:v>2847.37</x:v>
      </x:c>
      <x:c r="I174" t="str">
        <x:v>Wholesale</x:v>
      </x:c>
      <x:c r="J174" t="str">
        <x:f>XLOOKUP(C174,'Lookup Tables'!$A$3:$A$12,'Lookup Tables'!$C$3:$C$12,"Not Found")</x:f>
        <x:v>Home Goods</x:v>
      </x:c>
      <x:c r="K174" t="str">
        <x:f>XLOOKUP(B174,'Lookup Tables'!$F$3:$F$6,'Lookup Tables'!$G$3:$G$6,"Not Found")</x:f>
        <x:v>Priya Patel</x:v>
      </x:c>
      <x:c r="L174" s="14" t="n">
        <x:f>XLOOKUP(B174,'Lookup Tables'!$F$3:$F$6,'Lookup Tables'!$H$3:$H$6,0)</x:f>
        <x:v>0.05</x:v>
      </x:c>
      <x:c r="M174" s="12" t="n">
        <x:f>G174-H174</x:f>
        <x:v>2284.66</x:v>
      </x:c>
      <x:c r="N174" t="str">
        <x:f>IF(G174&gt;=10000,"High Value","Standard")</x:f>
        <x:v>Standard</x:v>
      </x:c>
      <x:c r="O174" t="str">
        <x:f>IF(M174/G174&gt;=0.40,"Strong Margin","Review Margin")</x:f>
        <x:v>Strong Margin</x:v>
      </x:c>
      <x:c r="P174" t="str">
        <x:f>TEXT(A174,"mmm")</x:f>
        <x:v>Jul</x:v>
      </x:c>
      <x:c r="Q174" s="12" t="n">
        <x:f>G174*L174</x:f>
        <x:v>256.6015</x:v>
      </x:c>
    </x:row>
    <x:row r="175">
      <x:c r="A175" s="10" t="n">
        <x:v>45869</x:v>
      </x:c>
      <x:c r="B175" t="str">
        <x:v>East</x:v>
      </x:c>
      <x:c r="C175" t="str">
        <x:v>P-1009</x:v>
      </x:c>
      <x:c r="D175" t="str">
        <x:v>Travel Backpack</x:v>
      </x:c>
      <x:c r="E175" t="str">
        <x:v>Benjamin Moore</x:v>
      </x:c>
      <x:c r="F175" t="n">
        <x:v>5</x:v>
      </x:c>
      <x:c r="G175" s="12" t="n">
        <x:v>449.95</x:v>
      </x:c>
      <x:c r="H175" s="12" t="n">
        <x:v>214.39</x:v>
      </x:c>
      <x:c r="I175" t="str">
        <x:v>Retail</x:v>
      </x:c>
      <x:c r="J175" t="str">
        <x:f>XLOOKUP(C175,'Lookup Tables'!$A$3:$A$12,'Lookup Tables'!$C$3:$C$12,"Not Found")</x:f>
        <x:v>Accessories</x:v>
      </x:c>
      <x:c r="K175" t="str">
        <x:f>XLOOKUP(B175,'Lookup Tables'!$F$3:$F$6,'Lookup Tables'!$G$3:$G$6,"Not Found")</x:f>
        <x:v>Alicia Morgan</x:v>
      </x:c>
      <x:c r="L175" s="14" t="n">
        <x:f>XLOOKUP(B175,'Lookup Tables'!$F$3:$F$6,'Lookup Tables'!$H$3:$H$6,0)</x:f>
        <x:v>0.04</x:v>
      </x:c>
      <x:c r="M175" s="12" t="n">
        <x:f>G175-H175</x:f>
        <x:v>235.56</x:v>
      </x:c>
      <x:c r="N175" t="str">
        <x:f>IF(G175&gt;=10000,"High Value","Standard")</x:f>
        <x:v>Standard</x:v>
      </x:c>
      <x:c r="O175" t="str">
        <x:f>IF(M175/G175&gt;=0.40,"Strong Margin","Review Margin")</x:f>
        <x:v>Strong Margin</x:v>
      </x:c>
      <x:c r="P175" t="str">
        <x:f>TEXT(A175,"mmm")</x:f>
        <x:v>Jul</x:v>
      </x:c>
      <x:c r="Q175" s="12" t="n">
        <x:f>G175*L175</x:f>
        <x:v>17.998</x:v>
      </x:c>
    </x:row>
    <x:row r="176">
      <x:c r="A176" s="10" t="n">
        <x:v>45870</x:v>
      </x:c>
      <x:c r="B176" t="str">
        <x:v>South</x:v>
      </x:c>
      <x:c r="C176" t="str">
        <x:v>P-1010</x:v>
      </x:c>
      <x:c r="D176" t="str">
        <x:v>Insulated Water Bottle</x:v>
      </x:c>
      <x:c r="E176" t="str">
        <x:v>Noah Brown</x:v>
      </x:c>
      <x:c r="F176" t="n">
        <x:v>3</x:v>
      </x:c>
      <x:c r="G176" s="12" t="n">
        <x:v>104.97</x:v>
      </x:c>
      <x:c r="H176" s="12" t="n">
        <x:v>37.6</x:v>
      </x:c>
      <x:c r="I176" t="str">
        <x:v>Retail</x:v>
      </x:c>
      <x:c r="J176" t="str">
        <x:f>XLOOKUP(C176,'Lookup Tables'!$A$3:$A$12,'Lookup Tables'!$C$3:$C$12,"Not Found")</x:f>
        <x:v>Accessories</x:v>
      </x:c>
      <x:c r="K176" t="str">
        <x:f>XLOOKUP(B176,'Lookup Tables'!$F$3:$F$6,'Lookup Tables'!$G$3:$G$6,"Not Found")</x:f>
        <x:v>Priya Patel</x:v>
      </x:c>
      <x:c r="L176" s="14" t="n">
        <x:f>XLOOKUP(B176,'Lookup Tables'!$F$3:$F$6,'Lookup Tables'!$H$3:$H$6,0)</x:f>
        <x:v>0.05</x:v>
      </x:c>
      <x:c r="M176" s="12" t="n">
        <x:f>G176-H176</x:f>
        <x:v>67.37</x:v>
      </x:c>
      <x:c r="N176" t="str">
        <x:f>IF(G176&gt;=10000,"High Value","Standard")</x:f>
        <x:v>Standard</x:v>
      </x:c>
      <x:c r="O176" t="str">
        <x:f>IF(M176/G176&gt;=0.40,"Strong Margin","Review Margin")</x:f>
        <x:v>Strong Margin</x:v>
      </x:c>
      <x:c r="P176" t="str">
        <x:f>TEXT(A176,"mmm")</x:f>
        <x:v>Aug</x:v>
      </x:c>
      <x:c r="Q176" s="12" t="n">
        <x:f>G176*L176</x:f>
        <x:v>5.2485</x:v>
      </x:c>
    </x:row>
    <x:row r="177">
      <x:c r="A177" s="10" t="n">
        <x:v>45871</x:v>
      </x:c>
      <x:c r="B177" t="str">
        <x:v>South</x:v>
      </x:c>
      <x:c r="C177" t="str">
        <x:v>P-1008</x:v>
      </x:c>
      <x:c r="D177" t="str">
        <x:v>Yoga Starter Kit</x:v>
      </x:c>
      <x:c r="E177" t="str">
        <x:v>Benjamin Moore</x:v>
      </x:c>
      <x:c r="F177" t="n">
        <x:v>19</x:v>
      </x:c>
      <x:c r="G177" s="12" t="n">
        <x:v>1071.42</x:v>
      </x:c>
      <x:c r="H177" s="12" t="n">
        <x:v>455.36</x:v>
      </x:c>
      <x:c r="I177" t="str">
        <x:v>Wholesale</x:v>
      </x:c>
      <x:c r="J177" t="str">
        <x:f>XLOOKUP(C177,'Lookup Tables'!$A$3:$A$12,'Lookup Tables'!$C$3:$C$12,"Not Found")</x:f>
        <x:v>Fitness</x:v>
      </x:c>
      <x:c r="K177" t="str">
        <x:f>XLOOKUP(B177,'Lookup Tables'!$F$3:$F$6,'Lookup Tables'!$G$3:$G$6,"Not Found")</x:f>
        <x:v>Priya Patel</x:v>
      </x:c>
      <x:c r="L177" s="14" t="n">
        <x:f>XLOOKUP(B177,'Lookup Tables'!$F$3:$F$6,'Lookup Tables'!$H$3:$H$6,0)</x:f>
        <x:v>0.05</x:v>
      </x:c>
      <x:c r="M177" s="12" t="n">
        <x:f>G177-H177</x:f>
        <x:v>616.0600000000001</x:v>
      </x:c>
      <x:c r="N177" t="str">
        <x:f>IF(G177&gt;=10000,"High Value","Standard")</x:f>
        <x:v>Standard</x:v>
      </x:c>
      <x:c r="O177" t="str">
        <x:f>IF(M177/G177&gt;=0.40,"Strong Margin","Review Margin")</x:f>
        <x:v>Strong Margin</x:v>
      </x:c>
      <x:c r="P177" t="str">
        <x:f>TEXT(A177,"mmm")</x:f>
        <x:v>Aug</x:v>
      </x:c>
      <x:c r="Q177" s="12" t="n">
        <x:f>G177*L177</x:f>
        <x:v>53.571000000000005</x:v>
      </x:c>
    </x:row>
    <x:row r="178">
      <x:c r="A178" s="10" t="n">
        <x:v>45871</x:v>
      </x:c>
      <x:c r="B178" t="str">
        <x:v>West</x:v>
      </x:c>
      <x:c r="C178" t="str">
        <x:v>P-1003</x:v>
      </x:c>
      <x:c r="D178" t="str">
        <x:v>Ergonomic Office Chair</x:v>
      </x:c>
      <x:c r="E178" t="str">
        <x:v>Olivia Garcia</x:v>
      </x:c>
      <x:c r="F178" t="n">
        <x:v>32</x:v>
      </x:c>
      <x:c r="G178" s="12" t="n">
        <x:v>7519.7</x:v>
      </x:c>
      <x:c r="H178" s="12" t="n">
        <x:v>4644.88</x:v>
      </x:c>
      <x:c r="I178" t="str">
        <x:v>Wholesale</x:v>
      </x:c>
      <x:c r="J178" t="str">
        <x:f>XLOOKUP(C178,'Lookup Tables'!$A$3:$A$12,'Lookup Tables'!$C$3:$C$12,"Not Found")</x:f>
        <x:v>Furniture</x:v>
      </x:c>
      <x:c r="K178" t="str">
        <x:f>XLOOKUP(B178,'Lookup Tables'!$F$3:$F$6,'Lookup Tables'!$G$3:$G$6,"Not Found")</x:f>
        <x:v>Daniel Kim</x:v>
      </x:c>
      <x:c r="L178" s="14" t="n">
        <x:f>XLOOKUP(B178,'Lookup Tables'!$F$3:$F$6,'Lookup Tables'!$H$3:$H$6,0)</x:f>
        <x:v>0.045</x:v>
      </x:c>
      <x:c r="M178" s="12" t="n">
        <x:f>G178-H178</x:f>
        <x:v>2874.8199999999997</x:v>
      </x:c>
      <x:c r="N178" t="str">
        <x:f>IF(G178&gt;=10000,"High Value","Standard")</x:f>
        <x:v>Standard</x:v>
      </x:c>
      <x:c r="O178" t="str">
        <x:f>IF(M178/G178&gt;=0.40,"Strong Margin","Review Margin")</x:f>
        <x:v>Review Margin</x:v>
      </x:c>
      <x:c r="P178" t="str">
        <x:f>TEXT(A178,"mmm")</x:f>
        <x:v>Aug</x:v>
      </x:c>
      <x:c r="Q178" s="12" t="n">
        <x:f>G178*L178</x:f>
        <x:v>338.38649999999996</x:v>
      </x:c>
    </x:row>
    <x:row r="179">
      <x:c r="A179" s="10" t="n">
        <x:v>45871</x:v>
      </x:c>
      <x:c r="B179" t="str">
        <x:v>West</x:v>
      </x:c>
      <x:c r="C179" t="str">
        <x:v>P-1002</x:v>
      </x:c>
      <x:c r="D179" t="str">
        <x:v>Smart Home Hub</x:v>
      </x:c>
      <x:c r="E179" t="str">
        <x:v>Noah Brown</x:v>
      </x:c>
      <x:c r="F179" t="n">
        <x:v>8</x:v>
      </x:c>
      <x:c r="G179" s="12" t="n">
        <x:v>1599.92</x:v>
      </x:c>
      <x:c r="H179" s="12" t="n">
        <x:v>902.72</x:v>
      </x:c>
      <x:c r="I179" t="str">
        <x:v>Retail</x:v>
      </x:c>
      <x:c r="J179" t="str">
        <x:f>XLOOKUP(C179,'Lookup Tables'!$A$3:$A$12,'Lookup Tables'!$C$3:$C$12,"Not Found")</x:f>
        <x:v>Electronics</x:v>
      </x:c>
      <x:c r="K179" t="str">
        <x:f>XLOOKUP(B179,'Lookup Tables'!$F$3:$F$6,'Lookup Tables'!$G$3:$G$6,"Not Found")</x:f>
        <x:v>Daniel Kim</x:v>
      </x:c>
      <x:c r="L179" s="14" t="n">
        <x:f>XLOOKUP(B179,'Lookup Tables'!$F$3:$F$6,'Lookup Tables'!$H$3:$H$6,0)</x:f>
        <x:v>0.045</x:v>
      </x:c>
      <x:c r="M179" s="12" t="n">
        <x:f>G179-H179</x:f>
        <x:v>697.2</x:v>
      </x:c>
      <x:c r="N179" t="str">
        <x:f>IF(G179&gt;=10000,"High Value","Standard")</x:f>
        <x:v>Standard</x:v>
      </x:c>
      <x:c r="O179" t="str">
        <x:f>IF(M179/G179&gt;=0.40,"Strong Margin","Review Margin")</x:f>
        <x:v>Strong Margin</x:v>
      </x:c>
      <x:c r="P179" t="str">
        <x:f>TEXT(A179,"mmm")</x:f>
        <x:v>Aug</x:v>
      </x:c>
      <x:c r="Q179" s="12" t="n">
        <x:f>G179*L179</x:f>
        <x:v>71.9964</x:v>
      </x:c>
    </x:row>
    <x:row r="180">
      <x:c r="A180" s="10" t="n">
        <x:v>45872</x:v>
      </x:c>
      <x:c r="B180" t="str">
        <x:v>West</x:v>
      </x:c>
      <x:c r="C180" t="str">
        <x:v>P-1007</x:v>
      </x:c>
      <x:c r="D180" t="str">
        <x:v>Fitness Tracker</x:v>
      </x:c>
      <x:c r="E180" t="str">
        <x:v>James Anderson</x:v>
      </x:c>
      <x:c r="F180" t="n">
        <x:v>18</x:v>
      </x:c>
      <x:c r="G180" s="12" t="n">
        <x:v>2030.23</x:v>
      </x:c>
      <x:c r="H180" s="12" t="n">
        <x:v>1095.11</x:v>
      </x:c>
      <x:c r="I180" t="str">
        <x:v>Wholesale</x:v>
      </x:c>
      <x:c r="J180" t="str">
        <x:f>XLOOKUP(C180,'Lookup Tables'!$A$3:$A$12,'Lookup Tables'!$C$3:$C$12,"Not Found")</x:f>
        <x:v>Fitness</x:v>
      </x:c>
      <x:c r="K180" t="str">
        <x:f>XLOOKUP(B180,'Lookup Tables'!$F$3:$F$6,'Lookup Tables'!$G$3:$G$6,"Not Found")</x:f>
        <x:v>Daniel Kim</x:v>
      </x:c>
      <x:c r="L180" s="14" t="n">
        <x:f>XLOOKUP(B180,'Lookup Tables'!$F$3:$F$6,'Lookup Tables'!$H$3:$H$6,0)</x:f>
        <x:v>0.045</x:v>
      </x:c>
      <x:c r="M180" s="12" t="n">
        <x:f>G180-H180</x:f>
        <x:v>935.1200000000001</x:v>
      </x:c>
      <x:c r="N180" t="str">
        <x:f>IF(G180&gt;=10000,"High Value","Standard")</x:f>
        <x:v>Standard</x:v>
      </x:c>
      <x:c r="O180" t="str">
        <x:f>IF(M180/G180&gt;=0.40,"Strong Margin","Review Margin")</x:f>
        <x:v>Strong Margin</x:v>
      </x:c>
      <x:c r="P180" t="str">
        <x:f>TEXT(A180,"mmm")</x:f>
        <x:v>Aug</x:v>
      </x:c>
      <x:c r="Q180" s="12" t="n">
        <x:f>G180*L180</x:f>
        <x:v>91.36035</x:v>
      </x:c>
    </x:row>
    <x:row r="181">
      <x:c r="A181" s="10" t="n">
        <x:v>45873</x:v>
      </x:c>
      <x:c r="B181" t="str">
        <x:v>East</x:v>
      </x:c>
      <x:c r="C181" t="str">
        <x:v>P-1001</x:v>
      </x:c>
      <x:c r="D181" t="str">
        <x:v>Wireless Headphones</x:v>
      </x:c>
      <x:c r="E181" t="str">
        <x:v>Maya Johnson</x:v>
      </x:c>
      <x:c r="F181" t="n">
        <x:v>25</x:v>
      </x:c>
      <x:c r="G181" s="12" t="n">
        <x:v>3054.76</x:v>
      </x:c>
      <x:c r="H181" s="12" t="n">
        <x:v>1674.17</x:v>
      </x:c>
      <x:c r="I181" t="str">
        <x:v>Wholesale</x:v>
      </x:c>
      <x:c r="J181" t="str">
        <x:f>XLOOKUP(C181,'Lookup Tables'!$A$3:$A$12,'Lookup Tables'!$C$3:$C$12,"Not Found")</x:f>
        <x:v>Electronics</x:v>
      </x:c>
      <x:c r="K181" t="str">
        <x:f>XLOOKUP(B181,'Lookup Tables'!$F$3:$F$6,'Lookup Tables'!$G$3:$G$6,"Not Found")</x:f>
        <x:v>Alicia Morgan</x:v>
      </x:c>
      <x:c r="L181" s="14" t="n">
        <x:f>XLOOKUP(B181,'Lookup Tables'!$F$3:$F$6,'Lookup Tables'!$H$3:$H$6,0)</x:f>
        <x:v>0.04</x:v>
      </x:c>
      <x:c r="M181" s="12" t="n">
        <x:f>G181-H181</x:f>
        <x:v>1380.5900000000001</x:v>
      </x:c>
      <x:c r="N181" t="str">
        <x:f>IF(G181&gt;=10000,"High Value","Standard")</x:f>
        <x:v>Standard</x:v>
      </x:c>
      <x:c r="O181" t="str">
        <x:f>IF(M181/G181&gt;=0.40,"Strong Margin","Review Margin")</x:f>
        <x:v>Strong Margin</x:v>
      </x:c>
      <x:c r="P181" t="str">
        <x:f>TEXT(A181,"mmm")</x:f>
        <x:v>Aug</x:v>
      </x:c>
      <x:c r="Q181" s="12" t="n">
        <x:f>G181*L181</x:f>
        <x:v>122.19040000000001</x:v>
      </x:c>
    </x:row>
    <x:row r="182">
      <x:c r="A182" s="10" t="n">
        <x:v>45874</x:v>
      </x:c>
      <x:c r="B182" t="str">
        <x:v>West</x:v>
      </x:c>
      <x:c r="C182" t="str">
        <x:v>P-1009</x:v>
      </x:c>
      <x:c r="D182" t="str">
        <x:v>Travel Backpack</x:v>
      </x:c>
      <x:c r="E182" t="str">
        <x:v>Maya Johnson</x:v>
      </x:c>
      <x:c r="F182" t="n">
        <x:v>9</x:v>
      </x:c>
      <x:c r="G182" s="12" t="n">
        <x:v>809.91</x:v>
      </x:c>
      <x:c r="H182" s="12" t="n">
        <x:v>381.09</x:v>
      </x:c>
      <x:c r="I182" t="str">
        <x:v>Retail</x:v>
      </x:c>
      <x:c r="J182" t="str">
        <x:f>XLOOKUP(C182,'Lookup Tables'!$A$3:$A$12,'Lookup Tables'!$C$3:$C$12,"Not Found")</x:f>
        <x:v>Accessories</x:v>
      </x:c>
      <x:c r="K182" t="str">
        <x:f>XLOOKUP(B182,'Lookup Tables'!$F$3:$F$6,'Lookup Tables'!$G$3:$G$6,"Not Found")</x:f>
        <x:v>Daniel Kim</x:v>
      </x:c>
      <x:c r="L182" s="14" t="n">
        <x:f>XLOOKUP(B182,'Lookup Tables'!$F$3:$F$6,'Lookup Tables'!$H$3:$H$6,0)</x:f>
        <x:v>0.045</x:v>
      </x:c>
      <x:c r="M182" s="12" t="n">
        <x:f>G182-H182</x:f>
        <x:v>428.82</x:v>
      </x:c>
      <x:c r="N182" t="str">
        <x:f>IF(G182&gt;=10000,"High Value","Standard")</x:f>
        <x:v>Standard</x:v>
      </x:c>
      <x:c r="O182" t="str">
        <x:f>IF(M182/G182&gt;=0.40,"Strong Margin","Review Margin")</x:f>
        <x:v>Strong Margin</x:v>
      </x:c>
      <x:c r="P182" t="str">
        <x:f>TEXT(A182,"mmm")</x:f>
        <x:v>Aug</x:v>
      </x:c>
      <x:c r="Q182" s="12" t="n">
        <x:f>G182*L182</x:f>
        <x:v>36.445949999999996</x:v>
      </x:c>
    </x:row>
    <x:row r="183">
      <x:c r="A183" s="10" t="n">
        <x:v>45875</x:v>
      </x:c>
      <x:c r="B183" t="str">
        <x:v>East</x:v>
      </x:c>
      <x:c r="C183" t="str">
        <x:v>P-1006</x:v>
      </x:c>
      <x:c r="D183" t="str">
        <x:v>Air Fryer XL</x:v>
      </x:c>
      <x:c r="E183" t="str">
        <x:v>Olivia Garcia</x:v>
      </x:c>
      <x:c r="F183" t="n">
        <x:v>5</x:v>
      </x:c>
      <x:c r="G183" s="12" t="n">
        <x:v>699.95</x:v>
      </x:c>
      <x:c r="H183" s="12" t="n">
        <x:v>371.09</x:v>
      </x:c>
      <x:c r="I183" t="str">
        <x:v>Retail</x:v>
      </x:c>
      <x:c r="J183" t="str">
        <x:f>XLOOKUP(C183,'Lookup Tables'!$A$3:$A$12,'Lookup Tables'!$C$3:$C$12,"Not Found")</x:f>
        <x:v>Home Goods</x:v>
      </x:c>
      <x:c r="K183" t="str">
        <x:f>XLOOKUP(B183,'Lookup Tables'!$F$3:$F$6,'Lookup Tables'!$G$3:$G$6,"Not Found")</x:f>
        <x:v>Alicia Morgan</x:v>
      </x:c>
      <x:c r="L183" s="14" t="n">
        <x:f>XLOOKUP(B183,'Lookup Tables'!$F$3:$F$6,'Lookup Tables'!$H$3:$H$6,0)</x:f>
        <x:v>0.04</x:v>
      </x:c>
      <x:c r="M183" s="12" t="n">
        <x:f>G183-H183</x:f>
        <x:v>328.86000000000007</x:v>
      </x:c>
      <x:c r="N183" t="str">
        <x:f>IF(G183&gt;=10000,"High Value","Standard")</x:f>
        <x:v>Standard</x:v>
      </x:c>
      <x:c r="O183" t="str">
        <x:f>IF(M183/G183&gt;=0.40,"Strong Margin","Review Margin")</x:f>
        <x:v>Strong Margin</x:v>
      </x:c>
      <x:c r="P183" t="str">
        <x:f>TEXT(A183,"mmm")</x:f>
        <x:v>Aug</x:v>
      </x:c>
      <x:c r="Q183" s="12" t="n">
        <x:f>G183*L183</x:f>
        <x:v>27.998</x:v>
      </x:c>
    </x:row>
    <x:row r="184">
      <x:c r="A184" s="10" t="n">
        <x:v>45875</x:v>
      </x:c>
      <x:c r="B184" t="str">
        <x:v>West</x:v>
      </x:c>
      <x:c r="C184" t="str">
        <x:v>P-1008</x:v>
      </x:c>
      <x:c r="D184" t="str">
        <x:v>Yoga Starter Kit</x:v>
      </x:c>
      <x:c r="E184" t="str">
        <x:v>Noah Brown</x:v>
      </x:c>
      <x:c r="F184" t="n">
        <x:v>3</x:v>
      </x:c>
      <x:c r="G184" s="12" t="n">
        <x:v>179.97</x:v>
      </x:c>
      <x:c r="H184" s="12" t="n">
        <x:v>75.28</x:v>
      </x:c>
      <x:c r="I184" t="str">
        <x:v>Retail</x:v>
      </x:c>
      <x:c r="J184" t="str">
        <x:f>XLOOKUP(C184,'Lookup Tables'!$A$3:$A$12,'Lookup Tables'!$C$3:$C$12,"Not Found")</x:f>
        <x:v>Fitness</x:v>
      </x:c>
      <x:c r="K184" t="str">
        <x:f>XLOOKUP(B184,'Lookup Tables'!$F$3:$F$6,'Lookup Tables'!$G$3:$G$6,"Not Found")</x:f>
        <x:v>Daniel Kim</x:v>
      </x:c>
      <x:c r="L184" s="14" t="n">
        <x:f>XLOOKUP(B184,'Lookup Tables'!$F$3:$F$6,'Lookup Tables'!$H$3:$H$6,0)</x:f>
        <x:v>0.045</x:v>
      </x:c>
      <x:c r="M184" s="12" t="n">
        <x:f>G184-H184</x:f>
        <x:v>104.69</x:v>
      </x:c>
      <x:c r="N184" t="str">
        <x:f>IF(G184&gt;=10000,"High Value","Standard")</x:f>
        <x:v>Standard</x:v>
      </x:c>
      <x:c r="O184" t="str">
        <x:f>IF(M184/G184&gt;=0.40,"Strong Margin","Review Margin")</x:f>
        <x:v>Strong Margin</x:v>
      </x:c>
      <x:c r="P184" t="str">
        <x:f>TEXT(A184,"mmm")</x:f>
        <x:v>Aug</x:v>
      </x:c>
      <x:c r="Q184" s="12" t="n">
        <x:f>G184*L184</x:f>
        <x:v>8.09865</x:v>
      </x:c>
    </x:row>
    <x:row r="185">
      <x:c r="A185" s="10" t="n">
        <x:v>45878</x:v>
      </x:c>
      <x:c r="B185" t="str">
        <x:v>East</x:v>
      </x:c>
      <x:c r="C185" t="str">
        <x:v>P-1003</x:v>
      </x:c>
      <x:c r="D185" t="str">
        <x:v>Ergonomic Office Chair</x:v>
      </x:c>
      <x:c r="E185" t="str">
        <x:v>Benjamin Moore</x:v>
      </x:c>
      <x:c r="F185" t="n">
        <x:v>13</x:v>
      </x:c>
      <x:c r="G185" s="12" t="n">
        <x:v>3249.87</x:v>
      </x:c>
      <x:c r="H185" s="12" t="n">
        <x:v>1953.68</x:v>
      </x:c>
      <x:c r="I185" t="str">
        <x:v>Retail</x:v>
      </x:c>
      <x:c r="J185" t="str">
        <x:f>XLOOKUP(C185,'Lookup Tables'!$A$3:$A$12,'Lookup Tables'!$C$3:$C$12,"Not Found")</x:f>
        <x:v>Furniture</x:v>
      </x:c>
      <x:c r="K185" t="str">
        <x:f>XLOOKUP(B185,'Lookup Tables'!$F$3:$F$6,'Lookup Tables'!$G$3:$G$6,"Not Found")</x:f>
        <x:v>Alicia Morgan</x:v>
      </x:c>
      <x:c r="L185" s="14" t="n">
        <x:f>XLOOKUP(B185,'Lookup Tables'!$F$3:$F$6,'Lookup Tables'!$H$3:$H$6,0)</x:f>
        <x:v>0.04</x:v>
      </x:c>
      <x:c r="M185" s="12" t="n">
        <x:f>G185-H185</x:f>
        <x:v>1296.1899999999998</x:v>
      </x:c>
      <x:c r="N185" t="str">
        <x:f>IF(G185&gt;=10000,"High Value","Standard")</x:f>
        <x:v>Standard</x:v>
      </x:c>
      <x:c r="O185" t="str">
        <x:f>IF(M185/G185&gt;=0.40,"Strong Margin","Review Margin")</x:f>
        <x:v>Review Margin</x:v>
      </x:c>
      <x:c r="P185" t="str">
        <x:f>TEXT(A185,"mmm")</x:f>
        <x:v>Aug</x:v>
      </x:c>
      <x:c r="Q185" s="12" t="n">
        <x:f>G185*L185</x:f>
        <x:v>129.9948</x:v>
      </x:c>
    </x:row>
    <x:row r="186">
      <x:c r="A186" s="10" t="n">
        <x:v>45879</x:v>
      </x:c>
      <x:c r="B186" t="str">
        <x:v>South</x:v>
      </x:c>
      <x:c r="C186" t="str">
        <x:v>P-1006</x:v>
      </x:c>
      <x:c r="D186" t="str">
        <x:v>Air Fryer XL</x:v>
      </x:c>
      <x:c r="E186" t="str">
        <x:v>Maya Johnson</x:v>
      </x:c>
      <x:c r="F186" t="n">
        <x:v>21</x:v>
      </x:c>
      <x:c r="G186" s="12" t="n">
        <x:v>2939.79</x:v>
      </x:c>
      <x:c r="H186" s="12" t="n">
        <x:v>1585.49</x:v>
      </x:c>
      <x:c r="I186" t="str">
        <x:v>Retail</x:v>
      </x:c>
      <x:c r="J186" t="str">
        <x:f>XLOOKUP(C186,'Lookup Tables'!$A$3:$A$12,'Lookup Tables'!$C$3:$C$12,"Not Found")</x:f>
        <x:v>Home Goods</x:v>
      </x:c>
      <x:c r="K186" t="str">
        <x:f>XLOOKUP(B186,'Lookup Tables'!$F$3:$F$6,'Lookup Tables'!$G$3:$G$6,"Not Found")</x:f>
        <x:v>Priya Patel</x:v>
      </x:c>
      <x:c r="L186" s="14" t="n">
        <x:f>XLOOKUP(B186,'Lookup Tables'!$F$3:$F$6,'Lookup Tables'!$H$3:$H$6,0)</x:f>
        <x:v>0.05</x:v>
      </x:c>
      <x:c r="M186" s="12" t="n">
        <x:f>G186-H186</x:f>
        <x:v>1354.3</x:v>
      </x:c>
      <x:c r="N186" t="str">
        <x:f>IF(G186&gt;=10000,"High Value","Standard")</x:f>
        <x:v>Standard</x:v>
      </x:c>
      <x:c r="O186" t="str">
        <x:f>IF(M186/G186&gt;=0.40,"Strong Margin","Review Margin")</x:f>
        <x:v>Strong Margin</x:v>
      </x:c>
      <x:c r="P186" t="str">
        <x:f>TEXT(A186,"mmm")</x:f>
        <x:v>Aug</x:v>
      </x:c>
      <x:c r="Q186" s="12" t="n">
        <x:f>G186*L186</x:f>
        <x:v>146.9895</x:v>
      </x:c>
    </x:row>
    <x:row r="187">
      <x:c r="A187" s="10" t="n">
        <x:v>45881</x:v>
      </x:c>
      <x:c r="B187" t="str">
        <x:v>South</x:v>
      </x:c>
      <x:c r="C187" t="str">
        <x:v>P-1005</x:v>
      </x:c>
      <x:c r="D187" t="str">
        <x:v>Stainless Cookware Set</x:v>
      </x:c>
      <x:c r="E187" t="str">
        <x:v>Ava Davis</x:v>
      </x:c>
      <x:c r="F187" t="n">
        <x:v>24</x:v>
      </x:c>
      <x:c r="G187" s="12" t="n">
        <x:v>3609.37</x:v>
      </x:c>
      <x:c r="H187" s="12" t="n">
        <x:v>2134.23</x:v>
      </x:c>
      <x:c r="I187" t="str">
        <x:v>Wholesale</x:v>
      </x:c>
      <x:c r="J187" t="str">
        <x:f>XLOOKUP(C187,'Lookup Tables'!$A$3:$A$12,'Lookup Tables'!$C$3:$C$12,"Not Found")</x:f>
        <x:v>Home Goods</x:v>
      </x:c>
      <x:c r="K187" t="str">
        <x:f>XLOOKUP(B187,'Lookup Tables'!$F$3:$F$6,'Lookup Tables'!$G$3:$G$6,"Not Found")</x:f>
        <x:v>Priya Patel</x:v>
      </x:c>
      <x:c r="L187" s="14" t="n">
        <x:f>XLOOKUP(B187,'Lookup Tables'!$F$3:$F$6,'Lookup Tables'!$H$3:$H$6,0)</x:f>
        <x:v>0.05</x:v>
      </x:c>
      <x:c r="M187" s="12" t="n">
        <x:f>G187-H187</x:f>
        <x:v>1475.1399999999999</x:v>
      </x:c>
      <x:c r="N187" t="str">
        <x:f>IF(G187&gt;=10000,"High Value","Standard")</x:f>
        <x:v>Standard</x:v>
      </x:c>
      <x:c r="O187" t="str">
        <x:f>IF(M187/G187&gt;=0.40,"Strong Margin","Review Margin")</x:f>
        <x:v>Strong Margin</x:v>
      </x:c>
      <x:c r="P187" t="str">
        <x:f>TEXT(A187,"mmm")</x:f>
        <x:v>Aug</x:v>
      </x:c>
      <x:c r="Q187" s="12" t="n">
        <x:f>G187*L187</x:f>
        <x:v>180.4685</x:v>
      </x:c>
    </x:row>
    <x:row r="188">
      <x:c r="A188" s="10" t="n">
        <x:v>45883</x:v>
      </x:c>
      <x:c r="B188" t="str">
        <x:v>West</x:v>
      </x:c>
      <x:c r="C188" t="str">
        <x:v>P-1010</x:v>
      </x:c>
      <x:c r="D188" t="str">
        <x:v>Insulated Water Bottle</x:v>
      </x:c>
      <x:c r="E188" t="str">
        <x:v>Sophia Martinez</x:v>
      </x:c>
      <x:c r="F188" t="n">
        <x:v>22</x:v>
      </x:c>
      <x:c r="G188" s="12" t="n">
        <x:v>723.59</x:v>
      </x:c>
      <x:c r="H188" s="12" t="n">
        <x:v>266.13</x:v>
      </x:c>
      <x:c r="I188" t="str">
        <x:v>Wholesale</x:v>
      </x:c>
      <x:c r="J188" t="str">
        <x:f>XLOOKUP(C188,'Lookup Tables'!$A$3:$A$12,'Lookup Tables'!$C$3:$C$12,"Not Found")</x:f>
        <x:v>Accessories</x:v>
      </x:c>
      <x:c r="K188" t="str">
        <x:f>XLOOKUP(B188,'Lookup Tables'!$F$3:$F$6,'Lookup Tables'!$G$3:$G$6,"Not Found")</x:f>
        <x:v>Daniel Kim</x:v>
      </x:c>
      <x:c r="L188" s="14" t="n">
        <x:f>XLOOKUP(B188,'Lookup Tables'!$F$3:$F$6,'Lookup Tables'!$H$3:$H$6,0)</x:f>
        <x:v>0.045</x:v>
      </x:c>
      <x:c r="M188" s="12" t="n">
        <x:f>G188-H188</x:f>
        <x:v>457.46000000000004</x:v>
      </x:c>
      <x:c r="N188" t="str">
        <x:f>IF(G188&gt;=10000,"High Value","Standard")</x:f>
        <x:v>Standard</x:v>
      </x:c>
      <x:c r="O188" t="str">
        <x:f>IF(M188/G188&gt;=0.40,"Strong Margin","Review Margin")</x:f>
        <x:v>Strong Margin</x:v>
      </x:c>
      <x:c r="P188" t="str">
        <x:f>TEXT(A188,"mmm")</x:f>
        <x:v>Aug</x:v>
      </x:c>
      <x:c r="Q188" s="12" t="n">
        <x:f>G188*L188</x:f>
        <x:v>32.56155</x:v>
      </x:c>
    </x:row>
    <x:row r="189">
      <x:c r="A189" s="10" t="n">
        <x:v>45883</x:v>
      </x:c>
      <x:c r="B189" t="str">
        <x:v>West</x:v>
      </x:c>
      <x:c r="C189" t="str">
        <x:v>P-1008</x:v>
      </x:c>
      <x:c r="D189" t="str">
        <x:v>Yoga Starter Kit</x:v>
      </x:c>
      <x:c r="E189" t="str">
        <x:v>Mia Thomas</x:v>
      </x:c>
      <x:c r="F189" t="n">
        <x:v>14</x:v>
      </x:c>
      <x:c r="G189" s="12" t="n">
        <x:v>789.47</x:v>
      </x:c>
      <x:c r="H189" s="12" t="n">
        <x:v>351.56</x:v>
      </x:c>
      <x:c r="I189" t="str">
        <x:v>Wholesale</x:v>
      </x:c>
      <x:c r="J189" t="str">
        <x:f>XLOOKUP(C189,'Lookup Tables'!$A$3:$A$12,'Lookup Tables'!$C$3:$C$12,"Not Found")</x:f>
        <x:v>Fitness</x:v>
      </x:c>
      <x:c r="K189" t="str">
        <x:f>XLOOKUP(B189,'Lookup Tables'!$F$3:$F$6,'Lookup Tables'!$G$3:$G$6,"Not Found")</x:f>
        <x:v>Daniel Kim</x:v>
      </x:c>
      <x:c r="L189" s="14" t="n">
        <x:f>XLOOKUP(B189,'Lookup Tables'!$F$3:$F$6,'Lookup Tables'!$H$3:$H$6,0)</x:f>
        <x:v>0.045</x:v>
      </x:c>
      <x:c r="M189" s="12" t="n">
        <x:f>G189-H189</x:f>
        <x:v>437.91</x:v>
      </x:c>
      <x:c r="N189" t="str">
        <x:f>IF(G189&gt;=10000,"High Value","Standard")</x:f>
        <x:v>Standard</x:v>
      </x:c>
      <x:c r="O189" t="str">
        <x:f>IF(M189/G189&gt;=0.40,"Strong Margin","Review Margin")</x:f>
        <x:v>Strong Margin</x:v>
      </x:c>
      <x:c r="P189" t="str">
        <x:f>TEXT(A189,"mmm")</x:f>
        <x:v>Aug</x:v>
      </x:c>
      <x:c r="Q189" s="12" t="n">
        <x:f>G189*L189</x:f>
        <x:v>35.52615</x:v>
      </x:c>
    </x:row>
    <x:row r="190">
      <x:c r="A190" s="10" t="n">
        <x:v>45884</x:v>
      </x:c>
      <x:c r="B190" t="str">
        <x:v>South</x:v>
      </x:c>
      <x:c r="C190" t="str">
        <x:v>P-1004</x:v>
      </x:c>
      <x:c r="D190" t="str">
        <x:v>Standing Desk Converter</x:v>
      </x:c>
      <x:c r="E190" t="str">
        <x:v>Maya Johnson</x:v>
      </x:c>
      <x:c r="F190" t="n">
        <x:v>20</x:v>
      </x:c>
      <x:c r="G190" s="12" t="n">
        <x:v>3799.8</x:v>
      </x:c>
      <x:c r="H190" s="12" t="n">
        <x:v>2138.2</x:v>
      </x:c>
      <x:c r="I190" t="str">
        <x:v>Retail</x:v>
      </x:c>
      <x:c r="J190" t="str">
        <x:f>XLOOKUP(C190,'Lookup Tables'!$A$3:$A$12,'Lookup Tables'!$C$3:$C$12,"Not Found")</x:f>
        <x:v>Furniture</x:v>
      </x:c>
      <x:c r="K190" t="str">
        <x:f>XLOOKUP(B190,'Lookup Tables'!$F$3:$F$6,'Lookup Tables'!$G$3:$G$6,"Not Found")</x:f>
        <x:v>Priya Patel</x:v>
      </x:c>
      <x:c r="L190" s="14" t="n">
        <x:f>XLOOKUP(B190,'Lookup Tables'!$F$3:$F$6,'Lookup Tables'!$H$3:$H$6,0)</x:f>
        <x:v>0.05</x:v>
      </x:c>
      <x:c r="M190" s="12" t="n">
        <x:f>G190-H190</x:f>
        <x:v>1661.6000000000004</x:v>
      </x:c>
      <x:c r="N190" t="str">
        <x:f>IF(G190&gt;=10000,"High Value","Standard")</x:f>
        <x:v>Standard</x:v>
      </x:c>
      <x:c r="O190" t="str">
        <x:f>IF(M190/G190&gt;=0.40,"Strong Margin","Review Margin")</x:f>
        <x:v>Strong Margin</x:v>
      </x:c>
      <x:c r="P190" t="str">
        <x:f>TEXT(A190,"mmm")</x:f>
        <x:v>Aug</x:v>
      </x:c>
      <x:c r="Q190" s="12" t="n">
        <x:f>G190*L190</x:f>
        <x:v>189.99</x:v>
      </x:c>
    </x:row>
    <x:row r="191">
      <x:c r="A191" s="10" t="n">
        <x:v>45884</x:v>
      </x:c>
      <x:c r="B191" t="str">
        <x:v>East</x:v>
      </x:c>
      <x:c r="C191" t="str">
        <x:v>P-1002</x:v>
      </x:c>
      <x:c r="D191" t="str">
        <x:v>Smart Home Hub</x:v>
      </x:c>
      <x:c r="E191" t="str">
        <x:v>James Anderson</x:v>
      </x:c>
      <x:c r="F191" t="n">
        <x:v>10</x:v>
      </x:c>
      <x:c r="G191" s="12" t="n">
        <x:v>1999.9</x:v>
      </x:c>
      <x:c r="H191" s="12" t="n">
        <x:v>1082.28</x:v>
      </x:c>
      <x:c r="I191" t="str">
        <x:v>Retail</x:v>
      </x:c>
      <x:c r="J191" t="str">
        <x:f>XLOOKUP(C191,'Lookup Tables'!$A$3:$A$12,'Lookup Tables'!$C$3:$C$12,"Not Found")</x:f>
        <x:v>Electronics</x:v>
      </x:c>
      <x:c r="K191" t="str">
        <x:f>XLOOKUP(B191,'Lookup Tables'!$F$3:$F$6,'Lookup Tables'!$G$3:$G$6,"Not Found")</x:f>
        <x:v>Alicia Morgan</x:v>
      </x:c>
      <x:c r="L191" s="14" t="n">
        <x:f>XLOOKUP(B191,'Lookup Tables'!$F$3:$F$6,'Lookup Tables'!$H$3:$H$6,0)</x:f>
        <x:v>0.04</x:v>
      </x:c>
      <x:c r="M191" s="12" t="n">
        <x:f>G191-H191</x:f>
        <x:v>917.6200000000001</x:v>
      </x:c>
      <x:c r="N191" t="str">
        <x:f>IF(G191&gt;=10000,"High Value","Standard")</x:f>
        <x:v>Standard</x:v>
      </x:c>
      <x:c r="O191" t="str">
        <x:f>IF(M191/G191&gt;=0.40,"Strong Margin","Review Margin")</x:f>
        <x:v>Strong Margin</x:v>
      </x:c>
      <x:c r="P191" t="str">
        <x:f>TEXT(A191,"mmm")</x:f>
        <x:v>Aug</x:v>
      </x:c>
      <x:c r="Q191" s="12" t="n">
        <x:f>G191*L191</x:f>
        <x:v>79.99600000000001</x:v>
      </x:c>
    </x:row>
    <x:row r="192">
      <x:c r="A192" s="10" t="n">
        <x:v>45885</x:v>
      </x:c>
      <x:c r="B192" t="str">
        <x:v>South</x:v>
      </x:c>
      <x:c r="C192" t="str">
        <x:v>P-1007</x:v>
      </x:c>
      <x:c r="D192" t="str">
        <x:v>Fitness Tracker</x:v>
      </x:c>
      <x:c r="E192" t="str">
        <x:v>Lucas Miller</x:v>
      </x:c>
      <x:c r="F192" t="n">
        <x:v>3</x:v>
      </x:c>
      <x:c r="G192" s="12" t="n">
        <x:v>359.97</x:v>
      </x:c>
      <x:c r="H192" s="12" t="n">
        <x:v>186.59</x:v>
      </x:c>
      <x:c r="I192" t="str">
        <x:v>Retail</x:v>
      </x:c>
      <x:c r="J192" t="str">
        <x:f>XLOOKUP(C192,'Lookup Tables'!$A$3:$A$12,'Lookup Tables'!$C$3:$C$12,"Not Found")</x:f>
        <x:v>Fitness</x:v>
      </x:c>
      <x:c r="K192" t="str">
        <x:f>XLOOKUP(B192,'Lookup Tables'!$F$3:$F$6,'Lookup Tables'!$G$3:$G$6,"Not Found")</x:f>
        <x:v>Priya Patel</x:v>
      </x:c>
      <x:c r="L192" s="14" t="n">
        <x:f>XLOOKUP(B192,'Lookup Tables'!$F$3:$F$6,'Lookup Tables'!$H$3:$H$6,0)</x:f>
        <x:v>0.05</x:v>
      </x:c>
      <x:c r="M192" s="12" t="n">
        <x:f>G192-H192</x:f>
        <x:v>173.38000000000002</x:v>
      </x:c>
      <x:c r="N192" t="str">
        <x:f>IF(G192&gt;=10000,"High Value","Standard")</x:f>
        <x:v>Standard</x:v>
      </x:c>
      <x:c r="O192" t="str">
        <x:f>IF(M192/G192&gt;=0.40,"Strong Margin","Review Margin")</x:f>
        <x:v>Strong Margin</x:v>
      </x:c>
      <x:c r="P192" t="str">
        <x:f>TEXT(A192,"mmm")</x:f>
        <x:v>Aug</x:v>
      </x:c>
      <x:c r="Q192" s="12" t="n">
        <x:f>G192*L192</x:f>
        <x:v>17.998500000000003</x:v>
      </x:c>
    </x:row>
    <x:row r="193">
      <x:c r="A193" s="10" t="n">
        <x:v>45888</x:v>
      </x:c>
      <x:c r="B193" t="str">
        <x:v>Midwest</x:v>
      </x:c>
      <x:c r="C193" t="str">
        <x:v>P-1003</x:v>
      </x:c>
      <x:c r="D193" t="str">
        <x:v>Ergonomic Office Chair</x:v>
      </x:c>
      <x:c r="E193" t="str">
        <x:v>James Anderson</x:v>
      </x:c>
      <x:c r="F193" t="n">
        <x:v>21</x:v>
      </x:c>
      <x:c r="G193" s="12" t="n">
        <x:v>4934.8</x:v>
      </x:c>
      <x:c r="H193" s="12" t="n">
        <x:v>3114.04</x:v>
      </x:c>
      <x:c r="I193" t="str">
        <x:v>Wholesale</x:v>
      </x:c>
      <x:c r="J193" t="str">
        <x:f>XLOOKUP(C193,'Lookup Tables'!$A$3:$A$12,'Lookup Tables'!$C$3:$C$12,"Not Found")</x:f>
        <x:v>Furniture</x:v>
      </x:c>
      <x:c r="K193" t="str">
        <x:f>XLOOKUP(B193,'Lookup Tables'!$F$3:$F$6,'Lookup Tables'!$G$3:$G$6,"Not Found")</x:f>
        <x:v>Marcus Reed</x:v>
      </x:c>
      <x:c r="L193" s="14" t="n">
        <x:f>XLOOKUP(B193,'Lookup Tables'!$F$3:$F$6,'Lookup Tables'!$H$3:$H$6,0)</x:f>
        <x:v>0.035</x:v>
      </x:c>
      <x:c r="M193" s="12" t="n">
        <x:f>G193-H193</x:f>
        <x:v>1820.7600000000002</x:v>
      </x:c>
      <x:c r="N193" t="str">
        <x:f>IF(G193&gt;=10000,"High Value","Standard")</x:f>
        <x:v>Standard</x:v>
      </x:c>
      <x:c r="O193" t="str">
        <x:f>IF(M193/G193&gt;=0.40,"Strong Margin","Review Margin")</x:f>
        <x:v>Review Margin</x:v>
      </x:c>
      <x:c r="P193" t="str">
        <x:f>TEXT(A193,"mmm")</x:f>
        <x:v>Aug</x:v>
      </x:c>
      <x:c r="Q193" s="12" t="n">
        <x:f>G193*L193</x:f>
        <x:v>172.71800000000002</x:v>
      </x:c>
    </x:row>
    <x:row r="194">
      <x:c r="A194" s="10" t="n">
        <x:v>45888</x:v>
      </x:c>
      <x:c r="B194" t="str">
        <x:v>Midwest</x:v>
      </x:c>
      <x:c r="C194" t="str">
        <x:v>P-1003</x:v>
      </x:c>
      <x:c r="D194" t="str">
        <x:v>Ergonomic Office Chair</x:v>
      </x:c>
      <x:c r="E194" t="str">
        <x:v>Ethan Smith</x:v>
      </x:c>
      <x:c r="F194" t="n">
        <x:v>8</x:v>
      </x:c>
      <x:c r="G194" s="12" t="n">
        <x:v>1999.92</x:v>
      </x:c>
      <x:c r="H194" s="12" t="n">
        <x:v>1162.33</x:v>
      </x:c>
      <x:c r="I194" t="str">
        <x:v>Retail</x:v>
      </x:c>
      <x:c r="J194" t="str">
        <x:f>XLOOKUP(C194,'Lookup Tables'!$A$3:$A$12,'Lookup Tables'!$C$3:$C$12,"Not Found")</x:f>
        <x:v>Furniture</x:v>
      </x:c>
      <x:c r="K194" t="str">
        <x:f>XLOOKUP(B194,'Lookup Tables'!$F$3:$F$6,'Lookup Tables'!$G$3:$G$6,"Not Found")</x:f>
        <x:v>Marcus Reed</x:v>
      </x:c>
      <x:c r="L194" s="14" t="n">
        <x:f>XLOOKUP(B194,'Lookup Tables'!$F$3:$F$6,'Lookup Tables'!$H$3:$H$6,0)</x:f>
        <x:v>0.035</x:v>
      </x:c>
      <x:c r="M194" s="12" t="n">
        <x:f>G194-H194</x:f>
        <x:v>837.5900000000001</x:v>
      </x:c>
      <x:c r="N194" t="str">
        <x:f>IF(G194&gt;=10000,"High Value","Standard")</x:f>
        <x:v>Standard</x:v>
      </x:c>
      <x:c r="O194" t="str">
        <x:f>IF(M194/G194&gt;=0.40,"Strong Margin","Review Margin")</x:f>
        <x:v>Strong Margin</x:v>
      </x:c>
      <x:c r="P194" t="str">
        <x:f>TEXT(A194,"mmm")</x:f>
        <x:v>Aug</x:v>
      </x:c>
      <x:c r="Q194" s="12" t="n">
        <x:f>G194*L194</x:f>
        <x:v>69.9972</x:v>
      </x:c>
    </x:row>
    <x:row r="195">
      <x:c r="A195" s="10" t="n">
        <x:v>45890</x:v>
      </x:c>
      <x:c r="B195" t="str">
        <x:v>East</x:v>
      </x:c>
      <x:c r="C195" t="str">
        <x:v>P-1002</x:v>
      </x:c>
      <x:c r="D195" t="str">
        <x:v>Smart Home Hub</x:v>
      </x:c>
      <x:c r="E195" t="str">
        <x:v>Ethan Smith</x:v>
      </x:c>
      <x:c r="F195" t="n">
        <x:v>68</x:v>
      </x:c>
      <x:c r="G195" s="12" t="n">
        <x:v>12783.36</x:v>
      </x:c>
      <x:c r="H195" s="12" t="n">
        <x:v>7331</x:v>
      </x:c>
      <x:c r="I195" t="str">
        <x:v>Wholesale</x:v>
      </x:c>
      <x:c r="J195" t="str">
        <x:f>XLOOKUP(C195,'Lookup Tables'!$A$3:$A$12,'Lookup Tables'!$C$3:$C$12,"Not Found")</x:f>
        <x:v>Electronics</x:v>
      </x:c>
      <x:c r="K195" t="str">
        <x:f>XLOOKUP(B195,'Lookup Tables'!$F$3:$F$6,'Lookup Tables'!$G$3:$G$6,"Not Found")</x:f>
        <x:v>Alicia Morgan</x:v>
      </x:c>
      <x:c r="L195" s="14" t="n">
        <x:f>XLOOKUP(B195,'Lookup Tables'!$F$3:$F$6,'Lookup Tables'!$H$3:$H$6,0)</x:f>
        <x:v>0.04</x:v>
      </x:c>
      <x:c r="M195" s="12" t="n">
        <x:f>G195-H195</x:f>
        <x:v>5452.360000000001</x:v>
      </x:c>
      <x:c r="N195" t="str">
        <x:f>IF(G195&gt;=10000,"High Value","Standard")</x:f>
        <x:v>High Value</x:v>
      </x:c>
      <x:c r="O195" t="str">
        <x:f>IF(M195/G195&gt;=0.40,"Strong Margin","Review Margin")</x:f>
        <x:v>Strong Margin</x:v>
      </x:c>
      <x:c r="P195" t="str">
        <x:f>TEXT(A195,"mmm")</x:f>
        <x:v>Aug</x:v>
      </x:c>
      <x:c r="Q195" s="12" t="n">
        <x:f>G195*L195</x:f>
        <x:v>511.3344</x:v>
      </x:c>
    </x:row>
    <x:row r="196">
      <x:c r="A196" s="10" t="n">
        <x:v>45890</x:v>
      </x:c>
      <x:c r="B196" t="str">
        <x:v>West</x:v>
      </x:c>
      <x:c r="C196" t="str">
        <x:v>P-1007</x:v>
      </x:c>
      <x:c r="D196" t="str">
        <x:v>Fitness Tracker</x:v>
      </x:c>
      <x:c r="E196" t="str">
        <x:v>Sophia Martinez</x:v>
      </x:c>
      <x:c r="F196" t="n">
        <x:v>20</x:v>
      </x:c>
      <x:c r="G196" s="12" t="n">
        <x:v>2399.8</x:v>
      </x:c>
      <x:c r="H196" s="12" t="n">
        <x:v>1185.1</x:v>
      </x:c>
      <x:c r="I196" t="str">
        <x:v>Retail</x:v>
      </x:c>
      <x:c r="J196" t="str">
        <x:f>XLOOKUP(C196,'Lookup Tables'!$A$3:$A$12,'Lookup Tables'!$C$3:$C$12,"Not Found")</x:f>
        <x:v>Fitness</x:v>
      </x:c>
      <x:c r="K196" t="str">
        <x:f>XLOOKUP(B196,'Lookup Tables'!$F$3:$F$6,'Lookup Tables'!$G$3:$G$6,"Not Found")</x:f>
        <x:v>Daniel Kim</x:v>
      </x:c>
      <x:c r="L196" s="14" t="n">
        <x:f>XLOOKUP(B196,'Lookup Tables'!$F$3:$F$6,'Lookup Tables'!$H$3:$H$6,0)</x:f>
        <x:v>0.045</x:v>
      </x:c>
      <x:c r="M196" s="12" t="n">
        <x:f>G196-H196</x:f>
        <x:v>1214.7000000000003</x:v>
      </x:c>
      <x:c r="N196" t="str">
        <x:f>IF(G196&gt;=10000,"High Value","Standard")</x:f>
        <x:v>Standard</x:v>
      </x:c>
      <x:c r="O196" t="str">
        <x:f>IF(M196/G196&gt;=0.40,"Strong Margin","Review Margin")</x:f>
        <x:v>Strong Margin</x:v>
      </x:c>
      <x:c r="P196" t="str">
        <x:f>TEXT(A196,"mmm")</x:f>
        <x:v>Aug</x:v>
      </x:c>
      <x:c r="Q196" s="12" t="n">
        <x:f>G196*L196</x:f>
        <x:v>107.991</x:v>
      </x:c>
    </x:row>
    <x:row r="197">
      <x:c r="A197" s="10" t="n">
        <x:v>45892</x:v>
      </x:c>
      <x:c r="B197" t="str">
        <x:v>East</x:v>
      </x:c>
      <x:c r="C197" t="str">
        <x:v>P-1002</x:v>
      </x:c>
      <x:c r="D197" t="str">
        <x:v>Smart Home Hub</x:v>
      </x:c>
      <x:c r="E197" t="str">
        <x:v>Noah Brown</x:v>
      </x:c>
      <x:c r="F197" t="n">
        <x:v>40</x:v>
      </x:c>
      <x:c r="G197" s="12" t="n">
        <x:v>7519.62</x:v>
      </x:c>
      <x:c r="H197" s="12" t="n">
        <x:v>4616.65</x:v>
      </x:c>
      <x:c r="I197" t="str">
        <x:v>Wholesale</x:v>
      </x:c>
      <x:c r="J197" t="str">
        <x:f>XLOOKUP(C197,'Lookup Tables'!$A$3:$A$12,'Lookup Tables'!$C$3:$C$12,"Not Found")</x:f>
        <x:v>Electronics</x:v>
      </x:c>
      <x:c r="K197" t="str">
        <x:f>XLOOKUP(B197,'Lookup Tables'!$F$3:$F$6,'Lookup Tables'!$G$3:$G$6,"Not Found")</x:f>
        <x:v>Alicia Morgan</x:v>
      </x:c>
      <x:c r="L197" s="14" t="n">
        <x:f>XLOOKUP(B197,'Lookup Tables'!$F$3:$F$6,'Lookup Tables'!$H$3:$H$6,0)</x:f>
        <x:v>0.04</x:v>
      </x:c>
      <x:c r="M197" s="12" t="n">
        <x:f>G197-H197</x:f>
        <x:v>2902.9700000000003</x:v>
      </x:c>
      <x:c r="N197" t="str">
        <x:f>IF(G197&gt;=10000,"High Value","Standard")</x:f>
        <x:v>Standard</x:v>
      </x:c>
      <x:c r="O197" t="str">
        <x:f>IF(M197/G197&gt;=0.40,"Strong Margin","Review Margin")</x:f>
        <x:v>Review Margin</x:v>
      </x:c>
      <x:c r="P197" t="str">
        <x:f>TEXT(A197,"mmm")</x:f>
        <x:v>Aug</x:v>
      </x:c>
      <x:c r="Q197" s="12" t="n">
        <x:f>G197*L197</x:f>
        <x:v>300.7848</x:v>
      </x:c>
    </x:row>
    <x:row r="198">
      <x:c r="A198" s="10" t="n">
        <x:v>45892</x:v>
      </x:c>
      <x:c r="B198" t="str">
        <x:v>South</x:v>
      </x:c>
      <x:c r="C198" t="str">
        <x:v>P-1007</x:v>
      </x:c>
      <x:c r="D198" t="str">
        <x:v>Fitness Tracker</x:v>
      </x:c>
      <x:c r="E198" t="str">
        <x:v>Maya Johnson</x:v>
      </x:c>
      <x:c r="F198" t="n">
        <x:v>43</x:v>
      </x:c>
      <x:c r="G198" s="12" t="n">
        <x:v>4850</x:v>
      </x:c>
      <x:c r="H198" s="12" t="n">
        <x:v>2563.28</x:v>
      </x:c>
      <x:c r="I198" t="str">
        <x:v>Wholesale</x:v>
      </x:c>
      <x:c r="J198" t="str">
        <x:f>XLOOKUP(C198,'Lookup Tables'!$A$3:$A$12,'Lookup Tables'!$C$3:$C$12,"Not Found")</x:f>
        <x:v>Fitness</x:v>
      </x:c>
      <x:c r="K198" t="str">
        <x:f>XLOOKUP(B198,'Lookup Tables'!$F$3:$F$6,'Lookup Tables'!$G$3:$G$6,"Not Found")</x:f>
        <x:v>Priya Patel</x:v>
      </x:c>
      <x:c r="L198" s="14" t="n">
        <x:f>XLOOKUP(B198,'Lookup Tables'!$F$3:$F$6,'Lookup Tables'!$H$3:$H$6,0)</x:f>
        <x:v>0.05</x:v>
      </x:c>
      <x:c r="M198" s="12" t="n">
        <x:f>G198-H198</x:f>
        <x:v>2286.72</x:v>
      </x:c>
      <x:c r="N198" t="str">
        <x:f>IF(G198&gt;=10000,"High Value","Standard")</x:f>
        <x:v>Standard</x:v>
      </x:c>
      <x:c r="O198" t="str">
        <x:f>IF(M198/G198&gt;=0.40,"Strong Margin","Review Margin")</x:f>
        <x:v>Strong Margin</x:v>
      </x:c>
      <x:c r="P198" t="str">
        <x:f>TEXT(A198,"mmm")</x:f>
        <x:v>Aug</x:v>
      </x:c>
      <x:c r="Q198" s="12" t="n">
        <x:f>G198*L198</x:f>
        <x:v>242.5</x:v>
      </x:c>
    </x:row>
    <x:row r="199">
      <x:c r="A199" s="10" t="n">
        <x:v>45892</x:v>
      </x:c>
      <x:c r="B199" t="str">
        <x:v>East</x:v>
      </x:c>
      <x:c r="C199" t="str">
        <x:v>P-1003</x:v>
      </x:c>
      <x:c r="D199" t="str">
        <x:v>Ergonomic Office Chair</x:v>
      </x:c>
      <x:c r="E199" t="str">
        <x:v>Ava Davis</x:v>
      </x:c>
      <x:c r="F199" t="n">
        <x:v>13</x:v>
      </x:c>
      <x:c r="G199" s="12" t="n">
        <x:v>3249.87</x:v>
      </x:c>
      <x:c r="H199" s="12" t="n">
        <x:v>1961.07</x:v>
      </x:c>
      <x:c r="I199" t="str">
        <x:v>Retail</x:v>
      </x:c>
      <x:c r="J199" t="str">
        <x:f>XLOOKUP(C199,'Lookup Tables'!$A$3:$A$12,'Lookup Tables'!$C$3:$C$12,"Not Found")</x:f>
        <x:v>Furniture</x:v>
      </x:c>
      <x:c r="K199" t="str">
        <x:f>XLOOKUP(B199,'Lookup Tables'!$F$3:$F$6,'Lookup Tables'!$G$3:$G$6,"Not Found")</x:f>
        <x:v>Alicia Morgan</x:v>
      </x:c>
      <x:c r="L199" s="14" t="n">
        <x:f>XLOOKUP(B199,'Lookup Tables'!$F$3:$F$6,'Lookup Tables'!$H$3:$H$6,0)</x:f>
        <x:v>0.04</x:v>
      </x:c>
      <x:c r="M199" s="12" t="n">
        <x:f>G199-H199</x:f>
        <x:v>1288.8</x:v>
      </x:c>
      <x:c r="N199" t="str">
        <x:f>IF(G199&gt;=10000,"High Value","Standard")</x:f>
        <x:v>Standard</x:v>
      </x:c>
      <x:c r="O199" t="str">
        <x:f>IF(M199/G199&gt;=0.40,"Strong Margin","Review Margin")</x:f>
        <x:v>Review Margin</x:v>
      </x:c>
      <x:c r="P199" t="str">
        <x:f>TEXT(A199,"mmm")</x:f>
        <x:v>Aug</x:v>
      </x:c>
      <x:c r="Q199" s="12" t="n">
        <x:f>G199*L199</x:f>
        <x:v>129.9948</x:v>
      </x:c>
    </x:row>
    <x:row r="200">
      <x:c r="A200" s="10" t="n">
        <x:v>45894</x:v>
      </x:c>
      <x:c r="B200" t="str">
        <x:v>East</x:v>
      </x:c>
      <x:c r="C200" t="str">
        <x:v>P-1009</x:v>
      </x:c>
      <x:c r="D200" t="str">
        <x:v>Travel Backpack</x:v>
      </x:c>
      <x:c r="E200" t="str">
        <x:v>Lucas Miller</x:v>
      </x:c>
      <x:c r="F200" t="n">
        <x:v>12</x:v>
      </x:c>
      <x:c r="G200" s="12" t="n">
        <x:v>1015.09</x:v>
      </x:c>
      <x:c r="H200" s="12" t="n">
        <x:v>529.17</x:v>
      </x:c>
      <x:c r="I200" t="str">
        <x:v>Wholesale</x:v>
      </x:c>
      <x:c r="J200" t="str">
        <x:f>XLOOKUP(C200,'Lookup Tables'!$A$3:$A$12,'Lookup Tables'!$C$3:$C$12,"Not Found")</x:f>
        <x:v>Accessories</x:v>
      </x:c>
      <x:c r="K200" t="str">
        <x:f>XLOOKUP(B200,'Lookup Tables'!$F$3:$F$6,'Lookup Tables'!$G$3:$G$6,"Not Found")</x:f>
        <x:v>Alicia Morgan</x:v>
      </x:c>
      <x:c r="L200" s="14" t="n">
        <x:f>XLOOKUP(B200,'Lookup Tables'!$F$3:$F$6,'Lookup Tables'!$H$3:$H$6,0)</x:f>
        <x:v>0.04</x:v>
      </x:c>
      <x:c r="M200" s="12" t="n">
        <x:f>G200-H200</x:f>
        <x:v>485.9200000000001</x:v>
      </x:c>
      <x:c r="N200" t="str">
        <x:f>IF(G200&gt;=10000,"High Value","Standard")</x:f>
        <x:v>Standard</x:v>
      </x:c>
      <x:c r="O200" t="str">
        <x:f>IF(M200/G200&gt;=0.40,"Strong Margin","Review Margin")</x:f>
        <x:v>Strong Margin</x:v>
      </x:c>
      <x:c r="P200" t="str">
        <x:f>TEXT(A200,"mmm")</x:f>
        <x:v>Aug</x:v>
      </x:c>
      <x:c r="Q200" s="12" t="n">
        <x:f>G200*L200</x:f>
        <x:v>40.6036</x:v>
      </x:c>
    </x:row>
    <x:row r="201">
      <x:c r="A201" s="10" t="n">
        <x:v>45895</x:v>
      </x:c>
      <x:c r="B201" t="str">
        <x:v>East</x:v>
      </x:c>
      <x:c r="C201" t="str">
        <x:v>P-1002</x:v>
      </x:c>
      <x:c r="D201" t="str">
        <x:v>Smart Home Hub</x:v>
      </x:c>
      <x:c r="E201" t="str">
        <x:v>Ethan Smith</x:v>
      </x:c>
      <x:c r="F201" t="n">
        <x:v>16</x:v>
      </x:c>
      <x:c r="G201" s="12" t="n">
        <x:v>3199.84</x:v>
      </x:c>
      <x:c r="H201" s="12" t="n">
        <x:v>1846.51</x:v>
      </x:c>
      <x:c r="I201" t="str">
        <x:v>Retail</x:v>
      </x:c>
      <x:c r="J201" t="str">
        <x:f>XLOOKUP(C201,'Lookup Tables'!$A$3:$A$12,'Lookup Tables'!$C$3:$C$12,"Not Found")</x:f>
        <x:v>Electronics</x:v>
      </x:c>
      <x:c r="K201" t="str">
        <x:f>XLOOKUP(B201,'Lookup Tables'!$F$3:$F$6,'Lookup Tables'!$G$3:$G$6,"Not Found")</x:f>
        <x:v>Alicia Morgan</x:v>
      </x:c>
      <x:c r="L201" s="14" t="n">
        <x:f>XLOOKUP(B201,'Lookup Tables'!$F$3:$F$6,'Lookup Tables'!$H$3:$H$6,0)</x:f>
        <x:v>0.04</x:v>
      </x:c>
      <x:c r="M201" s="12" t="n">
        <x:f>G201-H201</x:f>
        <x:v>1353.3300000000002</x:v>
      </x:c>
      <x:c r="N201" t="str">
        <x:f>IF(G201&gt;=10000,"High Value","Standard")</x:f>
        <x:v>Standard</x:v>
      </x:c>
      <x:c r="O201" t="str">
        <x:f>IF(M201/G201&gt;=0.40,"Strong Margin","Review Margin")</x:f>
        <x:v>Strong Margin</x:v>
      </x:c>
      <x:c r="P201" t="str">
        <x:f>TEXT(A201,"mmm")</x:f>
        <x:v>Aug</x:v>
      </x:c>
      <x:c r="Q201" s="12" t="n">
        <x:f>G201*L201</x:f>
        <x:v>127.99360000000001</x:v>
      </x:c>
    </x:row>
    <x:row r="202">
      <x:c r="A202" s="10" t="n">
        <x:v>45895</x:v>
      </x:c>
      <x:c r="B202" t="str">
        <x:v>Midwest</x:v>
      </x:c>
      <x:c r="C202" t="str">
        <x:v>P-1003</x:v>
      </x:c>
      <x:c r="D202" t="str">
        <x:v>Ergonomic Office Chair</x:v>
      </x:c>
      <x:c r="E202" t="str">
        <x:v>Ava Davis</x:v>
      </x:c>
      <x:c r="F202" t="n">
        <x:v>1</x:v>
      </x:c>
      <x:c r="G202" s="12" t="n">
        <x:v>249.99</x:v>
      </x:c>
      <x:c r="H202" s="12" t="n">
        <x:v>145.19</x:v>
      </x:c>
      <x:c r="I202" t="str">
        <x:v>Retail</x:v>
      </x:c>
      <x:c r="J202" t="str">
        <x:f>XLOOKUP(C202,'Lookup Tables'!$A$3:$A$12,'Lookup Tables'!$C$3:$C$12,"Not Found")</x:f>
        <x:v>Furniture</x:v>
      </x:c>
      <x:c r="K202" t="str">
        <x:f>XLOOKUP(B202,'Lookup Tables'!$F$3:$F$6,'Lookup Tables'!$G$3:$G$6,"Not Found")</x:f>
        <x:v>Marcus Reed</x:v>
      </x:c>
      <x:c r="L202" s="14" t="n">
        <x:f>XLOOKUP(B202,'Lookup Tables'!$F$3:$F$6,'Lookup Tables'!$H$3:$H$6,0)</x:f>
        <x:v>0.035</x:v>
      </x:c>
      <x:c r="M202" s="12" t="n">
        <x:f>G202-H202</x:f>
        <x:v>104.80000000000001</x:v>
      </x:c>
      <x:c r="N202" t="str">
        <x:f>IF(G202&gt;=10000,"High Value","Standard")</x:f>
        <x:v>Standard</x:v>
      </x:c>
      <x:c r="O202" t="str">
        <x:f>IF(M202/G202&gt;=0.40,"Strong Margin","Review Margin")</x:f>
        <x:v>Strong Margin</x:v>
      </x:c>
      <x:c r="P202" t="str">
        <x:f>TEXT(A202,"mmm")</x:f>
        <x:v>Aug</x:v>
      </x:c>
      <x:c r="Q202" s="12" t="n">
        <x:f>G202*L202</x:f>
        <x:v>8.74965</x:v>
      </x:c>
    </x:row>
    <x:row r="203">
      <x:c r="A203" s="10" t="n">
        <x:v>45897</x:v>
      </x:c>
      <x:c r="B203" t="str">
        <x:v>South</x:v>
      </x:c>
      <x:c r="C203" t="str">
        <x:v>P-1006</x:v>
      </x:c>
      <x:c r="D203" t="str">
        <x:v>Air Fryer XL</x:v>
      </x:c>
      <x:c r="E203" t="str">
        <x:v>Sophia Martinez</x:v>
      </x:c>
      <x:c r="F203" t="n">
        <x:v>16</x:v>
      </x:c>
      <x:c r="G203" s="12" t="n">
        <x:v>2239.84</x:v>
      </x:c>
      <x:c r="H203" s="12" t="n">
        <x:v>1209.89</x:v>
      </x:c>
      <x:c r="I203" t="str">
        <x:v>Retail</x:v>
      </x:c>
      <x:c r="J203" t="str">
        <x:f>XLOOKUP(C203,'Lookup Tables'!$A$3:$A$12,'Lookup Tables'!$C$3:$C$12,"Not Found")</x:f>
        <x:v>Home Goods</x:v>
      </x:c>
      <x:c r="K203" t="str">
        <x:f>XLOOKUP(B203,'Lookup Tables'!$F$3:$F$6,'Lookup Tables'!$G$3:$G$6,"Not Found")</x:f>
        <x:v>Priya Patel</x:v>
      </x:c>
      <x:c r="L203" s="14" t="n">
        <x:f>XLOOKUP(B203,'Lookup Tables'!$F$3:$F$6,'Lookup Tables'!$H$3:$H$6,0)</x:f>
        <x:v>0.05</x:v>
      </x:c>
      <x:c r="M203" s="12" t="n">
        <x:f>G203-H203</x:f>
        <x:v>1029.95</x:v>
      </x:c>
      <x:c r="N203" t="str">
        <x:f>IF(G203&gt;=10000,"High Value","Standard")</x:f>
        <x:v>Standard</x:v>
      </x:c>
      <x:c r="O203" t="str">
        <x:f>IF(M203/G203&gt;=0.40,"Strong Margin","Review Margin")</x:f>
        <x:v>Strong Margin</x:v>
      </x:c>
      <x:c r="P203" t="str">
        <x:f>TEXT(A203,"mmm")</x:f>
        <x:v>Aug</x:v>
      </x:c>
      <x:c r="Q203" s="12" t="n">
        <x:f>G203*L203</x:f>
        <x:v>111.99200000000002</x:v>
      </x:c>
    </x:row>
    <x:row r="204">
      <x:c r="A204" s="10" t="n">
        <x:v>45898</x:v>
      </x:c>
      <x:c r="B204" t="str">
        <x:v>Midwest</x:v>
      </x:c>
      <x:c r="C204" t="str">
        <x:v>P-1002</x:v>
      </x:c>
      <x:c r="D204" t="str">
        <x:v>Smart Home Hub</x:v>
      </x:c>
      <x:c r="E204" t="str">
        <x:v>Mia Thomas</x:v>
      </x:c>
      <x:c r="F204" t="n">
        <x:v>31</x:v>
      </x:c>
      <x:c r="G204" s="12" t="n">
        <x:v>5827.71</x:v>
      </x:c>
      <x:c r="H204" s="12" t="n">
        <x:v>3527.54</x:v>
      </x:c>
      <x:c r="I204" t="str">
        <x:v>Wholesale</x:v>
      </x:c>
      <x:c r="J204" t="str">
        <x:f>XLOOKUP(C204,'Lookup Tables'!$A$3:$A$12,'Lookup Tables'!$C$3:$C$12,"Not Found")</x:f>
        <x:v>Electronics</x:v>
      </x:c>
      <x:c r="K204" t="str">
        <x:f>XLOOKUP(B204,'Lookup Tables'!$F$3:$F$6,'Lookup Tables'!$G$3:$G$6,"Not Found")</x:f>
        <x:v>Marcus Reed</x:v>
      </x:c>
      <x:c r="L204" s="14" t="n">
        <x:f>XLOOKUP(B204,'Lookup Tables'!$F$3:$F$6,'Lookup Tables'!$H$3:$H$6,0)</x:f>
        <x:v>0.035</x:v>
      </x:c>
      <x:c r="M204" s="12" t="n">
        <x:f>G204-H204</x:f>
        <x:v>2300.17</x:v>
      </x:c>
      <x:c r="N204" t="str">
        <x:f>IF(G204&gt;=10000,"High Value","Standard")</x:f>
        <x:v>Standard</x:v>
      </x:c>
      <x:c r="O204" t="str">
        <x:f>IF(M204/G204&gt;=0.40,"Strong Margin","Review Margin")</x:f>
        <x:v>Review Margin</x:v>
      </x:c>
      <x:c r="P204" t="str">
        <x:f>TEXT(A204,"mmm")</x:f>
        <x:v>Aug</x:v>
      </x:c>
      <x:c r="Q204" s="12" t="n">
        <x:f>G204*L204</x:f>
        <x:v>203.96985</x:v>
      </x:c>
    </x:row>
    <x:row r="205">
      <x:c r="A205" s="10" t="n">
        <x:v>45898</x:v>
      </x:c>
      <x:c r="B205" t="str">
        <x:v>East</x:v>
      </x:c>
      <x:c r="C205" t="str">
        <x:v>P-1003</x:v>
      </x:c>
      <x:c r="D205" t="str">
        <x:v>Ergonomic Office Chair</x:v>
      </x:c>
      <x:c r="E205" t="str">
        <x:v>Liam Wilson</x:v>
      </x:c>
      <x:c r="F205" t="n">
        <x:v>1</x:v>
      </x:c>
      <x:c r="G205" s="12" t="n">
        <x:v>249.99</x:v>
      </x:c>
      <x:c r="H205" s="12" t="n">
        <x:v>142.79</x:v>
      </x:c>
      <x:c r="I205" t="str">
        <x:v>Retail</x:v>
      </x:c>
      <x:c r="J205" t="str">
        <x:f>XLOOKUP(C205,'Lookup Tables'!$A$3:$A$12,'Lookup Tables'!$C$3:$C$12,"Not Found")</x:f>
        <x:v>Furniture</x:v>
      </x:c>
      <x:c r="K205" t="str">
        <x:f>XLOOKUP(B205,'Lookup Tables'!$F$3:$F$6,'Lookup Tables'!$G$3:$G$6,"Not Found")</x:f>
        <x:v>Alicia Morgan</x:v>
      </x:c>
      <x:c r="L205" s="14" t="n">
        <x:f>XLOOKUP(B205,'Lookup Tables'!$F$3:$F$6,'Lookup Tables'!$H$3:$H$6,0)</x:f>
        <x:v>0.04</x:v>
      </x:c>
      <x:c r="M205" s="12" t="n">
        <x:f>G205-H205</x:f>
        <x:v>107.20000000000002</x:v>
      </x:c>
      <x:c r="N205" t="str">
        <x:f>IF(G205&gt;=10000,"High Value","Standard")</x:f>
        <x:v>Standard</x:v>
      </x:c>
      <x:c r="O205" t="str">
        <x:f>IF(M205/G205&gt;=0.40,"Strong Margin","Review Margin")</x:f>
        <x:v>Strong Margin</x:v>
      </x:c>
      <x:c r="P205" t="str">
        <x:f>TEXT(A205,"mmm")</x:f>
        <x:v>Aug</x:v>
      </x:c>
      <x:c r="Q205" s="12" t="n">
        <x:f>G205*L205</x:f>
        <x:v>9.999600000000001</x:v>
      </x:c>
    </x:row>
    <x:row r="206">
      <x:c r="A206" s="10" t="n">
        <x:v>45899</x:v>
      </x:c>
      <x:c r="B206" t="str">
        <x:v>East</x:v>
      </x:c>
      <x:c r="C206" t="str">
        <x:v>P-1007</x:v>
      </x:c>
      <x:c r="D206" t="str">
        <x:v>Fitness Tracker</x:v>
      </x:c>
      <x:c r="E206" t="str">
        <x:v>Maya Johnson</x:v>
      </x:c>
      <x:c r="F206" t="n">
        <x:v>28</x:v>
      </x:c>
      <x:c r="G206" s="12" t="n">
        <x:v>3158.14</x:v>
      </x:c>
      <x:c r="H206" s="12" t="n">
        <x:v>1749.96</x:v>
      </x:c>
      <x:c r="I206" t="str">
        <x:v>Wholesale</x:v>
      </x:c>
      <x:c r="J206" t="str">
        <x:f>XLOOKUP(C206,'Lookup Tables'!$A$3:$A$12,'Lookup Tables'!$C$3:$C$12,"Not Found")</x:f>
        <x:v>Fitness</x:v>
      </x:c>
      <x:c r="K206" t="str">
        <x:f>XLOOKUP(B206,'Lookup Tables'!$F$3:$F$6,'Lookup Tables'!$G$3:$G$6,"Not Found")</x:f>
        <x:v>Alicia Morgan</x:v>
      </x:c>
      <x:c r="L206" s="14" t="n">
        <x:f>XLOOKUP(B206,'Lookup Tables'!$F$3:$F$6,'Lookup Tables'!$H$3:$H$6,0)</x:f>
        <x:v>0.04</x:v>
      </x:c>
      <x:c r="M206" s="12" t="n">
        <x:f>G206-H206</x:f>
        <x:v>1408.1799999999998</x:v>
      </x:c>
      <x:c r="N206" t="str">
        <x:f>IF(G206&gt;=10000,"High Value","Standard")</x:f>
        <x:v>Standard</x:v>
      </x:c>
      <x:c r="O206" t="str">
        <x:f>IF(M206/G206&gt;=0.40,"Strong Margin","Review Margin")</x:f>
        <x:v>Strong Margin</x:v>
      </x:c>
      <x:c r="P206" t="str">
        <x:f>TEXT(A206,"mmm")</x:f>
        <x:v>Aug</x:v>
      </x:c>
      <x:c r="Q206" s="12" t="n">
        <x:f>G206*L206</x:f>
        <x:v>126.3256</x:v>
      </x:c>
    </x:row>
    <x:row r="207">
      <x:c r="A207" s="10" t="n">
        <x:v>45900</x:v>
      </x:c>
      <x:c r="B207" t="str">
        <x:v>South</x:v>
      </x:c>
      <x:c r="C207" t="str">
        <x:v>P-1005</x:v>
      </x:c>
      <x:c r="D207" t="str">
        <x:v>Stainless Cookware Set</x:v>
      </x:c>
      <x:c r="E207" t="str">
        <x:v>Noah Brown</x:v>
      </x:c>
      <x:c r="F207" t="n">
        <x:v>9</x:v>
      </x:c>
      <x:c r="G207" s="12" t="n">
        <x:v>1439.91</x:v>
      </x:c>
      <x:c r="H207" s="12" t="n">
        <x:v>785.46</x:v>
      </x:c>
      <x:c r="I207" t="str">
        <x:v>Retail</x:v>
      </x:c>
      <x:c r="J207" t="str">
        <x:f>XLOOKUP(C207,'Lookup Tables'!$A$3:$A$12,'Lookup Tables'!$C$3:$C$12,"Not Found")</x:f>
        <x:v>Home Goods</x:v>
      </x:c>
      <x:c r="K207" t="str">
        <x:f>XLOOKUP(B207,'Lookup Tables'!$F$3:$F$6,'Lookup Tables'!$G$3:$G$6,"Not Found")</x:f>
        <x:v>Priya Patel</x:v>
      </x:c>
      <x:c r="L207" s="14" t="n">
        <x:f>XLOOKUP(B207,'Lookup Tables'!$F$3:$F$6,'Lookup Tables'!$H$3:$H$6,0)</x:f>
        <x:v>0.05</x:v>
      </x:c>
      <x:c r="M207" s="12" t="n">
        <x:f>G207-H207</x:f>
        <x:v>654.45</x:v>
      </x:c>
      <x:c r="N207" t="str">
        <x:f>IF(G207&gt;=10000,"High Value","Standard")</x:f>
        <x:v>Standard</x:v>
      </x:c>
      <x:c r="O207" t="str">
        <x:f>IF(M207/G207&gt;=0.40,"Strong Margin","Review Margin")</x:f>
        <x:v>Strong Margin</x:v>
      </x:c>
      <x:c r="P207" t="str">
        <x:f>TEXT(A207,"mmm")</x:f>
        <x:v>Aug</x:v>
      </x:c>
      <x:c r="Q207" s="12" t="n">
        <x:f>G207*L207</x:f>
        <x:v>71.9955</x:v>
      </x:c>
    </x:row>
    <x:row r="208">
      <x:c r="A208" s="10" t="n">
        <x:v>45901</x:v>
      </x:c>
      <x:c r="B208" t="str">
        <x:v>West</x:v>
      </x:c>
      <x:c r="C208" t="str">
        <x:v>P-1002</x:v>
      </x:c>
      <x:c r="D208" t="str">
        <x:v>Smart Home Hub</x:v>
      </x:c>
      <x:c r="E208" t="str">
        <x:v>Sophia Martinez</x:v>
      </x:c>
      <x:c r="F208" t="n">
        <x:v>18</x:v>
      </x:c>
      <x:c r="G208" s="12" t="n">
        <x:v>3599.82</x:v>
      </x:c>
      <x:c r="H208" s="12" t="n">
        <x:v>2046.95</x:v>
      </x:c>
      <x:c r="I208" t="str">
        <x:v>Retail</x:v>
      </x:c>
      <x:c r="J208" t="str">
        <x:f>XLOOKUP(C208,'Lookup Tables'!$A$3:$A$12,'Lookup Tables'!$C$3:$C$12,"Not Found")</x:f>
        <x:v>Electronics</x:v>
      </x:c>
      <x:c r="K208" t="str">
        <x:f>XLOOKUP(B208,'Lookup Tables'!$F$3:$F$6,'Lookup Tables'!$G$3:$G$6,"Not Found")</x:f>
        <x:v>Daniel Kim</x:v>
      </x:c>
      <x:c r="L208" s="14" t="n">
        <x:f>XLOOKUP(B208,'Lookup Tables'!$F$3:$F$6,'Lookup Tables'!$H$3:$H$6,0)</x:f>
        <x:v>0.045</x:v>
      </x:c>
      <x:c r="M208" s="12" t="n">
        <x:f>G208-H208</x:f>
        <x:v>1552.8700000000001</x:v>
      </x:c>
      <x:c r="N208" t="str">
        <x:f>IF(G208&gt;=10000,"High Value","Standard")</x:f>
        <x:v>Standard</x:v>
      </x:c>
      <x:c r="O208" t="str">
        <x:f>IF(M208/G208&gt;=0.40,"Strong Margin","Review Margin")</x:f>
        <x:v>Strong Margin</x:v>
      </x:c>
      <x:c r="P208" t="str">
        <x:f>TEXT(A208,"mmm")</x:f>
        <x:v>Sep</x:v>
      </x:c>
      <x:c r="Q208" s="12" t="n">
        <x:f>G208*L208</x:f>
        <x:v>161.99190000000002</x:v>
      </x:c>
    </x:row>
    <x:row r="209">
      <x:c r="A209" s="10" t="n">
        <x:v>45903</x:v>
      </x:c>
      <x:c r="B209" t="str">
        <x:v>South</x:v>
      </x:c>
      <x:c r="C209" t="str">
        <x:v>P-1004</x:v>
      </x:c>
      <x:c r="D209" t="str">
        <x:v>Standing Desk Converter</x:v>
      </x:c>
      <x:c r="E209" t="str">
        <x:v>Ethan Smith</x:v>
      </x:c>
      <x:c r="F209" t="n">
        <x:v>9</x:v>
      </x:c>
      <x:c r="G209" s="12" t="n">
        <x:v>1709.91</x:v>
      </x:c>
      <x:c r="H209" s="12" t="n">
        <x:v>931.44</x:v>
      </x:c>
      <x:c r="I209" t="str">
        <x:v>Retail</x:v>
      </x:c>
      <x:c r="J209" t="str">
        <x:f>XLOOKUP(C209,'Lookup Tables'!$A$3:$A$12,'Lookup Tables'!$C$3:$C$12,"Not Found")</x:f>
        <x:v>Furniture</x:v>
      </x:c>
      <x:c r="K209" t="str">
        <x:f>XLOOKUP(B209,'Lookup Tables'!$F$3:$F$6,'Lookup Tables'!$G$3:$G$6,"Not Found")</x:f>
        <x:v>Priya Patel</x:v>
      </x:c>
      <x:c r="L209" s="14" t="n">
        <x:f>XLOOKUP(B209,'Lookup Tables'!$F$3:$F$6,'Lookup Tables'!$H$3:$H$6,0)</x:f>
        <x:v>0.05</x:v>
      </x:c>
      <x:c r="M209" s="12" t="n">
        <x:f>G209-H209</x:f>
        <x:v>778.47</x:v>
      </x:c>
      <x:c r="N209" t="str">
        <x:f>IF(G209&gt;=10000,"High Value","Standard")</x:f>
        <x:v>Standard</x:v>
      </x:c>
      <x:c r="O209" t="str">
        <x:f>IF(M209/G209&gt;=0.40,"Strong Margin","Review Margin")</x:f>
        <x:v>Strong Margin</x:v>
      </x:c>
      <x:c r="P209" t="str">
        <x:f>TEXT(A209,"mmm")</x:f>
        <x:v>Sep</x:v>
      </x:c>
      <x:c r="Q209" s="12" t="n">
        <x:f>G209*L209</x:f>
        <x:v>85.4955</x:v>
      </x:c>
    </x:row>
    <x:row r="210">
      <x:c r="A210" s="10" t="n">
        <x:v>45903</x:v>
      </x:c>
      <x:c r="B210" t="str">
        <x:v>West</x:v>
      </x:c>
      <x:c r="C210" t="str">
        <x:v>P-1007</x:v>
      </x:c>
      <x:c r="D210" t="str">
        <x:v>Fitness Tracker</x:v>
      </x:c>
      <x:c r="E210" t="str">
        <x:v>James Anderson</x:v>
      </x:c>
      <x:c r="F210" t="n">
        <x:v>6</x:v>
      </x:c>
      <x:c r="G210" s="12" t="n">
        <x:v>719.94</x:v>
      </x:c>
      <x:c r="H210" s="12" t="n">
        <x:v>364.14</x:v>
      </x:c>
      <x:c r="I210" t="str">
        <x:v>Retail</x:v>
      </x:c>
      <x:c r="J210" t="str">
        <x:f>XLOOKUP(C210,'Lookup Tables'!$A$3:$A$12,'Lookup Tables'!$C$3:$C$12,"Not Found")</x:f>
        <x:v>Fitness</x:v>
      </x:c>
      <x:c r="K210" t="str">
        <x:f>XLOOKUP(B210,'Lookup Tables'!$F$3:$F$6,'Lookup Tables'!$G$3:$G$6,"Not Found")</x:f>
        <x:v>Daniel Kim</x:v>
      </x:c>
      <x:c r="L210" s="14" t="n">
        <x:f>XLOOKUP(B210,'Lookup Tables'!$F$3:$F$6,'Lookup Tables'!$H$3:$H$6,0)</x:f>
        <x:v>0.045</x:v>
      </x:c>
      <x:c r="M210" s="12" t="n">
        <x:f>G210-H210</x:f>
        <x:v>355.80000000000007</x:v>
      </x:c>
      <x:c r="N210" t="str">
        <x:f>IF(G210&gt;=10000,"High Value","Standard")</x:f>
        <x:v>Standard</x:v>
      </x:c>
      <x:c r="O210" t="str">
        <x:f>IF(M210/G210&gt;=0.40,"Strong Margin","Review Margin")</x:f>
        <x:v>Strong Margin</x:v>
      </x:c>
      <x:c r="P210" t="str">
        <x:f>TEXT(A210,"mmm")</x:f>
        <x:v>Sep</x:v>
      </x:c>
      <x:c r="Q210" s="12" t="n">
        <x:f>G210*L210</x:f>
        <x:v>32.3973</x:v>
      </x:c>
    </x:row>
    <x:row r="211">
      <x:c r="A211" s="10" t="n">
        <x:v>45905</x:v>
      </x:c>
      <x:c r="B211" t="str">
        <x:v>West</x:v>
      </x:c>
      <x:c r="C211" t="str">
        <x:v>P-1005</x:v>
      </x:c>
      <x:c r="D211" t="str">
        <x:v>Stainless Cookware Set</x:v>
      </x:c>
      <x:c r="E211" t="str">
        <x:v>Isabella Taylor</x:v>
      </x:c>
      <x:c r="F211" t="n">
        <x:v>3</x:v>
      </x:c>
      <x:c r="G211" s="12" t="n">
        <x:v>479.97</x:v>
      </x:c>
      <x:c r="H211" s="12" t="n">
        <x:v>264.19</x:v>
      </x:c>
      <x:c r="I211" t="str">
        <x:v>Retail</x:v>
      </x:c>
      <x:c r="J211" t="str">
        <x:f>XLOOKUP(C211,'Lookup Tables'!$A$3:$A$12,'Lookup Tables'!$C$3:$C$12,"Not Found")</x:f>
        <x:v>Home Goods</x:v>
      </x:c>
      <x:c r="K211" t="str">
        <x:f>XLOOKUP(B211,'Lookup Tables'!$F$3:$F$6,'Lookup Tables'!$G$3:$G$6,"Not Found")</x:f>
        <x:v>Daniel Kim</x:v>
      </x:c>
      <x:c r="L211" s="14" t="n">
        <x:f>XLOOKUP(B211,'Lookup Tables'!$F$3:$F$6,'Lookup Tables'!$H$3:$H$6,0)</x:f>
        <x:v>0.045</x:v>
      </x:c>
      <x:c r="M211" s="12" t="n">
        <x:f>G211-H211</x:f>
        <x:v>215.78000000000003</x:v>
      </x:c>
      <x:c r="N211" t="str">
        <x:f>IF(G211&gt;=10000,"High Value","Standard")</x:f>
        <x:v>Standard</x:v>
      </x:c>
      <x:c r="O211" t="str">
        <x:f>IF(M211/G211&gt;=0.40,"Strong Margin","Review Margin")</x:f>
        <x:v>Strong Margin</x:v>
      </x:c>
      <x:c r="P211" t="str">
        <x:f>TEXT(A211,"mmm")</x:f>
        <x:v>Sep</x:v>
      </x:c>
      <x:c r="Q211" s="12" t="n">
        <x:f>G211*L211</x:f>
        <x:v>21.59865</x:v>
      </x:c>
    </x:row>
    <x:row r="212">
      <x:c r="A212" s="10" t="n">
        <x:v>45905</x:v>
      </x:c>
      <x:c r="B212" t="str">
        <x:v>West</x:v>
      </x:c>
      <x:c r="C212" t="str">
        <x:v>P-1005</x:v>
      </x:c>
      <x:c r="D212" t="str">
        <x:v>Stainless Cookware Set</x:v>
      </x:c>
      <x:c r="E212" t="str">
        <x:v>Isabella Taylor</x:v>
      </x:c>
      <x:c r="F212" t="n">
        <x:v>9</x:v>
      </x:c>
      <x:c r="G212" s="12" t="n">
        <x:v>1439.91</x:v>
      </x:c>
      <x:c r="H212" s="12" t="n">
        <x:v>830.53</x:v>
      </x:c>
      <x:c r="I212" t="str">
        <x:v>Retail</x:v>
      </x:c>
      <x:c r="J212" t="str">
        <x:f>XLOOKUP(C212,'Lookup Tables'!$A$3:$A$12,'Lookup Tables'!$C$3:$C$12,"Not Found")</x:f>
        <x:v>Home Goods</x:v>
      </x:c>
      <x:c r="K212" t="str">
        <x:f>XLOOKUP(B212,'Lookup Tables'!$F$3:$F$6,'Lookup Tables'!$G$3:$G$6,"Not Found")</x:f>
        <x:v>Daniel Kim</x:v>
      </x:c>
      <x:c r="L212" s="14" t="n">
        <x:f>XLOOKUP(B212,'Lookup Tables'!$F$3:$F$6,'Lookup Tables'!$H$3:$H$6,0)</x:f>
        <x:v>0.045</x:v>
      </x:c>
      <x:c r="M212" s="12" t="n">
        <x:f>G212-H212</x:f>
        <x:v>609.3800000000001</x:v>
      </x:c>
      <x:c r="N212" t="str">
        <x:f>IF(G212&gt;=10000,"High Value","Standard")</x:f>
        <x:v>Standard</x:v>
      </x:c>
      <x:c r="O212" t="str">
        <x:f>IF(M212/G212&gt;=0.40,"Strong Margin","Review Margin")</x:f>
        <x:v>Strong Margin</x:v>
      </x:c>
      <x:c r="P212" t="str">
        <x:f>TEXT(A212,"mmm")</x:f>
        <x:v>Sep</x:v>
      </x:c>
      <x:c r="Q212" s="12" t="n">
        <x:f>G212*L212</x:f>
        <x:v>64.79595</x:v>
      </x:c>
    </x:row>
    <x:row r="213">
      <x:c r="A213" s="10" t="n">
        <x:v>45905</x:v>
      </x:c>
      <x:c r="B213" t="str">
        <x:v>East</x:v>
      </x:c>
      <x:c r="C213" t="str">
        <x:v>P-1003</x:v>
      </x:c>
      <x:c r="D213" t="str">
        <x:v>Ergonomic Office Chair</x:v>
      </x:c>
      <x:c r="E213" t="str">
        <x:v>Liam Wilson</x:v>
      </x:c>
      <x:c r="F213" t="n">
        <x:v>13</x:v>
      </x:c>
      <x:c r="G213" s="12" t="n">
        <x:v>3249.87</x:v>
      </x:c>
      <x:c r="H213" s="12" t="n">
        <x:v>1976.34</x:v>
      </x:c>
      <x:c r="I213" t="str">
        <x:v>Retail</x:v>
      </x:c>
      <x:c r="J213" t="str">
        <x:f>XLOOKUP(C213,'Lookup Tables'!$A$3:$A$12,'Lookup Tables'!$C$3:$C$12,"Not Found")</x:f>
        <x:v>Furniture</x:v>
      </x:c>
      <x:c r="K213" t="str">
        <x:f>XLOOKUP(B213,'Lookup Tables'!$F$3:$F$6,'Lookup Tables'!$G$3:$G$6,"Not Found")</x:f>
        <x:v>Alicia Morgan</x:v>
      </x:c>
      <x:c r="L213" s="14" t="n">
        <x:f>XLOOKUP(B213,'Lookup Tables'!$F$3:$F$6,'Lookup Tables'!$H$3:$H$6,0)</x:f>
        <x:v>0.04</x:v>
      </x:c>
      <x:c r="M213" s="12" t="n">
        <x:f>G213-H213</x:f>
        <x:v>1273.53</x:v>
      </x:c>
      <x:c r="N213" t="str">
        <x:f>IF(G213&gt;=10000,"High Value","Standard")</x:f>
        <x:v>Standard</x:v>
      </x:c>
      <x:c r="O213" t="str">
        <x:f>IF(M213/G213&gt;=0.40,"Strong Margin","Review Margin")</x:f>
        <x:v>Review Margin</x:v>
      </x:c>
      <x:c r="P213" t="str">
        <x:f>TEXT(A213,"mmm")</x:f>
        <x:v>Sep</x:v>
      </x:c>
      <x:c r="Q213" s="12" t="n">
        <x:f>G213*L213</x:f>
        <x:v>129.9948</x:v>
      </x:c>
    </x:row>
    <x:row r="214">
      <x:c r="A214" s="10" t="n">
        <x:v>45906</x:v>
      </x:c>
      <x:c r="B214" t="str">
        <x:v>South</x:v>
      </x:c>
      <x:c r="C214" t="str">
        <x:v>P-1004</x:v>
      </x:c>
      <x:c r="D214" t="str">
        <x:v>Standing Desk Converter</x:v>
      </x:c>
      <x:c r="E214" t="str">
        <x:v>Noah Brown</x:v>
      </x:c>
      <x:c r="F214" t="n">
        <x:v>29</x:v>
      </x:c>
      <x:c r="G214" s="12" t="n">
        <x:v>5179.13</x:v>
      </x:c>
      <x:c r="H214" s="12" t="n">
        <x:v>3044.47</x:v>
      </x:c>
      <x:c r="I214" t="str">
        <x:v>Wholesale</x:v>
      </x:c>
      <x:c r="J214" t="str">
        <x:f>XLOOKUP(C214,'Lookup Tables'!$A$3:$A$12,'Lookup Tables'!$C$3:$C$12,"Not Found")</x:f>
        <x:v>Furniture</x:v>
      </x:c>
      <x:c r="K214" t="str">
        <x:f>XLOOKUP(B214,'Lookup Tables'!$F$3:$F$6,'Lookup Tables'!$G$3:$G$6,"Not Found")</x:f>
        <x:v>Priya Patel</x:v>
      </x:c>
      <x:c r="L214" s="14" t="n">
        <x:f>XLOOKUP(B214,'Lookup Tables'!$F$3:$F$6,'Lookup Tables'!$H$3:$H$6,0)</x:f>
        <x:v>0.05</x:v>
      </x:c>
      <x:c r="M214" s="12" t="n">
        <x:f>G214-H214</x:f>
        <x:v>2134.6600000000003</x:v>
      </x:c>
      <x:c r="N214" t="str">
        <x:f>IF(G214&gt;=10000,"High Value","Standard")</x:f>
        <x:v>Standard</x:v>
      </x:c>
      <x:c r="O214" t="str">
        <x:f>IF(M214/G214&gt;=0.40,"Strong Margin","Review Margin")</x:f>
        <x:v>Strong Margin</x:v>
      </x:c>
      <x:c r="P214" t="str">
        <x:f>TEXT(A214,"mmm")</x:f>
        <x:v>Sep</x:v>
      </x:c>
      <x:c r="Q214" s="12" t="n">
        <x:f>G214*L214</x:f>
        <x:v>258.9565</x:v>
      </x:c>
    </x:row>
    <x:row r="215">
      <x:c r="A215" s="10" t="n">
        <x:v>45908</x:v>
      </x:c>
      <x:c r="B215" t="str">
        <x:v>East</x:v>
      </x:c>
      <x:c r="C215" t="str">
        <x:v>P-1010</x:v>
      </x:c>
      <x:c r="D215" t="str">
        <x:v>Insulated Water Bottle</x:v>
      </x:c>
      <x:c r="E215" t="str">
        <x:v>Mia Thomas</x:v>
      </x:c>
      <x:c r="F215" t="n">
        <x:v>11</x:v>
      </x:c>
      <x:c r="G215" s="12" t="n">
        <x:v>361.8</x:v>
      </x:c>
      <x:c r="H215" s="12" t="n">
        <x:v>136.14</x:v>
      </x:c>
      <x:c r="I215" t="str">
        <x:v>Wholesale</x:v>
      </x:c>
      <x:c r="J215" t="str">
        <x:f>XLOOKUP(C215,'Lookup Tables'!$A$3:$A$12,'Lookup Tables'!$C$3:$C$12,"Not Found")</x:f>
        <x:v>Accessories</x:v>
      </x:c>
      <x:c r="K215" t="str">
        <x:f>XLOOKUP(B215,'Lookup Tables'!$F$3:$F$6,'Lookup Tables'!$G$3:$G$6,"Not Found")</x:f>
        <x:v>Alicia Morgan</x:v>
      </x:c>
      <x:c r="L215" s="14" t="n">
        <x:f>XLOOKUP(B215,'Lookup Tables'!$F$3:$F$6,'Lookup Tables'!$H$3:$H$6,0)</x:f>
        <x:v>0.04</x:v>
      </x:c>
      <x:c r="M215" s="12" t="n">
        <x:f>G215-H215</x:f>
        <x:v>225.66000000000003</x:v>
      </x:c>
      <x:c r="N215" t="str">
        <x:f>IF(G215&gt;=10000,"High Value","Standard")</x:f>
        <x:v>Standard</x:v>
      </x:c>
      <x:c r="O215" t="str">
        <x:f>IF(M215/G215&gt;=0.40,"Strong Margin","Review Margin")</x:f>
        <x:v>Strong Margin</x:v>
      </x:c>
      <x:c r="P215" t="str">
        <x:f>TEXT(A215,"mmm")</x:f>
        <x:v>Sep</x:v>
      </x:c>
      <x:c r="Q215" s="12" t="n">
        <x:f>G215*L215</x:f>
        <x:v>14.472000000000001</x:v>
      </x:c>
    </x:row>
    <x:row r="216">
      <x:c r="A216" s="10" t="n">
        <x:v>45910</x:v>
      </x:c>
      <x:c r="B216" t="str">
        <x:v>East</x:v>
      </x:c>
      <x:c r="C216" t="str">
        <x:v>P-1002</x:v>
      </x:c>
      <x:c r="D216" t="str">
        <x:v>Smart Home Hub</x:v>
      </x:c>
      <x:c r="E216" t="str">
        <x:v>Isabella Taylor</x:v>
      </x:c>
      <x:c r="F216" t="n">
        <x:v>11</x:v>
      </x:c>
      <x:c r="G216" s="12" t="n">
        <x:v>2199.89</x:v>
      </x:c>
      <x:c r="H216" s="12" t="n">
        <x:v>1266.21</x:v>
      </x:c>
      <x:c r="I216" t="str">
        <x:v>Retail</x:v>
      </x:c>
      <x:c r="J216" t="str">
        <x:f>XLOOKUP(C216,'Lookup Tables'!$A$3:$A$12,'Lookup Tables'!$C$3:$C$12,"Not Found")</x:f>
        <x:v>Electronics</x:v>
      </x:c>
      <x:c r="K216" t="str">
        <x:f>XLOOKUP(B216,'Lookup Tables'!$F$3:$F$6,'Lookup Tables'!$G$3:$G$6,"Not Found")</x:f>
        <x:v>Alicia Morgan</x:v>
      </x:c>
      <x:c r="L216" s="14" t="n">
        <x:f>XLOOKUP(B216,'Lookup Tables'!$F$3:$F$6,'Lookup Tables'!$H$3:$H$6,0)</x:f>
        <x:v>0.04</x:v>
      </x:c>
      <x:c r="M216" s="12" t="n">
        <x:f>G216-H216</x:f>
        <x:v>933.6799999999998</x:v>
      </x:c>
      <x:c r="N216" t="str">
        <x:f>IF(G216&gt;=10000,"High Value","Standard")</x:f>
        <x:v>Standard</x:v>
      </x:c>
      <x:c r="O216" t="str">
        <x:f>IF(M216/G216&gt;=0.40,"Strong Margin","Review Margin")</x:f>
        <x:v>Strong Margin</x:v>
      </x:c>
      <x:c r="P216" t="str">
        <x:f>TEXT(A216,"mmm")</x:f>
        <x:v>Sep</x:v>
      </x:c>
      <x:c r="Q216" s="12" t="n">
        <x:f>G216*L216</x:f>
        <x:v>87.9956</x:v>
      </x:c>
    </x:row>
    <x:row r="217">
      <x:c r="A217" s="10" t="n">
        <x:v>45910</x:v>
      </x:c>
      <x:c r="B217" t="str">
        <x:v>West</x:v>
      </x:c>
      <x:c r="C217" t="str">
        <x:v>P-1005</x:v>
      </x:c>
      <x:c r="D217" t="str">
        <x:v>Stainless Cookware Set</x:v>
      </x:c>
      <x:c r="E217" t="str">
        <x:v>James Anderson</x:v>
      </x:c>
      <x:c r="F217" t="n">
        <x:v>11</x:v>
      </x:c>
      <x:c r="G217" s="12" t="n">
        <x:v>1759.89</x:v>
      </x:c>
      <x:c r="H217" s="12" t="n">
        <x:v>1015.49</x:v>
      </x:c>
      <x:c r="I217" t="str">
        <x:v>Retail</x:v>
      </x:c>
      <x:c r="J217" t="str">
        <x:f>XLOOKUP(C217,'Lookup Tables'!$A$3:$A$12,'Lookup Tables'!$C$3:$C$12,"Not Found")</x:f>
        <x:v>Home Goods</x:v>
      </x:c>
      <x:c r="K217" t="str">
        <x:f>XLOOKUP(B217,'Lookup Tables'!$F$3:$F$6,'Lookup Tables'!$G$3:$G$6,"Not Found")</x:f>
        <x:v>Daniel Kim</x:v>
      </x:c>
      <x:c r="L217" s="14" t="n">
        <x:f>XLOOKUP(B217,'Lookup Tables'!$F$3:$F$6,'Lookup Tables'!$H$3:$H$6,0)</x:f>
        <x:v>0.045</x:v>
      </x:c>
      <x:c r="M217" s="12" t="n">
        <x:f>G217-H217</x:f>
        <x:v>744.4000000000001</x:v>
      </x:c>
      <x:c r="N217" t="str">
        <x:f>IF(G217&gt;=10000,"High Value","Standard")</x:f>
        <x:v>Standard</x:v>
      </x:c>
      <x:c r="O217" t="str">
        <x:f>IF(M217/G217&gt;=0.40,"Strong Margin","Review Margin")</x:f>
        <x:v>Strong Margin</x:v>
      </x:c>
      <x:c r="P217" t="str">
        <x:f>TEXT(A217,"mmm")</x:f>
        <x:v>Sep</x:v>
      </x:c>
      <x:c r="Q217" s="12" t="n">
        <x:f>G217*L217</x:f>
        <x:v>79.19505</x:v>
      </x:c>
    </x:row>
    <x:row r="218">
      <x:c r="A218" s="10" t="n">
        <x:v>45912</x:v>
      </x:c>
      <x:c r="B218" t="str">
        <x:v>West</x:v>
      </x:c>
      <x:c r="C218" t="str">
        <x:v>P-1008</x:v>
      </x:c>
      <x:c r="D218" t="str">
        <x:v>Yoga Starter Kit</x:v>
      </x:c>
      <x:c r="E218" t="str">
        <x:v>Benjamin Moore</x:v>
      </x:c>
      <x:c r="F218" t="n">
        <x:v>6</x:v>
      </x:c>
      <x:c r="G218" s="12" t="n">
        <x:v>359.94</x:v>
      </x:c>
      <x:c r="H218" s="12" t="n">
        <x:v>144.86</x:v>
      </x:c>
      <x:c r="I218" t="str">
        <x:v>Retail</x:v>
      </x:c>
      <x:c r="J218" t="str">
        <x:f>XLOOKUP(C218,'Lookup Tables'!$A$3:$A$12,'Lookup Tables'!$C$3:$C$12,"Not Found")</x:f>
        <x:v>Fitness</x:v>
      </x:c>
      <x:c r="K218" t="str">
        <x:f>XLOOKUP(B218,'Lookup Tables'!$F$3:$F$6,'Lookup Tables'!$G$3:$G$6,"Not Found")</x:f>
        <x:v>Daniel Kim</x:v>
      </x:c>
      <x:c r="L218" s="14" t="n">
        <x:f>XLOOKUP(B218,'Lookup Tables'!$F$3:$F$6,'Lookup Tables'!$H$3:$H$6,0)</x:f>
        <x:v>0.045</x:v>
      </x:c>
      <x:c r="M218" s="12" t="n">
        <x:f>G218-H218</x:f>
        <x:v>215.07999999999998</x:v>
      </x:c>
      <x:c r="N218" t="str">
        <x:f>IF(G218&gt;=10000,"High Value","Standard")</x:f>
        <x:v>Standard</x:v>
      </x:c>
      <x:c r="O218" t="str">
        <x:f>IF(M218/G218&gt;=0.40,"Strong Margin","Review Margin")</x:f>
        <x:v>Strong Margin</x:v>
      </x:c>
      <x:c r="P218" t="str">
        <x:f>TEXT(A218,"mmm")</x:f>
        <x:v>Sep</x:v>
      </x:c>
      <x:c r="Q218" s="12" t="n">
        <x:f>G218*L218</x:f>
        <x:v>16.1973</x:v>
      </x:c>
    </x:row>
    <x:row r="219">
      <x:c r="A219" s="10" t="n">
        <x:v>45915</x:v>
      </x:c>
      <x:c r="B219" t="str">
        <x:v>West</x:v>
      </x:c>
      <x:c r="C219" t="str">
        <x:v>P-1010</x:v>
      </x:c>
      <x:c r="D219" t="str">
        <x:v>Insulated Water Bottle</x:v>
      </x:c>
      <x:c r="E219" t="str">
        <x:v>Noah Brown</x:v>
      </x:c>
      <x:c r="F219" t="n">
        <x:v>12</x:v>
      </x:c>
      <x:c r="G219" s="12" t="n">
        <x:v>394.69</x:v>
      </x:c>
      <x:c r="H219" s="12" t="n">
        <x:v>145.96</x:v>
      </x:c>
      <x:c r="I219" t="str">
        <x:v>Wholesale</x:v>
      </x:c>
      <x:c r="J219" t="str">
        <x:f>XLOOKUP(C219,'Lookup Tables'!$A$3:$A$12,'Lookup Tables'!$C$3:$C$12,"Not Found")</x:f>
        <x:v>Accessories</x:v>
      </x:c>
      <x:c r="K219" t="str">
        <x:f>XLOOKUP(B219,'Lookup Tables'!$F$3:$F$6,'Lookup Tables'!$G$3:$G$6,"Not Found")</x:f>
        <x:v>Daniel Kim</x:v>
      </x:c>
      <x:c r="L219" s="14" t="n">
        <x:f>XLOOKUP(B219,'Lookup Tables'!$F$3:$F$6,'Lookup Tables'!$H$3:$H$6,0)</x:f>
        <x:v>0.045</x:v>
      </x:c>
      <x:c r="M219" s="12" t="n">
        <x:f>G219-H219</x:f>
        <x:v>248.73</x:v>
      </x:c>
      <x:c r="N219" t="str">
        <x:f>IF(G219&gt;=10000,"High Value","Standard")</x:f>
        <x:v>Standard</x:v>
      </x:c>
      <x:c r="O219" t="str">
        <x:f>IF(M219/G219&gt;=0.40,"Strong Margin","Review Margin")</x:f>
        <x:v>Strong Margin</x:v>
      </x:c>
      <x:c r="P219" t="str">
        <x:f>TEXT(A219,"mmm")</x:f>
        <x:v>Sep</x:v>
      </x:c>
      <x:c r="Q219" s="12" t="n">
        <x:f>G219*L219</x:f>
        <x:v>17.76105</x:v>
      </x:c>
    </x:row>
    <x:row r="220">
      <x:c r="A220" s="10" t="n">
        <x:v>45915</x:v>
      </x:c>
      <x:c r="B220" t="str">
        <x:v>Midwest</x:v>
      </x:c>
      <x:c r="C220" t="str">
        <x:v>P-1001</x:v>
      </x:c>
      <x:c r="D220" t="str">
        <x:v>Wireless Headphones</x:v>
      </x:c>
      <x:c r="E220" t="str">
        <x:v>Ethan Smith</x:v>
      </x:c>
      <x:c r="F220" t="n">
        <x:v>5</x:v>
      </x:c>
      <x:c r="G220" s="12" t="n">
        <x:v>649.95</x:v>
      </x:c>
      <x:c r="H220" s="12" t="n">
        <x:v>340.88</x:v>
      </x:c>
      <x:c r="I220" t="str">
        <x:v>Retail</x:v>
      </x:c>
      <x:c r="J220" t="str">
        <x:f>XLOOKUP(C220,'Lookup Tables'!$A$3:$A$12,'Lookup Tables'!$C$3:$C$12,"Not Found")</x:f>
        <x:v>Electronics</x:v>
      </x:c>
      <x:c r="K220" t="str">
        <x:f>XLOOKUP(B220,'Lookup Tables'!$F$3:$F$6,'Lookup Tables'!$G$3:$G$6,"Not Found")</x:f>
        <x:v>Marcus Reed</x:v>
      </x:c>
      <x:c r="L220" s="14" t="n">
        <x:f>XLOOKUP(B220,'Lookup Tables'!$F$3:$F$6,'Lookup Tables'!$H$3:$H$6,0)</x:f>
        <x:v>0.035</x:v>
      </x:c>
      <x:c r="M220" s="12" t="n">
        <x:f>G220-H220</x:f>
        <x:v>309.07000000000005</x:v>
      </x:c>
      <x:c r="N220" t="str">
        <x:f>IF(G220&gt;=10000,"High Value","Standard")</x:f>
        <x:v>Standard</x:v>
      </x:c>
      <x:c r="O220" t="str">
        <x:f>IF(M220/G220&gt;=0.40,"Strong Margin","Review Margin")</x:f>
        <x:v>Strong Margin</x:v>
      </x:c>
      <x:c r="P220" t="str">
        <x:f>TEXT(A220,"mmm")</x:f>
        <x:v>Sep</x:v>
      </x:c>
      <x:c r="Q220" s="12" t="n">
        <x:f>G220*L220</x:f>
        <x:v>22.748250000000002</x:v>
      </x:c>
    </x:row>
    <x:row r="221">
      <x:c r="A221" s="10" t="n">
        <x:v>45916</x:v>
      </x:c>
      <x:c r="B221" t="str">
        <x:v>West</x:v>
      </x:c>
      <x:c r="C221" t="str">
        <x:v>P-1005</x:v>
      </x:c>
      <x:c r="D221" t="str">
        <x:v>Stainless Cookware Set</x:v>
      </x:c>
      <x:c r="E221" t="str">
        <x:v>James Anderson</x:v>
      </x:c>
      <x:c r="F221" t="n">
        <x:v>18</x:v>
      </x:c>
      <x:c r="G221" s="12" t="n">
        <x:v>2707.03</x:v>
      </x:c>
      <x:c r="H221" s="12" t="n">
        <x:v>1596</x:v>
      </x:c>
      <x:c r="I221" t="str">
        <x:v>Wholesale</x:v>
      </x:c>
      <x:c r="J221" t="str">
        <x:f>XLOOKUP(C221,'Lookup Tables'!$A$3:$A$12,'Lookup Tables'!$C$3:$C$12,"Not Found")</x:f>
        <x:v>Home Goods</x:v>
      </x:c>
      <x:c r="K221" t="str">
        <x:f>XLOOKUP(B221,'Lookup Tables'!$F$3:$F$6,'Lookup Tables'!$G$3:$G$6,"Not Found")</x:f>
        <x:v>Daniel Kim</x:v>
      </x:c>
      <x:c r="L221" s="14" t="n">
        <x:f>XLOOKUP(B221,'Lookup Tables'!$F$3:$F$6,'Lookup Tables'!$H$3:$H$6,0)</x:f>
        <x:v>0.045</x:v>
      </x:c>
      <x:c r="M221" s="12" t="n">
        <x:f>G221-H221</x:f>
        <x:v>1111.0300000000002</x:v>
      </x:c>
      <x:c r="N221" t="str">
        <x:f>IF(G221&gt;=10000,"High Value","Standard")</x:f>
        <x:v>Standard</x:v>
      </x:c>
      <x:c r="O221" t="str">
        <x:f>IF(M221/G221&gt;=0.40,"Strong Margin","Review Margin")</x:f>
        <x:v>Strong Margin</x:v>
      </x:c>
      <x:c r="P221" t="str">
        <x:f>TEXT(A221,"mmm")</x:f>
        <x:v>Sep</x:v>
      </x:c>
      <x:c r="Q221" s="12" t="n">
        <x:f>G221*L221</x:f>
        <x:v>121.81635</x:v>
      </x:c>
    </x:row>
    <x:row r="222">
      <x:c r="A222" s="10" t="n">
        <x:v>45917</x:v>
      </x:c>
      <x:c r="B222" t="str">
        <x:v>Midwest</x:v>
      </x:c>
      <x:c r="C222" t="str">
        <x:v>P-1009</x:v>
      </x:c>
      <x:c r="D222" t="str">
        <x:v>Travel Backpack</x:v>
      </x:c>
      <x:c r="E222" t="str">
        <x:v>Ava Davis</x:v>
      </x:c>
      <x:c r="F222" t="n">
        <x:v>5</x:v>
      </x:c>
      <x:c r="G222" s="12" t="n">
        <x:v>449.95</x:v>
      </x:c>
      <x:c r="H222" s="12" t="n">
        <x:v>217.74</x:v>
      </x:c>
      <x:c r="I222" t="str">
        <x:v>Retail</x:v>
      </x:c>
      <x:c r="J222" t="str">
        <x:f>XLOOKUP(C222,'Lookup Tables'!$A$3:$A$12,'Lookup Tables'!$C$3:$C$12,"Not Found")</x:f>
        <x:v>Accessories</x:v>
      </x:c>
      <x:c r="K222" t="str">
        <x:f>XLOOKUP(B222,'Lookup Tables'!$F$3:$F$6,'Lookup Tables'!$G$3:$G$6,"Not Found")</x:f>
        <x:v>Marcus Reed</x:v>
      </x:c>
      <x:c r="L222" s="14" t="n">
        <x:f>XLOOKUP(B222,'Lookup Tables'!$F$3:$F$6,'Lookup Tables'!$H$3:$H$6,0)</x:f>
        <x:v>0.035</x:v>
      </x:c>
      <x:c r="M222" s="12" t="n">
        <x:f>G222-H222</x:f>
        <x:v>232.20999999999998</x:v>
      </x:c>
      <x:c r="N222" t="str">
        <x:f>IF(G222&gt;=10000,"High Value","Standard")</x:f>
        <x:v>Standard</x:v>
      </x:c>
      <x:c r="O222" t="str">
        <x:f>IF(M222/G222&gt;=0.40,"Strong Margin","Review Margin")</x:f>
        <x:v>Strong Margin</x:v>
      </x:c>
      <x:c r="P222" t="str">
        <x:f>TEXT(A222,"mmm")</x:f>
        <x:v>Sep</x:v>
      </x:c>
      <x:c r="Q222" s="12" t="n">
        <x:f>G222*L222</x:f>
        <x:v>15.74825</x:v>
      </x:c>
    </x:row>
    <x:row r="223">
      <x:c r="A223" s="10" t="n">
        <x:v>45918</x:v>
      </x:c>
      <x:c r="B223" t="str">
        <x:v>South</x:v>
      </x:c>
      <x:c r="C223" t="str">
        <x:v>P-1002</x:v>
      </x:c>
      <x:c r="D223" t="str">
        <x:v>Smart Home Hub</x:v>
      </x:c>
      <x:c r="E223" t="str">
        <x:v>Ethan Smith</x:v>
      </x:c>
      <x:c r="F223" t="n">
        <x:v>14</x:v>
      </x:c>
      <x:c r="G223" s="12" t="n">
        <x:v>2799.86</x:v>
      </x:c>
      <x:c r="H223" s="12" t="n">
        <x:v>1594.12</x:v>
      </x:c>
      <x:c r="I223" t="str">
        <x:v>Retail</x:v>
      </x:c>
      <x:c r="J223" t="str">
        <x:f>XLOOKUP(C223,'Lookup Tables'!$A$3:$A$12,'Lookup Tables'!$C$3:$C$12,"Not Found")</x:f>
        <x:v>Electronics</x:v>
      </x:c>
      <x:c r="K223" t="str">
        <x:f>XLOOKUP(B223,'Lookup Tables'!$F$3:$F$6,'Lookup Tables'!$G$3:$G$6,"Not Found")</x:f>
        <x:v>Priya Patel</x:v>
      </x:c>
      <x:c r="L223" s="14" t="n">
        <x:f>XLOOKUP(B223,'Lookup Tables'!$F$3:$F$6,'Lookup Tables'!$H$3:$H$6,0)</x:f>
        <x:v>0.05</x:v>
      </x:c>
      <x:c r="M223" s="12" t="n">
        <x:f>G223-H223</x:f>
        <x:v>1205.7400000000002</x:v>
      </x:c>
      <x:c r="N223" t="str">
        <x:f>IF(G223&gt;=10000,"High Value","Standard")</x:f>
        <x:v>Standard</x:v>
      </x:c>
      <x:c r="O223" t="str">
        <x:f>IF(M223/G223&gt;=0.40,"Strong Margin","Review Margin")</x:f>
        <x:v>Strong Margin</x:v>
      </x:c>
      <x:c r="P223" t="str">
        <x:f>TEXT(A223,"mmm")</x:f>
        <x:v>Sep</x:v>
      </x:c>
      <x:c r="Q223" s="12" t="n">
        <x:f>G223*L223</x:f>
        <x:v>139.99300000000002</x:v>
      </x:c>
    </x:row>
    <x:row r="224">
      <x:c r="A224" s="10" t="n">
        <x:v>45918</x:v>
      </x:c>
      <x:c r="B224" t="str">
        <x:v>West</x:v>
      </x:c>
      <x:c r="C224" t="str">
        <x:v>P-1003</x:v>
      </x:c>
      <x:c r="D224" t="str">
        <x:v>Ergonomic Office Chair</x:v>
      </x:c>
      <x:c r="E224" t="str">
        <x:v>Olivia Garcia</x:v>
      </x:c>
      <x:c r="F224" t="n">
        <x:v>27</x:v>
      </x:c>
      <x:c r="G224" s="12" t="n">
        <x:v>6344.75</x:v>
      </x:c>
      <x:c r="H224" s="12" t="n">
        <x:v>4110.74</x:v>
      </x:c>
      <x:c r="I224" t="str">
        <x:v>Wholesale</x:v>
      </x:c>
      <x:c r="J224" t="str">
        <x:f>XLOOKUP(C224,'Lookup Tables'!$A$3:$A$12,'Lookup Tables'!$C$3:$C$12,"Not Found")</x:f>
        <x:v>Furniture</x:v>
      </x:c>
      <x:c r="K224" t="str">
        <x:f>XLOOKUP(B224,'Lookup Tables'!$F$3:$F$6,'Lookup Tables'!$G$3:$G$6,"Not Found")</x:f>
        <x:v>Daniel Kim</x:v>
      </x:c>
      <x:c r="L224" s="14" t="n">
        <x:f>XLOOKUP(B224,'Lookup Tables'!$F$3:$F$6,'Lookup Tables'!$H$3:$H$6,0)</x:f>
        <x:v>0.045</x:v>
      </x:c>
      <x:c r="M224" s="12" t="n">
        <x:f>G224-H224</x:f>
        <x:v>2234.01</x:v>
      </x:c>
      <x:c r="N224" t="str">
        <x:f>IF(G224&gt;=10000,"High Value","Standard")</x:f>
        <x:v>Standard</x:v>
      </x:c>
      <x:c r="O224" t="str">
        <x:f>IF(M224/G224&gt;=0.40,"Strong Margin","Review Margin")</x:f>
        <x:v>Review Margin</x:v>
      </x:c>
      <x:c r="P224" t="str">
        <x:f>TEXT(A224,"mmm")</x:f>
        <x:v>Sep</x:v>
      </x:c>
      <x:c r="Q224" s="12" t="n">
        <x:f>G224*L224</x:f>
        <x:v>285.51375</x:v>
      </x:c>
    </x:row>
    <x:row r="225">
      <x:c r="A225" s="10" t="n">
        <x:v>45918</x:v>
      </x:c>
      <x:c r="B225" t="str">
        <x:v>West</x:v>
      </x:c>
      <x:c r="C225" t="str">
        <x:v>P-1006</x:v>
      </x:c>
      <x:c r="D225" t="str">
        <x:v>Air Fryer XL</x:v>
      </x:c>
      <x:c r="E225" t="str">
        <x:v>Sophia Martinez</x:v>
      </x:c>
      <x:c r="F225" t="n">
        <x:v>2</x:v>
      </x:c>
      <x:c r="G225" s="12" t="n">
        <x:v>279.98</x:v>
      </x:c>
      <x:c r="H225" s="12" t="n">
        <x:v>152.02</x:v>
      </x:c>
      <x:c r="I225" t="str">
        <x:v>Retail</x:v>
      </x:c>
      <x:c r="J225" t="str">
        <x:f>XLOOKUP(C225,'Lookup Tables'!$A$3:$A$12,'Lookup Tables'!$C$3:$C$12,"Not Found")</x:f>
        <x:v>Home Goods</x:v>
      </x:c>
      <x:c r="K225" t="str">
        <x:f>XLOOKUP(B225,'Lookup Tables'!$F$3:$F$6,'Lookup Tables'!$G$3:$G$6,"Not Found")</x:f>
        <x:v>Daniel Kim</x:v>
      </x:c>
      <x:c r="L225" s="14" t="n">
        <x:f>XLOOKUP(B225,'Lookup Tables'!$F$3:$F$6,'Lookup Tables'!$H$3:$H$6,0)</x:f>
        <x:v>0.045</x:v>
      </x:c>
      <x:c r="M225" s="12" t="n">
        <x:f>G225-H225</x:f>
        <x:v>127.96000000000001</x:v>
      </x:c>
      <x:c r="N225" t="str">
        <x:f>IF(G225&gt;=10000,"High Value","Standard")</x:f>
        <x:v>Standard</x:v>
      </x:c>
      <x:c r="O225" t="str">
        <x:f>IF(M225/G225&gt;=0.40,"Strong Margin","Review Margin")</x:f>
        <x:v>Strong Margin</x:v>
      </x:c>
      <x:c r="P225" t="str">
        <x:f>TEXT(A225,"mmm")</x:f>
        <x:v>Sep</x:v>
      </x:c>
      <x:c r="Q225" s="12" t="n">
        <x:f>G225*L225</x:f>
        <x:v>12.5991</x:v>
      </x:c>
    </x:row>
    <x:row r="226">
      <x:c r="A226" s="10" t="n">
        <x:v>45920</x:v>
      </x:c>
      <x:c r="B226" t="str">
        <x:v>East</x:v>
      </x:c>
      <x:c r="C226" t="str">
        <x:v>P-1004</x:v>
      </x:c>
      <x:c r="D226" t="str">
        <x:v>Standing Desk Converter</x:v>
      </x:c>
      <x:c r="E226" t="str">
        <x:v>Noah Brown</x:v>
      </x:c>
      <x:c r="F226" t="n">
        <x:v>16</x:v>
      </x:c>
      <x:c r="G226" s="12" t="n">
        <x:v>2857.45</x:v>
      </x:c>
      <x:c r="H226" s="12" t="n">
        <x:v>1693.02</x:v>
      </x:c>
      <x:c r="I226" t="str">
        <x:v>Wholesale</x:v>
      </x:c>
      <x:c r="J226" t="str">
        <x:f>XLOOKUP(C226,'Lookup Tables'!$A$3:$A$12,'Lookup Tables'!$C$3:$C$12,"Not Found")</x:f>
        <x:v>Furniture</x:v>
      </x:c>
      <x:c r="K226" t="str">
        <x:f>XLOOKUP(B226,'Lookup Tables'!$F$3:$F$6,'Lookup Tables'!$G$3:$G$6,"Not Found")</x:f>
        <x:v>Alicia Morgan</x:v>
      </x:c>
      <x:c r="L226" s="14" t="n">
        <x:f>XLOOKUP(B226,'Lookup Tables'!$F$3:$F$6,'Lookup Tables'!$H$3:$H$6,0)</x:f>
        <x:v>0.04</x:v>
      </x:c>
      <x:c r="M226" s="12" t="n">
        <x:f>G226-H226</x:f>
        <x:v>1164.4299999999998</x:v>
      </x:c>
      <x:c r="N226" t="str">
        <x:f>IF(G226&gt;=10000,"High Value","Standard")</x:f>
        <x:v>Standard</x:v>
      </x:c>
      <x:c r="O226" t="str">
        <x:f>IF(M226/G226&gt;=0.40,"Strong Margin","Review Margin")</x:f>
        <x:v>Strong Margin</x:v>
      </x:c>
      <x:c r="P226" t="str">
        <x:f>TEXT(A226,"mmm")</x:f>
        <x:v>Sep</x:v>
      </x:c>
      <x:c r="Q226" s="12" t="n">
        <x:f>G226*L226</x:f>
        <x:v>114.298</x:v>
      </x:c>
    </x:row>
    <x:row r="227">
      <x:c r="A227" s="10" t="n">
        <x:v>45920</x:v>
      </x:c>
      <x:c r="B227" t="str">
        <x:v>South</x:v>
      </x:c>
      <x:c r="C227" t="str">
        <x:v>P-1006</x:v>
      </x:c>
      <x:c r="D227" t="str">
        <x:v>Air Fryer XL</x:v>
      </x:c>
      <x:c r="E227" t="str">
        <x:v>Maya Johnson</x:v>
      </x:c>
      <x:c r="F227" t="n">
        <x:v>18</x:v>
      </x:c>
      <x:c r="G227" s="12" t="n">
        <x:v>2519.82</x:v>
      </x:c>
      <x:c r="H227" s="12" t="n">
        <x:v>1346.22</x:v>
      </x:c>
      <x:c r="I227" t="str">
        <x:v>Retail</x:v>
      </x:c>
      <x:c r="J227" t="str">
        <x:f>XLOOKUP(C227,'Lookup Tables'!$A$3:$A$12,'Lookup Tables'!$C$3:$C$12,"Not Found")</x:f>
        <x:v>Home Goods</x:v>
      </x:c>
      <x:c r="K227" t="str">
        <x:f>XLOOKUP(B227,'Lookup Tables'!$F$3:$F$6,'Lookup Tables'!$G$3:$G$6,"Not Found")</x:f>
        <x:v>Priya Patel</x:v>
      </x:c>
      <x:c r="L227" s="14" t="n">
        <x:f>XLOOKUP(B227,'Lookup Tables'!$F$3:$F$6,'Lookup Tables'!$H$3:$H$6,0)</x:f>
        <x:v>0.05</x:v>
      </x:c>
      <x:c r="M227" s="12" t="n">
        <x:f>G227-H227</x:f>
        <x:v>1173.6000000000001</x:v>
      </x:c>
      <x:c r="N227" t="str">
        <x:f>IF(G227&gt;=10000,"High Value","Standard")</x:f>
        <x:v>Standard</x:v>
      </x:c>
      <x:c r="O227" t="str">
        <x:f>IF(M227/G227&gt;=0.40,"Strong Margin","Review Margin")</x:f>
        <x:v>Strong Margin</x:v>
      </x:c>
      <x:c r="P227" t="str">
        <x:f>TEXT(A227,"mmm")</x:f>
        <x:v>Sep</x:v>
      </x:c>
      <x:c r="Q227" s="12" t="n">
        <x:f>G227*L227</x:f>
        <x:v>125.99100000000001</x:v>
      </x:c>
    </x:row>
    <x:row r="228">
      <x:c r="A228" s="10" t="n">
        <x:v>45920</x:v>
      </x:c>
      <x:c r="B228" t="str">
        <x:v>West</x:v>
      </x:c>
      <x:c r="C228" t="str">
        <x:v>P-1001</x:v>
      </x:c>
      <x:c r="D228" t="str">
        <x:v>Wireless Headphones</x:v>
      </x:c>
      <x:c r="E228" t="str">
        <x:v>Liam Wilson</x:v>
      </x:c>
      <x:c r="F228" t="n">
        <x:v>17</x:v>
      </x:c>
      <x:c r="G228" s="12" t="n">
        <x:v>2209.83</x:v>
      </x:c>
      <x:c r="H228" s="12" t="n">
        <x:v>1159.13</x:v>
      </x:c>
      <x:c r="I228" t="str">
        <x:v>Retail</x:v>
      </x:c>
      <x:c r="J228" t="str">
        <x:f>XLOOKUP(C228,'Lookup Tables'!$A$3:$A$12,'Lookup Tables'!$C$3:$C$12,"Not Found")</x:f>
        <x:v>Electronics</x:v>
      </x:c>
      <x:c r="K228" t="str">
        <x:f>XLOOKUP(B228,'Lookup Tables'!$F$3:$F$6,'Lookup Tables'!$G$3:$G$6,"Not Found")</x:f>
        <x:v>Daniel Kim</x:v>
      </x:c>
      <x:c r="L228" s="14" t="n">
        <x:f>XLOOKUP(B228,'Lookup Tables'!$F$3:$F$6,'Lookup Tables'!$H$3:$H$6,0)</x:f>
        <x:v>0.045</x:v>
      </x:c>
      <x:c r="M228" s="12" t="n">
        <x:f>G228-H228</x:f>
        <x:v>1050.6999999999998</x:v>
      </x:c>
      <x:c r="N228" t="str">
        <x:f>IF(G228&gt;=10000,"High Value","Standard")</x:f>
        <x:v>Standard</x:v>
      </x:c>
      <x:c r="O228" t="str">
        <x:f>IF(M228/G228&gt;=0.40,"Strong Margin","Review Margin")</x:f>
        <x:v>Strong Margin</x:v>
      </x:c>
      <x:c r="P228" t="str">
        <x:f>TEXT(A228,"mmm")</x:f>
        <x:v>Sep</x:v>
      </x:c>
      <x:c r="Q228" s="12" t="n">
        <x:f>G228*L228</x:f>
        <x:v>99.44234999999999</x:v>
      </x:c>
    </x:row>
    <x:row r="229">
      <x:c r="A229" s="10" t="n">
        <x:v>45924</x:v>
      </x:c>
      <x:c r="B229" t="str">
        <x:v>Midwest</x:v>
      </x:c>
      <x:c r="C229" t="str">
        <x:v>P-1005</x:v>
      </x:c>
      <x:c r="D229" t="str">
        <x:v>Stainless Cookware Set</x:v>
      </x:c>
      <x:c r="E229" t="str">
        <x:v>Benjamin Moore</x:v>
      </x:c>
      <x:c r="F229" t="n">
        <x:v>19</x:v>
      </x:c>
      <x:c r="G229" s="12" t="n">
        <x:v>2857.42</x:v>
      </x:c>
      <x:c r="H229" s="12" t="n">
        <x:v>1646.75</x:v>
      </x:c>
      <x:c r="I229" t="str">
        <x:v>Wholesale</x:v>
      </x:c>
      <x:c r="J229" t="str">
        <x:f>XLOOKUP(C229,'Lookup Tables'!$A$3:$A$12,'Lookup Tables'!$C$3:$C$12,"Not Found")</x:f>
        <x:v>Home Goods</x:v>
      </x:c>
      <x:c r="K229" t="str">
        <x:f>XLOOKUP(B229,'Lookup Tables'!$F$3:$F$6,'Lookup Tables'!$G$3:$G$6,"Not Found")</x:f>
        <x:v>Marcus Reed</x:v>
      </x:c>
      <x:c r="L229" s="14" t="n">
        <x:f>XLOOKUP(B229,'Lookup Tables'!$F$3:$F$6,'Lookup Tables'!$H$3:$H$6,0)</x:f>
        <x:v>0.035</x:v>
      </x:c>
      <x:c r="M229" s="12" t="n">
        <x:f>G229-H229</x:f>
        <x:v>1210.67</x:v>
      </x:c>
      <x:c r="N229" t="str">
        <x:f>IF(G229&gt;=10000,"High Value","Standard")</x:f>
        <x:v>Standard</x:v>
      </x:c>
      <x:c r="O229" t="str">
        <x:f>IF(M229/G229&gt;=0.40,"Strong Margin","Review Margin")</x:f>
        <x:v>Strong Margin</x:v>
      </x:c>
      <x:c r="P229" t="str">
        <x:f>TEXT(A229,"mmm")</x:f>
        <x:v>Sep</x:v>
      </x:c>
      <x:c r="Q229" s="12" t="n">
        <x:f>G229*L229</x:f>
        <x:v>100.00970000000001</x:v>
      </x:c>
    </x:row>
    <x:row r="230">
      <x:c r="A230" s="10" t="n">
        <x:v>45924</x:v>
      </x:c>
      <x:c r="B230" t="str">
        <x:v>West</x:v>
      </x:c>
      <x:c r="C230" t="str">
        <x:v>P-1002</x:v>
      </x:c>
      <x:c r="D230" t="str">
        <x:v>Smart Home Hub</x:v>
      </x:c>
      <x:c r="E230" t="str">
        <x:v>Lucas Miller</x:v>
      </x:c>
      <x:c r="F230" t="n">
        <x:v>6</x:v>
      </x:c>
      <x:c r="G230" s="12" t="n">
        <x:v>1199.94</x:v>
      </x:c>
      <x:c r="H230" s="12" t="n">
        <x:v>662.32</x:v>
      </x:c>
      <x:c r="I230" t="str">
        <x:v>Retail</x:v>
      </x:c>
      <x:c r="J230" t="str">
        <x:f>XLOOKUP(C230,'Lookup Tables'!$A$3:$A$12,'Lookup Tables'!$C$3:$C$12,"Not Found")</x:f>
        <x:v>Electronics</x:v>
      </x:c>
      <x:c r="K230" t="str">
        <x:f>XLOOKUP(B230,'Lookup Tables'!$F$3:$F$6,'Lookup Tables'!$G$3:$G$6,"Not Found")</x:f>
        <x:v>Daniel Kim</x:v>
      </x:c>
      <x:c r="L230" s="14" t="n">
        <x:f>XLOOKUP(B230,'Lookup Tables'!$F$3:$F$6,'Lookup Tables'!$H$3:$H$6,0)</x:f>
        <x:v>0.045</x:v>
      </x:c>
      <x:c r="M230" s="12" t="n">
        <x:f>G230-H230</x:f>
        <x:v>537.62</x:v>
      </x:c>
      <x:c r="N230" t="str">
        <x:f>IF(G230&gt;=10000,"High Value","Standard")</x:f>
        <x:v>Standard</x:v>
      </x:c>
      <x:c r="O230" t="str">
        <x:f>IF(M230/G230&gt;=0.40,"Strong Margin","Review Margin")</x:f>
        <x:v>Strong Margin</x:v>
      </x:c>
      <x:c r="P230" t="str">
        <x:f>TEXT(A230,"mmm")</x:f>
        <x:v>Sep</x:v>
      </x:c>
      <x:c r="Q230" s="12" t="n">
        <x:f>G230*L230</x:f>
        <x:v>53.9973</x:v>
      </x:c>
    </x:row>
    <x:row r="231">
      <x:c r="A231" s="10" t="n">
        <x:v>45924</x:v>
      </x:c>
      <x:c r="B231" t="str">
        <x:v>East</x:v>
      </x:c>
      <x:c r="C231" t="str">
        <x:v>P-1003</x:v>
      </x:c>
      <x:c r="D231" t="str">
        <x:v>Ergonomic Office Chair</x:v>
      </x:c>
      <x:c r="E231" t="str">
        <x:v>Maya Johnson</x:v>
      </x:c>
      <x:c r="F231" t="n">
        <x:v>15</x:v>
      </x:c>
      <x:c r="G231" s="12" t="n">
        <x:v>3749.85</x:v>
      </x:c>
      <x:c r="H231" s="12" t="n">
        <x:v>2270.29</x:v>
      </x:c>
      <x:c r="I231" t="str">
        <x:v>Retail</x:v>
      </x:c>
      <x:c r="J231" t="str">
        <x:f>XLOOKUP(C231,'Lookup Tables'!$A$3:$A$12,'Lookup Tables'!$C$3:$C$12,"Not Found")</x:f>
        <x:v>Furniture</x:v>
      </x:c>
      <x:c r="K231" t="str">
        <x:f>XLOOKUP(B231,'Lookup Tables'!$F$3:$F$6,'Lookup Tables'!$G$3:$G$6,"Not Found")</x:f>
        <x:v>Alicia Morgan</x:v>
      </x:c>
      <x:c r="L231" s="14" t="n">
        <x:f>XLOOKUP(B231,'Lookup Tables'!$F$3:$F$6,'Lookup Tables'!$H$3:$H$6,0)</x:f>
        <x:v>0.04</x:v>
      </x:c>
      <x:c r="M231" s="12" t="n">
        <x:f>G231-H231</x:f>
        <x:v>1479.56</x:v>
      </x:c>
      <x:c r="N231" t="str">
        <x:f>IF(G231&gt;=10000,"High Value","Standard")</x:f>
        <x:v>Standard</x:v>
      </x:c>
      <x:c r="O231" t="str">
        <x:f>IF(M231/G231&gt;=0.40,"Strong Margin","Review Margin")</x:f>
        <x:v>Review Margin</x:v>
      </x:c>
      <x:c r="P231" t="str">
        <x:f>TEXT(A231,"mmm")</x:f>
        <x:v>Sep</x:v>
      </x:c>
      <x:c r="Q231" s="12" t="n">
        <x:f>G231*L231</x:f>
        <x:v>149.994</x:v>
      </x:c>
    </x:row>
    <x:row r="232">
      <x:c r="A232" s="10" t="n">
        <x:v>45926</x:v>
      </x:c>
      <x:c r="B232" t="str">
        <x:v>East</x:v>
      </x:c>
      <x:c r="C232" t="str">
        <x:v>P-1009</x:v>
      </x:c>
      <x:c r="D232" t="str">
        <x:v>Travel Backpack</x:v>
      </x:c>
      <x:c r="E232" t="str">
        <x:v>Benjamin Moore</x:v>
      </x:c>
      <x:c r="F232" t="n">
        <x:v>7</x:v>
      </x:c>
      <x:c r="G232" s="12" t="n">
        <x:v>629.93</x:v>
      </x:c>
      <x:c r="H232" s="12" t="n">
        <x:v>289.69</x:v>
      </x:c>
      <x:c r="I232" t="str">
        <x:v>Retail</x:v>
      </x:c>
      <x:c r="J232" t="str">
        <x:f>XLOOKUP(C232,'Lookup Tables'!$A$3:$A$12,'Lookup Tables'!$C$3:$C$12,"Not Found")</x:f>
        <x:v>Accessories</x:v>
      </x:c>
      <x:c r="K232" t="str">
        <x:f>XLOOKUP(B232,'Lookup Tables'!$F$3:$F$6,'Lookup Tables'!$G$3:$G$6,"Not Found")</x:f>
        <x:v>Alicia Morgan</x:v>
      </x:c>
      <x:c r="L232" s="14" t="n">
        <x:f>XLOOKUP(B232,'Lookup Tables'!$F$3:$F$6,'Lookup Tables'!$H$3:$H$6,0)</x:f>
        <x:v>0.04</x:v>
      </x:c>
      <x:c r="M232" s="12" t="n">
        <x:f>G232-H232</x:f>
        <x:v>340.23999999999995</x:v>
      </x:c>
      <x:c r="N232" t="str">
        <x:f>IF(G232&gt;=10000,"High Value","Standard")</x:f>
        <x:v>Standard</x:v>
      </x:c>
      <x:c r="O232" t="str">
        <x:f>IF(M232/G232&gt;=0.40,"Strong Margin","Review Margin")</x:f>
        <x:v>Strong Margin</x:v>
      </x:c>
      <x:c r="P232" t="str">
        <x:f>TEXT(A232,"mmm")</x:f>
        <x:v>Sep</x:v>
      </x:c>
      <x:c r="Q232" s="12" t="n">
        <x:f>G232*L232</x:f>
        <x:v>25.1972</x:v>
      </x:c>
    </x:row>
    <x:row r="233">
      <x:c r="A233" s="10" t="n">
        <x:v>45926</x:v>
      </x:c>
      <x:c r="B233" t="str">
        <x:v>Midwest</x:v>
      </x:c>
      <x:c r="C233" t="str">
        <x:v>P-1001</x:v>
      </x:c>
      <x:c r="D233" t="str">
        <x:v>Wireless Headphones</x:v>
      </x:c>
      <x:c r="E233" t="str">
        <x:v>Isabella Taylor</x:v>
      </x:c>
      <x:c r="F233" t="n">
        <x:v>8</x:v>
      </x:c>
      <x:c r="G233" s="12" t="n">
        <x:v>1039.92</x:v>
      </x:c>
      <x:c r="H233" s="12" t="n">
        <x:v>547.99</x:v>
      </x:c>
      <x:c r="I233" t="str">
        <x:v>Retail</x:v>
      </x:c>
      <x:c r="J233" t="str">
        <x:f>XLOOKUP(C233,'Lookup Tables'!$A$3:$A$12,'Lookup Tables'!$C$3:$C$12,"Not Found")</x:f>
        <x:v>Electronics</x:v>
      </x:c>
      <x:c r="K233" t="str">
        <x:f>XLOOKUP(B233,'Lookup Tables'!$F$3:$F$6,'Lookup Tables'!$G$3:$G$6,"Not Found")</x:f>
        <x:v>Marcus Reed</x:v>
      </x:c>
      <x:c r="L233" s="14" t="n">
        <x:f>XLOOKUP(B233,'Lookup Tables'!$F$3:$F$6,'Lookup Tables'!$H$3:$H$6,0)</x:f>
        <x:v>0.035</x:v>
      </x:c>
      <x:c r="M233" s="12" t="n">
        <x:f>G233-H233</x:f>
        <x:v>491.93000000000006</x:v>
      </x:c>
      <x:c r="N233" t="str">
        <x:f>IF(G233&gt;=10000,"High Value","Standard")</x:f>
        <x:v>Standard</x:v>
      </x:c>
      <x:c r="O233" t="str">
        <x:f>IF(M233/G233&gt;=0.40,"Strong Margin","Review Margin")</x:f>
        <x:v>Strong Margin</x:v>
      </x:c>
      <x:c r="P233" t="str">
        <x:f>TEXT(A233,"mmm")</x:f>
        <x:v>Sep</x:v>
      </x:c>
      <x:c r="Q233" s="12" t="n">
        <x:f>G233*L233</x:f>
        <x:v>36.397200000000005</x:v>
      </x:c>
    </x:row>
    <x:row r="234">
      <x:c r="A234" s="10" t="n">
        <x:v>45926</x:v>
      </x:c>
      <x:c r="B234" t="str">
        <x:v>West</x:v>
      </x:c>
      <x:c r="C234" t="str">
        <x:v>P-1009</x:v>
      </x:c>
      <x:c r="D234" t="str">
        <x:v>Travel Backpack</x:v>
      </x:c>
      <x:c r="E234" t="str">
        <x:v>Isabella Taylor</x:v>
      </x:c>
      <x:c r="F234" t="n">
        <x:v>5</x:v>
      </x:c>
      <x:c r="G234" s="12" t="n">
        <x:v>449.95</x:v>
      </x:c>
      <x:c r="H234" s="12" t="n">
        <x:v>210.66</x:v>
      </x:c>
      <x:c r="I234" t="str">
        <x:v>Retail</x:v>
      </x:c>
      <x:c r="J234" t="str">
        <x:f>XLOOKUP(C234,'Lookup Tables'!$A$3:$A$12,'Lookup Tables'!$C$3:$C$12,"Not Found")</x:f>
        <x:v>Accessories</x:v>
      </x:c>
      <x:c r="K234" t="str">
        <x:f>XLOOKUP(B234,'Lookup Tables'!$F$3:$F$6,'Lookup Tables'!$G$3:$G$6,"Not Found")</x:f>
        <x:v>Daniel Kim</x:v>
      </x:c>
      <x:c r="L234" s="14" t="n">
        <x:f>XLOOKUP(B234,'Lookup Tables'!$F$3:$F$6,'Lookup Tables'!$H$3:$H$6,0)</x:f>
        <x:v>0.045</x:v>
      </x:c>
      <x:c r="M234" s="12" t="n">
        <x:f>G234-H234</x:f>
        <x:v>239.29</x:v>
      </x:c>
      <x:c r="N234" t="str">
        <x:f>IF(G234&gt;=10000,"High Value","Standard")</x:f>
        <x:v>Standard</x:v>
      </x:c>
      <x:c r="O234" t="str">
        <x:f>IF(M234/G234&gt;=0.40,"Strong Margin","Review Margin")</x:f>
        <x:v>Strong Margin</x:v>
      </x:c>
      <x:c r="P234" t="str">
        <x:f>TEXT(A234,"mmm")</x:f>
        <x:v>Sep</x:v>
      </x:c>
      <x:c r="Q234" s="12" t="n">
        <x:f>G234*L234</x:f>
        <x:v>20.24775</x:v>
      </x:c>
    </x:row>
    <x:row r="235">
      <x:c r="A235" s="10" t="n">
        <x:v>45926</x:v>
      </x:c>
      <x:c r="B235" t="str">
        <x:v>East</x:v>
      </x:c>
      <x:c r="C235" t="str">
        <x:v>P-1008</x:v>
      </x:c>
      <x:c r="D235" t="str">
        <x:v>Yoga Starter Kit</x:v>
      </x:c>
      <x:c r="E235" t="str">
        <x:v>Mia Thomas</x:v>
      </x:c>
      <x:c r="F235" t="n">
        <x:v>1</x:v>
      </x:c>
      <x:c r="G235" s="12" t="n">
        <x:v>59.99</x:v>
      </x:c>
      <x:c r="H235" s="12" t="n">
        <x:v>24.94</x:v>
      </x:c>
      <x:c r="I235" t="str">
        <x:v>Retail</x:v>
      </x:c>
      <x:c r="J235" t="str">
        <x:f>XLOOKUP(C235,'Lookup Tables'!$A$3:$A$12,'Lookup Tables'!$C$3:$C$12,"Not Found")</x:f>
        <x:v>Fitness</x:v>
      </x:c>
      <x:c r="K235" t="str">
        <x:f>XLOOKUP(B235,'Lookup Tables'!$F$3:$F$6,'Lookup Tables'!$G$3:$G$6,"Not Found")</x:f>
        <x:v>Alicia Morgan</x:v>
      </x:c>
      <x:c r="L235" s="14" t="n">
        <x:f>XLOOKUP(B235,'Lookup Tables'!$F$3:$F$6,'Lookup Tables'!$H$3:$H$6,0)</x:f>
        <x:v>0.04</x:v>
      </x:c>
      <x:c r="M235" s="12" t="n">
        <x:f>G235-H235</x:f>
        <x:v>35.05</x:v>
      </x:c>
      <x:c r="N235" t="str">
        <x:f>IF(G235&gt;=10000,"High Value","Standard")</x:f>
        <x:v>Standard</x:v>
      </x:c>
      <x:c r="O235" t="str">
        <x:f>IF(M235/G235&gt;=0.40,"Strong Margin","Review Margin")</x:f>
        <x:v>Strong Margin</x:v>
      </x:c>
      <x:c r="P235" t="str">
        <x:f>TEXT(A235,"mmm")</x:f>
        <x:v>Sep</x:v>
      </x:c>
      <x:c r="Q235" s="12" t="n">
        <x:f>G235*L235</x:f>
        <x:v>2.3996</x:v>
      </x:c>
    </x:row>
    <x:row r="236">
      <x:c r="A236" s="10" t="n">
        <x:v>45929</x:v>
      </x:c>
      <x:c r="B236" t="str">
        <x:v>Midwest</x:v>
      </x:c>
      <x:c r="C236" t="str">
        <x:v>P-1006</x:v>
      </x:c>
      <x:c r="D236" t="str">
        <x:v>Air Fryer XL</x:v>
      </x:c>
      <x:c r="E236" t="str">
        <x:v>Lucas Miller</x:v>
      </x:c>
      <x:c r="F236" t="n">
        <x:v>5</x:v>
      </x:c>
      <x:c r="G236" s="12" t="n">
        <x:v>699.95</x:v>
      </x:c>
      <x:c r="H236" s="12" t="n">
        <x:v>384.14</x:v>
      </x:c>
      <x:c r="I236" t="str">
        <x:v>Retail</x:v>
      </x:c>
      <x:c r="J236" t="str">
        <x:f>XLOOKUP(C236,'Lookup Tables'!$A$3:$A$12,'Lookup Tables'!$C$3:$C$12,"Not Found")</x:f>
        <x:v>Home Goods</x:v>
      </x:c>
      <x:c r="K236" t="str">
        <x:f>XLOOKUP(B236,'Lookup Tables'!$F$3:$F$6,'Lookup Tables'!$G$3:$G$6,"Not Found")</x:f>
        <x:v>Marcus Reed</x:v>
      </x:c>
      <x:c r="L236" s="14" t="n">
        <x:f>XLOOKUP(B236,'Lookup Tables'!$F$3:$F$6,'Lookup Tables'!$H$3:$H$6,0)</x:f>
        <x:v>0.035</x:v>
      </x:c>
      <x:c r="M236" s="12" t="n">
        <x:f>G236-H236</x:f>
        <x:v>315.81000000000006</x:v>
      </x:c>
      <x:c r="N236" t="str">
        <x:f>IF(G236&gt;=10000,"High Value","Standard")</x:f>
        <x:v>Standard</x:v>
      </x:c>
      <x:c r="O236" t="str">
        <x:f>IF(M236/G236&gt;=0.40,"Strong Margin","Review Margin")</x:f>
        <x:v>Strong Margin</x:v>
      </x:c>
      <x:c r="P236" t="str">
        <x:f>TEXT(A236,"mmm")</x:f>
        <x:v>Sep</x:v>
      </x:c>
      <x:c r="Q236" s="12" t="n">
        <x:f>G236*L236</x:f>
        <x:v>24.498250000000002</x:v>
      </x:c>
    </x:row>
    <x:row r="237">
      <x:c r="A237" s="10" t="n">
        <x:v>45930</x:v>
      </x:c>
      <x:c r="B237" t="str">
        <x:v>South</x:v>
      </x:c>
      <x:c r="C237" t="str">
        <x:v>P-1001</x:v>
      </x:c>
      <x:c r="D237" t="str">
        <x:v>Wireless Headphones</x:v>
      </x:c>
      <x:c r="E237" t="str">
        <x:v>Lucas Miller</x:v>
      </x:c>
      <x:c r="F237" t="n">
        <x:v>26</x:v>
      </x:c>
      <x:c r="G237" s="12" t="n">
        <x:v>3176.96</x:v>
      </x:c>
      <x:c r="H237" s="12" t="n">
        <x:v>1807.71</x:v>
      </x:c>
      <x:c r="I237" t="str">
        <x:v>Wholesale</x:v>
      </x:c>
      <x:c r="J237" t="str">
        <x:f>XLOOKUP(C237,'Lookup Tables'!$A$3:$A$12,'Lookup Tables'!$C$3:$C$12,"Not Found")</x:f>
        <x:v>Electronics</x:v>
      </x:c>
      <x:c r="K237" t="str">
        <x:f>XLOOKUP(B237,'Lookup Tables'!$F$3:$F$6,'Lookup Tables'!$G$3:$G$6,"Not Found")</x:f>
        <x:v>Priya Patel</x:v>
      </x:c>
      <x:c r="L237" s="14" t="n">
        <x:f>XLOOKUP(B237,'Lookup Tables'!$F$3:$F$6,'Lookup Tables'!$H$3:$H$6,0)</x:f>
        <x:v>0.05</x:v>
      </x:c>
      <x:c r="M237" s="12" t="n">
        <x:f>G237-H237</x:f>
        <x:v>1369.25</x:v>
      </x:c>
      <x:c r="N237" t="str">
        <x:f>IF(G237&gt;=10000,"High Value","Standard")</x:f>
        <x:v>Standard</x:v>
      </x:c>
      <x:c r="O237" t="str">
        <x:f>IF(M237/G237&gt;=0.40,"Strong Margin","Review Margin")</x:f>
        <x:v>Strong Margin</x:v>
      </x:c>
      <x:c r="P237" t="str">
        <x:f>TEXT(A237,"mmm")</x:f>
        <x:v>Sep</x:v>
      </x:c>
      <x:c r="Q237" s="12" t="n">
        <x:f>G237*L237</x:f>
        <x:v>158.848</x:v>
      </x:c>
    </x:row>
    <x:row r="238">
      <x:c r="A238" s="10" t="n">
        <x:v>45933</x:v>
      </x:c>
      <x:c r="B238" t="str">
        <x:v>West</x:v>
      </x:c>
      <x:c r="C238" t="str">
        <x:v>P-1001</x:v>
      </x:c>
      <x:c r="D238" t="str">
        <x:v>Wireless Headphones</x:v>
      </x:c>
      <x:c r="E238" t="str">
        <x:v>Noah Brown</x:v>
      </x:c>
      <x:c r="F238" t="n">
        <x:v>33</x:v>
      </x:c>
      <x:c r="G238" s="12" t="n">
        <x:v>4032.29</x:v>
      </x:c>
      <x:c r="H238" s="12" t="n">
        <x:v>2312.08</x:v>
      </x:c>
      <x:c r="I238" t="str">
        <x:v>Wholesale</x:v>
      </x:c>
      <x:c r="J238" t="str">
        <x:f>XLOOKUP(C238,'Lookup Tables'!$A$3:$A$12,'Lookup Tables'!$C$3:$C$12,"Not Found")</x:f>
        <x:v>Electronics</x:v>
      </x:c>
      <x:c r="K238" t="str">
        <x:f>XLOOKUP(B238,'Lookup Tables'!$F$3:$F$6,'Lookup Tables'!$G$3:$G$6,"Not Found")</x:f>
        <x:v>Daniel Kim</x:v>
      </x:c>
      <x:c r="L238" s="14" t="n">
        <x:f>XLOOKUP(B238,'Lookup Tables'!$F$3:$F$6,'Lookup Tables'!$H$3:$H$6,0)</x:f>
        <x:v>0.045</x:v>
      </x:c>
      <x:c r="M238" s="12" t="n">
        <x:f>G238-H238</x:f>
        <x:v>1720.21</x:v>
      </x:c>
      <x:c r="N238" t="str">
        <x:f>IF(G238&gt;=10000,"High Value","Standard")</x:f>
        <x:v>Standard</x:v>
      </x:c>
      <x:c r="O238" t="str">
        <x:f>IF(M238/G238&gt;=0.40,"Strong Margin","Review Margin")</x:f>
        <x:v>Strong Margin</x:v>
      </x:c>
      <x:c r="P238" t="str">
        <x:f>TEXT(A238,"mmm")</x:f>
        <x:v>Oct</x:v>
      </x:c>
      <x:c r="Q238" s="12" t="n">
        <x:f>G238*L238</x:f>
        <x:v>181.45305</x:v>
      </x:c>
    </x:row>
    <x:row r="239">
      <x:c r="A239" s="10" t="n">
        <x:v>45934</x:v>
      </x:c>
      <x:c r="B239" t="str">
        <x:v>East</x:v>
      </x:c>
      <x:c r="C239" t="str">
        <x:v>P-1002</x:v>
      </x:c>
      <x:c r="D239" t="str">
        <x:v>Smart Home Hub</x:v>
      </x:c>
      <x:c r="E239" t="str">
        <x:v>Ava Davis</x:v>
      </x:c>
      <x:c r="F239" t="n">
        <x:v>37</x:v>
      </x:c>
      <x:c r="G239" s="12" t="n">
        <x:v>6955.65</x:v>
      </x:c>
      <x:c r="H239" s="12" t="n">
        <x:v>4104.73</x:v>
      </x:c>
      <x:c r="I239" t="str">
        <x:v>Wholesale</x:v>
      </x:c>
      <x:c r="J239" t="str">
        <x:f>XLOOKUP(C239,'Lookup Tables'!$A$3:$A$12,'Lookup Tables'!$C$3:$C$12,"Not Found")</x:f>
        <x:v>Electronics</x:v>
      </x:c>
      <x:c r="K239" t="str">
        <x:f>XLOOKUP(B239,'Lookup Tables'!$F$3:$F$6,'Lookup Tables'!$G$3:$G$6,"Not Found")</x:f>
        <x:v>Alicia Morgan</x:v>
      </x:c>
      <x:c r="L239" s="14" t="n">
        <x:f>XLOOKUP(B239,'Lookup Tables'!$F$3:$F$6,'Lookup Tables'!$H$3:$H$6,0)</x:f>
        <x:v>0.04</x:v>
      </x:c>
      <x:c r="M239" s="12" t="n">
        <x:f>G239-H239</x:f>
        <x:v>2850.92</x:v>
      </x:c>
      <x:c r="N239" t="str">
        <x:f>IF(G239&gt;=10000,"High Value","Standard")</x:f>
        <x:v>Standard</x:v>
      </x:c>
      <x:c r="O239" t="str">
        <x:f>IF(M239/G239&gt;=0.40,"Strong Margin","Review Margin")</x:f>
        <x:v>Strong Margin</x:v>
      </x:c>
      <x:c r="P239" t="str">
        <x:f>TEXT(A239,"mmm")</x:f>
        <x:v>Oct</x:v>
      </x:c>
      <x:c r="Q239" s="12" t="n">
        <x:f>G239*L239</x:f>
        <x:v>278.226</x:v>
      </x:c>
    </x:row>
    <x:row r="240">
      <x:c r="A240" s="10" t="n">
        <x:v>45934</x:v>
      </x:c>
      <x:c r="B240" t="str">
        <x:v>Midwest</x:v>
      </x:c>
      <x:c r="C240" t="str">
        <x:v>P-1003</x:v>
      </x:c>
      <x:c r="D240" t="str">
        <x:v>Ergonomic Office Chair</x:v>
      </x:c>
      <x:c r="E240" t="str">
        <x:v>Isabella Taylor</x:v>
      </x:c>
      <x:c r="F240" t="n">
        <x:v>19</x:v>
      </x:c>
      <x:c r="G240" s="12" t="n">
        <x:v>4464.82</x:v>
      </x:c>
      <x:c r="H240" s="12" t="n">
        <x:v>2881.99</x:v>
      </x:c>
      <x:c r="I240" t="str">
        <x:v>Wholesale</x:v>
      </x:c>
      <x:c r="J240" t="str">
        <x:f>XLOOKUP(C240,'Lookup Tables'!$A$3:$A$12,'Lookup Tables'!$C$3:$C$12,"Not Found")</x:f>
        <x:v>Furniture</x:v>
      </x:c>
      <x:c r="K240" t="str">
        <x:f>XLOOKUP(B240,'Lookup Tables'!$F$3:$F$6,'Lookup Tables'!$G$3:$G$6,"Not Found")</x:f>
        <x:v>Marcus Reed</x:v>
      </x:c>
      <x:c r="L240" s="14" t="n">
        <x:f>XLOOKUP(B240,'Lookup Tables'!$F$3:$F$6,'Lookup Tables'!$H$3:$H$6,0)</x:f>
        <x:v>0.035</x:v>
      </x:c>
      <x:c r="M240" s="12" t="n">
        <x:f>G240-H240</x:f>
        <x:v>1582.83</x:v>
      </x:c>
      <x:c r="N240" t="str">
        <x:f>IF(G240&gt;=10000,"High Value","Standard")</x:f>
        <x:v>Standard</x:v>
      </x:c>
      <x:c r="O240" t="str">
        <x:f>IF(M240/G240&gt;=0.40,"Strong Margin","Review Margin")</x:f>
        <x:v>Review Margin</x:v>
      </x:c>
      <x:c r="P240" t="str">
        <x:f>TEXT(A240,"mmm")</x:f>
        <x:v>Oct</x:v>
      </x:c>
      <x:c r="Q240" s="12" t="n">
        <x:f>G240*L240</x:f>
        <x:v>156.2687</x:v>
      </x:c>
    </x:row>
    <x:row r="241">
      <x:c r="A241" s="10" t="n">
        <x:v>45935</x:v>
      </x:c>
      <x:c r="B241" t="str">
        <x:v>West</x:v>
      </x:c>
      <x:c r="C241" t="str">
        <x:v>P-1001</x:v>
      </x:c>
      <x:c r="D241" t="str">
        <x:v>Wireless Headphones</x:v>
      </x:c>
      <x:c r="E241" t="str">
        <x:v>Ava Davis</x:v>
      </x:c>
      <x:c r="F241" t="n">
        <x:v>24</x:v>
      </x:c>
      <x:c r="G241" s="12" t="n">
        <x:v>3119.76</x:v>
      </x:c>
      <x:c r="H241" s="12" t="n">
        <x:v>1601.59</x:v>
      </x:c>
      <x:c r="I241" t="str">
        <x:v>Retail</x:v>
      </x:c>
      <x:c r="J241" t="str">
        <x:f>XLOOKUP(C241,'Lookup Tables'!$A$3:$A$12,'Lookup Tables'!$C$3:$C$12,"Not Found")</x:f>
        <x:v>Electronics</x:v>
      </x:c>
      <x:c r="K241" t="str">
        <x:f>XLOOKUP(B241,'Lookup Tables'!$F$3:$F$6,'Lookup Tables'!$G$3:$G$6,"Not Found")</x:f>
        <x:v>Daniel Kim</x:v>
      </x:c>
      <x:c r="L241" s="14" t="n">
        <x:f>XLOOKUP(B241,'Lookup Tables'!$F$3:$F$6,'Lookup Tables'!$H$3:$H$6,0)</x:f>
        <x:v>0.045</x:v>
      </x:c>
      <x:c r="M241" s="12" t="n">
        <x:f>G241-H241</x:f>
        <x:v>1518.1700000000003</x:v>
      </x:c>
      <x:c r="N241" t="str">
        <x:f>IF(G241&gt;=10000,"High Value","Standard")</x:f>
        <x:v>Standard</x:v>
      </x:c>
      <x:c r="O241" t="str">
        <x:f>IF(M241/G241&gt;=0.40,"Strong Margin","Review Margin")</x:f>
        <x:v>Strong Margin</x:v>
      </x:c>
      <x:c r="P241" t="str">
        <x:f>TEXT(A241,"mmm")</x:f>
        <x:v>Oct</x:v>
      </x:c>
      <x:c r="Q241" s="12" t="n">
        <x:f>G241*L241</x:f>
        <x:v>140.38920000000002</x:v>
      </x:c>
    </x:row>
    <x:row r="242">
      <x:c r="A242" s="10" t="n">
        <x:v>45935</x:v>
      </x:c>
      <x:c r="B242" t="str">
        <x:v>West</x:v>
      </x:c>
      <x:c r="C242" t="str">
        <x:v>P-1001</x:v>
      </x:c>
      <x:c r="D242" t="str">
        <x:v>Wireless Headphones</x:v>
      </x:c>
      <x:c r="E242" t="str">
        <x:v>Isabella Taylor</x:v>
      </x:c>
      <x:c r="F242" t="n">
        <x:v>13</x:v>
      </x:c>
      <x:c r="G242" s="12" t="n">
        <x:v>1689.87</x:v>
      </x:c>
      <x:c r="H242" s="12" t="n">
        <x:v>913.35</x:v>
      </x:c>
      <x:c r="I242" t="str">
        <x:v>Retail</x:v>
      </x:c>
      <x:c r="J242" t="str">
        <x:f>XLOOKUP(C242,'Lookup Tables'!$A$3:$A$12,'Lookup Tables'!$C$3:$C$12,"Not Found")</x:f>
        <x:v>Electronics</x:v>
      </x:c>
      <x:c r="K242" t="str">
        <x:f>XLOOKUP(B242,'Lookup Tables'!$F$3:$F$6,'Lookup Tables'!$G$3:$G$6,"Not Found")</x:f>
        <x:v>Daniel Kim</x:v>
      </x:c>
      <x:c r="L242" s="14" t="n">
        <x:f>XLOOKUP(B242,'Lookup Tables'!$F$3:$F$6,'Lookup Tables'!$H$3:$H$6,0)</x:f>
        <x:v>0.045</x:v>
      </x:c>
      <x:c r="M242" s="12" t="n">
        <x:f>G242-H242</x:f>
        <x:v>776.5199999999999</x:v>
      </x:c>
      <x:c r="N242" t="str">
        <x:f>IF(G242&gt;=10000,"High Value","Standard")</x:f>
        <x:v>Standard</x:v>
      </x:c>
      <x:c r="O242" t="str">
        <x:f>IF(M242/G242&gt;=0.40,"Strong Margin","Review Margin")</x:f>
        <x:v>Strong Margin</x:v>
      </x:c>
      <x:c r="P242" t="str">
        <x:f>TEXT(A242,"mmm")</x:f>
        <x:v>Oct</x:v>
      </x:c>
      <x:c r="Q242" s="12" t="n">
        <x:f>G242*L242</x:f>
        <x:v>76.04414999999999</x:v>
      </x:c>
    </x:row>
    <x:row r="243">
      <x:c r="A243" s="10" t="n">
        <x:v>45935</x:v>
      </x:c>
      <x:c r="B243" t="str">
        <x:v>Midwest</x:v>
      </x:c>
      <x:c r="C243" t="str">
        <x:v>P-1009</x:v>
      </x:c>
      <x:c r="D243" t="str">
        <x:v>Travel Backpack</x:v>
      </x:c>
      <x:c r="E243" t="str">
        <x:v>Ethan Smith</x:v>
      </x:c>
      <x:c r="F243" t="n">
        <x:v>12</x:v>
      </x:c>
      <x:c r="G243" s="12" t="n">
        <x:v>1015.09</x:v>
      </x:c>
      <x:c r="H243" s="12" t="n">
        <x:v>500.27</x:v>
      </x:c>
      <x:c r="I243" t="str">
        <x:v>Wholesale</x:v>
      </x:c>
      <x:c r="J243" t="str">
        <x:f>XLOOKUP(C243,'Lookup Tables'!$A$3:$A$12,'Lookup Tables'!$C$3:$C$12,"Not Found")</x:f>
        <x:v>Accessories</x:v>
      </x:c>
      <x:c r="K243" t="str">
        <x:f>XLOOKUP(B243,'Lookup Tables'!$F$3:$F$6,'Lookup Tables'!$G$3:$G$6,"Not Found")</x:f>
        <x:v>Marcus Reed</x:v>
      </x:c>
      <x:c r="L243" s="14" t="n">
        <x:f>XLOOKUP(B243,'Lookup Tables'!$F$3:$F$6,'Lookup Tables'!$H$3:$H$6,0)</x:f>
        <x:v>0.035</x:v>
      </x:c>
      <x:c r="M243" s="12" t="n">
        <x:f>G243-H243</x:f>
        <x:v>514.82</x:v>
      </x:c>
      <x:c r="N243" t="str">
        <x:f>IF(G243&gt;=10000,"High Value","Standard")</x:f>
        <x:v>Standard</x:v>
      </x:c>
      <x:c r="O243" t="str">
        <x:f>IF(M243/G243&gt;=0.40,"Strong Margin","Review Margin")</x:f>
        <x:v>Strong Margin</x:v>
      </x:c>
      <x:c r="P243" t="str">
        <x:f>TEXT(A243,"mmm")</x:f>
        <x:v>Oct</x:v>
      </x:c>
      <x:c r="Q243" s="12" t="n">
        <x:f>G243*L243</x:f>
        <x:v>35.528150000000004</x:v>
      </x:c>
    </x:row>
    <x:row r="244">
      <x:c r="A244" s="10" t="n">
        <x:v>45936</x:v>
      </x:c>
      <x:c r="B244" t="str">
        <x:v>West</x:v>
      </x:c>
      <x:c r="C244" t="str">
        <x:v>P-1001</x:v>
      </x:c>
      <x:c r="D244" t="str">
        <x:v>Wireless Headphones</x:v>
      </x:c>
      <x:c r="E244" t="str">
        <x:v>Mia Thomas</x:v>
      </x:c>
      <x:c r="F244" t="n">
        <x:v>10</x:v>
      </x:c>
      <x:c r="G244" s="12" t="n">
        <x:v>1299.9</x:v>
      </x:c>
      <x:c r="H244" s="12" t="n">
        <x:v>668.68</x:v>
      </x:c>
      <x:c r="I244" t="str">
        <x:v>Retail</x:v>
      </x:c>
      <x:c r="J244" t="str">
        <x:f>XLOOKUP(C244,'Lookup Tables'!$A$3:$A$12,'Lookup Tables'!$C$3:$C$12,"Not Found")</x:f>
        <x:v>Electronics</x:v>
      </x:c>
      <x:c r="K244" t="str">
        <x:f>XLOOKUP(B244,'Lookup Tables'!$F$3:$F$6,'Lookup Tables'!$G$3:$G$6,"Not Found")</x:f>
        <x:v>Daniel Kim</x:v>
      </x:c>
      <x:c r="L244" s="14" t="n">
        <x:f>XLOOKUP(B244,'Lookup Tables'!$F$3:$F$6,'Lookup Tables'!$H$3:$H$6,0)</x:f>
        <x:v>0.045</x:v>
      </x:c>
      <x:c r="M244" s="12" t="n">
        <x:f>G244-H244</x:f>
        <x:v>631.2200000000001</x:v>
      </x:c>
      <x:c r="N244" t="str">
        <x:f>IF(G244&gt;=10000,"High Value","Standard")</x:f>
        <x:v>Standard</x:v>
      </x:c>
      <x:c r="O244" t="str">
        <x:f>IF(M244/G244&gt;=0.40,"Strong Margin","Review Margin")</x:f>
        <x:v>Strong Margin</x:v>
      </x:c>
      <x:c r="P244" t="str">
        <x:f>TEXT(A244,"mmm")</x:f>
        <x:v>Oct</x:v>
      </x:c>
      <x:c r="Q244" s="12" t="n">
        <x:f>G244*L244</x:f>
        <x:v>58.4955</x:v>
      </x:c>
    </x:row>
    <x:row r="245">
      <x:c r="A245" s="10" t="n">
        <x:v>45938</x:v>
      </x:c>
      <x:c r="B245" t="str">
        <x:v>West</x:v>
      </x:c>
      <x:c r="C245" t="str">
        <x:v>P-1002</x:v>
      </x:c>
      <x:c r="D245" t="str">
        <x:v>Smart Home Hub</x:v>
      </x:c>
      <x:c r="E245" t="str">
        <x:v>Lucas Miller</x:v>
      </x:c>
      <x:c r="F245" t="n">
        <x:v>7</x:v>
      </x:c>
      <x:c r="G245" s="12" t="n">
        <x:v>1399.93</x:v>
      </x:c>
      <x:c r="H245" s="12" t="n">
        <x:v>769.55</x:v>
      </x:c>
      <x:c r="I245" t="str">
        <x:v>Retail</x:v>
      </x:c>
      <x:c r="J245" t="str">
        <x:f>XLOOKUP(C245,'Lookup Tables'!$A$3:$A$12,'Lookup Tables'!$C$3:$C$12,"Not Found")</x:f>
        <x:v>Electronics</x:v>
      </x:c>
      <x:c r="K245" t="str">
        <x:f>XLOOKUP(B245,'Lookup Tables'!$F$3:$F$6,'Lookup Tables'!$G$3:$G$6,"Not Found")</x:f>
        <x:v>Daniel Kim</x:v>
      </x:c>
      <x:c r="L245" s="14" t="n">
        <x:f>XLOOKUP(B245,'Lookup Tables'!$F$3:$F$6,'Lookup Tables'!$H$3:$H$6,0)</x:f>
        <x:v>0.045</x:v>
      </x:c>
      <x:c r="M245" s="12" t="n">
        <x:f>G245-H245</x:f>
        <x:v>630.3800000000001</x:v>
      </x:c>
      <x:c r="N245" t="str">
        <x:f>IF(G245&gt;=10000,"High Value","Standard")</x:f>
        <x:v>Standard</x:v>
      </x:c>
      <x:c r="O245" t="str">
        <x:f>IF(M245/G245&gt;=0.40,"Strong Margin","Review Margin")</x:f>
        <x:v>Strong Margin</x:v>
      </x:c>
      <x:c r="P245" t="str">
        <x:f>TEXT(A245,"mmm")</x:f>
        <x:v>Oct</x:v>
      </x:c>
      <x:c r="Q245" s="12" t="n">
        <x:f>G245*L245</x:f>
        <x:v>62.99685</x:v>
      </x:c>
    </x:row>
    <x:row r="246">
      <x:c r="A246" s="10" t="n">
        <x:v>45939</x:v>
      </x:c>
      <x:c r="B246" t="str">
        <x:v>West</x:v>
      </x:c>
      <x:c r="C246" t="str">
        <x:v>P-1009</x:v>
      </x:c>
      <x:c r="D246" t="str">
        <x:v>Travel Backpack</x:v>
      </x:c>
      <x:c r="E246" t="str">
        <x:v>Olivia Garcia</x:v>
      </x:c>
      <x:c r="F246" t="n">
        <x:v>32</x:v>
      </x:c>
      <x:c r="G246" s="12" t="n">
        <x:v>2706.9</x:v>
      </x:c>
      <x:c r="H246" s="12" t="n">
        <x:v>1351.13</x:v>
      </x:c>
      <x:c r="I246" t="str">
        <x:v>Wholesale</x:v>
      </x:c>
      <x:c r="J246" t="str">
        <x:f>XLOOKUP(C246,'Lookup Tables'!$A$3:$A$12,'Lookup Tables'!$C$3:$C$12,"Not Found")</x:f>
        <x:v>Accessories</x:v>
      </x:c>
      <x:c r="K246" t="str">
        <x:f>XLOOKUP(B246,'Lookup Tables'!$F$3:$F$6,'Lookup Tables'!$G$3:$G$6,"Not Found")</x:f>
        <x:v>Daniel Kim</x:v>
      </x:c>
      <x:c r="L246" s="14" t="n">
        <x:f>XLOOKUP(B246,'Lookup Tables'!$F$3:$F$6,'Lookup Tables'!$H$3:$H$6,0)</x:f>
        <x:v>0.045</x:v>
      </x:c>
      <x:c r="M246" s="12" t="n">
        <x:f>G246-H246</x:f>
        <x:v>1355.77</x:v>
      </x:c>
      <x:c r="N246" t="str">
        <x:f>IF(G246&gt;=10000,"High Value","Standard")</x:f>
        <x:v>Standard</x:v>
      </x:c>
      <x:c r="O246" t="str">
        <x:f>IF(M246/G246&gt;=0.40,"Strong Margin","Review Margin")</x:f>
        <x:v>Strong Margin</x:v>
      </x:c>
      <x:c r="P246" t="str">
        <x:f>TEXT(A246,"mmm")</x:f>
        <x:v>Oct</x:v>
      </x:c>
      <x:c r="Q246" s="12" t="n">
        <x:f>G246*L246</x:f>
        <x:v>121.8105</x:v>
      </x:c>
    </x:row>
    <x:row r="247">
      <x:c r="A247" s="10" t="n">
        <x:v>45940</x:v>
      </x:c>
      <x:c r="B247" t="str">
        <x:v>South</x:v>
      </x:c>
      <x:c r="C247" t="str">
        <x:v>P-1002</x:v>
      </x:c>
      <x:c r="D247" t="str">
        <x:v>Smart Home Hub</x:v>
      </x:c>
      <x:c r="E247" t="str">
        <x:v>Lucas Miller</x:v>
      </x:c>
      <x:c r="F247" t="n">
        <x:v>46</x:v>
      </x:c>
      <x:c r="G247" s="12" t="n">
        <x:v>8647.57</x:v>
      </x:c>
      <x:c r="H247" s="12" t="n">
        <x:v>5100.03</x:v>
      </x:c>
      <x:c r="I247" t="str">
        <x:v>Wholesale</x:v>
      </x:c>
      <x:c r="J247" t="str">
        <x:f>XLOOKUP(C247,'Lookup Tables'!$A$3:$A$12,'Lookup Tables'!$C$3:$C$12,"Not Found")</x:f>
        <x:v>Electronics</x:v>
      </x:c>
      <x:c r="K247" t="str">
        <x:f>XLOOKUP(B247,'Lookup Tables'!$F$3:$F$6,'Lookup Tables'!$G$3:$G$6,"Not Found")</x:f>
        <x:v>Priya Patel</x:v>
      </x:c>
      <x:c r="L247" s="14" t="n">
        <x:f>XLOOKUP(B247,'Lookup Tables'!$F$3:$F$6,'Lookup Tables'!$H$3:$H$6,0)</x:f>
        <x:v>0.05</x:v>
      </x:c>
      <x:c r="M247" s="12" t="n">
        <x:f>G247-H247</x:f>
        <x:v>3547.54</x:v>
      </x:c>
      <x:c r="N247" t="str">
        <x:f>IF(G247&gt;=10000,"High Value","Standard")</x:f>
        <x:v>Standard</x:v>
      </x:c>
      <x:c r="O247" t="str">
        <x:f>IF(M247/G247&gt;=0.40,"Strong Margin","Review Margin")</x:f>
        <x:v>Strong Margin</x:v>
      </x:c>
      <x:c r="P247" t="str">
        <x:f>TEXT(A247,"mmm")</x:f>
        <x:v>Oct</x:v>
      </x:c>
      <x:c r="Q247" s="12" t="n">
        <x:f>G247*L247</x:f>
        <x:v>432.37850000000003</x:v>
      </x:c>
    </x:row>
    <x:row r="248">
      <x:c r="A248" s="10" t="n">
        <x:v>45942</x:v>
      </x:c>
      <x:c r="B248" t="str">
        <x:v>South</x:v>
      </x:c>
      <x:c r="C248" t="str">
        <x:v>P-1005</x:v>
      </x:c>
      <x:c r="D248" t="str">
        <x:v>Stainless Cookware Set</x:v>
      </x:c>
      <x:c r="E248" t="str">
        <x:v>Noah Brown</x:v>
      </x:c>
      <x:c r="F248" t="n">
        <x:v>2</x:v>
      </x:c>
      <x:c r="G248" s="12" t="n">
        <x:v>319.98</x:v>
      </x:c>
      <x:c r="H248" s="12" t="n">
        <x:v>179.16</x:v>
      </x:c>
      <x:c r="I248" t="str">
        <x:v>Retail</x:v>
      </x:c>
      <x:c r="J248" t="str">
        <x:f>XLOOKUP(C248,'Lookup Tables'!$A$3:$A$12,'Lookup Tables'!$C$3:$C$12,"Not Found")</x:f>
        <x:v>Home Goods</x:v>
      </x:c>
      <x:c r="K248" t="str">
        <x:f>XLOOKUP(B248,'Lookup Tables'!$F$3:$F$6,'Lookup Tables'!$G$3:$G$6,"Not Found")</x:f>
        <x:v>Priya Patel</x:v>
      </x:c>
      <x:c r="L248" s="14" t="n">
        <x:f>XLOOKUP(B248,'Lookup Tables'!$F$3:$F$6,'Lookup Tables'!$H$3:$H$6,0)</x:f>
        <x:v>0.05</x:v>
      </x:c>
      <x:c r="M248" s="12" t="n">
        <x:f>G248-H248</x:f>
        <x:v>140.82000000000002</x:v>
      </x:c>
      <x:c r="N248" t="str">
        <x:f>IF(G248&gt;=10000,"High Value","Standard")</x:f>
        <x:v>Standard</x:v>
      </x:c>
      <x:c r="O248" t="str">
        <x:f>IF(M248/G248&gt;=0.40,"Strong Margin","Review Margin")</x:f>
        <x:v>Strong Margin</x:v>
      </x:c>
      <x:c r="P248" t="str">
        <x:f>TEXT(A248,"mmm")</x:f>
        <x:v>Oct</x:v>
      </x:c>
      <x:c r="Q248" s="12" t="n">
        <x:f>G248*L248</x:f>
        <x:v>15.999000000000002</x:v>
      </x:c>
    </x:row>
    <x:row r="249">
      <x:c r="A249" s="10" t="n">
        <x:v>45945</x:v>
      </x:c>
      <x:c r="B249" t="str">
        <x:v>South</x:v>
      </x:c>
      <x:c r="C249" t="str">
        <x:v>P-1006</x:v>
      </x:c>
      <x:c r="D249" t="str">
        <x:v>Air Fryer XL</x:v>
      </x:c>
      <x:c r="E249" t="str">
        <x:v>Ava Davis</x:v>
      </x:c>
      <x:c r="F249" t="n">
        <x:v>26</x:v>
      </x:c>
      <x:c r="G249" s="12" t="n">
        <x:v>3639.74</x:v>
      </x:c>
      <x:c r="H249" s="12" t="n">
        <x:v>1942.48</x:v>
      </x:c>
      <x:c r="I249" t="str">
        <x:v>Retail</x:v>
      </x:c>
      <x:c r="J249" t="str">
        <x:f>XLOOKUP(C249,'Lookup Tables'!$A$3:$A$12,'Lookup Tables'!$C$3:$C$12,"Not Found")</x:f>
        <x:v>Home Goods</x:v>
      </x:c>
      <x:c r="K249" t="str">
        <x:f>XLOOKUP(B249,'Lookup Tables'!$F$3:$F$6,'Lookup Tables'!$G$3:$G$6,"Not Found")</x:f>
        <x:v>Priya Patel</x:v>
      </x:c>
      <x:c r="L249" s="14" t="n">
        <x:f>XLOOKUP(B249,'Lookup Tables'!$F$3:$F$6,'Lookup Tables'!$H$3:$H$6,0)</x:f>
        <x:v>0.05</x:v>
      </x:c>
      <x:c r="M249" s="12" t="n">
        <x:f>G249-H249</x:f>
        <x:v>1697.2599999999998</x:v>
      </x:c>
      <x:c r="N249" t="str">
        <x:f>IF(G249&gt;=10000,"High Value","Standard")</x:f>
        <x:v>Standard</x:v>
      </x:c>
      <x:c r="O249" t="str">
        <x:f>IF(M249/G249&gt;=0.40,"Strong Margin","Review Margin")</x:f>
        <x:v>Strong Margin</x:v>
      </x:c>
      <x:c r="P249" t="str">
        <x:f>TEXT(A249,"mmm")</x:f>
        <x:v>Oct</x:v>
      </x:c>
      <x:c r="Q249" s="12" t="n">
        <x:f>G249*L249</x:f>
        <x:v>181.987</x:v>
      </x:c>
    </x:row>
    <x:row r="250">
      <x:c r="A250" s="10" t="n">
        <x:v>45945</x:v>
      </x:c>
      <x:c r="B250" t="str">
        <x:v>Midwest</x:v>
      </x:c>
      <x:c r="C250" t="str">
        <x:v>P-1008</x:v>
      </x:c>
      <x:c r="D250" t="str">
        <x:v>Yoga Starter Kit</x:v>
      </x:c>
      <x:c r="E250" t="str">
        <x:v>James Anderson</x:v>
      </x:c>
      <x:c r="F250" t="n">
        <x:v>3</x:v>
      </x:c>
      <x:c r="G250" s="12" t="n">
        <x:v>179.97</x:v>
      </x:c>
      <x:c r="H250" s="12" t="n">
        <x:v>75.24</x:v>
      </x:c>
      <x:c r="I250" t="str">
        <x:v>Retail</x:v>
      </x:c>
      <x:c r="J250" t="str">
        <x:f>XLOOKUP(C250,'Lookup Tables'!$A$3:$A$12,'Lookup Tables'!$C$3:$C$12,"Not Found")</x:f>
        <x:v>Fitness</x:v>
      </x:c>
      <x:c r="K250" t="str">
        <x:f>XLOOKUP(B250,'Lookup Tables'!$F$3:$F$6,'Lookup Tables'!$G$3:$G$6,"Not Found")</x:f>
        <x:v>Marcus Reed</x:v>
      </x:c>
      <x:c r="L250" s="14" t="n">
        <x:f>XLOOKUP(B250,'Lookup Tables'!$F$3:$F$6,'Lookup Tables'!$H$3:$H$6,0)</x:f>
        <x:v>0.035</x:v>
      </x:c>
      <x:c r="M250" s="12" t="n">
        <x:f>G250-H250</x:f>
        <x:v>104.73</x:v>
      </x:c>
      <x:c r="N250" t="str">
        <x:f>IF(G250&gt;=10000,"High Value","Standard")</x:f>
        <x:v>Standard</x:v>
      </x:c>
      <x:c r="O250" t="str">
        <x:f>IF(M250/G250&gt;=0.40,"Strong Margin","Review Margin")</x:f>
        <x:v>Strong Margin</x:v>
      </x:c>
      <x:c r="P250" t="str">
        <x:f>TEXT(A250,"mmm")</x:f>
        <x:v>Oct</x:v>
      </x:c>
      <x:c r="Q250" s="12" t="n">
        <x:f>G250*L250</x:f>
        <x:v>6.2989500000000005</x:v>
      </x:c>
    </x:row>
    <x:row r="251">
      <x:c r="A251" s="10" t="n">
        <x:v>45946</x:v>
      </x:c>
      <x:c r="B251" t="str">
        <x:v>Midwest</x:v>
      </x:c>
      <x:c r="C251" t="str">
        <x:v>P-1006</x:v>
      </x:c>
      <x:c r="D251" t="str">
        <x:v>Air Fryer XL</x:v>
      </x:c>
      <x:c r="E251" t="str">
        <x:v>Ava Davis</x:v>
      </x:c>
      <x:c r="F251" t="n">
        <x:v>23</x:v>
      </x:c>
      <x:c r="G251" s="12" t="n">
        <x:v>3026.58</x:v>
      </x:c>
      <x:c r="H251" s="12" t="n">
        <x:v>1679.71</x:v>
      </x:c>
      <x:c r="I251" t="str">
        <x:v>Wholesale</x:v>
      </x:c>
      <x:c r="J251" t="str">
        <x:f>XLOOKUP(C251,'Lookup Tables'!$A$3:$A$12,'Lookup Tables'!$C$3:$C$12,"Not Found")</x:f>
        <x:v>Home Goods</x:v>
      </x:c>
      <x:c r="K251" t="str">
        <x:f>XLOOKUP(B251,'Lookup Tables'!$F$3:$F$6,'Lookup Tables'!$G$3:$G$6,"Not Found")</x:f>
        <x:v>Marcus Reed</x:v>
      </x:c>
      <x:c r="L251" s="14" t="n">
        <x:f>XLOOKUP(B251,'Lookup Tables'!$F$3:$F$6,'Lookup Tables'!$H$3:$H$6,0)</x:f>
        <x:v>0.035</x:v>
      </x:c>
      <x:c r="M251" s="12" t="n">
        <x:f>G251-H251</x:f>
        <x:v>1346.87</x:v>
      </x:c>
      <x:c r="N251" t="str">
        <x:f>IF(G251&gt;=10000,"High Value","Standard")</x:f>
        <x:v>Standard</x:v>
      </x:c>
      <x:c r="O251" t="str">
        <x:f>IF(M251/G251&gt;=0.40,"Strong Margin","Review Margin")</x:f>
        <x:v>Strong Margin</x:v>
      </x:c>
      <x:c r="P251" t="str">
        <x:f>TEXT(A251,"mmm")</x:f>
        <x:v>Oct</x:v>
      </x:c>
      <x:c r="Q251" s="12" t="n">
        <x:f>G251*L251</x:f>
        <x:v>105.9303</x:v>
      </x:c>
    </x:row>
    <x:row r="252">
      <x:c r="A252" s="10" t="n">
        <x:v>45947</x:v>
      </x:c>
      <x:c r="B252" t="str">
        <x:v>South</x:v>
      </x:c>
      <x:c r="C252" t="str">
        <x:v>P-1001</x:v>
      </x:c>
      <x:c r="D252" t="str">
        <x:v>Wireless Headphones</x:v>
      </x:c>
      <x:c r="E252" t="str">
        <x:v>Benjamin Moore</x:v>
      </x:c>
      <x:c r="F252" t="n">
        <x:v>1</x:v>
      </x:c>
      <x:c r="G252" s="12" t="n">
        <x:v>129.99</x:v>
      </x:c>
      <x:c r="H252" s="12" t="n">
        <x:v>69.17</x:v>
      </x:c>
      <x:c r="I252" t="str">
        <x:v>Retail</x:v>
      </x:c>
      <x:c r="J252" t="str">
        <x:f>XLOOKUP(C252,'Lookup Tables'!$A$3:$A$12,'Lookup Tables'!$C$3:$C$12,"Not Found")</x:f>
        <x:v>Electronics</x:v>
      </x:c>
      <x:c r="K252" t="str">
        <x:f>XLOOKUP(B252,'Lookup Tables'!$F$3:$F$6,'Lookup Tables'!$G$3:$G$6,"Not Found")</x:f>
        <x:v>Priya Patel</x:v>
      </x:c>
      <x:c r="L252" s="14" t="n">
        <x:f>XLOOKUP(B252,'Lookup Tables'!$F$3:$F$6,'Lookup Tables'!$H$3:$H$6,0)</x:f>
        <x:v>0.05</x:v>
      </x:c>
      <x:c r="M252" s="12" t="n">
        <x:f>G252-H252</x:f>
        <x:v>60.82000000000001</x:v>
      </x:c>
      <x:c r="N252" t="str">
        <x:f>IF(G252&gt;=10000,"High Value","Standard")</x:f>
        <x:v>Standard</x:v>
      </x:c>
      <x:c r="O252" t="str">
        <x:f>IF(M252/G252&gt;=0.40,"Strong Margin","Review Margin")</x:f>
        <x:v>Strong Margin</x:v>
      </x:c>
      <x:c r="P252" t="str">
        <x:f>TEXT(A252,"mmm")</x:f>
        <x:v>Oct</x:v>
      </x:c>
      <x:c r="Q252" s="12" t="n">
        <x:f>G252*L252</x:f>
        <x:v>6.499500000000001</x:v>
      </x:c>
    </x:row>
    <x:row r="253">
      <x:c r="A253" s="10" t="n">
        <x:v>45948</x:v>
      </x:c>
      <x:c r="B253" t="str">
        <x:v>Midwest</x:v>
      </x:c>
      <x:c r="C253" t="str">
        <x:v>P-1003</x:v>
      </x:c>
      <x:c r="D253" t="str">
        <x:v>Ergonomic Office Chair</x:v>
      </x:c>
      <x:c r="E253" t="str">
        <x:v>Mia Thomas</x:v>
      </x:c>
      <x:c r="F253" t="n">
        <x:v>8</x:v>
      </x:c>
      <x:c r="G253" s="12" t="n">
        <x:v>1999.92</x:v>
      </x:c>
      <x:c r="H253" s="12" t="n">
        <x:v>1158.31</x:v>
      </x:c>
      <x:c r="I253" t="str">
        <x:v>Retail</x:v>
      </x:c>
      <x:c r="J253" t="str">
        <x:f>XLOOKUP(C253,'Lookup Tables'!$A$3:$A$12,'Lookup Tables'!$C$3:$C$12,"Not Found")</x:f>
        <x:v>Furniture</x:v>
      </x:c>
      <x:c r="K253" t="str">
        <x:f>XLOOKUP(B253,'Lookup Tables'!$F$3:$F$6,'Lookup Tables'!$G$3:$G$6,"Not Found")</x:f>
        <x:v>Marcus Reed</x:v>
      </x:c>
      <x:c r="L253" s="14" t="n">
        <x:f>XLOOKUP(B253,'Lookup Tables'!$F$3:$F$6,'Lookup Tables'!$H$3:$H$6,0)</x:f>
        <x:v>0.035</x:v>
      </x:c>
      <x:c r="M253" s="12" t="n">
        <x:f>G253-H253</x:f>
        <x:v>841.6100000000001</x:v>
      </x:c>
      <x:c r="N253" t="str">
        <x:f>IF(G253&gt;=10000,"High Value","Standard")</x:f>
        <x:v>Standard</x:v>
      </x:c>
      <x:c r="O253" t="str">
        <x:f>IF(M253/G253&gt;=0.40,"Strong Margin","Review Margin")</x:f>
        <x:v>Strong Margin</x:v>
      </x:c>
      <x:c r="P253" t="str">
        <x:f>TEXT(A253,"mmm")</x:f>
        <x:v>Oct</x:v>
      </x:c>
      <x:c r="Q253" s="12" t="n">
        <x:f>G253*L253</x:f>
        <x:v>69.9972</x:v>
      </x:c>
    </x:row>
    <x:row r="254">
      <x:c r="A254" s="10" t="n">
        <x:v>45950</x:v>
      </x:c>
      <x:c r="B254" t="str">
        <x:v>South</x:v>
      </x:c>
      <x:c r="C254" t="str">
        <x:v>P-1002</x:v>
      </x:c>
      <x:c r="D254" t="str">
        <x:v>Smart Home Hub</x:v>
      </x:c>
      <x:c r="E254" t="str">
        <x:v>Lucas Miller</x:v>
      </x:c>
      <x:c r="F254" t="n">
        <x:v>18</x:v>
      </x:c>
      <x:c r="G254" s="12" t="n">
        <x:v>3383.83</x:v>
      </x:c>
      <x:c r="H254" s="12" t="n">
        <x:v>2000.14</x:v>
      </x:c>
      <x:c r="I254" t="str">
        <x:v>Wholesale</x:v>
      </x:c>
      <x:c r="J254" t="str">
        <x:f>XLOOKUP(C254,'Lookup Tables'!$A$3:$A$12,'Lookup Tables'!$C$3:$C$12,"Not Found")</x:f>
        <x:v>Electronics</x:v>
      </x:c>
      <x:c r="K254" t="str">
        <x:f>XLOOKUP(B254,'Lookup Tables'!$F$3:$F$6,'Lookup Tables'!$G$3:$G$6,"Not Found")</x:f>
        <x:v>Priya Patel</x:v>
      </x:c>
      <x:c r="L254" s="14" t="n">
        <x:f>XLOOKUP(B254,'Lookup Tables'!$F$3:$F$6,'Lookup Tables'!$H$3:$H$6,0)</x:f>
        <x:v>0.05</x:v>
      </x:c>
      <x:c r="M254" s="12" t="n">
        <x:f>G254-H254</x:f>
        <x:v>1383.6899999999998</x:v>
      </x:c>
      <x:c r="N254" t="str">
        <x:f>IF(G254&gt;=10000,"High Value","Standard")</x:f>
        <x:v>Standard</x:v>
      </x:c>
      <x:c r="O254" t="str">
        <x:f>IF(M254/G254&gt;=0.40,"Strong Margin","Review Margin")</x:f>
        <x:v>Strong Margin</x:v>
      </x:c>
      <x:c r="P254" t="str">
        <x:f>TEXT(A254,"mmm")</x:f>
        <x:v>Oct</x:v>
      </x:c>
      <x:c r="Q254" s="12" t="n">
        <x:f>G254*L254</x:f>
        <x:v>169.19150000000002</x:v>
      </x:c>
    </x:row>
    <x:row r="255">
      <x:c r="A255" s="10" t="n">
        <x:v>45951</x:v>
      </x:c>
      <x:c r="B255" t="str">
        <x:v>West</x:v>
      </x:c>
      <x:c r="C255" t="str">
        <x:v>P-1006</x:v>
      </x:c>
      <x:c r="D255" t="str">
        <x:v>Air Fryer XL</x:v>
      </x:c>
      <x:c r="E255" t="str">
        <x:v>Sophia Martinez</x:v>
      </x:c>
      <x:c r="F255" t="n">
        <x:v>3</x:v>
      </x:c>
      <x:c r="G255" s="12" t="n">
        <x:v>419.97</x:v>
      </x:c>
      <x:c r="H255" s="12" t="n">
        <x:v>220.23</x:v>
      </x:c>
      <x:c r="I255" t="str">
        <x:v>Retail</x:v>
      </x:c>
      <x:c r="J255" t="str">
        <x:f>XLOOKUP(C255,'Lookup Tables'!$A$3:$A$12,'Lookup Tables'!$C$3:$C$12,"Not Found")</x:f>
        <x:v>Home Goods</x:v>
      </x:c>
      <x:c r="K255" t="str">
        <x:f>XLOOKUP(B255,'Lookup Tables'!$F$3:$F$6,'Lookup Tables'!$G$3:$G$6,"Not Found")</x:f>
        <x:v>Daniel Kim</x:v>
      </x:c>
      <x:c r="L255" s="14" t="n">
        <x:f>XLOOKUP(B255,'Lookup Tables'!$F$3:$F$6,'Lookup Tables'!$H$3:$H$6,0)</x:f>
        <x:v>0.045</x:v>
      </x:c>
      <x:c r="M255" s="12" t="n">
        <x:f>G255-H255</x:f>
        <x:v>199.74000000000004</x:v>
      </x:c>
      <x:c r="N255" t="str">
        <x:f>IF(G255&gt;=10000,"High Value","Standard")</x:f>
        <x:v>Standard</x:v>
      </x:c>
      <x:c r="O255" t="str">
        <x:f>IF(M255/G255&gt;=0.40,"Strong Margin","Review Margin")</x:f>
        <x:v>Strong Margin</x:v>
      </x:c>
      <x:c r="P255" t="str">
        <x:f>TEXT(A255,"mmm")</x:f>
        <x:v>Oct</x:v>
      </x:c>
      <x:c r="Q255" s="12" t="n">
        <x:f>G255*L255</x:f>
        <x:v>18.89865</x:v>
      </x:c>
    </x:row>
    <x:row r="256">
      <x:c r="A256" s="10" t="n">
        <x:v>45952</x:v>
      </x:c>
      <x:c r="B256" t="str">
        <x:v>West</x:v>
      </x:c>
      <x:c r="C256" t="str">
        <x:v>P-1001</x:v>
      </x:c>
      <x:c r="D256" t="str">
        <x:v>Wireless Headphones</x:v>
      </x:c>
      <x:c r="E256" t="str">
        <x:v>Liam Wilson</x:v>
      </x:c>
      <x:c r="F256" t="n">
        <x:v>15</x:v>
      </x:c>
      <x:c r="G256" s="12" t="n">
        <x:v>1949.85</x:v>
      </x:c>
      <x:c r="H256" s="12" t="n">
        <x:v>1067.67</x:v>
      </x:c>
      <x:c r="I256" t="str">
        <x:v>Retail</x:v>
      </x:c>
      <x:c r="J256" t="str">
        <x:f>XLOOKUP(C256,'Lookup Tables'!$A$3:$A$12,'Lookup Tables'!$C$3:$C$12,"Not Found")</x:f>
        <x:v>Electronics</x:v>
      </x:c>
      <x:c r="K256" t="str">
        <x:f>XLOOKUP(B256,'Lookup Tables'!$F$3:$F$6,'Lookup Tables'!$G$3:$G$6,"Not Found")</x:f>
        <x:v>Daniel Kim</x:v>
      </x:c>
      <x:c r="L256" s="14" t="n">
        <x:f>XLOOKUP(B256,'Lookup Tables'!$F$3:$F$6,'Lookup Tables'!$H$3:$H$6,0)</x:f>
        <x:v>0.045</x:v>
      </x:c>
      <x:c r="M256" s="12" t="n">
        <x:f>G256-H256</x:f>
        <x:v>882.1799999999998</x:v>
      </x:c>
      <x:c r="N256" t="str">
        <x:f>IF(G256&gt;=10000,"High Value","Standard")</x:f>
        <x:v>Standard</x:v>
      </x:c>
      <x:c r="O256" t="str">
        <x:f>IF(M256/G256&gt;=0.40,"Strong Margin","Review Margin")</x:f>
        <x:v>Strong Margin</x:v>
      </x:c>
      <x:c r="P256" t="str">
        <x:f>TEXT(A256,"mmm")</x:f>
        <x:v>Oct</x:v>
      </x:c>
      <x:c r="Q256" s="12" t="n">
        <x:f>G256*L256</x:f>
        <x:v>87.74324999999999</x:v>
      </x:c>
    </x:row>
    <x:row r="257">
      <x:c r="A257" s="10" t="n">
        <x:v>45952</x:v>
      </x:c>
      <x:c r="B257" t="str">
        <x:v>West</x:v>
      </x:c>
      <x:c r="C257" t="str">
        <x:v>P-1006</x:v>
      </x:c>
      <x:c r="D257" t="str">
        <x:v>Air Fryer XL</x:v>
      </x:c>
      <x:c r="E257" t="str">
        <x:v>Mia Thomas</x:v>
      </x:c>
      <x:c r="F257" t="n">
        <x:v>34</x:v>
      </x:c>
      <x:c r="G257" s="12" t="n">
        <x:v>4474.08</x:v>
      </x:c>
      <x:c r="H257" s="12" t="n">
        <x:v>2639.28</x:v>
      </x:c>
      <x:c r="I257" t="str">
        <x:v>Wholesale</x:v>
      </x:c>
      <x:c r="J257" t="str">
        <x:f>XLOOKUP(C257,'Lookup Tables'!$A$3:$A$12,'Lookup Tables'!$C$3:$C$12,"Not Found")</x:f>
        <x:v>Home Goods</x:v>
      </x:c>
      <x:c r="K257" t="str">
        <x:f>XLOOKUP(B257,'Lookup Tables'!$F$3:$F$6,'Lookup Tables'!$G$3:$G$6,"Not Found")</x:f>
        <x:v>Daniel Kim</x:v>
      </x:c>
      <x:c r="L257" s="14" t="n">
        <x:f>XLOOKUP(B257,'Lookup Tables'!$F$3:$F$6,'Lookup Tables'!$H$3:$H$6,0)</x:f>
        <x:v>0.045</x:v>
      </x:c>
      <x:c r="M257" s="12" t="n">
        <x:f>G257-H257</x:f>
        <x:v>1834.7999999999997</x:v>
      </x:c>
      <x:c r="N257" t="str">
        <x:f>IF(G257&gt;=10000,"High Value","Standard")</x:f>
        <x:v>Standard</x:v>
      </x:c>
      <x:c r="O257" t="str">
        <x:f>IF(M257/G257&gt;=0.40,"Strong Margin","Review Margin")</x:f>
        <x:v>Strong Margin</x:v>
      </x:c>
      <x:c r="P257" t="str">
        <x:f>TEXT(A257,"mmm")</x:f>
        <x:v>Oct</x:v>
      </x:c>
      <x:c r="Q257" s="12" t="n">
        <x:f>G257*L257</x:f>
        <x:v>201.3336</x:v>
      </x:c>
    </x:row>
    <x:row r="258">
      <x:c r="A258" s="10" t="n">
        <x:v>45954</x:v>
      </x:c>
      <x:c r="B258" t="str">
        <x:v>West</x:v>
      </x:c>
      <x:c r="C258" t="str">
        <x:v>P-1002</x:v>
      </x:c>
      <x:c r="D258" t="str">
        <x:v>Smart Home Hub</x:v>
      </x:c>
      <x:c r="E258" t="str">
        <x:v>Sophia Martinez</x:v>
      </x:c>
      <x:c r="F258" t="n">
        <x:v>13</x:v>
      </x:c>
      <x:c r="G258" s="12" t="n">
        <x:v>2599.87</x:v>
      </x:c>
      <x:c r="H258" s="12" t="n">
        <x:v>1414.63</x:v>
      </x:c>
      <x:c r="I258" t="str">
        <x:v>Retail</x:v>
      </x:c>
      <x:c r="J258" t="str">
        <x:f>XLOOKUP(C258,'Lookup Tables'!$A$3:$A$12,'Lookup Tables'!$C$3:$C$12,"Not Found")</x:f>
        <x:v>Electronics</x:v>
      </x:c>
      <x:c r="K258" t="str">
        <x:f>XLOOKUP(B258,'Lookup Tables'!$F$3:$F$6,'Lookup Tables'!$G$3:$G$6,"Not Found")</x:f>
        <x:v>Daniel Kim</x:v>
      </x:c>
      <x:c r="L258" s="14" t="n">
        <x:f>XLOOKUP(B258,'Lookup Tables'!$F$3:$F$6,'Lookup Tables'!$H$3:$H$6,0)</x:f>
        <x:v>0.045</x:v>
      </x:c>
      <x:c r="M258" s="12" t="n">
        <x:f>G258-H258</x:f>
        <x:v>1185.2399999999998</x:v>
      </x:c>
      <x:c r="N258" t="str">
        <x:f>IF(G258&gt;=10000,"High Value","Standard")</x:f>
        <x:v>Standard</x:v>
      </x:c>
      <x:c r="O258" t="str">
        <x:f>IF(M258/G258&gt;=0.40,"Strong Margin","Review Margin")</x:f>
        <x:v>Strong Margin</x:v>
      </x:c>
      <x:c r="P258" t="str">
        <x:f>TEXT(A258,"mmm")</x:f>
        <x:v>Oct</x:v>
      </x:c>
      <x:c r="Q258" s="12" t="n">
        <x:f>G258*L258</x:f>
        <x:v>116.99414999999999</x:v>
      </x:c>
    </x:row>
    <x:row r="259">
      <x:c r="A259" s="10" t="n">
        <x:v>45958</x:v>
      </x:c>
      <x:c r="B259" t="str">
        <x:v>East</x:v>
      </x:c>
      <x:c r="C259" t="str">
        <x:v>P-1009</x:v>
      </x:c>
      <x:c r="D259" t="str">
        <x:v>Travel Backpack</x:v>
      </x:c>
      <x:c r="E259" t="str">
        <x:v>Liam Wilson</x:v>
      </x:c>
      <x:c r="F259" t="n">
        <x:v>17</x:v>
      </x:c>
      <x:c r="G259" s="12" t="n">
        <x:v>1438.04</x:v>
      </x:c>
      <x:c r="H259" s="12" t="n">
        <x:v>748.9</x:v>
      </x:c>
      <x:c r="I259" t="str">
        <x:v>Wholesale</x:v>
      </x:c>
      <x:c r="J259" t="str">
        <x:f>XLOOKUP(C259,'Lookup Tables'!$A$3:$A$12,'Lookup Tables'!$C$3:$C$12,"Not Found")</x:f>
        <x:v>Accessories</x:v>
      </x:c>
      <x:c r="K259" t="str">
        <x:f>XLOOKUP(B259,'Lookup Tables'!$F$3:$F$6,'Lookup Tables'!$G$3:$G$6,"Not Found")</x:f>
        <x:v>Alicia Morgan</x:v>
      </x:c>
      <x:c r="L259" s="14" t="n">
        <x:f>XLOOKUP(B259,'Lookup Tables'!$F$3:$F$6,'Lookup Tables'!$H$3:$H$6,0)</x:f>
        <x:v>0.04</x:v>
      </x:c>
      <x:c r="M259" s="12" t="n">
        <x:f>G259-H259</x:f>
        <x:v>689.14</x:v>
      </x:c>
      <x:c r="N259" t="str">
        <x:f>IF(G259&gt;=10000,"High Value","Standard")</x:f>
        <x:v>Standard</x:v>
      </x:c>
      <x:c r="O259" t="str">
        <x:f>IF(M259/G259&gt;=0.40,"Strong Margin","Review Margin")</x:f>
        <x:v>Strong Margin</x:v>
      </x:c>
      <x:c r="P259" t="str">
        <x:f>TEXT(A259,"mmm")</x:f>
        <x:v>Oct</x:v>
      </x:c>
      <x:c r="Q259" s="12" t="n">
        <x:f>G259*L259</x:f>
        <x:v>57.5216</x:v>
      </x:c>
    </x:row>
    <x:row r="260">
      <x:c r="A260" s="10" t="n">
        <x:v>45962</x:v>
      </x:c>
      <x:c r="B260" t="str">
        <x:v>West</x:v>
      </x:c>
      <x:c r="C260" t="str">
        <x:v>P-1007</x:v>
      </x:c>
      <x:c r="D260" t="str">
        <x:v>Fitness Tracker</x:v>
      </x:c>
      <x:c r="E260" t="str">
        <x:v>Lucas Miller</x:v>
      </x:c>
      <x:c r="F260" t="n">
        <x:v>18</x:v>
      </x:c>
      <x:c r="G260" s="12" t="n">
        <x:v>2159.82</x:v>
      </x:c>
      <x:c r="H260" s="12" t="n">
        <x:v>1090.66</x:v>
      </x:c>
      <x:c r="I260" t="str">
        <x:v>Retail</x:v>
      </x:c>
      <x:c r="J260" t="str">
        <x:f>XLOOKUP(C260,'Lookup Tables'!$A$3:$A$12,'Lookup Tables'!$C$3:$C$12,"Not Found")</x:f>
        <x:v>Fitness</x:v>
      </x:c>
      <x:c r="K260" t="str">
        <x:f>XLOOKUP(B260,'Lookup Tables'!$F$3:$F$6,'Lookup Tables'!$G$3:$G$6,"Not Found")</x:f>
        <x:v>Daniel Kim</x:v>
      </x:c>
      <x:c r="L260" s="14" t="n">
        <x:f>XLOOKUP(B260,'Lookup Tables'!$F$3:$F$6,'Lookup Tables'!$H$3:$H$6,0)</x:f>
        <x:v>0.045</x:v>
      </x:c>
      <x:c r="M260" s="12" t="n">
        <x:f>G260-H260</x:f>
        <x:v>1069.16</x:v>
      </x:c>
      <x:c r="N260" t="str">
        <x:f>IF(G260&gt;=10000,"High Value","Standard")</x:f>
        <x:v>Standard</x:v>
      </x:c>
      <x:c r="O260" t="str">
        <x:f>IF(M260/G260&gt;=0.40,"Strong Margin","Review Margin")</x:f>
        <x:v>Strong Margin</x:v>
      </x:c>
      <x:c r="P260" t="str">
        <x:f>TEXT(A260,"mmm")</x:f>
        <x:v>Nov</x:v>
      </x:c>
      <x:c r="Q260" s="12" t="n">
        <x:f>G260*L260</x:f>
        <x:v>97.1919</x:v>
      </x:c>
    </x:row>
    <x:row r="261">
      <x:c r="A261" s="10" t="n">
        <x:v>45962</x:v>
      </x:c>
      <x:c r="B261" t="str">
        <x:v>South</x:v>
      </x:c>
      <x:c r="C261" t="str">
        <x:v>P-1001</x:v>
      </x:c>
      <x:c r="D261" t="str">
        <x:v>Wireless Headphones</x:v>
      </x:c>
      <x:c r="E261" t="str">
        <x:v>Noah Brown</x:v>
      </x:c>
      <x:c r="F261" t="n">
        <x:v>11</x:v>
      </x:c>
      <x:c r="G261" s="12" t="n">
        <x:v>1429.89</x:v>
      </x:c>
      <x:c r="H261" s="12" t="n">
        <x:v>765.12</x:v>
      </x:c>
      <x:c r="I261" t="str">
        <x:v>Retail</x:v>
      </x:c>
      <x:c r="J261" t="str">
        <x:f>XLOOKUP(C261,'Lookup Tables'!$A$3:$A$12,'Lookup Tables'!$C$3:$C$12,"Not Found")</x:f>
        <x:v>Electronics</x:v>
      </x:c>
      <x:c r="K261" t="str">
        <x:f>XLOOKUP(B261,'Lookup Tables'!$F$3:$F$6,'Lookup Tables'!$G$3:$G$6,"Not Found")</x:f>
        <x:v>Priya Patel</x:v>
      </x:c>
      <x:c r="L261" s="14" t="n">
        <x:f>XLOOKUP(B261,'Lookup Tables'!$F$3:$F$6,'Lookup Tables'!$H$3:$H$6,0)</x:f>
        <x:v>0.05</x:v>
      </x:c>
      <x:c r="M261" s="12" t="n">
        <x:f>G261-H261</x:f>
        <x:v>664.7700000000001</x:v>
      </x:c>
      <x:c r="N261" t="str">
        <x:f>IF(G261&gt;=10000,"High Value","Standard")</x:f>
        <x:v>Standard</x:v>
      </x:c>
      <x:c r="O261" t="str">
        <x:f>IF(M261/G261&gt;=0.40,"Strong Margin","Review Margin")</x:f>
        <x:v>Strong Margin</x:v>
      </x:c>
      <x:c r="P261" t="str">
        <x:f>TEXT(A261,"mmm")</x:f>
        <x:v>Nov</x:v>
      </x:c>
      <x:c r="Q261" s="12" t="n">
        <x:f>G261*L261</x:f>
        <x:v>71.4945</x:v>
      </x:c>
    </x:row>
    <x:row r="262">
      <x:c r="A262" s="10" t="n">
        <x:v>45963</x:v>
      </x:c>
      <x:c r="B262" t="str">
        <x:v>East</x:v>
      </x:c>
      <x:c r="C262" t="str">
        <x:v>P-1003</x:v>
      </x:c>
      <x:c r="D262" t="str">
        <x:v>Ergonomic Office Chair</x:v>
      </x:c>
      <x:c r="E262" t="str">
        <x:v>Lucas Miller</x:v>
      </x:c>
      <x:c r="F262" t="n">
        <x:v>15</x:v>
      </x:c>
      <x:c r="G262" s="12" t="n">
        <x:v>3749.85</x:v>
      </x:c>
      <x:c r="H262" s="12" t="n">
        <x:v>2133.25</x:v>
      </x:c>
      <x:c r="I262" t="str">
        <x:v>Retail</x:v>
      </x:c>
      <x:c r="J262" t="str">
        <x:f>XLOOKUP(C262,'Lookup Tables'!$A$3:$A$12,'Lookup Tables'!$C$3:$C$12,"Not Found")</x:f>
        <x:v>Furniture</x:v>
      </x:c>
      <x:c r="K262" t="str">
        <x:f>XLOOKUP(B262,'Lookup Tables'!$F$3:$F$6,'Lookup Tables'!$G$3:$G$6,"Not Found")</x:f>
        <x:v>Alicia Morgan</x:v>
      </x:c>
      <x:c r="L262" s="14" t="n">
        <x:f>XLOOKUP(B262,'Lookup Tables'!$F$3:$F$6,'Lookup Tables'!$H$3:$H$6,0)</x:f>
        <x:v>0.04</x:v>
      </x:c>
      <x:c r="M262" s="12" t="n">
        <x:f>G262-H262</x:f>
        <x:v>1616.6</x:v>
      </x:c>
      <x:c r="N262" t="str">
        <x:f>IF(G262&gt;=10000,"High Value","Standard")</x:f>
        <x:v>Standard</x:v>
      </x:c>
      <x:c r="O262" t="str">
        <x:f>IF(M262/G262&gt;=0.40,"Strong Margin","Review Margin")</x:f>
        <x:v>Strong Margin</x:v>
      </x:c>
      <x:c r="P262" t="str">
        <x:f>TEXT(A262,"mmm")</x:f>
        <x:v>Nov</x:v>
      </x:c>
      <x:c r="Q262" s="12" t="n">
        <x:f>G262*L262</x:f>
        <x:v>149.994</x:v>
      </x:c>
    </x:row>
    <x:row r="263">
      <x:c r="A263" s="10" t="n">
        <x:v>45963</x:v>
      </x:c>
      <x:c r="B263" t="str">
        <x:v>West</x:v>
      </x:c>
      <x:c r="C263" t="str">
        <x:v>P-1004</x:v>
      </x:c>
      <x:c r="D263" t="str">
        <x:v>Standing Desk Converter</x:v>
      </x:c>
      <x:c r="E263" t="str">
        <x:v>James Anderson</x:v>
      </x:c>
      <x:c r="F263" t="n">
        <x:v>12</x:v>
      </x:c>
      <x:c r="G263" s="12" t="n">
        <x:v>2279.88</x:v>
      </x:c>
      <x:c r="H263" s="12" t="n">
        <x:v>1292.55</x:v>
      </x:c>
      <x:c r="I263" t="str">
        <x:v>Retail</x:v>
      </x:c>
      <x:c r="J263" t="str">
        <x:f>XLOOKUP(C263,'Lookup Tables'!$A$3:$A$12,'Lookup Tables'!$C$3:$C$12,"Not Found")</x:f>
        <x:v>Furniture</x:v>
      </x:c>
      <x:c r="K263" t="str">
        <x:f>XLOOKUP(B263,'Lookup Tables'!$F$3:$F$6,'Lookup Tables'!$G$3:$G$6,"Not Found")</x:f>
        <x:v>Daniel Kim</x:v>
      </x:c>
      <x:c r="L263" s="14" t="n">
        <x:f>XLOOKUP(B263,'Lookup Tables'!$F$3:$F$6,'Lookup Tables'!$H$3:$H$6,0)</x:f>
        <x:v>0.045</x:v>
      </x:c>
      <x:c r="M263" s="12" t="n">
        <x:f>G263-H263</x:f>
        <x:v>987.3300000000002</x:v>
      </x:c>
      <x:c r="N263" t="str">
        <x:f>IF(G263&gt;=10000,"High Value","Standard")</x:f>
        <x:v>Standard</x:v>
      </x:c>
      <x:c r="O263" t="str">
        <x:f>IF(M263/G263&gt;=0.40,"Strong Margin","Review Margin")</x:f>
        <x:v>Strong Margin</x:v>
      </x:c>
      <x:c r="P263" t="str">
        <x:f>TEXT(A263,"mmm")</x:f>
        <x:v>Nov</x:v>
      </x:c>
      <x:c r="Q263" s="12" t="n">
        <x:f>G263*L263</x:f>
        <x:v>102.5946</x:v>
      </x:c>
    </x:row>
    <x:row r="264">
      <x:c r="A264" s="10" t="n">
        <x:v>45963</x:v>
      </x:c>
      <x:c r="B264" t="str">
        <x:v>Midwest</x:v>
      </x:c>
      <x:c r="C264" t="str">
        <x:v>P-1001</x:v>
      </x:c>
      <x:c r="D264" t="str">
        <x:v>Wireless Headphones</x:v>
      </x:c>
      <x:c r="E264" t="str">
        <x:v>Lucas Miller</x:v>
      </x:c>
      <x:c r="F264" t="n">
        <x:v>5</x:v>
      </x:c>
      <x:c r="G264" s="12" t="n">
        <x:v>649.95</x:v>
      </x:c>
      <x:c r="H264" s="12" t="n">
        <x:v>346.63</x:v>
      </x:c>
      <x:c r="I264" t="str">
        <x:v>Retail</x:v>
      </x:c>
      <x:c r="J264" t="str">
        <x:f>XLOOKUP(C264,'Lookup Tables'!$A$3:$A$12,'Lookup Tables'!$C$3:$C$12,"Not Found")</x:f>
        <x:v>Electronics</x:v>
      </x:c>
      <x:c r="K264" t="str">
        <x:f>XLOOKUP(B264,'Lookup Tables'!$F$3:$F$6,'Lookup Tables'!$G$3:$G$6,"Not Found")</x:f>
        <x:v>Marcus Reed</x:v>
      </x:c>
      <x:c r="L264" s="14" t="n">
        <x:f>XLOOKUP(B264,'Lookup Tables'!$F$3:$F$6,'Lookup Tables'!$H$3:$H$6,0)</x:f>
        <x:v>0.035</x:v>
      </x:c>
      <x:c r="M264" s="12" t="n">
        <x:f>G264-H264</x:f>
        <x:v>303.32000000000005</x:v>
      </x:c>
      <x:c r="N264" t="str">
        <x:f>IF(G264&gt;=10000,"High Value","Standard")</x:f>
        <x:v>Standard</x:v>
      </x:c>
      <x:c r="O264" t="str">
        <x:f>IF(M264/G264&gt;=0.40,"Strong Margin","Review Margin")</x:f>
        <x:v>Strong Margin</x:v>
      </x:c>
      <x:c r="P264" t="str">
        <x:f>TEXT(A264,"mmm")</x:f>
        <x:v>Nov</x:v>
      </x:c>
      <x:c r="Q264" s="12" t="n">
        <x:f>G264*L264</x:f>
        <x:v>22.748250000000002</x:v>
      </x:c>
    </x:row>
    <x:row r="265">
      <x:c r="A265" s="10" t="n">
        <x:v>45968</x:v>
      </x:c>
      <x:c r="B265" t="str">
        <x:v>South</x:v>
      </x:c>
      <x:c r="C265" t="str">
        <x:v>P-1004</x:v>
      </x:c>
      <x:c r="D265" t="str">
        <x:v>Standing Desk Converter</x:v>
      </x:c>
      <x:c r="E265" t="str">
        <x:v>Lucas Miller</x:v>
      </x:c>
      <x:c r="F265" t="n">
        <x:v>13</x:v>
      </x:c>
      <x:c r="G265" s="12" t="n">
        <x:v>2469.87</x:v>
      </x:c>
      <x:c r="H265" s="12" t="n">
        <x:v>1423.81</x:v>
      </x:c>
      <x:c r="I265" t="str">
        <x:v>Retail</x:v>
      </x:c>
      <x:c r="J265" t="str">
        <x:f>XLOOKUP(C265,'Lookup Tables'!$A$3:$A$12,'Lookup Tables'!$C$3:$C$12,"Not Found")</x:f>
        <x:v>Furniture</x:v>
      </x:c>
      <x:c r="K265" t="str">
        <x:f>XLOOKUP(B265,'Lookup Tables'!$F$3:$F$6,'Lookup Tables'!$G$3:$G$6,"Not Found")</x:f>
        <x:v>Priya Patel</x:v>
      </x:c>
      <x:c r="L265" s="14" t="n">
        <x:f>XLOOKUP(B265,'Lookup Tables'!$F$3:$F$6,'Lookup Tables'!$H$3:$H$6,0)</x:f>
        <x:v>0.05</x:v>
      </x:c>
      <x:c r="M265" s="12" t="n">
        <x:f>G265-H265</x:f>
        <x:v>1046.06</x:v>
      </x:c>
      <x:c r="N265" t="str">
        <x:f>IF(G265&gt;=10000,"High Value","Standard")</x:f>
        <x:v>Standard</x:v>
      </x:c>
      <x:c r="O265" t="str">
        <x:f>IF(M265/G265&gt;=0.40,"Strong Margin","Review Margin")</x:f>
        <x:v>Strong Margin</x:v>
      </x:c>
      <x:c r="P265" t="str">
        <x:f>TEXT(A265,"mmm")</x:f>
        <x:v>Nov</x:v>
      </x:c>
      <x:c r="Q265" s="12" t="n">
        <x:f>G265*L265</x:f>
        <x:v>123.4935</x:v>
      </x:c>
    </x:row>
    <x:row r="266">
      <x:c r="A266" s="10" t="n">
        <x:v>45968</x:v>
      </x:c>
      <x:c r="B266" t="str">
        <x:v>Midwest</x:v>
      </x:c>
      <x:c r="C266" t="str">
        <x:v>P-1007</x:v>
      </x:c>
      <x:c r="D266" t="str">
        <x:v>Fitness Tracker</x:v>
      </x:c>
      <x:c r="E266" t="str">
        <x:v>Olivia Garcia</x:v>
      </x:c>
      <x:c r="F266" t="n">
        <x:v>17</x:v>
      </x:c>
      <x:c r="G266" s="12" t="n">
        <x:v>1917.44</x:v>
      </x:c>
      <x:c r="H266" s="12" t="n">
        <x:v>1021.87</x:v>
      </x:c>
      <x:c r="I266" t="str">
        <x:v>Wholesale</x:v>
      </x:c>
      <x:c r="J266" t="str">
        <x:f>XLOOKUP(C266,'Lookup Tables'!$A$3:$A$12,'Lookup Tables'!$C$3:$C$12,"Not Found")</x:f>
        <x:v>Fitness</x:v>
      </x:c>
      <x:c r="K266" t="str">
        <x:f>XLOOKUP(B266,'Lookup Tables'!$F$3:$F$6,'Lookup Tables'!$G$3:$G$6,"Not Found")</x:f>
        <x:v>Marcus Reed</x:v>
      </x:c>
      <x:c r="L266" s="14" t="n">
        <x:f>XLOOKUP(B266,'Lookup Tables'!$F$3:$F$6,'Lookup Tables'!$H$3:$H$6,0)</x:f>
        <x:v>0.035</x:v>
      </x:c>
      <x:c r="M266" s="12" t="n">
        <x:f>G266-H266</x:f>
        <x:v>895.57</x:v>
      </x:c>
      <x:c r="N266" t="str">
        <x:f>IF(G266&gt;=10000,"High Value","Standard")</x:f>
        <x:v>Standard</x:v>
      </x:c>
      <x:c r="O266" t="str">
        <x:f>IF(M266/G266&gt;=0.40,"Strong Margin","Review Margin")</x:f>
        <x:v>Strong Margin</x:v>
      </x:c>
      <x:c r="P266" t="str">
        <x:f>TEXT(A266,"mmm")</x:f>
        <x:v>Nov</x:v>
      </x:c>
      <x:c r="Q266" s="12" t="n">
        <x:f>G266*L266</x:f>
        <x:v>67.11040000000001</x:v>
      </x:c>
    </x:row>
    <x:row r="267">
      <x:c r="A267" s="10" t="n">
        <x:v>45968</x:v>
      </x:c>
      <x:c r="B267" t="str">
        <x:v>West</x:v>
      </x:c>
      <x:c r="C267" t="str">
        <x:v>P-1006</x:v>
      </x:c>
      <x:c r="D267" t="str">
        <x:v>Air Fryer XL</x:v>
      </x:c>
      <x:c r="E267" t="str">
        <x:v>Lucas Miller</x:v>
      </x:c>
      <x:c r="F267" t="n">
        <x:v>47</x:v>
      </x:c>
      <x:c r="G267" s="12" t="n">
        <x:v>6184.76</x:v>
      </x:c>
      <x:c r="H267" s="12" t="n">
        <x:v>3574.08</x:v>
      </x:c>
      <x:c r="I267" t="str">
        <x:v>Wholesale</x:v>
      </x:c>
      <x:c r="J267" t="str">
        <x:f>XLOOKUP(C267,'Lookup Tables'!$A$3:$A$12,'Lookup Tables'!$C$3:$C$12,"Not Found")</x:f>
        <x:v>Home Goods</x:v>
      </x:c>
      <x:c r="K267" t="str">
        <x:f>XLOOKUP(B267,'Lookup Tables'!$F$3:$F$6,'Lookup Tables'!$G$3:$G$6,"Not Found")</x:f>
        <x:v>Daniel Kim</x:v>
      </x:c>
      <x:c r="L267" s="14" t="n">
        <x:f>XLOOKUP(B267,'Lookup Tables'!$F$3:$F$6,'Lookup Tables'!$H$3:$H$6,0)</x:f>
        <x:v>0.045</x:v>
      </x:c>
      <x:c r="M267" s="12" t="n">
        <x:f>G267-H267</x:f>
        <x:v>2610.6800000000003</x:v>
      </x:c>
      <x:c r="N267" t="str">
        <x:f>IF(G267&gt;=10000,"High Value","Standard")</x:f>
        <x:v>Standard</x:v>
      </x:c>
      <x:c r="O267" t="str">
        <x:f>IF(M267/G267&gt;=0.40,"Strong Margin","Review Margin")</x:f>
        <x:v>Strong Margin</x:v>
      </x:c>
      <x:c r="P267" t="str">
        <x:f>TEXT(A267,"mmm")</x:f>
        <x:v>Nov</x:v>
      </x:c>
      <x:c r="Q267" s="12" t="n">
        <x:f>G267*L267</x:f>
        <x:v>278.31419999999997</x:v>
      </x:c>
    </x:row>
    <x:row r="268">
      <x:c r="A268" s="10" t="n">
        <x:v>45969</x:v>
      </x:c>
      <x:c r="B268" t="str">
        <x:v>East</x:v>
      </x:c>
      <x:c r="C268" t="str">
        <x:v>P-1001</x:v>
      </x:c>
      <x:c r="D268" t="str">
        <x:v>Wireless Headphones</x:v>
      </x:c>
      <x:c r="E268" t="str">
        <x:v>James Anderson</x:v>
      </x:c>
      <x:c r="F268" t="n">
        <x:v>16</x:v>
      </x:c>
      <x:c r="G268" s="12" t="n">
        <x:v>2079.84</x:v>
      </x:c>
      <x:c r="H268" s="12" t="n">
        <x:v>1095.25</x:v>
      </x:c>
      <x:c r="I268" t="str">
        <x:v>Retail</x:v>
      </x:c>
      <x:c r="J268" t="str">
        <x:f>XLOOKUP(C268,'Lookup Tables'!$A$3:$A$12,'Lookup Tables'!$C$3:$C$12,"Not Found")</x:f>
        <x:v>Electronics</x:v>
      </x:c>
      <x:c r="K268" t="str">
        <x:f>XLOOKUP(B268,'Lookup Tables'!$F$3:$F$6,'Lookup Tables'!$G$3:$G$6,"Not Found")</x:f>
        <x:v>Alicia Morgan</x:v>
      </x:c>
      <x:c r="L268" s="14" t="n">
        <x:f>XLOOKUP(B268,'Lookup Tables'!$F$3:$F$6,'Lookup Tables'!$H$3:$H$6,0)</x:f>
        <x:v>0.04</x:v>
      </x:c>
      <x:c r="M268" s="12" t="n">
        <x:f>G268-H268</x:f>
        <x:v>984.5900000000001</x:v>
      </x:c>
      <x:c r="N268" t="str">
        <x:f>IF(G268&gt;=10000,"High Value","Standard")</x:f>
        <x:v>Standard</x:v>
      </x:c>
      <x:c r="O268" t="str">
        <x:f>IF(M268/G268&gt;=0.40,"Strong Margin","Review Margin")</x:f>
        <x:v>Strong Margin</x:v>
      </x:c>
      <x:c r="P268" t="str">
        <x:f>TEXT(A268,"mmm")</x:f>
        <x:v>Nov</x:v>
      </x:c>
      <x:c r="Q268" s="12" t="n">
        <x:f>G268*L268</x:f>
        <x:v>83.1936</x:v>
      </x:c>
    </x:row>
    <x:row r="269">
      <x:c r="A269" s="10" t="n">
        <x:v>45969</x:v>
      </x:c>
      <x:c r="B269" t="str">
        <x:v>West</x:v>
      </x:c>
      <x:c r="C269" t="str">
        <x:v>P-1001</x:v>
      </x:c>
      <x:c r="D269" t="str">
        <x:v>Wireless Headphones</x:v>
      </x:c>
      <x:c r="E269" t="str">
        <x:v>Sophia Martinez</x:v>
      </x:c>
      <x:c r="F269" t="n">
        <x:v>3</x:v>
      </x:c>
      <x:c r="G269" s="12" t="n">
        <x:v>389.97</x:v>
      </x:c>
      <x:c r="H269" s="12" t="n">
        <x:v>205.92</x:v>
      </x:c>
      <x:c r="I269" t="str">
        <x:v>Retail</x:v>
      </x:c>
      <x:c r="J269" t="str">
        <x:f>XLOOKUP(C269,'Lookup Tables'!$A$3:$A$12,'Lookup Tables'!$C$3:$C$12,"Not Found")</x:f>
        <x:v>Electronics</x:v>
      </x:c>
      <x:c r="K269" t="str">
        <x:f>XLOOKUP(B269,'Lookup Tables'!$F$3:$F$6,'Lookup Tables'!$G$3:$G$6,"Not Found")</x:f>
        <x:v>Daniel Kim</x:v>
      </x:c>
      <x:c r="L269" s="14" t="n">
        <x:f>XLOOKUP(B269,'Lookup Tables'!$F$3:$F$6,'Lookup Tables'!$H$3:$H$6,0)</x:f>
        <x:v>0.045</x:v>
      </x:c>
      <x:c r="M269" s="12" t="n">
        <x:f>G269-H269</x:f>
        <x:v>184.05000000000004</x:v>
      </x:c>
      <x:c r="N269" t="str">
        <x:f>IF(G269&gt;=10000,"High Value","Standard")</x:f>
        <x:v>Standard</x:v>
      </x:c>
      <x:c r="O269" t="str">
        <x:f>IF(M269/G269&gt;=0.40,"Strong Margin","Review Margin")</x:f>
        <x:v>Strong Margin</x:v>
      </x:c>
      <x:c r="P269" t="str">
        <x:f>TEXT(A269,"mmm")</x:f>
        <x:v>Nov</x:v>
      </x:c>
      <x:c r="Q269" s="12" t="n">
        <x:f>G269*L269</x:f>
        <x:v>17.548650000000002</x:v>
      </x:c>
    </x:row>
    <x:row r="270">
      <x:c r="A270" s="10" t="n">
        <x:v>45970</x:v>
      </x:c>
      <x:c r="B270" t="str">
        <x:v>South</x:v>
      </x:c>
      <x:c r="C270" t="str">
        <x:v>P-1003</x:v>
      </x:c>
      <x:c r="D270" t="str">
        <x:v>Ergonomic Office Chair</x:v>
      </x:c>
      <x:c r="E270" t="str">
        <x:v>Lucas Miller</x:v>
      </x:c>
      <x:c r="F270" t="n">
        <x:v>35</x:v>
      </x:c>
      <x:c r="G270" s="12" t="n">
        <x:v>8224.67</x:v>
      </x:c>
      <x:c r="H270" s="12" t="n">
        <x:v>5256.93</x:v>
      </x:c>
      <x:c r="I270" t="str">
        <x:v>Wholesale</x:v>
      </x:c>
      <x:c r="J270" t="str">
        <x:f>XLOOKUP(C270,'Lookup Tables'!$A$3:$A$12,'Lookup Tables'!$C$3:$C$12,"Not Found")</x:f>
        <x:v>Furniture</x:v>
      </x:c>
      <x:c r="K270" t="str">
        <x:f>XLOOKUP(B270,'Lookup Tables'!$F$3:$F$6,'Lookup Tables'!$G$3:$G$6,"Not Found")</x:f>
        <x:v>Priya Patel</x:v>
      </x:c>
      <x:c r="L270" s="14" t="n">
        <x:f>XLOOKUP(B270,'Lookup Tables'!$F$3:$F$6,'Lookup Tables'!$H$3:$H$6,0)</x:f>
        <x:v>0.05</x:v>
      </x:c>
      <x:c r="M270" s="12" t="n">
        <x:f>G270-H270</x:f>
        <x:v>2967.74</x:v>
      </x:c>
      <x:c r="N270" t="str">
        <x:f>IF(G270&gt;=10000,"High Value","Standard")</x:f>
        <x:v>Standard</x:v>
      </x:c>
      <x:c r="O270" t="str">
        <x:f>IF(M270/G270&gt;=0.40,"Strong Margin","Review Margin")</x:f>
        <x:v>Review Margin</x:v>
      </x:c>
      <x:c r="P270" t="str">
        <x:f>TEXT(A270,"mmm")</x:f>
        <x:v>Nov</x:v>
      </x:c>
      <x:c r="Q270" s="12" t="n">
        <x:f>G270*L270</x:f>
        <x:v>411.23350000000005</x:v>
      </x:c>
    </x:row>
    <x:row r="271">
      <x:c r="A271" s="10" t="n">
        <x:v>45970</x:v>
      </x:c>
      <x:c r="B271" t="str">
        <x:v>Midwest</x:v>
      </x:c>
      <x:c r="C271" t="str">
        <x:v>P-1009</x:v>
      </x:c>
      <x:c r="D271" t="str">
        <x:v>Travel Backpack</x:v>
      </x:c>
      <x:c r="E271" t="str">
        <x:v>Ava Davis</x:v>
      </x:c>
      <x:c r="F271" t="n">
        <x:v>2</x:v>
      </x:c>
      <x:c r="G271" s="12" t="n">
        <x:v>179.98</x:v>
      </x:c>
      <x:c r="H271" s="12" t="n">
        <x:v>82.88</x:v>
      </x:c>
      <x:c r="I271" t="str">
        <x:v>Retail</x:v>
      </x:c>
      <x:c r="J271" t="str">
        <x:f>XLOOKUP(C271,'Lookup Tables'!$A$3:$A$12,'Lookup Tables'!$C$3:$C$12,"Not Found")</x:f>
        <x:v>Accessories</x:v>
      </x:c>
      <x:c r="K271" t="str">
        <x:f>XLOOKUP(B271,'Lookup Tables'!$F$3:$F$6,'Lookup Tables'!$G$3:$G$6,"Not Found")</x:f>
        <x:v>Marcus Reed</x:v>
      </x:c>
      <x:c r="L271" s="14" t="n">
        <x:f>XLOOKUP(B271,'Lookup Tables'!$F$3:$F$6,'Lookup Tables'!$H$3:$H$6,0)</x:f>
        <x:v>0.035</x:v>
      </x:c>
      <x:c r="M271" s="12" t="n">
        <x:f>G271-H271</x:f>
        <x:v>97.1</x:v>
      </x:c>
      <x:c r="N271" t="str">
        <x:f>IF(G271&gt;=10000,"High Value","Standard")</x:f>
        <x:v>Standard</x:v>
      </x:c>
      <x:c r="O271" t="str">
        <x:f>IF(M271/G271&gt;=0.40,"Strong Margin","Review Margin")</x:f>
        <x:v>Strong Margin</x:v>
      </x:c>
      <x:c r="P271" t="str">
        <x:f>TEXT(A271,"mmm")</x:f>
        <x:v>Nov</x:v>
      </x:c>
      <x:c r="Q271" s="12" t="n">
        <x:f>G271*L271</x:f>
        <x:v>6.299300000000001</x:v>
      </x:c>
    </x:row>
    <x:row r="272">
      <x:c r="A272" s="10" t="n">
        <x:v>45971</x:v>
      </x:c>
      <x:c r="B272" t="str">
        <x:v>Midwest</x:v>
      </x:c>
      <x:c r="C272" t="str">
        <x:v>P-1008</x:v>
      </x:c>
      <x:c r="D272" t="str">
        <x:v>Yoga Starter Kit</x:v>
      </x:c>
      <x:c r="E272" t="str">
        <x:v>Isabella Taylor</x:v>
      </x:c>
      <x:c r="F272" t="n">
        <x:v>6</x:v>
      </x:c>
      <x:c r="G272" s="12" t="n">
        <x:v>359.94</x:v>
      </x:c>
      <x:c r="H272" s="12" t="n">
        <x:v>147.81</x:v>
      </x:c>
      <x:c r="I272" t="str">
        <x:v>Retail</x:v>
      </x:c>
      <x:c r="J272" t="str">
        <x:f>XLOOKUP(C272,'Lookup Tables'!$A$3:$A$12,'Lookup Tables'!$C$3:$C$12,"Not Found")</x:f>
        <x:v>Fitness</x:v>
      </x:c>
      <x:c r="K272" t="str">
        <x:f>XLOOKUP(B272,'Lookup Tables'!$F$3:$F$6,'Lookup Tables'!$G$3:$G$6,"Not Found")</x:f>
        <x:v>Marcus Reed</x:v>
      </x:c>
      <x:c r="L272" s="14" t="n">
        <x:f>XLOOKUP(B272,'Lookup Tables'!$F$3:$F$6,'Lookup Tables'!$H$3:$H$6,0)</x:f>
        <x:v>0.035</x:v>
      </x:c>
      <x:c r="M272" s="12" t="n">
        <x:f>G272-H272</x:f>
        <x:v>212.13</x:v>
      </x:c>
      <x:c r="N272" t="str">
        <x:f>IF(G272&gt;=10000,"High Value","Standard")</x:f>
        <x:v>Standard</x:v>
      </x:c>
      <x:c r="O272" t="str">
        <x:f>IF(M272/G272&gt;=0.40,"Strong Margin","Review Margin")</x:f>
        <x:v>Strong Margin</x:v>
      </x:c>
      <x:c r="P272" t="str">
        <x:f>TEXT(A272,"mmm")</x:f>
        <x:v>Nov</x:v>
      </x:c>
      <x:c r="Q272" s="12" t="n">
        <x:f>G272*L272</x:f>
        <x:v>12.597900000000001</x:v>
      </x:c>
    </x:row>
    <x:row r="273">
      <x:c r="A273" s="10" t="n">
        <x:v>45971</x:v>
      </x:c>
      <x:c r="B273" t="str">
        <x:v>Midwest</x:v>
      </x:c>
      <x:c r="C273" t="str">
        <x:v>P-1009</x:v>
      </x:c>
      <x:c r="D273" t="str">
        <x:v>Travel Backpack</x:v>
      </x:c>
      <x:c r="E273" t="str">
        <x:v>Benjamin Moore</x:v>
      </x:c>
      <x:c r="F273" t="n">
        <x:v>22</x:v>
      </x:c>
      <x:c r="G273" s="12" t="n">
        <x:v>1860.99</x:v>
      </x:c>
      <x:c r="H273" s="12" t="n">
        <x:v>941.8</x:v>
      </x:c>
      <x:c r="I273" t="str">
        <x:v>Wholesale</x:v>
      </x:c>
      <x:c r="J273" t="str">
        <x:f>XLOOKUP(C273,'Lookup Tables'!$A$3:$A$12,'Lookup Tables'!$C$3:$C$12,"Not Found")</x:f>
        <x:v>Accessories</x:v>
      </x:c>
      <x:c r="K273" t="str">
        <x:f>XLOOKUP(B273,'Lookup Tables'!$F$3:$F$6,'Lookup Tables'!$G$3:$G$6,"Not Found")</x:f>
        <x:v>Marcus Reed</x:v>
      </x:c>
      <x:c r="L273" s="14" t="n">
        <x:f>XLOOKUP(B273,'Lookup Tables'!$F$3:$F$6,'Lookup Tables'!$H$3:$H$6,0)</x:f>
        <x:v>0.035</x:v>
      </x:c>
      <x:c r="M273" s="12" t="n">
        <x:f>G273-H273</x:f>
        <x:v>919.19</x:v>
      </x:c>
      <x:c r="N273" t="str">
        <x:f>IF(G273&gt;=10000,"High Value","Standard")</x:f>
        <x:v>Standard</x:v>
      </x:c>
      <x:c r="O273" t="str">
        <x:f>IF(M273/G273&gt;=0.40,"Strong Margin","Review Margin")</x:f>
        <x:v>Strong Margin</x:v>
      </x:c>
      <x:c r="P273" t="str">
        <x:f>TEXT(A273,"mmm")</x:f>
        <x:v>Nov</x:v>
      </x:c>
      <x:c r="Q273" s="12" t="n">
        <x:f>G273*L273</x:f>
        <x:v>65.13465000000001</x:v>
      </x:c>
    </x:row>
    <x:row r="274">
      <x:c r="A274" s="10" t="n">
        <x:v>45973</x:v>
      </x:c>
      <x:c r="B274" t="str">
        <x:v>Midwest</x:v>
      </x:c>
      <x:c r="C274" t="str">
        <x:v>P-1006</x:v>
      </x:c>
      <x:c r="D274" t="str">
        <x:v>Air Fryer XL</x:v>
      </x:c>
      <x:c r="E274" t="str">
        <x:v>Maya Johnson</x:v>
      </x:c>
      <x:c r="F274" t="n">
        <x:v>11</x:v>
      </x:c>
      <x:c r="G274" s="12" t="n">
        <x:v>1539.89</x:v>
      </x:c>
      <x:c r="H274" s="12" t="n">
        <x:v>798.67</x:v>
      </x:c>
      <x:c r="I274" t="str">
        <x:v>Retail</x:v>
      </x:c>
      <x:c r="J274" t="str">
        <x:f>XLOOKUP(C274,'Lookup Tables'!$A$3:$A$12,'Lookup Tables'!$C$3:$C$12,"Not Found")</x:f>
        <x:v>Home Goods</x:v>
      </x:c>
      <x:c r="K274" t="str">
        <x:f>XLOOKUP(B274,'Lookup Tables'!$F$3:$F$6,'Lookup Tables'!$G$3:$G$6,"Not Found")</x:f>
        <x:v>Marcus Reed</x:v>
      </x:c>
      <x:c r="L274" s="14" t="n">
        <x:f>XLOOKUP(B274,'Lookup Tables'!$F$3:$F$6,'Lookup Tables'!$H$3:$H$6,0)</x:f>
        <x:v>0.035</x:v>
      </x:c>
      <x:c r="M274" s="12" t="n">
        <x:f>G274-H274</x:f>
        <x:v>741.2200000000001</x:v>
      </x:c>
      <x:c r="N274" t="str">
        <x:f>IF(G274&gt;=10000,"High Value","Standard")</x:f>
        <x:v>Standard</x:v>
      </x:c>
      <x:c r="O274" t="str">
        <x:f>IF(M274/G274&gt;=0.40,"Strong Margin","Review Margin")</x:f>
        <x:v>Strong Margin</x:v>
      </x:c>
      <x:c r="P274" t="str">
        <x:f>TEXT(A274,"mmm")</x:f>
        <x:v>Nov</x:v>
      </x:c>
      <x:c r="Q274" s="12" t="n">
        <x:f>G274*L274</x:f>
        <x:v>53.896150000000006</x:v>
      </x:c>
    </x:row>
    <x:row r="275">
      <x:c r="A275" s="10" t="n">
        <x:v>45974</x:v>
      </x:c>
      <x:c r="B275" t="str">
        <x:v>West</x:v>
      </x:c>
      <x:c r="C275" t="str">
        <x:v>P-1006</x:v>
      </x:c>
      <x:c r="D275" t="str">
        <x:v>Air Fryer XL</x:v>
      </x:c>
      <x:c r="E275" t="str">
        <x:v>Liam Wilson</x:v>
      </x:c>
      <x:c r="F275" t="n">
        <x:v>4</x:v>
      </x:c>
      <x:c r="G275" s="12" t="n">
        <x:v>559.96</x:v>
      </x:c>
      <x:c r="H275" s="12" t="n">
        <x:v>302.28</x:v>
      </x:c>
      <x:c r="I275" t="str">
        <x:v>Retail</x:v>
      </x:c>
      <x:c r="J275" t="str">
        <x:f>XLOOKUP(C275,'Lookup Tables'!$A$3:$A$12,'Lookup Tables'!$C$3:$C$12,"Not Found")</x:f>
        <x:v>Home Goods</x:v>
      </x:c>
      <x:c r="K275" t="str">
        <x:f>XLOOKUP(B275,'Lookup Tables'!$F$3:$F$6,'Lookup Tables'!$G$3:$G$6,"Not Found")</x:f>
        <x:v>Daniel Kim</x:v>
      </x:c>
      <x:c r="L275" s="14" t="n">
        <x:f>XLOOKUP(B275,'Lookup Tables'!$F$3:$F$6,'Lookup Tables'!$H$3:$H$6,0)</x:f>
        <x:v>0.045</x:v>
      </x:c>
      <x:c r="M275" s="12" t="n">
        <x:f>G275-H275</x:f>
        <x:v>257.68000000000006</x:v>
      </x:c>
      <x:c r="N275" t="str">
        <x:f>IF(G275&gt;=10000,"High Value","Standard")</x:f>
        <x:v>Standard</x:v>
      </x:c>
      <x:c r="O275" t="str">
        <x:f>IF(M275/G275&gt;=0.40,"Strong Margin","Review Margin")</x:f>
        <x:v>Strong Margin</x:v>
      </x:c>
      <x:c r="P275" t="str">
        <x:f>TEXT(A275,"mmm")</x:f>
        <x:v>Nov</x:v>
      </x:c>
      <x:c r="Q275" s="12" t="n">
        <x:f>G275*L275</x:f>
        <x:v>25.1982</x:v>
      </x:c>
    </x:row>
    <x:row r="276">
      <x:c r="A276" s="10" t="n">
        <x:v>45975</x:v>
      </x:c>
      <x:c r="B276" t="str">
        <x:v>East</x:v>
      </x:c>
      <x:c r="C276" t="str">
        <x:v>P-1006</x:v>
      </x:c>
      <x:c r="D276" t="str">
        <x:v>Air Fryer XL</x:v>
      </x:c>
      <x:c r="E276" t="str">
        <x:v>James Anderson</x:v>
      </x:c>
      <x:c r="F276" t="n">
        <x:v>6</x:v>
      </x:c>
      <x:c r="G276" s="12" t="n">
        <x:v>839.94</x:v>
      </x:c>
      <x:c r="H276" s="12" t="n">
        <x:v>457.38</x:v>
      </x:c>
      <x:c r="I276" t="str">
        <x:v>Retail</x:v>
      </x:c>
      <x:c r="J276" t="str">
        <x:f>XLOOKUP(C276,'Lookup Tables'!$A$3:$A$12,'Lookup Tables'!$C$3:$C$12,"Not Found")</x:f>
        <x:v>Home Goods</x:v>
      </x:c>
      <x:c r="K276" t="str">
        <x:f>XLOOKUP(B276,'Lookup Tables'!$F$3:$F$6,'Lookup Tables'!$G$3:$G$6,"Not Found")</x:f>
        <x:v>Alicia Morgan</x:v>
      </x:c>
      <x:c r="L276" s="14" t="n">
        <x:f>XLOOKUP(B276,'Lookup Tables'!$F$3:$F$6,'Lookup Tables'!$H$3:$H$6,0)</x:f>
        <x:v>0.04</x:v>
      </x:c>
      <x:c r="M276" s="12" t="n">
        <x:f>G276-H276</x:f>
        <x:v>382.56000000000006</x:v>
      </x:c>
      <x:c r="N276" t="str">
        <x:f>IF(G276&gt;=10000,"High Value","Standard")</x:f>
        <x:v>Standard</x:v>
      </x:c>
      <x:c r="O276" t="str">
        <x:f>IF(M276/G276&gt;=0.40,"Strong Margin","Review Margin")</x:f>
        <x:v>Strong Margin</x:v>
      </x:c>
      <x:c r="P276" t="str">
        <x:f>TEXT(A276,"mmm")</x:f>
        <x:v>Nov</x:v>
      </x:c>
      <x:c r="Q276" s="12" t="n">
        <x:f>G276*L276</x:f>
        <x:v>33.5976</x:v>
      </x:c>
    </x:row>
    <x:row r="277">
      <x:c r="A277" s="10" t="n">
        <x:v>45976</x:v>
      </x:c>
      <x:c r="B277" t="str">
        <x:v>West</x:v>
      </x:c>
      <x:c r="C277" t="str">
        <x:v>P-1001</x:v>
      </x:c>
      <x:c r="D277" t="str">
        <x:v>Wireless Headphones</x:v>
      </x:c>
      <x:c r="E277" t="str">
        <x:v>Lucas Miller</x:v>
      </x:c>
      <x:c r="F277" t="n">
        <x:v>2</x:v>
      </x:c>
      <x:c r="G277" s="12" t="n">
        <x:v>259.98</x:v>
      </x:c>
      <x:c r="H277" s="12" t="n">
        <x:v>138.75</x:v>
      </x:c>
      <x:c r="I277" t="str">
        <x:v>Retail</x:v>
      </x:c>
      <x:c r="J277" t="str">
        <x:f>XLOOKUP(C277,'Lookup Tables'!$A$3:$A$12,'Lookup Tables'!$C$3:$C$12,"Not Found")</x:f>
        <x:v>Electronics</x:v>
      </x:c>
      <x:c r="K277" t="str">
        <x:f>XLOOKUP(B277,'Lookup Tables'!$F$3:$F$6,'Lookup Tables'!$G$3:$G$6,"Not Found")</x:f>
        <x:v>Daniel Kim</x:v>
      </x:c>
      <x:c r="L277" s="14" t="n">
        <x:f>XLOOKUP(B277,'Lookup Tables'!$F$3:$F$6,'Lookup Tables'!$H$3:$H$6,0)</x:f>
        <x:v>0.045</x:v>
      </x:c>
      <x:c r="M277" s="12" t="n">
        <x:f>G277-H277</x:f>
        <x:v>121.23000000000002</x:v>
      </x:c>
      <x:c r="N277" t="str">
        <x:f>IF(G277&gt;=10000,"High Value","Standard")</x:f>
        <x:v>Standard</x:v>
      </x:c>
      <x:c r="O277" t="str">
        <x:f>IF(M277/G277&gt;=0.40,"Strong Margin","Review Margin")</x:f>
        <x:v>Strong Margin</x:v>
      </x:c>
      <x:c r="P277" t="str">
        <x:f>TEXT(A277,"mmm")</x:f>
        <x:v>Nov</x:v>
      </x:c>
      <x:c r="Q277" s="12" t="n">
        <x:f>G277*L277</x:f>
        <x:v>11.6991</x:v>
      </x:c>
    </x:row>
    <x:row r="278">
      <x:c r="A278" s="10" t="n">
        <x:v>45978</x:v>
      </x:c>
      <x:c r="B278" t="str">
        <x:v>South</x:v>
      </x:c>
      <x:c r="C278" t="str">
        <x:v>P-1005</x:v>
      </x:c>
      <x:c r="D278" t="str">
        <x:v>Stainless Cookware Set</x:v>
      </x:c>
      <x:c r="E278" t="str">
        <x:v>Maya Johnson</x:v>
      </x:c>
      <x:c r="F278" t="n">
        <x:v>74</x:v>
      </x:c>
      <x:c r="G278" s="12" t="n">
        <x:v>11128.9</x:v>
      </x:c>
      <x:c r="H278" s="12" t="n">
        <x:v>6527.05</x:v>
      </x:c>
      <x:c r="I278" t="str">
        <x:v>Wholesale</x:v>
      </x:c>
      <x:c r="J278" t="str">
        <x:f>XLOOKUP(C278,'Lookup Tables'!$A$3:$A$12,'Lookup Tables'!$C$3:$C$12,"Not Found")</x:f>
        <x:v>Home Goods</x:v>
      </x:c>
      <x:c r="K278" t="str">
        <x:f>XLOOKUP(B278,'Lookup Tables'!$F$3:$F$6,'Lookup Tables'!$G$3:$G$6,"Not Found")</x:f>
        <x:v>Priya Patel</x:v>
      </x:c>
      <x:c r="L278" s="14" t="n">
        <x:f>XLOOKUP(B278,'Lookup Tables'!$F$3:$F$6,'Lookup Tables'!$H$3:$H$6,0)</x:f>
        <x:v>0.05</x:v>
      </x:c>
      <x:c r="M278" s="12" t="n">
        <x:f>G278-H278</x:f>
        <x:v>4601.849999999999</x:v>
      </x:c>
      <x:c r="N278" t="str">
        <x:f>IF(G278&gt;=10000,"High Value","Standard")</x:f>
        <x:v>High Value</x:v>
      </x:c>
      <x:c r="O278" t="str">
        <x:f>IF(M278/G278&gt;=0.40,"Strong Margin","Review Margin")</x:f>
        <x:v>Strong Margin</x:v>
      </x:c>
      <x:c r="P278" t="str">
        <x:f>TEXT(A278,"mmm")</x:f>
        <x:v>Nov</x:v>
      </x:c>
      <x:c r="Q278" s="12" t="n">
        <x:f>G278*L278</x:f>
        <x:v>556.445</x:v>
      </x:c>
    </x:row>
    <x:row r="279">
      <x:c r="A279" s="10" t="n">
        <x:v>45980</x:v>
      </x:c>
      <x:c r="B279" t="str">
        <x:v>South</x:v>
      </x:c>
      <x:c r="C279" t="str">
        <x:v>P-1002</x:v>
      </x:c>
      <x:c r="D279" t="str">
        <x:v>Smart Home Hub</x:v>
      </x:c>
      <x:c r="E279" t="str">
        <x:v>Olivia Garcia</x:v>
      </x:c>
      <x:c r="F279" t="n">
        <x:v>2</x:v>
      </x:c>
      <x:c r="G279" s="12" t="n">
        <x:v>399.98</x:v>
      </x:c>
      <x:c r="H279" s="12" t="n">
        <x:v>217.04</x:v>
      </x:c>
      <x:c r="I279" t="str">
        <x:v>Retail</x:v>
      </x:c>
      <x:c r="J279" t="str">
        <x:f>XLOOKUP(C279,'Lookup Tables'!$A$3:$A$12,'Lookup Tables'!$C$3:$C$12,"Not Found")</x:f>
        <x:v>Electronics</x:v>
      </x:c>
      <x:c r="K279" t="str">
        <x:f>XLOOKUP(B279,'Lookup Tables'!$F$3:$F$6,'Lookup Tables'!$G$3:$G$6,"Not Found")</x:f>
        <x:v>Priya Patel</x:v>
      </x:c>
      <x:c r="L279" s="14" t="n">
        <x:f>XLOOKUP(B279,'Lookup Tables'!$F$3:$F$6,'Lookup Tables'!$H$3:$H$6,0)</x:f>
        <x:v>0.05</x:v>
      </x:c>
      <x:c r="M279" s="12" t="n">
        <x:f>G279-H279</x:f>
        <x:v>182.94000000000003</x:v>
      </x:c>
      <x:c r="N279" t="str">
        <x:f>IF(G279&gt;=10000,"High Value","Standard")</x:f>
        <x:v>Standard</x:v>
      </x:c>
      <x:c r="O279" t="str">
        <x:f>IF(M279/G279&gt;=0.40,"Strong Margin","Review Margin")</x:f>
        <x:v>Strong Margin</x:v>
      </x:c>
      <x:c r="P279" t="str">
        <x:f>TEXT(A279,"mmm")</x:f>
        <x:v>Nov</x:v>
      </x:c>
      <x:c r="Q279" s="12" t="n">
        <x:f>G279*L279</x:f>
        <x:v>19.999000000000002</x:v>
      </x:c>
    </x:row>
    <x:row r="280">
      <x:c r="A280" s="10" t="n">
        <x:v>45980</x:v>
      </x:c>
      <x:c r="B280" t="str">
        <x:v>South</x:v>
      </x:c>
      <x:c r="C280" t="str">
        <x:v>P-1007</x:v>
      </x:c>
      <x:c r="D280" t="str">
        <x:v>Fitness Tracker</x:v>
      </x:c>
      <x:c r="E280" t="str">
        <x:v>Ava Davis</x:v>
      </x:c>
      <x:c r="F280" t="n">
        <x:v>18</x:v>
      </x:c>
      <x:c r="G280" s="12" t="n">
        <x:v>2159.82</x:v>
      </x:c>
      <x:c r="H280" s="12" t="n">
        <x:v>1101.69</x:v>
      </x:c>
      <x:c r="I280" t="str">
        <x:v>Retail</x:v>
      </x:c>
      <x:c r="J280" t="str">
        <x:f>XLOOKUP(C280,'Lookup Tables'!$A$3:$A$12,'Lookup Tables'!$C$3:$C$12,"Not Found")</x:f>
        <x:v>Fitness</x:v>
      </x:c>
      <x:c r="K280" t="str">
        <x:f>XLOOKUP(B280,'Lookup Tables'!$F$3:$F$6,'Lookup Tables'!$G$3:$G$6,"Not Found")</x:f>
        <x:v>Priya Patel</x:v>
      </x:c>
      <x:c r="L280" s="14" t="n">
        <x:f>XLOOKUP(B280,'Lookup Tables'!$F$3:$F$6,'Lookup Tables'!$H$3:$H$6,0)</x:f>
        <x:v>0.05</x:v>
      </x:c>
      <x:c r="M280" s="12" t="n">
        <x:f>G280-H280</x:f>
        <x:v>1058.13</x:v>
      </x:c>
      <x:c r="N280" t="str">
        <x:f>IF(G280&gt;=10000,"High Value","Standard")</x:f>
        <x:v>Standard</x:v>
      </x:c>
      <x:c r="O280" t="str">
        <x:f>IF(M280/G280&gt;=0.40,"Strong Margin","Review Margin")</x:f>
        <x:v>Strong Margin</x:v>
      </x:c>
      <x:c r="P280" t="str">
        <x:f>TEXT(A280,"mmm")</x:f>
        <x:v>Nov</x:v>
      </x:c>
      <x:c r="Q280" s="12" t="n">
        <x:f>G280*L280</x:f>
        <x:v>107.99100000000001</x:v>
      </x:c>
    </x:row>
    <x:row r="281">
      <x:c r="A281" s="10" t="n">
        <x:v>45982</x:v>
      </x:c>
      <x:c r="B281" t="str">
        <x:v>South</x:v>
      </x:c>
      <x:c r="C281" t="str">
        <x:v>P-1001</x:v>
      </x:c>
      <x:c r="D281" t="str">
        <x:v>Wireless Headphones</x:v>
      </x:c>
      <x:c r="E281" t="str">
        <x:v>Olivia Garcia</x:v>
      </x:c>
      <x:c r="F281" t="n">
        <x:v>19</x:v>
      </x:c>
      <x:c r="G281" s="12" t="n">
        <x:v>2321.62</x:v>
      </x:c>
      <x:c r="H281" s="12" t="n">
        <x:v>1271.24</x:v>
      </x:c>
      <x:c r="I281" t="str">
        <x:v>Wholesale</x:v>
      </x:c>
      <x:c r="J281" t="str">
        <x:f>XLOOKUP(C281,'Lookup Tables'!$A$3:$A$12,'Lookup Tables'!$C$3:$C$12,"Not Found")</x:f>
        <x:v>Electronics</x:v>
      </x:c>
      <x:c r="K281" t="str">
        <x:f>XLOOKUP(B281,'Lookup Tables'!$F$3:$F$6,'Lookup Tables'!$G$3:$G$6,"Not Found")</x:f>
        <x:v>Priya Patel</x:v>
      </x:c>
      <x:c r="L281" s="14" t="n">
        <x:f>XLOOKUP(B281,'Lookup Tables'!$F$3:$F$6,'Lookup Tables'!$H$3:$H$6,0)</x:f>
        <x:v>0.05</x:v>
      </x:c>
      <x:c r="M281" s="12" t="n">
        <x:f>G281-H281</x:f>
        <x:v>1050.3799999999999</x:v>
      </x:c>
      <x:c r="N281" t="str">
        <x:f>IF(G281&gt;=10000,"High Value","Standard")</x:f>
        <x:v>Standard</x:v>
      </x:c>
      <x:c r="O281" t="str">
        <x:f>IF(M281/G281&gt;=0.40,"Strong Margin","Review Margin")</x:f>
        <x:v>Strong Margin</x:v>
      </x:c>
      <x:c r="P281" t="str">
        <x:f>TEXT(A281,"mmm")</x:f>
        <x:v>Nov</x:v>
      </x:c>
      <x:c r="Q281" s="12" t="n">
        <x:f>G281*L281</x:f>
        <x:v>116.081</x:v>
      </x:c>
    </x:row>
    <x:row r="282">
      <x:c r="A282" s="10" t="n">
        <x:v>45982</x:v>
      </x:c>
      <x:c r="B282" t="str">
        <x:v>East</x:v>
      </x:c>
      <x:c r="C282" t="str">
        <x:v>P-1005</x:v>
      </x:c>
      <x:c r="D282" t="str">
        <x:v>Stainless Cookware Set</x:v>
      </x:c>
      <x:c r="E282" t="str">
        <x:v>Liam Wilson</x:v>
      </x:c>
      <x:c r="F282" t="n">
        <x:v>23</x:v>
      </x:c>
      <x:c r="G282" s="12" t="n">
        <x:v>3679.77</x:v>
      </x:c>
      <x:c r="H282" s="12" t="n">
        <x:v>2016.99</x:v>
      </x:c>
      <x:c r="I282" t="str">
        <x:v>Retail</x:v>
      </x:c>
      <x:c r="J282" t="str">
        <x:f>XLOOKUP(C282,'Lookup Tables'!$A$3:$A$12,'Lookup Tables'!$C$3:$C$12,"Not Found")</x:f>
        <x:v>Home Goods</x:v>
      </x:c>
      <x:c r="K282" t="str">
        <x:f>XLOOKUP(B282,'Lookup Tables'!$F$3:$F$6,'Lookup Tables'!$G$3:$G$6,"Not Found")</x:f>
        <x:v>Alicia Morgan</x:v>
      </x:c>
      <x:c r="L282" s="14" t="n">
        <x:f>XLOOKUP(B282,'Lookup Tables'!$F$3:$F$6,'Lookup Tables'!$H$3:$H$6,0)</x:f>
        <x:v>0.04</x:v>
      </x:c>
      <x:c r="M282" s="12" t="n">
        <x:f>G282-H282</x:f>
        <x:v>1662.78</x:v>
      </x:c>
      <x:c r="N282" t="str">
        <x:f>IF(G282&gt;=10000,"High Value","Standard")</x:f>
        <x:v>Standard</x:v>
      </x:c>
      <x:c r="O282" t="str">
        <x:f>IF(M282/G282&gt;=0.40,"Strong Margin","Review Margin")</x:f>
        <x:v>Strong Margin</x:v>
      </x:c>
      <x:c r="P282" t="str">
        <x:f>TEXT(A282,"mmm")</x:f>
        <x:v>Nov</x:v>
      </x:c>
      <x:c r="Q282" s="12" t="n">
        <x:f>G282*L282</x:f>
        <x:v>147.1908</x:v>
      </x:c>
    </x:row>
    <x:row r="283">
      <x:c r="A283" s="10" t="n">
        <x:v>45984</x:v>
      </x:c>
      <x:c r="B283" t="str">
        <x:v>East</x:v>
      </x:c>
      <x:c r="C283" t="str">
        <x:v>P-1002</x:v>
      </x:c>
      <x:c r="D283" t="str">
        <x:v>Smart Home Hub</x:v>
      </x:c>
      <x:c r="E283" t="str">
        <x:v>Lucas Miller</x:v>
      </x:c>
      <x:c r="F283" t="n">
        <x:v>52</x:v>
      </x:c>
      <x:c r="G283" s="12" t="n">
        <x:v>9775.51</x:v>
      </x:c>
      <x:c r="H283" s="12" t="n">
        <x:v>5949.13</x:v>
      </x:c>
      <x:c r="I283" t="str">
        <x:v>Wholesale</x:v>
      </x:c>
      <x:c r="J283" t="str">
        <x:f>XLOOKUP(C283,'Lookup Tables'!$A$3:$A$12,'Lookup Tables'!$C$3:$C$12,"Not Found")</x:f>
        <x:v>Electronics</x:v>
      </x:c>
      <x:c r="K283" t="str">
        <x:f>XLOOKUP(B283,'Lookup Tables'!$F$3:$F$6,'Lookup Tables'!$G$3:$G$6,"Not Found")</x:f>
        <x:v>Alicia Morgan</x:v>
      </x:c>
      <x:c r="L283" s="14" t="n">
        <x:f>XLOOKUP(B283,'Lookup Tables'!$F$3:$F$6,'Lookup Tables'!$H$3:$H$6,0)</x:f>
        <x:v>0.04</x:v>
      </x:c>
      <x:c r="M283" s="12" t="n">
        <x:f>G283-H283</x:f>
        <x:v>3826.38</x:v>
      </x:c>
      <x:c r="N283" t="str">
        <x:f>IF(G283&gt;=10000,"High Value","Standard")</x:f>
        <x:v>Standard</x:v>
      </x:c>
      <x:c r="O283" t="str">
        <x:f>IF(M283/G283&gt;=0.40,"Strong Margin","Review Margin")</x:f>
        <x:v>Review Margin</x:v>
      </x:c>
      <x:c r="P283" t="str">
        <x:f>TEXT(A283,"mmm")</x:f>
        <x:v>Nov</x:v>
      </x:c>
      <x:c r="Q283" s="12" t="n">
        <x:f>G283*L283</x:f>
        <x:v>391.0204</x:v>
      </x:c>
    </x:row>
    <x:row r="284">
      <x:c r="A284" s="10" t="n">
        <x:v>45985</x:v>
      </x:c>
      <x:c r="B284" t="str">
        <x:v>East</x:v>
      </x:c>
      <x:c r="C284" t="str">
        <x:v>P-1009</x:v>
      </x:c>
      <x:c r="D284" t="str">
        <x:v>Travel Backpack</x:v>
      </x:c>
      <x:c r="E284" t="str">
        <x:v>Isabella Taylor</x:v>
      </x:c>
      <x:c r="F284" t="n">
        <x:v>6</x:v>
      </x:c>
      <x:c r="G284" s="12" t="n">
        <x:v>539.94</x:v>
      </x:c>
      <x:c r="H284" s="12" t="n">
        <x:v>261.15</x:v>
      </x:c>
      <x:c r="I284" t="str">
        <x:v>Retail</x:v>
      </x:c>
      <x:c r="J284" t="str">
        <x:f>XLOOKUP(C284,'Lookup Tables'!$A$3:$A$12,'Lookup Tables'!$C$3:$C$12,"Not Found")</x:f>
        <x:v>Accessories</x:v>
      </x:c>
      <x:c r="K284" t="str">
        <x:f>XLOOKUP(B284,'Lookup Tables'!$F$3:$F$6,'Lookup Tables'!$G$3:$G$6,"Not Found")</x:f>
        <x:v>Alicia Morgan</x:v>
      </x:c>
      <x:c r="L284" s="14" t="n">
        <x:f>XLOOKUP(B284,'Lookup Tables'!$F$3:$F$6,'Lookup Tables'!$H$3:$H$6,0)</x:f>
        <x:v>0.04</x:v>
      </x:c>
      <x:c r="M284" s="12" t="n">
        <x:f>G284-H284</x:f>
        <x:v>278.7900000000001</x:v>
      </x:c>
      <x:c r="N284" t="str">
        <x:f>IF(G284&gt;=10000,"High Value","Standard")</x:f>
        <x:v>Standard</x:v>
      </x:c>
      <x:c r="O284" t="str">
        <x:f>IF(M284/G284&gt;=0.40,"Strong Margin","Review Margin")</x:f>
        <x:v>Strong Margin</x:v>
      </x:c>
      <x:c r="P284" t="str">
        <x:f>TEXT(A284,"mmm")</x:f>
        <x:v>Nov</x:v>
      </x:c>
      <x:c r="Q284" s="12" t="n">
        <x:f>G284*L284</x:f>
        <x:v>21.597600000000003</x:v>
      </x:c>
    </x:row>
    <x:row r="285">
      <x:c r="A285" s="10" t="n">
        <x:v>45985</x:v>
      </x:c>
      <x:c r="B285" t="str">
        <x:v>Midwest</x:v>
      </x:c>
      <x:c r="C285" t="str">
        <x:v>P-1003</x:v>
      </x:c>
      <x:c r="D285" t="str">
        <x:v>Ergonomic Office Chair</x:v>
      </x:c>
      <x:c r="E285" t="str">
        <x:v>James Anderson</x:v>
      </x:c>
      <x:c r="F285" t="n">
        <x:v>3</x:v>
      </x:c>
      <x:c r="G285" s="12" t="n">
        <x:v>749.97</x:v>
      </x:c>
      <x:c r="H285" s="12" t="n">
        <x:v>440.15</x:v>
      </x:c>
      <x:c r="I285" t="str">
        <x:v>Retail</x:v>
      </x:c>
      <x:c r="J285" t="str">
        <x:f>XLOOKUP(C285,'Lookup Tables'!$A$3:$A$12,'Lookup Tables'!$C$3:$C$12,"Not Found")</x:f>
        <x:v>Furniture</x:v>
      </x:c>
      <x:c r="K285" t="str">
        <x:f>XLOOKUP(B285,'Lookup Tables'!$F$3:$F$6,'Lookup Tables'!$G$3:$G$6,"Not Found")</x:f>
        <x:v>Marcus Reed</x:v>
      </x:c>
      <x:c r="L285" s="14" t="n">
        <x:f>XLOOKUP(B285,'Lookup Tables'!$F$3:$F$6,'Lookup Tables'!$H$3:$H$6,0)</x:f>
        <x:v>0.035</x:v>
      </x:c>
      <x:c r="M285" s="12" t="n">
        <x:f>G285-H285</x:f>
        <x:v>309.82000000000005</x:v>
      </x:c>
      <x:c r="N285" t="str">
        <x:f>IF(G285&gt;=10000,"High Value","Standard")</x:f>
        <x:v>Standard</x:v>
      </x:c>
      <x:c r="O285" t="str">
        <x:f>IF(M285/G285&gt;=0.40,"Strong Margin","Review Margin")</x:f>
        <x:v>Strong Margin</x:v>
      </x:c>
      <x:c r="P285" t="str">
        <x:f>TEXT(A285,"mmm")</x:f>
        <x:v>Nov</x:v>
      </x:c>
      <x:c r="Q285" s="12" t="n">
        <x:f>G285*L285</x:f>
        <x:v>26.248950000000004</x:v>
      </x:c>
    </x:row>
    <x:row r="286">
      <x:c r="A286" s="10" t="n">
        <x:v>45986</x:v>
      </x:c>
      <x:c r="B286" t="str">
        <x:v>West</x:v>
      </x:c>
      <x:c r="C286" t="str">
        <x:v>P-1006</x:v>
      </x:c>
      <x:c r="D286" t="str">
        <x:v>Air Fryer XL</x:v>
      </x:c>
      <x:c r="E286" t="str">
        <x:v>Isabella Taylor</x:v>
      </x:c>
      <x:c r="F286" t="n">
        <x:v>1</x:v>
      </x:c>
      <x:c r="G286" s="12" t="n">
        <x:v>139.99</x:v>
      </x:c>
      <x:c r="H286" s="12" t="n">
        <x:v>77.55</x:v>
      </x:c>
      <x:c r="I286" t="str">
        <x:v>Retail</x:v>
      </x:c>
      <x:c r="J286" t="str">
        <x:f>XLOOKUP(C286,'Lookup Tables'!$A$3:$A$12,'Lookup Tables'!$C$3:$C$12,"Not Found")</x:f>
        <x:v>Home Goods</x:v>
      </x:c>
      <x:c r="K286" t="str">
        <x:f>XLOOKUP(B286,'Lookup Tables'!$F$3:$F$6,'Lookup Tables'!$G$3:$G$6,"Not Found")</x:f>
        <x:v>Daniel Kim</x:v>
      </x:c>
      <x:c r="L286" s="14" t="n">
        <x:f>XLOOKUP(B286,'Lookup Tables'!$F$3:$F$6,'Lookup Tables'!$H$3:$H$6,0)</x:f>
        <x:v>0.045</x:v>
      </x:c>
      <x:c r="M286" s="12" t="n">
        <x:f>G286-H286</x:f>
        <x:v>62.44000000000001</x:v>
      </x:c>
      <x:c r="N286" t="str">
        <x:f>IF(G286&gt;=10000,"High Value","Standard")</x:f>
        <x:v>Standard</x:v>
      </x:c>
      <x:c r="O286" t="str">
        <x:f>IF(M286/G286&gt;=0.40,"Strong Margin","Review Margin")</x:f>
        <x:v>Strong Margin</x:v>
      </x:c>
      <x:c r="P286" t="str">
        <x:f>TEXT(A286,"mmm")</x:f>
        <x:v>Nov</x:v>
      </x:c>
      <x:c r="Q286" s="12" t="n">
        <x:f>G286*L286</x:f>
        <x:v>6.29955</x:v>
      </x:c>
    </x:row>
    <x:row r="287">
      <x:c r="A287" s="10" t="n">
        <x:v>45987</x:v>
      </x:c>
      <x:c r="B287" t="str">
        <x:v>East</x:v>
      </x:c>
      <x:c r="C287" t="str">
        <x:v>P-1007</x:v>
      </x:c>
      <x:c r="D287" t="str">
        <x:v>Fitness Tracker</x:v>
      </x:c>
      <x:c r="E287" t="str">
        <x:v>Lucas Miller</x:v>
      </x:c>
      <x:c r="F287" t="n">
        <x:v>34</x:v>
      </x:c>
      <x:c r="G287" s="12" t="n">
        <x:v>3834.88</x:v>
      </x:c>
      <x:c r="H287" s="12" t="n">
        <x:v>2018.46</x:v>
      </x:c>
      <x:c r="I287" t="str">
        <x:v>Wholesale</x:v>
      </x:c>
      <x:c r="J287" t="str">
        <x:f>XLOOKUP(C287,'Lookup Tables'!$A$3:$A$12,'Lookup Tables'!$C$3:$C$12,"Not Found")</x:f>
        <x:v>Fitness</x:v>
      </x:c>
      <x:c r="K287" t="str">
        <x:f>XLOOKUP(B287,'Lookup Tables'!$F$3:$F$6,'Lookup Tables'!$G$3:$G$6,"Not Found")</x:f>
        <x:v>Alicia Morgan</x:v>
      </x:c>
      <x:c r="L287" s="14" t="n">
        <x:f>XLOOKUP(B287,'Lookup Tables'!$F$3:$F$6,'Lookup Tables'!$H$3:$H$6,0)</x:f>
        <x:v>0.04</x:v>
      </x:c>
      <x:c r="M287" s="12" t="n">
        <x:f>G287-H287</x:f>
        <x:v>1816.42</x:v>
      </x:c>
      <x:c r="N287" t="str">
        <x:f>IF(G287&gt;=10000,"High Value","Standard")</x:f>
        <x:v>Standard</x:v>
      </x:c>
      <x:c r="O287" t="str">
        <x:f>IF(M287/G287&gt;=0.40,"Strong Margin","Review Margin")</x:f>
        <x:v>Strong Margin</x:v>
      </x:c>
      <x:c r="P287" t="str">
        <x:f>TEXT(A287,"mmm")</x:f>
        <x:v>Nov</x:v>
      </x:c>
      <x:c r="Q287" s="12" t="n">
        <x:f>G287*L287</x:f>
        <x:v>153.39520000000002</x:v>
      </x:c>
    </x:row>
    <x:row r="288">
      <x:c r="A288" s="10" t="n">
        <x:v>45990</x:v>
      </x:c>
      <x:c r="B288" t="str">
        <x:v>West</x:v>
      </x:c>
      <x:c r="C288" t="str">
        <x:v>P-1002</x:v>
      </x:c>
      <x:c r="D288" t="str">
        <x:v>Smart Home Hub</x:v>
      </x:c>
      <x:c r="E288" t="str">
        <x:v>Maya Johnson</x:v>
      </x:c>
      <x:c r="F288" t="n">
        <x:v>21</x:v>
      </x:c>
      <x:c r="G288" s="12" t="n">
        <x:v>4199.79</x:v>
      </x:c>
      <x:c r="H288" s="12" t="n">
        <x:v>2286.24</x:v>
      </x:c>
      <x:c r="I288" t="str">
        <x:v>Retail</x:v>
      </x:c>
      <x:c r="J288" t="str">
        <x:f>XLOOKUP(C288,'Lookup Tables'!$A$3:$A$12,'Lookup Tables'!$C$3:$C$12,"Not Found")</x:f>
        <x:v>Electronics</x:v>
      </x:c>
      <x:c r="K288" t="str">
        <x:f>XLOOKUP(B288,'Lookup Tables'!$F$3:$F$6,'Lookup Tables'!$G$3:$G$6,"Not Found")</x:f>
        <x:v>Daniel Kim</x:v>
      </x:c>
      <x:c r="L288" s="14" t="n">
        <x:f>XLOOKUP(B288,'Lookup Tables'!$F$3:$F$6,'Lookup Tables'!$H$3:$H$6,0)</x:f>
        <x:v>0.045</x:v>
      </x:c>
      <x:c r="M288" s="12" t="n">
        <x:f>G288-H288</x:f>
        <x:v>1913.5500000000002</x:v>
      </x:c>
      <x:c r="N288" t="str">
        <x:f>IF(G288&gt;=10000,"High Value","Standard")</x:f>
        <x:v>Standard</x:v>
      </x:c>
      <x:c r="O288" t="str">
        <x:f>IF(M288/G288&gt;=0.40,"Strong Margin","Review Margin")</x:f>
        <x:v>Strong Margin</x:v>
      </x:c>
      <x:c r="P288" t="str">
        <x:f>TEXT(A288,"mmm")</x:f>
        <x:v>Nov</x:v>
      </x:c>
      <x:c r="Q288" s="12" t="n">
        <x:f>G288*L288</x:f>
        <x:v>188.99054999999998</x:v>
      </x:c>
    </x:row>
    <x:row r="289">
      <x:c r="A289" s="10" t="n">
        <x:v>45991</x:v>
      </x:c>
      <x:c r="B289" t="str">
        <x:v>East</x:v>
      </x:c>
      <x:c r="C289" t="str">
        <x:v>P-1001</x:v>
      </x:c>
      <x:c r="D289" t="str">
        <x:v>Wireless Headphones</x:v>
      </x:c>
      <x:c r="E289" t="str">
        <x:v>Noah Brown</x:v>
      </x:c>
      <x:c r="F289" t="n">
        <x:v>2</x:v>
      </x:c>
      <x:c r="G289" s="12" t="n">
        <x:v>259.98</x:v>
      </x:c>
      <x:c r="H289" s="12" t="n">
        <x:v>135.55</x:v>
      </x:c>
      <x:c r="I289" t="str">
        <x:v>Retail</x:v>
      </x:c>
      <x:c r="J289" t="str">
        <x:f>XLOOKUP(C289,'Lookup Tables'!$A$3:$A$12,'Lookup Tables'!$C$3:$C$12,"Not Found")</x:f>
        <x:v>Electronics</x:v>
      </x:c>
      <x:c r="K289" t="str">
        <x:f>XLOOKUP(B289,'Lookup Tables'!$F$3:$F$6,'Lookup Tables'!$G$3:$G$6,"Not Found")</x:f>
        <x:v>Alicia Morgan</x:v>
      </x:c>
      <x:c r="L289" s="14" t="n">
        <x:f>XLOOKUP(B289,'Lookup Tables'!$F$3:$F$6,'Lookup Tables'!$H$3:$H$6,0)</x:f>
        <x:v>0.04</x:v>
      </x:c>
      <x:c r="M289" s="12" t="n">
        <x:f>G289-H289</x:f>
        <x:v>124.43</x:v>
      </x:c>
      <x:c r="N289" t="str">
        <x:f>IF(G289&gt;=10000,"High Value","Standard")</x:f>
        <x:v>Standard</x:v>
      </x:c>
      <x:c r="O289" t="str">
        <x:f>IF(M289/G289&gt;=0.40,"Strong Margin","Review Margin")</x:f>
        <x:v>Strong Margin</x:v>
      </x:c>
      <x:c r="P289" t="str">
        <x:f>TEXT(A289,"mmm")</x:f>
        <x:v>Nov</x:v>
      </x:c>
      <x:c r="Q289" s="12" t="n">
        <x:f>G289*L289</x:f>
        <x:v>10.3992</x:v>
      </x:c>
    </x:row>
    <x:row r="290">
      <x:c r="A290" s="10" t="n">
        <x:v>45991</x:v>
      </x:c>
      <x:c r="B290" t="str">
        <x:v>West</x:v>
      </x:c>
      <x:c r="C290" t="str">
        <x:v>P-1008</x:v>
      </x:c>
      <x:c r="D290" t="str">
        <x:v>Yoga Starter Kit</x:v>
      </x:c>
      <x:c r="E290" t="str">
        <x:v>Isabella Taylor</x:v>
      </x:c>
      <x:c r="F290" t="n">
        <x:v>40</x:v>
      </x:c>
      <x:c r="G290" s="12" t="n">
        <x:v>2255.62</x:v>
      </x:c>
      <x:c r="H290" s="12" t="n">
        <x:v>980.61</x:v>
      </x:c>
      <x:c r="I290" t="str">
        <x:v>Wholesale</x:v>
      </x:c>
      <x:c r="J290" t="str">
        <x:f>XLOOKUP(C290,'Lookup Tables'!$A$3:$A$12,'Lookup Tables'!$C$3:$C$12,"Not Found")</x:f>
        <x:v>Fitness</x:v>
      </x:c>
      <x:c r="K290" t="str">
        <x:f>XLOOKUP(B290,'Lookup Tables'!$F$3:$F$6,'Lookup Tables'!$G$3:$G$6,"Not Found")</x:f>
        <x:v>Daniel Kim</x:v>
      </x:c>
      <x:c r="L290" s="14" t="n">
        <x:f>XLOOKUP(B290,'Lookup Tables'!$F$3:$F$6,'Lookup Tables'!$H$3:$H$6,0)</x:f>
        <x:v>0.045</x:v>
      </x:c>
      <x:c r="M290" s="12" t="n">
        <x:f>G290-H290</x:f>
        <x:v>1275.0099999999998</x:v>
      </x:c>
      <x:c r="N290" t="str">
        <x:f>IF(G290&gt;=10000,"High Value","Standard")</x:f>
        <x:v>Standard</x:v>
      </x:c>
      <x:c r="O290" t="str">
        <x:f>IF(M290/G290&gt;=0.40,"Strong Margin","Review Margin")</x:f>
        <x:v>Strong Margin</x:v>
      </x:c>
      <x:c r="P290" t="str">
        <x:f>TEXT(A290,"mmm")</x:f>
        <x:v>Nov</x:v>
      </x:c>
      <x:c r="Q290" s="12" t="n">
        <x:f>G290*L290</x:f>
        <x:v>101.5029</x:v>
      </x:c>
    </x:row>
    <x:row r="291">
      <x:c r="A291" s="10" t="n">
        <x:v>45991</x:v>
      </x:c>
      <x:c r="B291" t="str">
        <x:v>South</x:v>
      </x:c>
      <x:c r="C291" t="str">
        <x:v>P-1005</x:v>
      </x:c>
      <x:c r="D291" t="str">
        <x:v>Stainless Cookware Set</x:v>
      </x:c>
      <x:c r="E291" t="str">
        <x:v>Benjamin Moore</x:v>
      </x:c>
      <x:c r="F291" t="n">
        <x:v>26</x:v>
      </x:c>
      <x:c r="G291" s="12" t="n">
        <x:v>3910.16</x:v>
      </x:c>
      <x:c r="H291" s="12" t="n">
        <x:v>2376.39</x:v>
      </x:c>
      <x:c r="I291" t="str">
        <x:v>Wholesale</x:v>
      </x:c>
      <x:c r="J291" t="str">
        <x:f>XLOOKUP(C291,'Lookup Tables'!$A$3:$A$12,'Lookup Tables'!$C$3:$C$12,"Not Found")</x:f>
        <x:v>Home Goods</x:v>
      </x:c>
      <x:c r="K291" t="str">
        <x:f>XLOOKUP(B291,'Lookup Tables'!$F$3:$F$6,'Lookup Tables'!$G$3:$G$6,"Not Found")</x:f>
        <x:v>Priya Patel</x:v>
      </x:c>
      <x:c r="L291" s="14" t="n">
        <x:f>XLOOKUP(B291,'Lookup Tables'!$F$3:$F$6,'Lookup Tables'!$H$3:$H$6,0)</x:f>
        <x:v>0.05</x:v>
      </x:c>
      <x:c r="M291" s="12" t="n">
        <x:f>G291-H291</x:f>
        <x:v>1533.77</x:v>
      </x:c>
      <x:c r="N291" t="str">
        <x:f>IF(G291&gt;=10000,"High Value","Standard")</x:f>
        <x:v>Standard</x:v>
      </x:c>
      <x:c r="O291" t="str">
        <x:f>IF(M291/G291&gt;=0.40,"Strong Margin","Review Margin")</x:f>
        <x:v>Review Margin</x:v>
      </x:c>
      <x:c r="P291" t="str">
        <x:f>TEXT(A291,"mmm")</x:f>
        <x:v>Nov</x:v>
      </x:c>
      <x:c r="Q291" s="12" t="n">
        <x:f>G291*L291</x:f>
        <x:v>195.508</x:v>
      </x:c>
    </x:row>
    <x:row r="292">
      <x:c r="A292" s="10" t="n">
        <x:v>45992</x:v>
      </x:c>
      <x:c r="B292" t="str">
        <x:v>South</x:v>
      </x:c>
      <x:c r="C292" t="str">
        <x:v>P-1002</x:v>
      </x:c>
      <x:c r="D292" t="str">
        <x:v>Smart Home Hub</x:v>
      </x:c>
      <x:c r="E292" t="str">
        <x:v>Maya Johnson</x:v>
      </x:c>
      <x:c r="F292" t="n">
        <x:v>54</x:v>
      </x:c>
      <x:c r="G292" s="12" t="n">
        <x:v>10151.49</x:v>
      </x:c>
      <x:c r="H292" s="12" t="n">
        <x:v>6123.7</x:v>
      </x:c>
      <x:c r="I292" t="str">
        <x:v>Wholesale</x:v>
      </x:c>
      <x:c r="J292" t="str">
        <x:f>XLOOKUP(C292,'Lookup Tables'!$A$3:$A$12,'Lookup Tables'!$C$3:$C$12,"Not Found")</x:f>
        <x:v>Electronics</x:v>
      </x:c>
      <x:c r="K292" t="str">
        <x:f>XLOOKUP(B292,'Lookup Tables'!$F$3:$F$6,'Lookup Tables'!$G$3:$G$6,"Not Found")</x:f>
        <x:v>Priya Patel</x:v>
      </x:c>
      <x:c r="L292" s="14" t="n">
        <x:f>XLOOKUP(B292,'Lookup Tables'!$F$3:$F$6,'Lookup Tables'!$H$3:$H$6,0)</x:f>
        <x:v>0.05</x:v>
      </x:c>
      <x:c r="M292" s="12" t="n">
        <x:f>G292-H292</x:f>
        <x:v>4027.79</x:v>
      </x:c>
      <x:c r="N292" t="str">
        <x:f>IF(G292&gt;=10000,"High Value","Standard")</x:f>
        <x:v>High Value</x:v>
      </x:c>
      <x:c r="O292" t="str">
        <x:f>IF(M292/G292&gt;=0.40,"Strong Margin","Review Margin")</x:f>
        <x:v>Review Margin</x:v>
      </x:c>
      <x:c r="P292" t="str">
        <x:f>TEXT(A292,"mmm")</x:f>
        <x:v>Dec</x:v>
      </x:c>
      <x:c r="Q292" s="12" t="n">
        <x:f>G292*L292</x:f>
        <x:v>507.5745</x:v>
      </x:c>
    </x:row>
    <x:row r="293">
      <x:c r="A293" s="10" t="n">
        <x:v>45993</x:v>
      </x:c>
      <x:c r="B293" t="str">
        <x:v>Midwest</x:v>
      </x:c>
      <x:c r="C293" t="str">
        <x:v>P-1001</x:v>
      </x:c>
      <x:c r="D293" t="str">
        <x:v>Wireless Headphones</x:v>
      </x:c>
      <x:c r="E293" t="str">
        <x:v>Sophia Martinez</x:v>
      </x:c>
      <x:c r="F293" t="n">
        <x:v>21</x:v>
      </x:c>
      <x:c r="G293" s="12" t="n">
        <x:v>2729.79</x:v>
      </x:c>
      <x:c r="H293" s="12" t="n">
        <x:v>1407.47</x:v>
      </x:c>
      <x:c r="I293" t="str">
        <x:v>Retail</x:v>
      </x:c>
      <x:c r="J293" t="str">
        <x:f>XLOOKUP(C293,'Lookup Tables'!$A$3:$A$12,'Lookup Tables'!$C$3:$C$12,"Not Found")</x:f>
        <x:v>Electronics</x:v>
      </x:c>
      <x:c r="K293" t="str">
        <x:f>XLOOKUP(B293,'Lookup Tables'!$F$3:$F$6,'Lookup Tables'!$G$3:$G$6,"Not Found")</x:f>
        <x:v>Marcus Reed</x:v>
      </x:c>
      <x:c r="L293" s="14" t="n">
        <x:f>XLOOKUP(B293,'Lookup Tables'!$F$3:$F$6,'Lookup Tables'!$H$3:$H$6,0)</x:f>
        <x:v>0.035</x:v>
      </x:c>
      <x:c r="M293" s="12" t="n">
        <x:f>G293-H293</x:f>
        <x:v>1322.32</x:v>
      </x:c>
      <x:c r="N293" t="str">
        <x:f>IF(G293&gt;=10000,"High Value","Standard")</x:f>
        <x:v>Standard</x:v>
      </x:c>
      <x:c r="O293" t="str">
        <x:f>IF(M293/G293&gt;=0.40,"Strong Margin","Review Margin")</x:f>
        <x:v>Strong Margin</x:v>
      </x:c>
      <x:c r="P293" t="str">
        <x:f>TEXT(A293,"mmm")</x:f>
        <x:v>Dec</x:v>
      </x:c>
      <x:c r="Q293" s="12" t="n">
        <x:f>G293*L293</x:f>
        <x:v>95.54265000000001</x:v>
      </x:c>
    </x:row>
    <x:row r="294">
      <x:c r="A294" s="10" t="n">
        <x:v>45993</x:v>
      </x:c>
      <x:c r="B294" t="str">
        <x:v>West</x:v>
      </x:c>
      <x:c r="C294" t="str">
        <x:v>P-1001</x:v>
      </x:c>
      <x:c r="D294" t="str">
        <x:v>Wireless Headphones</x:v>
      </x:c>
      <x:c r="E294" t="str">
        <x:v>Liam Wilson</x:v>
      </x:c>
      <x:c r="F294" t="n">
        <x:v>19</x:v>
      </x:c>
      <x:c r="G294" s="12" t="n">
        <x:v>2469.81</x:v>
      </x:c>
      <x:c r="H294" s="12" t="n">
        <x:v>1347.07</x:v>
      </x:c>
      <x:c r="I294" t="str">
        <x:v>Retail</x:v>
      </x:c>
      <x:c r="J294" t="str">
        <x:f>XLOOKUP(C294,'Lookup Tables'!$A$3:$A$12,'Lookup Tables'!$C$3:$C$12,"Not Found")</x:f>
        <x:v>Electronics</x:v>
      </x:c>
      <x:c r="K294" t="str">
        <x:f>XLOOKUP(B294,'Lookup Tables'!$F$3:$F$6,'Lookup Tables'!$G$3:$G$6,"Not Found")</x:f>
        <x:v>Daniel Kim</x:v>
      </x:c>
      <x:c r="L294" s="14" t="n">
        <x:f>XLOOKUP(B294,'Lookup Tables'!$F$3:$F$6,'Lookup Tables'!$H$3:$H$6,0)</x:f>
        <x:v>0.045</x:v>
      </x:c>
      <x:c r="M294" s="12" t="n">
        <x:f>G294-H294</x:f>
        <x:v>1122.74</x:v>
      </x:c>
      <x:c r="N294" t="str">
        <x:f>IF(G294&gt;=10000,"High Value","Standard")</x:f>
        <x:v>Standard</x:v>
      </x:c>
      <x:c r="O294" t="str">
        <x:f>IF(M294/G294&gt;=0.40,"Strong Margin","Review Margin")</x:f>
        <x:v>Strong Margin</x:v>
      </x:c>
      <x:c r="P294" t="str">
        <x:f>TEXT(A294,"mmm")</x:f>
        <x:v>Dec</x:v>
      </x:c>
      <x:c r="Q294" s="12" t="n">
        <x:f>G294*L294</x:f>
        <x:v>111.14144999999999</x:v>
      </x:c>
    </x:row>
    <x:row r="295">
      <x:c r="A295" s="10" t="n">
        <x:v>45993</x:v>
      </x:c>
      <x:c r="B295" t="str">
        <x:v>South</x:v>
      </x:c>
      <x:c r="C295" t="str">
        <x:v>P-1007</x:v>
      </x:c>
      <x:c r="D295" t="str">
        <x:v>Fitness Tracker</x:v>
      </x:c>
      <x:c r="E295" t="str">
        <x:v>James Anderson</x:v>
      </x:c>
      <x:c r="F295" t="n">
        <x:v>2</x:v>
      </x:c>
      <x:c r="G295" s="12" t="n">
        <x:v>239.98</x:v>
      </x:c>
      <x:c r="H295" s="12" t="n">
        <x:v>119.03</x:v>
      </x:c>
      <x:c r="I295" t="str">
        <x:v>Retail</x:v>
      </x:c>
      <x:c r="J295" t="str">
        <x:f>XLOOKUP(C295,'Lookup Tables'!$A$3:$A$12,'Lookup Tables'!$C$3:$C$12,"Not Found")</x:f>
        <x:v>Fitness</x:v>
      </x:c>
      <x:c r="K295" t="str">
        <x:f>XLOOKUP(B295,'Lookup Tables'!$F$3:$F$6,'Lookup Tables'!$G$3:$G$6,"Not Found")</x:f>
        <x:v>Priya Patel</x:v>
      </x:c>
      <x:c r="L295" s="14" t="n">
        <x:f>XLOOKUP(B295,'Lookup Tables'!$F$3:$F$6,'Lookup Tables'!$H$3:$H$6,0)</x:f>
        <x:v>0.05</x:v>
      </x:c>
      <x:c r="M295" s="12" t="n">
        <x:f>G295-H295</x:f>
        <x:v>120.94999999999999</x:v>
      </x:c>
      <x:c r="N295" t="str">
        <x:f>IF(G295&gt;=10000,"High Value","Standard")</x:f>
        <x:v>Standard</x:v>
      </x:c>
      <x:c r="O295" t="str">
        <x:f>IF(M295/G295&gt;=0.40,"Strong Margin","Review Margin")</x:f>
        <x:v>Strong Margin</x:v>
      </x:c>
      <x:c r="P295" t="str">
        <x:f>TEXT(A295,"mmm")</x:f>
        <x:v>Dec</x:v>
      </x:c>
      <x:c r="Q295" s="12" t="n">
        <x:f>G295*L295</x:f>
        <x:v>11.999</x:v>
      </x:c>
    </x:row>
    <x:row r="296">
      <x:c r="A296" s="10" t="n">
        <x:v>45995</x:v>
      </x:c>
      <x:c r="B296" t="str">
        <x:v>West</x:v>
      </x:c>
      <x:c r="C296" t="str">
        <x:v>P-1001</x:v>
      </x:c>
      <x:c r="D296" t="str">
        <x:v>Wireless Headphones</x:v>
      </x:c>
      <x:c r="E296" t="str">
        <x:v>Mia Thomas</x:v>
      </x:c>
      <x:c r="F296" t="n">
        <x:v>66</x:v>
      </x:c>
      <x:c r="G296" s="12" t="n">
        <x:v>8064.58</x:v>
      </x:c>
      <x:c r="H296" s="12" t="n">
        <x:v>4659.88</x:v>
      </x:c>
      <x:c r="I296" t="str">
        <x:v>Wholesale</x:v>
      </x:c>
      <x:c r="J296" t="str">
        <x:f>XLOOKUP(C296,'Lookup Tables'!$A$3:$A$12,'Lookup Tables'!$C$3:$C$12,"Not Found")</x:f>
        <x:v>Electronics</x:v>
      </x:c>
      <x:c r="K296" t="str">
        <x:f>XLOOKUP(B296,'Lookup Tables'!$F$3:$F$6,'Lookup Tables'!$G$3:$G$6,"Not Found")</x:f>
        <x:v>Daniel Kim</x:v>
      </x:c>
      <x:c r="L296" s="14" t="n">
        <x:f>XLOOKUP(B296,'Lookup Tables'!$F$3:$F$6,'Lookup Tables'!$H$3:$H$6,0)</x:f>
        <x:v>0.045</x:v>
      </x:c>
      <x:c r="M296" s="12" t="n">
        <x:f>G296-H296</x:f>
        <x:v>3404.7</x:v>
      </x:c>
      <x:c r="N296" t="str">
        <x:f>IF(G296&gt;=10000,"High Value","Standard")</x:f>
        <x:v>Standard</x:v>
      </x:c>
      <x:c r="O296" t="str">
        <x:f>IF(M296/G296&gt;=0.40,"Strong Margin","Review Margin")</x:f>
        <x:v>Strong Margin</x:v>
      </x:c>
      <x:c r="P296" t="str">
        <x:f>TEXT(A296,"mmm")</x:f>
        <x:v>Dec</x:v>
      </x:c>
      <x:c r="Q296" s="12" t="n">
        <x:f>G296*L296</x:f>
        <x:v>362.9061</x:v>
      </x:c>
    </x:row>
    <x:row r="297">
      <x:c r="A297" s="10" t="n">
        <x:v>45995</x:v>
      </x:c>
      <x:c r="B297" t="str">
        <x:v>South</x:v>
      </x:c>
      <x:c r="C297" t="str">
        <x:v>P-1002</x:v>
      </x:c>
      <x:c r="D297" t="str">
        <x:v>Smart Home Hub</x:v>
      </x:c>
      <x:c r="E297" t="str">
        <x:v>Ethan Smith</x:v>
      </x:c>
      <x:c r="F297" t="n">
        <x:v>42</x:v>
      </x:c>
      <x:c r="G297" s="12" t="n">
        <x:v>7895.61</x:v>
      </x:c>
      <x:c r="H297" s="12" t="n">
        <x:v>4670.16</x:v>
      </x:c>
      <x:c r="I297" t="str">
        <x:v>Wholesale</x:v>
      </x:c>
      <x:c r="J297" t="str">
        <x:f>XLOOKUP(C297,'Lookup Tables'!$A$3:$A$12,'Lookup Tables'!$C$3:$C$12,"Not Found")</x:f>
        <x:v>Electronics</x:v>
      </x:c>
      <x:c r="K297" t="str">
        <x:f>XLOOKUP(B297,'Lookup Tables'!$F$3:$F$6,'Lookup Tables'!$G$3:$G$6,"Not Found")</x:f>
        <x:v>Priya Patel</x:v>
      </x:c>
      <x:c r="L297" s="14" t="n">
        <x:f>XLOOKUP(B297,'Lookup Tables'!$F$3:$F$6,'Lookup Tables'!$H$3:$H$6,0)</x:f>
        <x:v>0.05</x:v>
      </x:c>
      <x:c r="M297" s="12" t="n">
        <x:f>G297-H297</x:f>
        <x:v>3225.45</x:v>
      </x:c>
      <x:c r="N297" t="str">
        <x:f>IF(G297&gt;=10000,"High Value","Standard")</x:f>
        <x:v>Standard</x:v>
      </x:c>
      <x:c r="O297" t="str">
        <x:f>IF(M297/G297&gt;=0.40,"Strong Margin","Review Margin")</x:f>
        <x:v>Strong Margin</x:v>
      </x:c>
      <x:c r="P297" t="str">
        <x:f>TEXT(A297,"mmm")</x:f>
        <x:v>Dec</x:v>
      </x:c>
      <x:c r="Q297" s="12" t="n">
        <x:f>G297*L297</x:f>
        <x:v>394.7805</x:v>
      </x:c>
    </x:row>
    <x:row r="298">
      <x:c r="A298" s="10" t="n">
        <x:v>45995</x:v>
      </x:c>
      <x:c r="B298" t="str">
        <x:v>East</x:v>
      </x:c>
      <x:c r="C298" t="str">
        <x:v>P-1004</x:v>
      </x:c>
      <x:c r="D298" t="str">
        <x:v>Standing Desk Converter</x:v>
      </x:c>
      <x:c r="E298" t="str">
        <x:v>Ava Davis</x:v>
      </x:c>
      <x:c r="F298" t="n">
        <x:v>19</x:v>
      </x:c>
      <x:c r="G298" s="12" t="n">
        <x:v>3609.81</x:v>
      </x:c>
      <x:c r="H298" s="12" t="n">
        <x:v>2011.07</x:v>
      </x:c>
      <x:c r="I298" t="str">
        <x:v>Retail</x:v>
      </x:c>
      <x:c r="J298" t="str">
        <x:f>XLOOKUP(C298,'Lookup Tables'!$A$3:$A$12,'Lookup Tables'!$C$3:$C$12,"Not Found")</x:f>
        <x:v>Furniture</x:v>
      </x:c>
      <x:c r="K298" t="str">
        <x:f>XLOOKUP(B298,'Lookup Tables'!$F$3:$F$6,'Lookup Tables'!$G$3:$G$6,"Not Found")</x:f>
        <x:v>Alicia Morgan</x:v>
      </x:c>
      <x:c r="L298" s="14" t="n">
        <x:f>XLOOKUP(B298,'Lookup Tables'!$F$3:$F$6,'Lookup Tables'!$H$3:$H$6,0)</x:f>
        <x:v>0.04</x:v>
      </x:c>
      <x:c r="M298" s="12" t="n">
        <x:f>G298-H298</x:f>
        <x:v>1598.74</x:v>
      </x:c>
      <x:c r="N298" t="str">
        <x:f>IF(G298&gt;=10000,"High Value","Standard")</x:f>
        <x:v>Standard</x:v>
      </x:c>
      <x:c r="O298" t="str">
        <x:f>IF(M298/G298&gt;=0.40,"Strong Margin","Review Margin")</x:f>
        <x:v>Strong Margin</x:v>
      </x:c>
      <x:c r="P298" t="str">
        <x:f>TEXT(A298,"mmm")</x:f>
        <x:v>Dec</x:v>
      </x:c>
      <x:c r="Q298" s="12" t="n">
        <x:f>G298*L298</x:f>
        <x:v>144.3924</x:v>
      </x:c>
    </x:row>
    <x:row r="299">
      <x:c r="A299" s="10" t="n">
        <x:v>45996</x:v>
      </x:c>
      <x:c r="B299" t="str">
        <x:v>South</x:v>
      </x:c>
      <x:c r="C299" t="str">
        <x:v>P-1002</x:v>
      </x:c>
      <x:c r="D299" t="str">
        <x:v>Smart Home Hub</x:v>
      </x:c>
      <x:c r="E299" t="str">
        <x:v>Ethan Smith</x:v>
      </x:c>
      <x:c r="F299" t="n">
        <x:v>21</x:v>
      </x:c>
      <x:c r="G299" s="12" t="n">
        <x:v>4199.79</x:v>
      </x:c>
      <x:c r="H299" s="12" t="n">
        <x:v>2306.75</x:v>
      </x:c>
      <x:c r="I299" t="str">
        <x:v>Retail</x:v>
      </x:c>
      <x:c r="J299" t="str">
        <x:f>XLOOKUP(C299,'Lookup Tables'!$A$3:$A$12,'Lookup Tables'!$C$3:$C$12,"Not Found")</x:f>
        <x:v>Electronics</x:v>
      </x:c>
      <x:c r="K299" t="str">
        <x:f>XLOOKUP(B299,'Lookup Tables'!$F$3:$F$6,'Lookup Tables'!$G$3:$G$6,"Not Found")</x:f>
        <x:v>Priya Patel</x:v>
      </x:c>
      <x:c r="L299" s="14" t="n">
        <x:f>XLOOKUP(B299,'Lookup Tables'!$F$3:$F$6,'Lookup Tables'!$H$3:$H$6,0)</x:f>
        <x:v>0.05</x:v>
      </x:c>
      <x:c r="M299" s="12" t="n">
        <x:f>G299-H299</x:f>
        <x:v>1893.04</x:v>
      </x:c>
      <x:c r="N299" t="str">
        <x:f>IF(G299&gt;=10000,"High Value","Standard")</x:f>
        <x:v>Standard</x:v>
      </x:c>
      <x:c r="O299" t="str">
        <x:f>IF(M299/G299&gt;=0.40,"Strong Margin","Review Margin")</x:f>
        <x:v>Strong Margin</x:v>
      </x:c>
      <x:c r="P299" t="str">
        <x:f>TEXT(A299,"mmm")</x:f>
        <x:v>Dec</x:v>
      </x:c>
      <x:c r="Q299" s="12" t="n">
        <x:f>G299*L299</x:f>
        <x:v>209.98950000000002</x:v>
      </x:c>
    </x:row>
    <x:row r="300">
      <x:c r="A300" s="10" t="n">
        <x:v>45997</x:v>
      </x:c>
      <x:c r="B300" t="str">
        <x:v>West</x:v>
      </x:c>
      <x:c r="C300" t="str">
        <x:v>P-1003</x:v>
      </x:c>
      <x:c r="D300" t="str">
        <x:v>Ergonomic Office Chair</x:v>
      </x:c>
      <x:c r="E300" t="str">
        <x:v>Olivia Garcia</x:v>
      </x:c>
      <x:c r="F300" t="n">
        <x:v>15</x:v>
      </x:c>
      <x:c r="G300" s="12" t="n">
        <x:v>3749.85</x:v>
      </x:c>
      <x:c r="H300" s="12" t="n">
        <x:v>2185.44</x:v>
      </x:c>
      <x:c r="I300" t="str">
        <x:v>Retail</x:v>
      </x:c>
      <x:c r="J300" t="str">
        <x:f>XLOOKUP(C300,'Lookup Tables'!$A$3:$A$12,'Lookup Tables'!$C$3:$C$12,"Not Found")</x:f>
        <x:v>Furniture</x:v>
      </x:c>
      <x:c r="K300" t="str">
        <x:f>XLOOKUP(B300,'Lookup Tables'!$F$3:$F$6,'Lookup Tables'!$G$3:$G$6,"Not Found")</x:f>
        <x:v>Daniel Kim</x:v>
      </x:c>
      <x:c r="L300" s="14" t="n">
        <x:f>XLOOKUP(B300,'Lookup Tables'!$F$3:$F$6,'Lookup Tables'!$H$3:$H$6,0)</x:f>
        <x:v>0.045</x:v>
      </x:c>
      <x:c r="M300" s="12" t="n">
        <x:f>G300-H300</x:f>
        <x:v>1564.4099999999999</x:v>
      </x:c>
      <x:c r="N300" t="str">
        <x:f>IF(G300&gt;=10000,"High Value","Standard")</x:f>
        <x:v>Standard</x:v>
      </x:c>
      <x:c r="O300" t="str">
        <x:f>IF(M300/G300&gt;=0.40,"Strong Margin","Review Margin")</x:f>
        <x:v>Strong Margin</x:v>
      </x:c>
      <x:c r="P300" t="str">
        <x:f>TEXT(A300,"mmm")</x:f>
        <x:v>Dec</x:v>
      </x:c>
      <x:c r="Q300" s="12" t="n">
        <x:f>G300*L300</x:f>
        <x:v>168.74325</x:v>
      </x:c>
    </x:row>
    <x:row r="301">
      <x:c r="A301" s="10" t="n">
        <x:v>45998</x:v>
      </x:c>
      <x:c r="B301" t="str">
        <x:v>Midwest</x:v>
      </x:c>
      <x:c r="C301" t="str">
        <x:v>P-1006</x:v>
      </x:c>
      <x:c r="D301" t="str">
        <x:v>Air Fryer XL</x:v>
      </x:c>
      <x:c r="E301" t="str">
        <x:v>Mia Thomas</x:v>
      </x:c>
      <x:c r="F301" t="n">
        <x:v>34</x:v>
      </x:c>
      <x:c r="G301" s="12" t="n">
        <x:v>4474.08</x:v>
      </x:c>
      <x:c r="H301" s="12" t="n">
        <x:v>2583.13</x:v>
      </x:c>
      <x:c r="I301" t="str">
        <x:v>Wholesale</x:v>
      </x:c>
      <x:c r="J301" t="str">
        <x:f>XLOOKUP(C301,'Lookup Tables'!$A$3:$A$12,'Lookup Tables'!$C$3:$C$12,"Not Found")</x:f>
        <x:v>Home Goods</x:v>
      </x:c>
      <x:c r="K301" t="str">
        <x:f>XLOOKUP(B301,'Lookup Tables'!$F$3:$F$6,'Lookup Tables'!$G$3:$G$6,"Not Found")</x:f>
        <x:v>Marcus Reed</x:v>
      </x:c>
      <x:c r="L301" s="14" t="n">
        <x:f>XLOOKUP(B301,'Lookup Tables'!$F$3:$F$6,'Lookup Tables'!$H$3:$H$6,0)</x:f>
        <x:v>0.035</x:v>
      </x:c>
      <x:c r="M301" s="12" t="n">
        <x:f>G301-H301</x:f>
        <x:v>1890.9499999999998</x:v>
      </x:c>
      <x:c r="N301" t="str">
        <x:f>IF(G301&gt;=10000,"High Value","Standard")</x:f>
        <x:v>Standard</x:v>
      </x:c>
      <x:c r="O301" t="str">
        <x:f>IF(M301/G301&gt;=0.40,"Strong Margin","Review Margin")</x:f>
        <x:v>Strong Margin</x:v>
      </x:c>
      <x:c r="P301" t="str">
        <x:f>TEXT(A301,"mmm")</x:f>
        <x:v>Dec</x:v>
      </x:c>
      <x:c r="Q301" s="12" t="n">
        <x:f>G301*L301</x:f>
        <x:v>156.5928</x:v>
      </x:c>
    </x:row>
    <x:row r="302">
      <x:c r="A302" s="10" t="n">
        <x:v>46001</x:v>
      </x:c>
      <x:c r="B302" t="str">
        <x:v>East</x:v>
      </x:c>
      <x:c r="C302" t="str">
        <x:v>P-1002</x:v>
      </x:c>
      <x:c r="D302" t="str">
        <x:v>Smart Home Hub</x:v>
      </x:c>
      <x:c r="E302" t="str">
        <x:v>Ava Davis</x:v>
      </x:c>
      <x:c r="F302" t="n">
        <x:v>69</x:v>
      </x:c>
      <x:c r="G302" s="12" t="n">
        <x:v>12971.35</x:v>
      </x:c>
      <x:c r="H302" s="12" t="n">
        <x:v>7730.47</x:v>
      </x:c>
      <x:c r="I302" t="str">
        <x:v>Wholesale</x:v>
      </x:c>
      <x:c r="J302" t="str">
        <x:f>XLOOKUP(C302,'Lookup Tables'!$A$3:$A$12,'Lookup Tables'!$C$3:$C$12,"Not Found")</x:f>
        <x:v>Electronics</x:v>
      </x:c>
      <x:c r="K302" t="str">
        <x:f>XLOOKUP(B302,'Lookup Tables'!$F$3:$F$6,'Lookup Tables'!$G$3:$G$6,"Not Found")</x:f>
        <x:v>Alicia Morgan</x:v>
      </x:c>
      <x:c r="L302" s="14" t="n">
        <x:f>XLOOKUP(B302,'Lookup Tables'!$F$3:$F$6,'Lookup Tables'!$H$3:$H$6,0)</x:f>
        <x:v>0.04</x:v>
      </x:c>
      <x:c r="M302" s="12" t="n">
        <x:f>G302-H302</x:f>
        <x:v>5240.88</x:v>
      </x:c>
      <x:c r="N302" t="str">
        <x:f>IF(G302&gt;=10000,"High Value","Standard")</x:f>
        <x:v>High Value</x:v>
      </x:c>
      <x:c r="O302" t="str">
        <x:f>IF(M302/G302&gt;=0.40,"Strong Margin","Review Margin")</x:f>
        <x:v>Strong Margin</x:v>
      </x:c>
      <x:c r="P302" t="str">
        <x:f>TEXT(A302,"mmm")</x:f>
        <x:v>Dec</x:v>
      </x:c>
      <x:c r="Q302" s="12" t="n">
        <x:f>G302*L302</x:f>
        <x:v>518.854</x:v>
      </x:c>
    </x:row>
    <x:row r="303">
      <x:c r="A303" s="10" t="n">
        <x:v>46001</x:v>
      </x:c>
      <x:c r="B303" t="str">
        <x:v>South</x:v>
      </x:c>
      <x:c r="C303" t="str">
        <x:v>P-1004</x:v>
      </x:c>
      <x:c r="D303" t="str">
        <x:v>Standing Desk Converter</x:v>
      </x:c>
      <x:c r="E303" t="str">
        <x:v>Liam Wilson</x:v>
      </x:c>
      <x:c r="F303" t="n">
        <x:v>2</x:v>
      </x:c>
      <x:c r="G303" s="12" t="n">
        <x:v>379.98</x:v>
      </x:c>
      <x:c r="H303" s="12" t="n">
        <x:v>208.59</x:v>
      </x:c>
      <x:c r="I303" t="str">
        <x:v>Retail</x:v>
      </x:c>
      <x:c r="J303" t="str">
        <x:f>XLOOKUP(C303,'Lookup Tables'!$A$3:$A$12,'Lookup Tables'!$C$3:$C$12,"Not Found")</x:f>
        <x:v>Furniture</x:v>
      </x:c>
      <x:c r="K303" t="str">
        <x:f>XLOOKUP(B303,'Lookup Tables'!$F$3:$F$6,'Lookup Tables'!$G$3:$G$6,"Not Found")</x:f>
        <x:v>Priya Patel</x:v>
      </x:c>
      <x:c r="L303" s="14" t="n">
        <x:f>XLOOKUP(B303,'Lookup Tables'!$F$3:$F$6,'Lookup Tables'!$H$3:$H$6,0)</x:f>
        <x:v>0.05</x:v>
      </x:c>
      <x:c r="M303" s="12" t="n">
        <x:f>G303-H303</x:f>
        <x:v>171.39000000000001</x:v>
      </x:c>
      <x:c r="N303" t="str">
        <x:f>IF(G303&gt;=10000,"High Value","Standard")</x:f>
        <x:v>Standard</x:v>
      </x:c>
      <x:c r="O303" t="str">
        <x:f>IF(M303/G303&gt;=0.40,"Strong Margin","Review Margin")</x:f>
        <x:v>Strong Margin</x:v>
      </x:c>
      <x:c r="P303" t="str">
        <x:f>TEXT(A303,"mmm")</x:f>
        <x:v>Dec</x:v>
      </x:c>
      <x:c r="Q303" s="12" t="n">
        <x:f>G303*L303</x:f>
        <x:v>18.999000000000002</x:v>
      </x:c>
    </x:row>
    <x:row r="304">
      <x:c r="A304" s="10" t="n">
        <x:v>46004</x:v>
      </x:c>
      <x:c r="B304" t="str">
        <x:v>Midwest</x:v>
      </x:c>
      <x:c r="C304" t="str">
        <x:v>P-1003</x:v>
      </x:c>
      <x:c r="D304" t="str">
        <x:v>Ergonomic Office Chair</x:v>
      </x:c>
      <x:c r="E304" t="str">
        <x:v>Benjamin Moore</x:v>
      </x:c>
      <x:c r="F304" t="n">
        <x:v>13</x:v>
      </x:c>
      <x:c r="G304" s="12" t="n">
        <x:v>3249.87</x:v>
      </x:c>
      <x:c r="H304" s="12" t="n">
        <x:v>1930.06</x:v>
      </x:c>
      <x:c r="I304" t="str">
        <x:v>Retail</x:v>
      </x:c>
      <x:c r="J304" t="str">
        <x:f>XLOOKUP(C304,'Lookup Tables'!$A$3:$A$12,'Lookup Tables'!$C$3:$C$12,"Not Found")</x:f>
        <x:v>Furniture</x:v>
      </x:c>
      <x:c r="K304" t="str">
        <x:f>XLOOKUP(B304,'Lookup Tables'!$F$3:$F$6,'Lookup Tables'!$G$3:$G$6,"Not Found")</x:f>
        <x:v>Marcus Reed</x:v>
      </x:c>
      <x:c r="L304" s="14" t="n">
        <x:f>XLOOKUP(B304,'Lookup Tables'!$F$3:$F$6,'Lookup Tables'!$H$3:$H$6,0)</x:f>
        <x:v>0.035</x:v>
      </x:c>
      <x:c r="M304" s="12" t="n">
        <x:f>G304-H304</x:f>
        <x:v>1319.81</x:v>
      </x:c>
      <x:c r="N304" t="str">
        <x:f>IF(G304&gt;=10000,"High Value","Standard")</x:f>
        <x:v>Standard</x:v>
      </x:c>
      <x:c r="O304" t="str">
        <x:f>IF(M304/G304&gt;=0.40,"Strong Margin","Review Margin")</x:f>
        <x:v>Strong Margin</x:v>
      </x:c>
      <x:c r="P304" t="str">
        <x:f>TEXT(A304,"mmm")</x:f>
        <x:v>Dec</x:v>
      </x:c>
      <x:c r="Q304" s="12" t="n">
        <x:f>G304*L304</x:f>
        <x:v>113.74545</x:v>
      </x:c>
    </x:row>
    <x:row r="305">
      <x:c r="A305" s="10" t="n">
        <x:v>46004</x:v>
      </x:c>
      <x:c r="B305" t="str">
        <x:v>South</x:v>
      </x:c>
      <x:c r="C305" t="str">
        <x:v>P-1010</x:v>
      </x:c>
      <x:c r="D305" t="str">
        <x:v>Insulated Water Bottle</x:v>
      </x:c>
      <x:c r="E305" t="str">
        <x:v>Isabella Taylor</x:v>
      </x:c>
      <x:c r="F305" t="n">
        <x:v>6</x:v>
      </x:c>
      <x:c r="G305" s="12" t="n">
        <x:v>209.94</x:v>
      </x:c>
      <x:c r="H305" s="12" t="n">
        <x:v>73.26</x:v>
      </x:c>
      <x:c r="I305" t="str">
        <x:v>Retail</x:v>
      </x:c>
      <x:c r="J305" t="str">
        <x:f>XLOOKUP(C305,'Lookup Tables'!$A$3:$A$12,'Lookup Tables'!$C$3:$C$12,"Not Found")</x:f>
        <x:v>Accessories</x:v>
      </x:c>
      <x:c r="K305" t="str">
        <x:f>XLOOKUP(B305,'Lookup Tables'!$F$3:$F$6,'Lookup Tables'!$G$3:$G$6,"Not Found")</x:f>
        <x:v>Priya Patel</x:v>
      </x:c>
      <x:c r="L305" s="14" t="n">
        <x:f>XLOOKUP(B305,'Lookup Tables'!$F$3:$F$6,'Lookup Tables'!$H$3:$H$6,0)</x:f>
        <x:v>0.05</x:v>
      </x:c>
      <x:c r="M305" s="12" t="n">
        <x:f>G305-H305</x:f>
        <x:v>136.68</x:v>
      </x:c>
      <x:c r="N305" t="str">
        <x:f>IF(G305&gt;=10000,"High Value","Standard")</x:f>
        <x:v>Standard</x:v>
      </x:c>
      <x:c r="O305" t="str">
        <x:f>IF(M305/G305&gt;=0.40,"Strong Margin","Review Margin")</x:f>
        <x:v>Strong Margin</x:v>
      </x:c>
      <x:c r="P305" t="str">
        <x:f>TEXT(A305,"mmm")</x:f>
        <x:v>Dec</x:v>
      </x:c>
      <x:c r="Q305" s="12" t="n">
        <x:f>G305*L305</x:f>
        <x:v>10.497</x:v>
      </x:c>
    </x:row>
    <x:row r="306">
      <x:c r="A306" s="10" t="n">
        <x:v>46005</x:v>
      </x:c>
      <x:c r="B306" t="str">
        <x:v>South</x:v>
      </x:c>
      <x:c r="C306" t="str">
        <x:v>P-1005</x:v>
      </x:c>
      <x:c r="D306" t="str">
        <x:v>Stainless Cookware Set</x:v>
      </x:c>
      <x:c r="E306" t="str">
        <x:v>Sophia Martinez</x:v>
      </x:c>
      <x:c r="F306" t="n">
        <x:v>21</x:v>
      </x:c>
      <x:c r="G306" s="12" t="n">
        <x:v>3359.79</x:v>
      </x:c>
      <x:c r="H306" s="12" t="n">
        <x:v>1818.13</x:v>
      </x:c>
      <x:c r="I306" t="str">
        <x:v>Retail</x:v>
      </x:c>
      <x:c r="J306" t="str">
        <x:f>XLOOKUP(C306,'Lookup Tables'!$A$3:$A$12,'Lookup Tables'!$C$3:$C$12,"Not Found")</x:f>
        <x:v>Home Goods</x:v>
      </x:c>
      <x:c r="K306" t="str">
        <x:f>XLOOKUP(B306,'Lookup Tables'!$F$3:$F$6,'Lookup Tables'!$G$3:$G$6,"Not Found")</x:f>
        <x:v>Priya Patel</x:v>
      </x:c>
      <x:c r="L306" s="14" t="n">
        <x:f>XLOOKUP(B306,'Lookup Tables'!$F$3:$F$6,'Lookup Tables'!$H$3:$H$6,0)</x:f>
        <x:v>0.05</x:v>
      </x:c>
      <x:c r="M306" s="12" t="n">
        <x:f>G306-H306</x:f>
        <x:v>1541.6599999999999</x:v>
      </x:c>
      <x:c r="N306" t="str">
        <x:f>IF(G306&gt;=10000,"High Value","Standard")</x:f>
        <x:v>Standard</x:v>
      </x:c>
      <x:c r="O306" t="str">
        <x:f>IF(M306/G306&gt;=0.40,"Strong Margin","Review Margin")</x:f>
        <x:v>Strong Margin</x:v>
      </x:c>
      <x:c r="P306" t="str">
        <x:f>TEXT(A306,"mmm")</x:f>
        <x:v>Dec</x:v>
      </x:c>
      <x:c r="Q306" s="12" t="n">
        <x:f>G306*L306</x:f>
        <x:v>167.98950000000002</x:v>
      </x:c>
    </x:row>
    <x:row r="307">
      <x:c r="A307" s="10" t="n">
        <x:v>46005</x:v>
      </x:c>
      <x:c r="B307" t="str">
        <x:v>West</x:v>
      </x:c>
      <x:c r="C307" t="str">
        <x:v>P-1002</x:v>
      </x:c>
      <x:c r="D307" t="str">
        <x:v>Smart Home Hub</x:v>
      </x:c>
      <x:c r="E307" t="str">
        <x:v>Mia Thomas</x:v>
      </x:c>
      <x:c r="F307" t="n">
        <x:v>44</x:v>
      </x:c>
      <x:c r="G307" s="12" t="n">
        <x:v>8271.59</x:v>
      </x:c>
      <x:c r="H307" s="12" t="n">
        <x:v>4940.63</x:v>
      </x:c>
      <x:c r="I307" t="str">
        <x:v>Wholesale</x:v>
      </x:c>
      <x:c r="J307" t="str">
        <x:f>XLOOKUP(C307,'Lookup Tables'!$A$3:$A$12,'Lookup Tables'!$C$3:$C$12,"Not Found")</x:f>
        <x:v>Electronics</x:v>
      </x:c>
      <x:c r="K307" t="str">
        <x:f>XLOOKUP(B307,'Lookup Tables'!$F$3:$F$6,'Lookup Tables'!$G$3:$G$6,"Not Found")</x:f>
        <x:v>Daniel Kim</x:v>
      </x:c>
      <x:c r="L307" s="14" t="n">
        <x:f>XLOOKUP(B307,'Lookup Tables'!$F$3:$F$6,'Lookup Tables'!$H$3:$H$6,0)</x:f>
        <x:v>0.045</x:v>
      </x:c>
      <x:c r="M307" s="12" t="n">
        <x:f>G307-H307</x:f>
        <x:v>3330.96</x:v>
      </x:c>
      <x:c r="N307" t="str">
        <x:f>IF(G307&gt;=10000,"High Value","Standard")</x:f>
        <x:v>Standard</x:v>
      </x:c>
      <x:c r="O307" t="str">
        <x:f>IF(M307/G307&gt;=0.40,"Strong Margin","Review Margin")</x:f>
        <x:v>Strong Margin</x:v>
      </x:c>
      <x:c r="P307" t="str">
        <x:f>TEXT(A307,"mmm")</x:f>
        <x:v>Dec</x:v>
      </x:c>
      <x:c r="Q307" s="12" t="n">
        <x:f>G307*L307</x:f>
        <x:v>372.22155</x:v>
      </x:c>
    </x:row>
    <x:row r="308">
      <x:c r="A308" s="10" t="n">
        <x:v>46006</x:v>
      </x:c>
      <x:c r="B308" t="str">
        <x:v>West</x:v>
      </x:c>
      <x:c r="C308" t="str">
        <x:v>P-1001</x:v>
      </x:c>
      <x:c r="D308" t="str">
        <x:v>Wireless Headphones</x:v>
      </x:c>
      <x:c r="E308" t="str">
        <x:v>Isabella Taylor</x:v>
      </x:c>
      <x:c r="F308" t="n">
        <x:v>8</x:v>
      </x:c>
      <x:c r="G308" s="12" t="n">
        <x:v>1039.92</x:v>
      </x:c>
      <x:c r="H308" s="12" t="n">
        <x:v>538.03</x:v>
      </x:c>
      <x:c r="I308" t="str">
        <x:v>Retail</x:v>
      </x:c>
      <x:c r="J308" t="str">
        <x:f>XLOOKUP(C308,'Lookup Tables'!$A$3:$A$12,'Lookup Tables'!$C$3:$C$12,"Not Found")</x:f>
        <x:v>Electronics</x:v>
      </x:c>
      <x:c r="K308" t="str">
        <x:f>XLOOKUP(B308,'Lookup Tables'!$F$3:$F$6,'Lookup Tables'!$G$3:$G$6,"Not Found")</x:f>
        <x:v>Daniel Kim</x:v>
      </x:c>
      <x:c r="L308" s="14" t="n">
        <x:f>XLOOKUP(B308,'Lookup Tables'!$F$3:$F$6,'Lookup Tables'!$H$3:$H$6,0)</x:f>
        <x:v>0.045</x:v>
      </x:c>
      <x:c r="M308" s="12" t="n">
        <x:f>G308-H308</x:f>
        <x:v>501.8900000000001</x:v>
      </x:c>
      <x:c r="N308" t="str">
        <x:f>IF(G308&gt;=10000,"High Value","Standard")</x:f>
        <x:v>Standard</x:v>
      </x:c>
      <x:c r="O308" t="str">
        <x:f>IF(M308/G308&gt;=0.40,"Strong Margin","Review Margin")</x:f>
        <x:v>Strong Margin</x:v>
      </x:c>
      <x:c r="P308" t="str">
        <x:f>TEXT(A308,"mmm")</x:f>
        <x:v>Dec</x:v>
      </x:c>
      <x:c r="Q308" s="12" t="n">
        <x:f>G308*L308</x:f>
        <x:v>46.7964</x:v>
      </x:c>
    </x:row>
    <x:row r="309">
      <x:c r="A309" s="10" t="n">
        <x:v>46006</x:v>
      </x:c>
      <x:c r="B309" t="str">
        <x:v>South</x:v>
      </x:c>
      <x:c r="C309" t="str">
        <x:v>P-1006</x:v>
      </x:c>
      <x:c r="D309" t="str">
        <x:v>Air Fryer XL</x:v>
      </x:c>
      <x:c r="E309" t="str">
        <x:v>James Anderson</x:v>
      </x:c>
      <x:c r="F309" t="n">
        <x:v>7</x:v>
      </x:c>
      <x:c r="G309" s="12" t="n">
        <x:v>979.93</x:v>
      </x:c>
      <x:c r="H309" s="12" t="n">
        <x:v>518.46</x:v>
      </x:c>
      <x:c r="I309" t="str">
        <x:v>Retail</x:v>
      </x:c>
      <x:c r="J309" t="str">
        <x:f>XLOOKUP(C309,'Lookup Tables'!$A$3:$A$12,'Lookup Tables'!$C$3:$C$12,"Not Found")</x:f>
        <x:v>Home Goods</x:v>
      </x:c>
      <x:c r="K309" t="str">
        <x:f>XLOOKUP(B309,'Lookup Tables'!$F$3:$F$6,'Lookup Tables'!$G$3:$G$6,"Not Found")</x:f>
        <x:v>Priya Patel</x:v>
      </x:c>
      <x:c r="L309" s="14" t="n">
        <x:f>XLOOKUP(B309,'Lookup Tables'!$F$3:$F$6,'Lookup Tables'!$H$3:$H$6,0)</x:f>
        <x:v>0.05</x:v>
      </x:c>
      <x:c r="M309" s="12" t="n">
        <x:f>G309-H309</x:f>
        <x:v>461.4699999999999</x:v>
      </x:c>
      <x:c r="N309" t="str">
        <x:f>IF(G309&gt;=10000,"High Value","Standard")</x:f>
        <x:v>Standard</x:v>
      </x:c>
      <x:c r="O309" t="str">
        <x:f>IF(M309/G309&gt;=0.40,"Strong Margin","Review Margin")</x:f>
        <x:v>Strong Margin</x:v>
      </x:c>
      <x:c r="P309" t="str">
        <x:f>TEXT(A309,"mmm")</x:f>
        <x:v>Dec</x:v>
      </x:c>
      <x:c r="Q309" s="12" t="n">
        <x:f>G309*L309</x:f>
        <x:v>48.9965</x:v>
      </x:c>
    </x:row>
    <x:row r="310">
      <x:c r="A310" s="10" t="n">
        <x:v>46008</x:v>
      </x:c>
      <x:c r="B310" t="str">
        <x:v>West</x:v>
      </x:c>
      <x:c r="C310" t="str">
        <x:v>P-1004</x:v>
      </x:c>
      <x:c r="D310" t="str">
        <x:v>Standing Desk Converter</x:v>
      </x:c>
      <x:c r="E310" t="str">
        <x:v>Benjamin Moore</x:v>
      </x:c>
      <x:c r="F310" t="n">
        <x:v>14</x:v>
      </x:c>
      <x:c r="G310" s="12" t="n">
        <x:v>2659.86</x:v>
      </x:c>
      <x:c r="H310" s="12" t="n">
        <x:v>1488.39</x:v>
      </x:c>
      <x:c r="I310" t="str">
        <x:v>Retail</x:v>
      </x:c>
      <x:c r="J310" t="str">
        <x:f>XLOOKUP(C310,'Lookup Tables'!$A$3:$A$12,'Lookup Tables'!$C$3:$C$12,"Not Found")</x:f>
        <x:v>Furniture</x:v>
      </x:c>
      <x:c r="K310" t="str">
        <x:f>XLOOKUP(B310,'Lookup Tables'!$F$3:$F$6,'Lookup Tables'!$G$3:$G$6,"Not Found")</x:f>
        <x:v>Daniel Kim</x:v>
      </x:c>
      <x:c r="L310" s="14" t="n">
        <x:f>XLOOKUP(B310,'Lookup Tables'!$F$3:$F$6,'Lookup Tables'!$H$3:$H$6,0)</x:f>
        <x:v>0.045</x:v>
      </x:c>
      <x:c r="M310" s="12" t="n">
        <x:f>G310-H310</x:f>
        <x:v>1171.47</x:v>
      </x:c>
      <x:c r="N310" t="str">
        <x:f>IF(G310&gt;=10000,"High Value","Standard")</x:f>
        <x:v>Standard</x:v>
      </x:c>
      <x:c r="O310" t="str">
        <x:f>IF(M310/G310&gt;=0.40,"Strong Margin","Review Margin")</x:f>
        <x:v>Strong Margin</x:v>
      </x:c>
      <x:c r="P310" t="str">
        <x:f>TEXT(A310,"mmm")</x:f>
        <x:v>Dec</x:v>
      </x:c>
      <x:c r="Q310" s="12" t="n">
        <x:f>G310*L310</x:f>
        <x:v>119.6937</x:v>
      </x:c>
    </x:row>
    <x:row r="311">
      <x:c r="A311" s="10" t="n">
        <x:v>46008</x:v>
      </x:c>
      <x:c r="B311" t="str">
        <x:v>West</x:v>
      </x:c>
      <x:c r="C311" t="str">
        <x:v>P-1007</x:v>
      </x:c>
      <x:c r="D311" t="str">
        <x:v>Fitness Tracker</x:v>
      </x:c>
      <x:c r="E311" t="str">
        <x:v>Lucas Miller</x:v>
      </x:c>
      <x:c r="F311" t="n">
        <x:v>46</x:v>
      </x:c>
      <x:c r="G311" s="12" t="n">
        <x:v>5188.37</x:v>
      </x:c>
      <x:c r="H311" s="12" t="n">
        <x:v>2846.37</x:v>
      </x:c>
      <x:c r="I311" t="str">
        <x:v>Wholesale</x:v>
      </x:c>
      <x:c r="J311" t="str">
        <x:f>XLOOKUP(C311,'Lookup Tables'!$A$3:$A$12,'Lookup Tables'!$C$3:$C$12,"Not Found")</x:f>
        <x:v>Fitness</x:v>
      </x:c>
      <x:c r="K311" t="str">
        <x:f>XLOOKUP(B311,'Lookup Tables'!$F$3:$F$6,'Lookup Tables'!$G$3:$G$6,"Not Found")</x:f>
        <x:v>Daniel Kim</x:v>
      </x:c>
      <x:c r="L311" s="14" t="n">
        <x:f>XLOOKUP(B311,'Lookup Tables'!$F$3:$F$6,'Lookup Tables'!$H$3:$H$6,0)</x:f>
        <x:v>0.045</x:v>
      </x:c>
      <x:c r="M311" s="12" t="n">
        <x:f>G311-H311</x:f>
        <x:v>2342</x:v>
      </x:c>
      <x:c r="N311" t="str">
        <x:f>IF(G311&gt;=10000,"High Value","Standard")</x:f>
        <x:v>Standard</x:v>
      </x:c>
      <x:c r="O311" t="str">
        <x:f>IF(M311/G311&gt;=0.40,"Strong Margin","Review Margin")</x:f>
        <x:v>Strong Margin</x:v>
      </x:c>
      <x:c r="P311" t="str">
        <x:f>TEXT(A311,"mmm")</x:f>
        <x:v>Dec</x:v>
      </x:c>
      <x:c r="Q311" s="12" t="n">
        <x:f>G311*L311</x:f>
        <x:v>233.47664999999998</x:v>
      </x:c>
    </x:row>
    <x:row r="312">
      <x:c r="A312" s="10" t="n">
        <x:v>46012</x:v>
      </x:c>
      <x:c r="B312" t="str">
        <x:v>South</x:v>
      </x:c>
      <x:c r="C312" t="str">
        <x:v>P-1008</x:v>
      </x:c>
      <x:c r="D312" t="str">
        <x:v>Yoga Starter Kit</x:v>
      </x:c>
      <x:c r="E312" t="str">
        <x:v>Olivia Garcia</x:v>
      </x:c>
      <x:c r="F312" t="n">
        <x:v>26</x:v>
      </x:c>
      <x:c r="G312" s="12" t="n">
        <x:v>1466.16</x:v>
      </x:c>
      <x:c r="H312" s="12" t="n">
        <x:v>642.95</x:v>
      </x:c>
      <x:c r="I312" t="str">
        <x:v>Wholesale</x:v>
      </x:c>
      <x:c r="J312" t="str">
        <x:f>XLOOKUP(C312,'Lookup Tables'!$A$3:$A$12,'Lookup Tables'!$C$3:$C$12,"Not Found")</x:f>
        <x:v>Fitness</x:v>
      </x:c>
      <x:c r="K312" t="str">
        <x:f>XLOOKUP(B312,'Lookup Tables'!$F$3:$F$6,'Lookup Tables'!$G$3:$G$6,"Not Found")</x:f>
        <x:v>Priya Patel</x:v>
      </x:c>
      <x:c r="L312" s="14" t="n">
        <x:f>XLOOKUP(B312,'Lookup Tables'!$F$3:$F$6,'Lookup Tables'!$H$3:$H$6,0)</x:f>
        <x:v>0.05</x:v>
      </x:c>
      <x:c r="M312" s="12" t="n">
        <x:f>G312-H312</x:f>
        <x:v>823.21</x:v>
      </x:c>
      <x:c r="N312" t="str">
        <x:f>IF(G312&gt;=10000,"High Value","Standard")</x:f>
        <x:v>Standard</x:v>
      </x:c>
      <x:c r="O312" t="str">
        <x:f>IF(M312/G312&gt;=0.40,"Strong Margin","Review Margin")</x:f>
        <x:v>Strong Margin</x:v>
      </x:c>
      <x:c r="P312" t="str">
        <x:f>TEXT(A312,"mmm")</x:f>
        <x:v>Dec</x:v>
      </x:c>
      <x:c r="Q312" s="12" t="n">
        <x:f>G312*L312</x:f>
        <x:v>73.308</x:v>
      </x:c>
    </x:row>
    <x:row r="313">
      <x:c r="A313" s="10" t="n">
        <x:v>46012</x:v>
      </x:c>
      <x:c r="B313" t="str">
        <x:v>East</x:v>
      </x:c>
      <x:c r="C313" t="str">
        <x:v>P-1008</x:v>
      </x:c>
      <x:c r="D313" t="str">
        <x:v>Yoga Starter Kit</x:v>
      </x:c>
      <x:c r="E313" t="str">
        <x:v>Ava Davis</x:v>
      </x:c>
      <x:c r="F313" t="n">
        <x:v>5</x:v>
      </x:c>
      <x:c r="G313" s="12" t="n">
        <x:v>299.95</x:v>
      </x:c>
      <x:c r="H313" s="12" t="n">
        <x:v>119.63</x:v>
      </x:c>
      <x:c r="I313" t="str">
        <x:v>Retail</x:v>
      </x:c>
      <x:c r="J313" t="str">
        <x:f>XLOOKUP(C313,'Lookup Tables'!$A$3:$A$12,'Lookup Tables'!$C$3:$C$12,"Not Found")</x:f>
        <x:v>Fitness</x:v>
      </x:c>
      <x:c r="K313" t="str">
        <x:f>XLOOKUP(B313,'Lookup Tables'!$F$3:$F$6,'Lookup Tables'!$G$3:$G$6,"Not Found")</x:f>
        <x:v>Alicia Morgan</x:v>
      </x:c>
      <x:c r="L313" s="14" t="n">
        <x:f>XLOOKUP(B313,'Lookup Tables'!$F$3:$F$6,'Lookup Tables'!$H$3:$H$6,0)</x:f>
        <x:v>0.04</x:v>
      </x:c>
      <x:c r="M313" s="12" t="n">
        <x:f>G313-H313</x:f>
        <x:v>180.32</x:v>
      </x:c>
      <x:c r="N313" t="str">
        <x:f>IF(G313&gt;=10000,"High Value","Standard")</x:f>
        <x:v>Standard</x:v>
      </x:c>
      <x:c r="O313" t="str">
        <x:f>IF(M313/G313&gt;=0.40,"Strong Margin","Review Margin")</x:f>
        <x:v>Strong Margin</x:v>
      </x:c>
      <x:c r="P313" t="str">
        <x:f>TEXT(A313,"mmm")</x:f>
        <x:v>Dec</x:v>
      </x:c>
      <x:c r="Q313" s="12" t="n">
        <x:f>G313*L313</x:f>
        <x:v>11.998</x:v>
      </x:c>
    </x:row>
    <x:row r="314">
      <x:c r="A314" s="10" t="n">
        <x:v>46013</x:v>
      </x:c>
      <x:c r="B314" t="str">
        <x:v>East</x:v>
      </x:c>
      <x:c r="C314" t="str">
        <x:v>P-1002</x:v>
      </x:c>
      <x:c r="D314" t="str">
        <x:v>Smart Home Hub</x:v>
      </x:c>
      <x:c r="E314" t="str">
        <x:v>Benjamin Moore</x:v>
      </x:c>
      <x:c r="F314" t="n">
        <x:v>42</x:v>
      </x:c>
      <x:c r="G314" s="12" t="n">
        <x:v>7895.61</x:v>
      </x:c>
      <x:c r="H314" s="12" t="n">
        <x:v>4808.91</x:v>
      </x:c>
      <x:c r="I314" t="str">
        <x:v>Wholesale</x:v>
      </x:c>
      <x:c r="J314" t="str">
        <x:f>XLOOKUP(C314,'Lookup Tables'!$A$3:$A$12,'Lookup Tables'!$C$3:$C$12,"Not Found")</x:f>
        <x:v>Electronics</x:v>
      </x:c>
      <x:c r="K314" t="str">
        <x:f>XLOOKUP(B314,'Lookup Tables'!$F$3:$F$6,'Lookup Tables'!$G$3:$G$6,"Not Found")</x:f>
        <x:v>Alicia Morgan</x:v>
      </x:c>
      <x:c r="L314" s="14" t="n">
        <x:f>XLOOKUP(B314,'Lookup Tables'!$F$3:$F$6,'Lookup Tables'!$H$3:$H$6,0)</x:f>
        <x:v>0.04</x:v>
      </x:c>
      <x:c r="M314" s="12" t="n">
        <x:f>G314-H314</x:f>
        <x:v>3086.7</x:v>
      </x:c>
      <x:c r="N314" t="str">
        <x:f>IF(G314&gt;=10000,"High Value","Standard")</x:f>
        <x:v>Standard</x:v>
      </x:c>
      <x:c r="O314" t="str">
        <x:f>IF(M314/G314&gt;=0.40,"Strong Margin","Review Margin")</x:f>
        <x:v>Review Margin</x:v>
      </x:c>
      <x:c r="P314" t="str">
        <x:f>TEXT(A314,"mmm")</x:f>
        <x:v>Dec</x:v>
      </x:c>
      <x:c r="Q314" s="12" t="n">
        <x:f>G314*L314</x:f>
        <x:v>315.82439999999997</x:v>
      </x:c>
    </x:row>
    <x:row r="315">
      <x:c r="A315" s="10" t="n">
        <x:v>46014</x:v>
      </x:c>
      <x:c r="B315" t="str">
        <x:v>Midwest</x:v>
      </x:c>
      <x:c r="C315" t="str">
        <x:v>P-1004</x:v>
      </x:c>
      <x:c r="D315" t="str">
        <x:v>Standing Desk Converter</x:v>
      </x:c>
      <x:c r="E315" t="str">
        <x:v>Benjamin Moore</x:v>
      </x:c>
      <x:c r="F315" t="n">
        <x:v>30</x:v>
      </x:c>
      <x:c r="G315" s="12" t="n">
        <x:v>5357.72</x:v>
      </x:c>
      <x:c r="H315" s="12" t="n">
        <x:v>3194.9</x:v>
      </x:c>
      <x:c r="I315" t="str">
        <x:v>Wholesale</x:v>
      </x:c>
      <x:c r="J315" t="str">
        <x:f>XLOOKUP(C315,'Lookup Tables'!$A$3:$A$12,'Lookup Tables'!$C$3:$C$12,"Not Found")</x:f>
        <x:v>Furniture</x:v>
      </x:c>
      <x:c r="K315" t="str">
        <x:f>XLOOKUP(B315,'Lookup Tables'!$F$3:$F$6,'Lookup Tables'!$G$3:$G$6,"Not Found")</x:f>
        <x:v>Marcus Reed</x:v>
      </x:c>
      <x:c r="L315" s="14" t="n">
        <x:f>XLOOKUP(B315,'Lookup Tables'!$F$3:$F$6,'Lookup Tables'!$H$3:$H$6,0)</x:f>
        <x:v>0.035</x:v>
      </x:c>
      <x:c r="M315" s="12" t="n">
        <x:f>G315-H315</x:f>
        <x:v>2162.82</x:v>
      </x:c>
      <x:c r="N315" t="str">
        <x:f>IF(G315&gt;=10000,"High Value","Standard")</x:f>
        <x:v>Standard</x:v>
      </x:c>
      <x:c r="O315" t="str">
        <x:f>IF(M315/G315&gt;=0.40,"Strong Margin","Review Margin")</x:f>
        <x:v>Strong Margin</x:v>
      </x:c>
      <x:c r="P315" t="str">
        <x:f>TEXT(A315,"mmm")</x:f>
        <x:v>Dec</x:v>
      </x:c>
      <x:c r="Q315" s="12" t="n">
        <x:f>G315*L315</x:f>
        <x:v>187.52020000000002</x:v>
      </x:c>
    </x:row>
    <x:row r="316">
      <x:c r="A316" s="10" t="n">
        <x:v>46015</x:v>
      </x:c>
      <x:c r="B316" t="str">
        <x:v>Midwest</x:v>
      </x:c>
      <x:c r="C316" t="str">
        <x:v>P-1006</x:v>
      </x:c>
      <x:c r="D316" t="str">
        <x:v>Air Fryer XL</x:v>
      </x:c>
      <x:c r="E316" t="str">
        <x:v>Lucas Miller</x:v>
      </x:c>
      <x:c r="F316" t="n">
        <x:v>1</x:v>
      </x:c>
      <x:c r="G316" s="12" t="n">
        <x:v>139.99</x:v>
      </x:c>
      <x:c r="H316" s="12" t="n">
        <x:v>74.95</x:v>
      </x:c>
      <x:c r="I316" t="str">
        <x:v>Retail</x:v>
      </x:c>
      <x:c r="J316" t="str">
        <x:f>XLOOKUP(C316,'Lookup Tables'!$A$3:$A$12,'Lookup Tables'!$C$3:$C$12,"Not Found")</x:f>
        <x:v>Home Goods</x:v>
      </x:c>
      <x:c r="K316" t="str">
        <x:f>XLOOKUP(B316,'Lookup Tables'!$F$3:$F$6,'Lookup Tables'!$G$3:$G$6,"Not Found")</x:f>
        <x:v>Marcus Reed</x:v>
      </x:c>
      <x:c r="L316" s="14" t="n">
        <x:f>XLOOKUP(B316,'Lookup Tables'!$F$3:$F$6,'Lookup Tables'!$H$3:$H$6,0)</x:f>
        <x:v>0.035</x:v>
      </x:c>
      <x:c r="M316" s="12" t="n">
        <x:f>G316-H316</x:f>
        <x:v>65.04</x:v>
      </x:c>
      <x:c r="N316" t="str">
        <x:f>IF(G316&gt;=10000,"High Value","Standard")</x:f>
        <x:v>Standard</x:v>
      </x:c>
      <x:c r="O316" t="str">
        <x:f>IF(M316/G316&gt;=0.40,"Strong Margin","Review Margin")</x:f>
        <x:v>Strong Margin</x:v>
      </x:c>
      <x:c r="P316" t="str">
        <x:f>TEXT(A316,"mmm")</x:f>
        <x:v>Dec</x:v>
      </x:c>
      <x:c r="Q316" s="12" t="n">
        <x:f>G316*L316</x:f>
        <x:v>4.899650000000001</x:v>
      </x:c>
    </x:row>
    <x:row r="317">
      <x:c r="A317" s="10" t="n">
        <x:v>46016</x:v>
      </x:c>
      <x:c r="B317" t="str">
        <x:v>East</x:v>
      </x:c>
      <x:c r="C317" t="str">
        <x:v>P-1001</x:v>
      </x:c>
      <x:c r="D317" t="str">
        <x:v>Wireless Headphones</x:v>
      </x:c>
      <x:c r="E317" t="str">
        <x:v>Liam Wilson</x:v>
      </x:c>
      <x:c r="F317" t="n">
        <x:v>18</x:v>
      </x:c>
      <x:c r="G317" s="12" t="n">
        <x:v>2339.82</x:v>
      </x:c>
      <x:c r="H317" s="12" t="n">
        <x:v>1234.68</x:v>
      </x:c>
      <x:c r="I317" t="str">
        <x:v>Retail</x:v>
      </x:c>
      <x:c r="J317" t="str">
        <x:f>XLOOKUP(C317,'Lookup Tables'!$A$3:$A$12,'Lookup Tables'!$C$3:$C$12,"Not Found")</x:f>
        <x:v>Electronics</x:v>
      </x:c>
      <x:c r="K317" t="str">
        <x:f>XLOOKUP(B317,'Lookup Tables'!$F$3:$F$6,'Lookup Tables'!$G$3:$G$6,"Not Found")</x:f>
        <x:v>Alicia Morgan</x:v>
      </x:c>
      <x:c r="L317" s="14" t="n">
        <x:f>XLOOKUP(B317,'Lookup Tables'!$F$3:$F$6,'Lookup Tables'!$H$3:$H$6,0)</x:f>
        <x:v>0.04</x:v>
      </x:c>
      <x:c r="M317" s="12" t="n">
        <x:f>G317-H317</x:f>
        <x:v>1105.14</x:v>
      </x:c>
      <x:c r="N317" t="str">
        <x:f>IF(G317&gt;=10000,"High Value","Standard")</x:f>
        <x:v>Standard</x:v>
      </x:c>
      <x:c r="O317" t="str">
        <x:f>IF(M317/G317&gt;=0.40,"Strong Margin","Review Margin")</x:f>
        <x:v>Strong Margin</x:v>
      </x:c>
      <x:c r="P317" t="str">
        <x:f>TEXT(A317,"mmm")</x:f>
        <x:v>Dec</x:v>
      </x:c>
      <x:c r="Q317" s="12" t="n">
        <x:f>G317*L317</x:f>
        <x:v>93.59280000000001</x:v>
      </x:c>
    </x:row>
    <x:row r="318">
      <x:c r="A318" s="10" t="n">
        <x:v>46019</x:v>
      </x:c>
      <x:c r="B318" t="str">
        <x:v>West</x:v>
      </x:c>
      <x:c r="C318" t="str">
        <x:v>P-1006</x:v>
      </x:c>
      <x:c r="D318" t="str">
        <x:v>Air Fryer XL</x:v>
      </x:c>
      <x:c r="E318" t="str">
        <x:v>Ethan Smith</x:v>
      </x:c>
      <x:c r="F318" t="n">
        <x:v>11</x:v>
      </x:c>
      <x:c r="G318" s="12" t="n">
        <x:v>1539.89</x:v>
      </x:c>
      <x:c r="H318" s="12" t="n">
        <x:v>828.99</x:v>
      </x:c>
      <x:c r="I318" t="str">
        <x:v>Retail</x:v>
      </x:c>
      <x:c r="J318" t="str">
        <x:f>XLOOKUP(C318,'Lookup Tables'!$A$3:$A$12,'Lookup Tables'!$C$3:$C$12,"Not Found")</x:f>
        <x:v>Home Goods</x:v>
      </x:c>
      <x:c r="K318" t="str">
        <x:f>XLOOKUP(B318,'Lookup Tables'!$F$3:$F$6,'Lookup Tables'!$G$3:$G$6,"Not Found")</x:f>
        <x:v>Daniel Kim</x:v>
      </x:c>
      <x:c r="L318" s="14" t="n">
        <x:f>XLOOKUP(B318,'Lookup Tables'!$F$3:$F$6,'Lookup Tables'!$H$3:$H$6,0)</x:f>
        <x:v>0.045</x:v>
      </x:c>
      <x:c r="M318" s="12" t="n">
        <x:f>G318-H318</x:f>
        <x:v>710.9000000000001</x:v>
      </x:c>
      <x:c r="N318" t="str">
        <x:f>IF(G318&gt;=10000,"High Value","Standard")</x:f>
        <x:v>Standard</x:v>
      </x:c>
      <x:c r="O318" t="str">
        <x:f>IF(M318/G318&gt;=0.40,"Strong Margin","Review Margin")</x:f>
        <x:v>Strong Margin</x:v>
      </x:c>
      <x:c r="P318" t="str">
        <x:f>TEXT(A318,"mmm")</x:f>
        <x:v>Dec</x:v>
      </x:c>
      <x:c r="Q318" s="12" t="n">
        <x:f>G318*L318</x:f>
        <x:v>69.29505</x:v>
      </x:c>
    </x:row>
    <x:row r="319">
      <x:c r="A319" s="10" t="n">
        <x:v>46020</x:v>
      </x:c>
      <x:c r="B319" t="str">
        <x:v>West</x:v>
      </x:c>
      <x:c r="C319" t="str">
        <x:v>P-1004</x:v>
      </x:c>
      <x:c r="D319" t="str">
        <x:v>Standing Desk Converter</x:v>
      </x:c>
      <x:c r="E319" t="str">
        <x:v>Isabella Taylor</x:v>
      </x:c>
      <x:c r="F319" t="n">
        <x:v>10</x:v>
      </x:c>
      <x:c r="G319" s="12" t="n">
        <x:v>1899.9</x:v>
      </x:c>
      <x:c r="H319" s="12" t="n">
        <x:v>1049.79</x:v>
      </x:c>
      <x:c r="I319" t="str">
        <x:v>Retail</x:v>
      </x:c>
      <x:c r="J319" t="str">
        <x:f>XLOOKUP(C319,'Lookup Tables'!$A$3:$A$12,'Lookup Tables'!$C$3:$C$12,"Not Found")</x:f>
        <x:v>Furniture</x:v>
      </x:c>
      <x:c r="K319" t="str">
        <x:f>XLOOKUP(B319,'Lookup Tables'!$F$3:$F$6,'Lookup Tables'!$G$3:$G$6,"Not Found")</x:f>
        <x:v>Daniel Kim</x:v>
      </x:c>
      <x:c r="L319" s="14" t="n">
        <x:f>XLOOKUP(B319,'Lookup Tables'!$F$3:$F$6,'Lookup Tables'!$H$3:$H$6,0)</x:f>
        <x:v>0.045</x:v>
      </x:c>
      <x:c r="M319" s="12" t="n">
        <x:f>G319-H319</x:f>
        <x:v>850.1100000000001</x:v>
      </x:c>
      <x:c r="N319" t="str">
        <x:f>IF(G319&gt;=10000,"High Value","Standard")</x:f>
        <x:v>Standard</x:v>
      </x:c>
      <x:c r="O319" t="str">
        <x:f>IF(M319/G319&gt;=0.40,"Strong Margin","Review Margin")</x:f>
        <x:v>Strong Margin</x:v>
      </x:c>
      <x:c r="P319" t="str">
        <x:f>TEXT(A319,"mmm")</x:f>
        <x:v>Dec</x:v>
      </x:c>
      <x:c r="Q319" s="12" t="n">
        <x:f>G319*L319</x:f>
        <x:v>85.4955</x:v>
      </x:c>
    </x:row>
    <x:row r="320">
      <x:c r="A320" s="10" t="n">
        <x:v>46020</x:v>
      </x:c>
      <x:c r="B320" t="str">
        <x:v>East</x:v>
      </x:c>
      <x:c r="C320" t="str">
        <x:v>P-1004</x:v>
      </x:c>
      <x:c r="D320" t="str">
        <x:v>Standing Desk Converter</x:v>
      </x:c>
      <x:c r="E320" t="str">
        <x:v>Maya Johnson</x:v>
      </x:c>
      <x:c r="F320" t="n">
        <x:v>13</x:v>
      </x:c>
      <x:c r="G320" s="12" t="n">
        <x:v>2469.87</x:v>
      </x:c>
      <x:c r="H320" s="12" t="n">
        <x:v>1350.51</x:v>
      </x:c>
      <x:c r="I320" t="str">
        <x:v>Retail</x:v>
      </x:c>
      <x:c r="J320" t="str">
        <x:f>XLOOKUP(C320,'Lookup Tables'!$A$3:$A$12,'Lookup Tables'!$C$3:$C$12,"Not Found")</x:f>
        <x:v>Furniture</x:v>
      </x:c>
      <x:c r="K320" t="str">
        <x:f>XLOOKUP(B320,'Lookup Tables'!$F$3:$F$6,'Lookup Tables'!$G$3:$G$6,"Not Found")</x:f>
        <x:v>Alicia Morgan</x:v>
      </x:c>
      <x:c r="L320" s="14" t="n">
        <x:f>XLOOKUP(B320,'Lookup Tables'!$F$3:$F$6,'Lookup Tables'!$H$3:$H$6,0)</x:f>
        <x:v>0.04</x:v>
      </x:c>
      <x:c r="M320" s="12" t="n">
        <x:f>G320-H320</x:f>
        <x:v>1119.36</x:v>
      </x:c>
      <x:c r="N320" t="str">
        <x:f>IF(G320&gt;=10000,"High Value","Standard")</x:f>
        <x:v>Standard</x:v>
      </x:c>
      <x:c r="O320" t="str">
        <x:f>IF(M320/G320&gt;=0.40,"Strong Margin","Review Margin")</x:f>
        <x:v>Strong Margin</x:v>
      </x:c>
      <x:c r="P320" t="str">
        <x:f>TEXT(A320,"mmm")</x:f>
        <x:v>Dec</x:v>
      </x:c>
      <x:c r="Q320" s="12" t="n">
        <x:f>G320*L320</x:f>
        <x:v>98.7948</x:v>
      </x:c>
    </x:row>
    <x:row r="321">
      <x:c r="A321" s="10" t="n">
        <x:v>46021</x:v>
      </x:c>
      <x:c r="B321" t="str">
        <x:v>East</x:v>
      </x:c>
      <x:c r="C321" t="str">
        <x:v>P-1010</x:v>
      </x:c>
      <x:c r="D321" t="str">
        <x:v>Insulated Water Bottle</x:v>
      </x:c>
      <x:c r="E321" t="str">
        <x:v>Isabella Taylor</x:v>
      </x:c>
      <x:c r="F321" t="n">
        <x:v>15</x:v>
      </x:c>
      <x:c r="G321" s="12" t="n">
        <x:v>493.36</x:v>
      </x:c>
      <x:c r="H321" s="12" t="n">
        <x:v>188.45</x:v>
      </x:c>
      <x:c r="I321" t="str">
        <x:v>Wholesale</x:v>
      </x:c>
      <x:c r="J321" t="str">
        <x:f>XLOOKUP(C321,'Lookup Tables'!$A$3:$A$12,'Lookup Tables'!$C$3:$C$12,"Not Found")</x:f>
        <x:v>Accessories</x:v>
      </x:c>
      <x:c r="K321" t="str">
        <x:f>XLOOKUP(B321,'Lookup Tables'!$F$3:$F$6,'Lookup Tables'!$G$3:$G$6,"Not Found")</x:f>
        <x:v>Alicia Morgan</x:v>
      </x:c>
      <x:c r="L321" s="14" t="n">
        <x:f>XLOOKUP(B321,'Lookup Tables'!$F$3:$F$6,'Lookup Tables'!$H$3:$H$6,0)</x:f>
        <x:v>0.04</x:v>
      </x:c>
      <x:c r="M321" s="12" t="n">
        <x:f>G321-H321</x:f>
        <x:v>304.91</x:v>
      </x:c>
      <x:c r="N321" t="str">
        <x:f>IF(G321&gt;=10000,"High Value","Standard")</x:f>
        <x:v>Standard</x:v>
      </x:c>
      <x:c r="O321" t="str">
        <x:f>IF(M321/G321&gt;=0.40,"Strong Margin","Review Margin")</x:f>
        <x:v>Strong Margin</x:v>
      </x:c>
      <x:c r="P321" t="str">
        <x:f>TEXT(A321,"mmm")</x:f>
        <x:v>Dec</x:v>
      </x:c>
      <x:c r="Q321" s="12" t="n">
        <x:f>G321*L321</x:f>
        <x:v>19.7344</x:v>
      </x:c>
    </x:row>
  </x:sheetData>
  <x:pageMargins left="0.7" right="0.7" top="0.75" bottom="0.75" header="0.3" footer="0.3"/>
  <x:tableParts count="1">
    <x:tablePart xmlns:r="http://schemas.openxmlformats.org/officeDocument/2006/relationships" r:id="R415d13b9da3248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34000015258789" hidden="0" customWidth="1"/>
    <x:col min="2" max="2" width="19.649999618530273" hidden="0" customWidth="1"/>
    <x:col min="3" max="3" width="10.359999656677246" hidden="0" customWidth="1"/>
    <x:col min="4" max="4" width="14.539999961853027" hidden="0" customWidth="1"/>
    <x:col min="6" max="6" width="21.270000457763672" hidden="0" customWidth="1"/>
    <x:col min="7" max="7" width="17.5" hidden="0" customWidth="1"/>
    <x:col min="8" max="8" width="16.81999969482422" hidden="0" customWidth="1"/>
  </x:cols>
  <x:sheetData>
    <x:row r="1">
      <x:c r="A1" s="17" t="str">
        <x:v>Product Lookup Table</x:v>
      </x:c>
      <x:c r="F1" s="17" t="str">
        <x:v>Region Lookup Table</x:v>
      </x:c>
    </x:row>
    <x:row r="2">
      <x:c r="A2" s="21" t="str">
        <x:v>Product ID</x:v>
      </x:c>
      <x:c r="B2" s="21" t="str">
        <x:v>Product Name</x:v>
      </x:c>
      <x:c r="C2" s="21" t="str">
        <x:v>Category</x:v>
      </x:c>
      <x:c r="D2" s="21" t="str">
        <x:v>Standard Price</x:v>
      </x:c>
      <x:c r="F2" s="21" t="str">
        <x:v>Region</x:v>
      </x:c>
      <x:c r="G2" s="21" t="str">
        <x:v>Regional Manager</x:v>
      </x:c>
      <x:c r="H2" s="21" t="str">
        <x:v>Commission Rate</x:v>
      </x:c>
    </x:row>
    <x:row r="3">
      <x:c r="A3" t="str">
        <x:v>P-1001</x:v>
      </x:c>
      <x:c r="B3" t="str">
        <x:v>Wireless Headphones</x:v>
      </x:c>
      <x:c r="C3" t="str">
        <x:v>Electronics</x:v>
      </x:c>
      <x:c r="D3" s="12" t="n">
        <x:v>129.99</x:v>
      </x:c>
      <x:c r="F3" t="str">
        <x:v>East</x:v>
      </x:c>
      <x:c r="G3" t="str">
        <x:v>Alicia Morgan</x:v>
      </x:c>
      <x:c r="H3" s="14" t="n">
        <x:v>0.04</x:v>
      </x:c>
    </x:row>
    <x:row r="4">
      <x:c r="A4" t="str">
        <x:v>P-1002</x:v>
      </x:c>
      <x:c r="B4" t="str">
        <x:v>Smart Home Hub</x:v>
      </x:c>
      <x:c r="C4" t="str">
        <x:v>Electronics</x:v>
      </x:c>
      <x:c r="D4" s="12" t="n">
        <x:v>199.99</x:v>
      </x:c>
      <x:c r="F4" t="str">
        <x:v>West</x:v>
      </x:c>
      <x:c r="G4" t="str">
        <x:v>Daniel Kim</x:v>
      </x:c>
      <x:c r="H4" s="14" t="n">
        <x:v>0.045</x:v>
      </x:c>
    </x:row>
    <x:row r="5">
      <x:c r="A5" t="str">
        <x:v>P-1003</x:v>
      </x:c>
      <x:c r="B5" t="str">
        <x:v>Ergonomic Office Chair</x:v>
      </x:c>
      <x:c r="C5" t="str">
        <x:v>Furniture</x:v>
      </x:c>
      <x:c r="D5" s="12" t="n">
        <x:v>249.99</x:v>
      </x:c>
      <x:c r="F5" t="str">
        <x:v>South</x:v>
      </x:c>
      <x:c r="G5" t="str">
        <x:v>Priya Patel</x:v>
      </x:c>
      <x:c r="H5" s="14" t="n">
        <x:v>0.05</x:v>
      </x:c>
    </x:row>
    <x:row r="6">
      <x:c r="A6" t="str">
        <x:v>P-1004</x:v>
      </x:c>
      <x:c r="B6" t="str">
        <x:v>Standing Desk Converter</x:v>
      </x:c>
      <x:c r="C6" t="str">
        <x:v>Furniture</x:v>
      </x:c>
      <x:c r="D6" s="12" t="n">
        <x:v>189.99</x:v>
      </x:c>
      <x:c r="F6" t="str">
        <x:v>Midwest</x:v>
      </x:c>
      <x:c r="G6" t="str">
        <x:v>Marcus Reed</x:v>
      </x:c>
      <x:c r="H6" s="14" t="n">
        <x:v>0.035</x:v>
      </x:c>
    </x:row>
    <x:row r="7">
      <x:c r="A7" t="str">
        <x:v>P-1005</x:v>
      </x:c>
      <x:c r="B7" t="str">
        <x:v>Stainless Cookware Set</x:v>
      </x:c>
      <x:c r="C7" t="str">
        <x:v>Home Goods</x:v>
      </x:c>
      <x:c r="D7" s="12" t="n">
        <x:v>159.99</x:v>
      </x:c>
    </x:row>
    <x:row r="8">
      <x:c r="A8" t="str">
        <x:v>P-1006</x:v>
      </x:c>
      <x:c r="B8" t="str">
        <x:v>Air Fryer XL</x:v>
      </x:c>
      <x:c r="C8" t="str">
        <x:v>Home Goods</x:v>
      </x:c>
      <x:c r="D8" s="12" t="n">
        <x:v>139.99</x:v>
      </x:c>
    </x:row>
    <x:row r="9">
      <x:c r="A9" t="str">
        <x:v>P-1007</x:v>
      </x:c>
      <x:c r="B9" t="str">
        <x:v>Fitness Tracker</x:v>
      </x:c>
      <x:c r="C9" t="str">
        <x:v>Fitness</x:v>
      </x:c>
      <x:c r="D9" s="12" t="n">
        <x:v>119.99</x:v>
      </x:c>
    </x:row>
    <x:row r="10">
      <x:c r="A10" t="str">
        <x:v>P-1008</x:v>
      </x:c>
      <x:c r="B10" t="str">
        <x:v>Yoga Starter Kit</x:v>
      </x:c>
      <x:c r="C10" t="str">
        <x:v>Fitness</x:v>
      </x:c>
      <x:c r="D10" s="12" t="n">
        <x:v>59.99</x:v>
      </x:c>
    </x:row>
    <x:row r="11">
      <x:c r="A11" t="str">
        <x:v>P-1009</x:v>
      </x:c>
      <x:c r="B11" t="str">
        <x:v>Travel Backpack</x:v>
      </x:c>
      <x:c r="C11" t="str">
        <x:v>Accessories</x:v>
      </x:c>
      <x:c r="D11" s="12" t="n">
        <x:v>89.99</x:v>
      </x:c>
    </x:row>
    <x:row r="12">
      <x:c r="A12" t="str">
        <x:v>P-1010</x:v>
      </x:c>
      <x:c r="B12" t="str">
        <x:v>Insulated Water Bottle</x:v>
      </x:c>
      <x:c r="C12" t="str">
        <x:v>Accessories</x:v>
      </x:c>
      <x:c r="D12" s="12" t="n">
        <x:v>34.99</x:v>
      </x:c>
    </x:row>
  </x:sheetData>
  <x:mergeCells>
    <x:mergeCell ref="A1:D1"/>
    <x:mergeCell ref="F1:H1"/>
  </x:mergeCells>
  <x:pageMargins left="0.7" right="0.7" top="0.75" bottom="0.75" header="0.3" footer="0.3"/>
  <x:tableParts count="2">
    <x:tablePart xmlns:r="http://schemas.openxmlformats.org/officeDocument/2006/relationships" r:id="Rb4235c02629048ee"/>
    <x:tablePart xmlns:r="http://schemas.openxmlformats.org/officeDocument/2006/relationships" r:id="Raa2076a83af641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3.729999542236328" hidden="0" customWidth="1"/>
    <x:col min="4" max="4" width="20" hidden="0" customWidth="1"/>
    <x:col min="5" max="5" width="9.960000038146973" hidden="0" customWidth="1"/>
    <x:col min="7" max="7" width="12.109999656677246" hidden="0" customWidth="1"/>
    <x:col min="8" max="8" width="9.960000038146973" hidden="0" customWidth="1"/>
    <x:col min="9" max="9" width="9.960000038146973" hidden="0" customWidth="1"/>
  </x:cols>
  <x:sheetData>
    <x:row r="1">
      <x:c r="A1" s="25" t="str">
        <x:v>Keystone Retail Solutions — Sales Analysis Calculations</x:v>
      </x:c>
    </x:row>
    <x:row r="2">
      <x:c r="A2" s="29" t="str">
        <x:v>Made by Juan Barrera | Professor Jeffrey Seaman | Management Information Systems</x:v>
      </x:c>
    </x:row>
    <x:row r="4">
      <x:c r="A4" s="3" t="str">
        <x:v>Metric</x:v>
      </x:c>
      <x:c r="B4" s="3" t="str">
        <x:v>Formula / Result</x:v>
      </x:c>
      <x:c r="D4" s="21" t="str">
        <x:v>Region</x:v>
      </x:c>
      <x:c r="E4" s="21" t="str">
        <x:v>Revenue</x:v>
      </x:c>
      <x:c r="G4" s="21" t="str">
        <x:v>Month #</x:v>
      </x:c>
      <x:c r="H4" s="21" t="str">
        <x:v>Month</x:v>
      </x:c>
      <x:c r="I4" s="21" t="str">
        <x:v>Revenue</x:v>
      </x:c>
    </x:row>
    <x:row r="5">
      <x:c r="A5" t="str">
        <x:v>Total Revenue</x:v>
      </x:c>
      <x:c r="B5" s="12" t="n">
        <x:f>SUM('Raw Data'!G2:G321)</x:f>
        <x:v>777224.9199999991</x:v>
      </x:c>
      <x:c r="D5" t="str">
        <x:v>East</x:v>
      </x:c>
      <x:c r="E5" s="12" t="n">
        <x:f>SUMIFS('Raw Data'!$G$2:$G$321,'Raw Data'!$B$2:$B$321,D5)</x:f>
        <x:v>205573.06999999998</x:v>
      </x:c>
      <x:c r="G5" t="n">
        <x:v>1</x:v>
      </x:c>
      <x:c r="H5" s="34" t="n">
        <x:v>45658</x:v>
      </x:c>
      <x:c r="I5" s="12" t="n">
        <x:f>SUMIFS('Raw Data'!$G$2:$G$321,'Raw Data'!$A$2:$A$321,"&gt;="&amp;DATE(2025,G5,1),'Raw Data'!$A$2:$A$321,"&lt;"&amp;EDATE(DATE(2025,G5,1),1))</x:f>
        <x:v>31240.12</x:v>
      </x:c>
    </x:row>
    <x:row r="6">
      <x:c r="A6" t="str">
        <x:v>Total Quantity Sold</x:v>
      </x:c>
      <x:c r="B6" s="32" t="n">
        <x:f>SUM('Raw Data'!F2:F321)</x:f>
        <x:v>5046</x:v>
      </x:c>
      <x:c r="D6" t="str">
        <x:v>West</x:v>
      </x:c>
      <x:c r="E6" s="12" t="n">
        <x:f>SUMIFS('Raw Data'!$G$2:$G$321,'Raw Data'!$B$2:$B$321,D6)</x:f>
        <x:v>238926.52000000005</x:v>
      </x:c>
      <x:c r="G6" t="n">
        <x:v>2</x:v>
      </x:c>
      <x:c r="H6" s="34" t="n">
        <x:v>45689</x:v>
      </x:c>
      <x:c r="I6" s="12" t="n">
        <x:f>SUMIFS('Raw Data'!$G$2:$G$321,'Raw Data'!$A$2:$A$321,"&gt;="&amp;DATE(2025,G6,1),'Raw Data'!$A$2:$A$321,"&lt;"&amp;EDATE(DATE(2025,G6,1),1))</x:f>
        <x:v>27847.089999999997</x:v>
      </x:c>
    </x:row>
    <x:row r="7">
      <x:c r="A7" t="str">
        <x:v>Average Sale Amount</x:v>
      </x:c>
      <x:c r="B7" s="12" t="n">
        <x:f>AVERAGE('Raw Data'!G2:G321)</x:f>
        <x:v>2428.827874999997</x:v>
      </x:c>
      <x:c r="D7" t="str">
        <x:v>South</x:v>
      </x:c>
      <x:c r="E7" s="12" t="n">
        <x:f>SUMIFS('Raw Data'!$G$2:$G$321,'Raw Data'!$B$2:$B$321,D7)</x:f>
        <x:v>246400.95</x:v>
      </x:c>
      <x:c r="G7" t="n">
        <x:v>3</x:v>
      </x:c>
      <x:c r="H7" s="34" t="n">
        <x:v>45717</x:v>
      </x:c>
      <x:c r="I7" s="12" t="n">
        <x:f>SUMIFS('Raw Data'!$G$2:$G$321,'Raw Data'!$A$2:$A$321,"&gt;="&amp;DATE(2025,G7,1),'Raw Data'!$A$2:$A$321,"&lt;"&amp;EDATE(DATE(2025,G7,1),1))</x:f>
        <x:v>50208.13000000001</x:v>
      </x:c>
    </x:row>
    <x:row r="8">
      <x:c r="A8" t="str">
        <x:v>Top Performing Region</x:v>
      </x:c>
      <x:c r="B8" t="str">
        <x:f>INDEX(D5:D8,MATCH(MAX(E5:E8),E5:E8,0))</x:f>
        <x:v>South</x:v>
      </x:c>
      <x:c r="D8" t="str">
        <x:v>Midwest</x:v>
      </x:c>
      <x:c r="E8" s="12" t="n">
        <x:f>SUMIFS('Raw Data'!$G$2:$G$321,'Raw Data'!$B$2:$B$321,D8)</x:f>
        <x:v>86324.37999999998</x:v>
      </x:c>
      <x:c r="G8" t="n">
        <x:v>4</x:v>
      </x:c>
      <x:c r="H8" s="34" t="n">
        <x:v>45748</x:v>
      </x:c>
      <x:c r="I8" s="12" t="n">
        <x:f>SUMIFS('Raw Data'!$G$2:$G$321,'Raw Data'!$A$2:$A$321,"&gt;="&amp;DATE(2025,G8,1),'Raw Data'!$A$2:$A$321,"&lt;"&amp;EDATE(DATE(2025,G8,1),1))</x:f>
        <x:v>42834.47</x:v>
      </x:c>
    </x:row>
    <x:row r="9">
      <x:c r="A9" t="str">
        <x:v>Best Product</x:v>
      </x:c>
      <x:c r="B9" t="str">
        <x:f>INDEX(A15:A24,MATCH(MAX(B15:B24),B15:B24,0))</x:f>
        <x:v>Smart Home Hub</x:v>
      </x:c>
      <x:c r="G9" t="n">
        <x:v>5</x:v>
      </x:c>
      <x:c r="H9" s="34" t="n">
        <x:v>45778</x:v>
      </x:c>
      <x:c r="I9" s="12" t="n">
        <x:f>SUMIFS('Raw Data'!$G$2:$G$321,'Raw Data'!$A$2:$A$321,"&gt;="&amp;DATE(2025,G9,1),'Raw Data'!$A$2:$A$321,"&lt;"&amp;EDATE(DATE(2025,G9,1),1))</x:f>
        <x:v>78894.19</x:v>
      </x:c>
    </x:row>
    <x:row r="10">
      <x:c r="A10" t="str">
        <x:v>Top Salesperson</x:v>
      </x:c>
      <x:c r="B10" t="str">
        <x:f>INDEX(D15:D26,MATCH(MAX(E15:E26),E15:E26,0))</x:f>
        <x:v>Ava Davis</x:v>
      </x:c>
      <x:c r="G10" t="n">
        <x:v>6</x:v>
      </x:c>
      <x:c r="H10" s="34" t="n">
        <x:v>45809</x:v>
      </x:c>
      <x:c r="I10" s="12" t="n">
        <x:f>SUMIFS('Raw Data'!$G$2:$G$321,'Raw Data'!$A$2:$A$321,"&gt;="&amp;DATE(2025,G10,1),'Raw Data'!$A$2:$A$321,"&lt;"&amp;EDATE(DATE(2025,G10,1),1))</x:f>
        <x:v>83231.01999999996</x:v>
      </x:c>
    </x:row>
    <x:row r="11">
      <x:c r="G11" t="n">
        <x:v>7</x:v>
      </x:c>
      <x:c r="H11" s="34" t="n">
        <x:v>45839</x:v>
      </x:c>
      <x:c r="I11" s="12" t="n">
        <x:f>SUMIFS('Raw Data'!$G$2:$G$321,'Raw Data'!$A$2:$A$321,"&gt;="&amp;DATE(2025,G11,1),'Raw Data'!$A$2:$A$321,"&lt;"&amp;EDATE(DATE(2025,G11,1),1))</x:f>
        <x:v>65988.33</x:v>
      </x:c>
    </x:row>
    <x:row r="12">
      <x:c r="G12" t="n">
        <x:v>8</x:v>
      </x:c>
      <x:c r="H12" s="34" t="n">
        <x:v>45870</x:v>
      </x:c>
      <x:c r="I12" s="12" t="n">
        <x:f>SUMIFS('Raw Data'!$G$2:$G$321,'Raw Data'!$A$2:$A$321,"&gt;="&amp;DATE(2025,G12,1),'Raw Data'!$A$2:$A$321,"&lt;"&amp;EDATE(DATE(2025,G12,1),1))</x:f>
        <x:v>89660.47000000002</x:v>
      </x:c>
    </x:row>
    <x:row r="13">
      <x:c r="G13" t="n">
        <x:v>9</x:v>
      </x:c>
      <x:c r="H13" s="34" t="n">
        <x:v>45901</x:v>
      </x:c>
      <x:c r="I13" s="12" t="n">
        <x:f>SUMIFS('Raw Data'!$G$2:$G$321,'Raw Data'!$A$2:$A$321,"&gt;="&amp;DATE(2025,G13,1),'Raw Data'!$A$2:$A$321,"&lt;"&amp;EDATE(DATE(2025,G13,1),1))</x:f>
        <x:v>56137.289999999986</x:v>
      </x:c>
    </x:row>
    <x:row r="14">
      <x:c r="A14" s="21" t="str">
        <x:v>Product Name</x:v>
      </x:c>
      <x:c r="B14" s="21" t="str">
        <x:v>Revenue</x:v>
      </x:c>
      <x:c r="D14" s="21" t="str">
        <x:v>Salesperson</x:v>
      </x:c>
      <x:c r="E14" s="21" t="str">
        <x:v>Revenue</x:v>
      </x:c>
      <x:c r="G14" t="n">
        <x:v>10</x:v>
      </x:c>
      <x:c r="H14" s="34" t="n">
        <x:v>45931</x:v>
      </x:c>
      <x:c r="I14" s="12" t="n">
        <x:f>SUMIFS('Raw Data'!$G$2:$G$321,'Raw Data'!$A$2:$A$321,"&gt;="&amp;DATE(2025,G14,1),'Raw Data'!$A$2:$A$321,"&lt;"&amp;EDATE(DATE(2025,G14,1),1))</x:f>
        <x:v>58893.600000000006</x:v>
      </x:c>
    </x:row>
    <x:row r="15">
      <x:c r="A15" t="str">
        <x:v>Wireless Headphones</x:v>
      </x:c>
      <x:c r="B15" s="12" t="n">
        <x:f>SUMIFS('Raw Data'!$G$2:$G$321,'Raw Data'!$D$2:$D$321,A15)</x:f>
        <x:v>85835</x:v>
      </x:c>
      <x:c r="D15" t="str">
        <x:v>Maya Johnson</x:v>
      </x:c>
      <x:c r="E15" s="12" t="n">
        <x:f>SUMIFS('Raw Data'!$G$2:$G$321,'Raw Data'!$E$2:$E$321,D15)</x:f>
        <x:v>68495.31999999999</x:v>
      </x:c>
      <x:c r="G15" t="n">
        <x:v>11</x:v>
      </x:c>
      <x:c r="H15" s="34" t="n">
        <x:v>45962</x:v>
      </x:c>
      <x:c r="I15" s="12" t="n">
        <x:f>SUMIFS('Raw Data'!$G$2:$G$321,'Raw Data'!$A$2:$A$321,"&gt;="&amp;DATE(2025,G15,1),'Raw Data'!$A$2:$A$321,"&lt;"&amp;EDATE(DATE(2025,G15,1),1))</x:f>
        <x:v>82492.55</x:v>
      </x:c>
    </x:row>
    <x:row r="16">
      <x:c r="A16" t="str">
        <x:v>Smart Home Hub</x:v>
      </x:c>
      <x:c r="B16" s="12" t="n">
        <x:f>SUMIFS('Raw Data'!$G$2:$G$321,'Raw Data'!$D$2:$D$321,A16)</x:f>
        <x:v>248163.56999999995</x:v>
      </x:c>
      <x:c r="D16" t="str">
        <x:v>Ethan Smith</x:v>
      </x:c>
      <x:c r="E16" s="12" t="n">
        <x:f>SUMIFS('Raw Data'!$G$2:$G$321,'Raw Data'!$E$2:$E$321,D16)</x:f>
        <x:v>79484.07999999999</x:v>
      </x:c>
      <x:c r="G16" t="n">
        <x:v>12</x:v>
      </x:c>
      <x:c r="H16" s="34" t="n">
        <x:v>45992</x:v>
      </x:c>
      <x:c r="I16" s="12" t="n">
        <x:f>SUMIFS('Raw Data'!$G$2:$G$321,'Raw Data'!$A$2:$A$321,"&gt;="&amp;DATE(2025,G16,1),'Raw Data'!$A$2:$A$321,"&lt;"&amp;EDATE(DATE(2025,G16,1),1))</x:f>
        <x:v>109797.65999999999</x:v>
      </x:c>
    </x:row>
    <x:row r="17">
      <x:c r="A17" t="str">
        <x:v>Ergonomic Office Chair</x:v>
      </x:c>
      <x:c r="B17" s="12" t="n">
        <x:f>SUMIFS('Raw Data'!$G$2:$G$321,'Raw Data'!$D$2:$D$321,A17)</x:f>
        <x:v>120440.18000000002</x:v>
      </x:c>
      <x:c r="D17" t="str">
        <x:v>Olivia Garcia</x:v>
      </x:c>
      <x:c r="E17" s="12" t="n">
        <x:f>SUMIFS('Raw Data'!$G$2:$G$321,'Raw Data'!$E$2:$E$321,D17)</x:f>
        <x:v>56805.340000000004</x:v>
      </x:c>
    </x:row>
    <x:row r="18">
      <x:c r="A18" t="str">
        <x:v>Standing Desk Converter</x:v>
      </x:c>
      <x:c r="B18" s="12" t="n">
        <x:f>SUMIFS('Raw Data'!$G$2:$G$321,'Raw Data'!$D$2:$D$321,A18)</x:f>
        <x:v>55579.68</x:v>
      </x:c>
      <x:c r="D18" t="str">
        <x:v>Noah Brown</x:v>
      </x:c>
      <x:c r="E18" s="12" t="n">
        <x:f>SUMIFS('Raw Data'!$G$2:$G$321,'Raw Data'!$E$2:$E$321,D18)</x:f>
        <x:v>52004.790000000015</x:v>
      </x:c>
    </x:row>
    <x:row r="19">
      <x:c r="A19" t="str">
        <x:v>Stainless Cookware Set</x:v>
      </x:c>
      <x:c r="B19" s="12" t="n">
        <x:f>SUMIFS('Raw Data'!$G$2:$G$321,'Raw Data'!$D$2:$D$321,A19)</x:f>
        <x:v>68594.09</x:v>
      </x:c>
      <x:c r="D19" t="str">
        <x:v>Sophia Martinez</x:v>
      </x:c>
      <x:c r="E19" s="12" t="n">
        <x:f>SUMIFS('Raw Data'!$G$2:$G$321,'Raw Data'!$E$2:$E$321,D19)</x:f>
        <x:v>74380.31999999999</x:v>
      </x:c>
      <x:c r="G19" s="21" t="str">
        <x:v>Customer Type</x:v>
      </x:c>
      <x:c r="H19" s="21" t="str">
        <x:v>Revenue</x:v>
      </x:c>
    </x:row>
    <x:row r="20">
      <x:c r="A20" t="str">
        <x:v>Air Fryer XL</x:v>
      </x:c>
      <x:c r="B20" s="12" t="n">
        <x:f>SUMIFS('Raw Data'!$G$2:$G$321,'Raw Data'!$D$2:$D$321,A20)</x:f>
        <x:v>111401.23999999999</x:v>
      </x:c>
      <x:c r="D20" t="str">
        <x:v>Liam Wilson</x:v>
      </x:c>
      <x:c r="E20" s="12" t="n">
        <x:f>SUMIFS('Raw Data'!$G$2:$G$321,'Raw Data'!$E$2:$E$321,D20)</x:f>
        <x:v>38425.49</x:v>
      </x:c>
      <x:c r="G20" t="str">
        <x:v>Retail</x:v>
      </x:c>
      <x:c r="H20" s="12" t="n">
        <x:f>SUMIFS('Raw Data'!$G$2:$G$321,'Raw Data'!$I$2:$I$321,G20)</x:f>
        <x:v>308406.2699999999</x:v>
      </x:c>
    </x:row>
    <x:row r="21">
      <x:c r="A21" t="str">
        <x:v>Fitness Tracker</x:v>
      </x:c>
      <x:c r="B21" s="12" t="n">
        <x:f>SUMIFS('Raw Data'!$G$2:$G$321,'Raw Data'!$D$2:$D$321,A21)</x:f>
        <x:v>51115.75000000001</x:v>
      </x:c>
      <x:c r="D21" t="str">
        <x:v>Ava Davis</x:v>
      </x:c>
      <x:c r="E21" s="12" t="n">
        <x:f>SUMIFS('Raw Data'!$G$2:$G$321,'Raw Data'!$E$2:$E$321,D21)</x:f>
        <x:v>88897.43000000002</x:v>
      </x:c>
      <x:c r="G21" t="str">
        <x:v>Wholesale</x:v>
      </x:c>
      <x:c r="H21" s="12" t="n">
        <x:f>SUMIFS('Raw Data'!$G$2:$G$321,'Raw Data'!$I$2:$I$321,G21)</x:f>
        <x:v>468818.65000000014</x:v>
      </x:c>
    </x:row>
    <x:row r="22">
      <x:c r="A22" t="str">
        <x:v>Yoga Starter Kit</x:v>
      </x:c>
      <x:c r="B22" s="12" t="n">
        <x:f>SUMIFS('Raw Data'!$G$2:$G$321,'Raw Data'!$D$2:$D$321,A22)</x:f>
        <x:v>11956.01</x:v>
      </x:c>
      <x:c r="D22" t="str">
        <x:v>Lucas Miller</x:v>
      </x:c>
      <x:c r="E22" s="12" t="n">
        <x:f>SUMIFS('Raw Data'!$G$2:$G$321,'Raw Data'!$E$2:$E$321,D22)</x:f>
        <x:v>77134.68000000001</x:v>
      </x:c>
    </x:row>
    <x:row r="23">
      <x:c r="A23" t="str">
        <x:v>Travel Backpack</x:v>
      </x:c>
      <x:c r="B23" s="12" t="n">
        <x:f>SUMIFS('Raw Data'!$G$2:$G$321,'Raw Data'!$D$2:$D$321,A23)</x:f>
        <x:v>20587.910000000003</x:v>
      </x:c>
      <x:c r="D23" t="str">
        <x:v>Isabella Taylor</x:v>
      </x:c>
      <x:c r="E23" s="12" t="n">
        <x:f>SUMIFS('Raw Data'!$G$2:$G$321,'Raw Data'!$E$2:$E$321,D23)</x:f>
        <x:v>62969.09000000001</x:v>
      </x:c>
    </x:row>
    <x:row r="24">
      <x:c r="A24" t="str">
        <x:v>Insulated Water Bottle</x:v>
      </x:c>
      <x:c r="B24" s="12" t="n">
        <x:f>SUMIFS('Raw Data'!$G$2:$G$321,'Raw Data'!$D$2:$D$321,A24)</x:f>
        <x:v>3551.4900000000007</x:v>
      </x:c>
      <x:c r="D24" t="str">
        <x:v>James Anderson</x:v>
      </x:c>
      <x:c r="E24" s="12" t="n">
        <x:f>SUMIFS('Raw Data'!$G$2:$G$321,'Raw Data'!$E$2:$E$321,D24)</x:f>
        <x:v>40748.90000000001</x:v>
      </x:c>
    </x:row>
    <x:row r="25">
      <x:c r="D25" t="str">
        <x:v>Mia Thomas</x:v>
      </x:c>
      <x:c r="E25" s="12" t="n">
        <x:f>SUMIFS('Raw Data'!$G$2:$G$321,'Raw Data'!$E$2:$E$321,D25)</x:f>
        <x:v>74858.91</x:v>
      </x:c>
    </x:row>
    <x:row r="26">
      <x:c r="D26" t="str">
        <x:v>Benjamin Moore</x:v>
      </x:c>
      <x:c r="E26" s="12" t="n">
        <x:f>SUMIFS('Raw Data'!$G$2:$G$321,'Raw Data'!$E$2:$E$321,D26)</x:f>
        <x:v>63020.57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2" hidden="0" customWidth="1"/>
    <x:col min="5" max="5" width="13" hidden="0" customWidth="1"/>
    <x:col min="7" max="7" width="22" hidden="0" customWidth="1"/>
    <x:col min="8" max="8" width="14" hidden="0" customWidth="1"/>
    <x:col min="10" max="10" width="18" hidden="0" customWidth="1"/>
    <x:col min="11" max="11" width="14" hidden="0" customWidth="1"/>
    <x:col min="6" max="6" width="14" hidden="0" customWidth="1"/>
    <x:col min="9" max="9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38" t="str">
        <x:v>Keystone Retail Solutions — Executive Sales Dashboard</x:v>
      </x:c>
    </x:row>
    <x:row r="2">
      <x:c r="A2" s="29" t="str">
        <x:v>Made by Juan Barrera | Professor Jeffrey Seaman | Management Information Systems</x:v>
      </x:c>
    </x:row>
    <x:row r="4">
      <x:c r="A4" s="44" t="str">
        <x:v>Total Revenue</x:v>
      </x:c>
      <x:c r="B4" s="42" t="str"/>
      <x:c r="C4" s="53" t="n">
        <x:f>'Calculations'!B5</x:f>
        <x:v>777224.9199999991</x:v>
      </x:c>
      <x:c r="E4" s="65" t="str">
        <x:v>Key insights: South is the top region, Midwest is underperforming, Smart Home Hub is the strongest product, December has the highest sales due to holiday demand, and wholesale customers generate a larger share of revenue.</x:v>
      </x:c>
    </x:row>
    <x:row r="5">
      <x:c r="A5" s="44" t="str">
        <x:v>Total Quantity Sold</x:v>
      </x:c>
      <x:c r="B5" s="42" t="str"/>
      <x:c r="C5" s="54" t="n">
        <x:f>'Calculations'!B6</x:f>
        <x:v>5046</x:v>
      </x:c>
    </x:row>
    <x:row r="6">
      <x:c r="A6" s="44" t="str">
        <x:v>Average Sale Amount</x:v>
      </x:c>
      <x:c r="B6" s="42" t="str"/>
      <x:c r="C6" s="53" t="n">
        <x:f>'Calculations'!B7</x:f>
        <x:v>2428.827874999997</x:v>
      </x:c>
    </x:row>
    <x:row r="7">
      <x:c r="A7" s="44" t="str">
        <x:v>Top Performing Region</x:v>
      </x:c>
      <x:c r="B7" s="42" t="str"/>
      <x:c r="C7" s="55" t="str">
        <x:f>'Calculations'!B8</x:f>
        <x:v>South</x:v>
      </x:c>
    </x:row>
    <x:row r="10">
      <x:c r="A10" s="21" t="str">
        <x:v>Region</x:v>
      </x:c>
      <x:c r="B10" s="21" t="str">
        <x:v>Revenue</x:v>
      </x:c>
      <x:c r="D10" s="21" t="str">
        <x:v>Month</x:v>
      </x:c>
      <x:c r="E10" s="21" t="str">
        <x:v>Revenue</x:v>
      </x:c>
      <x:c r="G10" s="21" t="str">
        <x:v>Product</x:v>
      </x:c>
      <x:c r="H10" s="21" t="str">
        <x:v>Revenue</x:v>
      </x:c>
      <x:c r="J10" s="21" t="str">
        <x:v>Salesperson</x:v>
      </x:c>
      <x:c r="K10" s="21" t="str">
        <x:v>Revenue</x:v>
      </x:c>
    </x:row>
    <x:row r="11">
      <x:c r="A11" t="str">
        <x:v>East</x:v>
      </x:c>
      <x:c r="B11" s="70" t="n">
        <x:f>'Calculations'!E5</x:f>
        <x:v>205573.06999999998</x:v>
      </x:c>
      <x:c r="D11" s="72" t="str">
        <x:f>TEXT('Calculations'!H5,"mmm")</x:f>
        <x:v>Jan</x:v>
      </x:c>
      <x:c r="E11" s="70" t="n">
        <x:f>'Calculations'!I5</x:f>
        <x:v>31240.12</x:v>
      </x:c>
      <x:c r="G11" t="str">
        <x:f>'Calculations'!A15</x:f>
        <x:v>Wireless Headphones</x:v>
      </x:c>
      <x:c r="H11" s="70" t="n">
        <x:f>'Calculations'!B15</x:f>
        <x:v>85835</x:v>
      </x:c>
      <x:c r="J11" t="str">
        <x:f>'Calculations'!D15</x:f>
        <x:v>Maya Johnson</x:v>
      </x:c>
      <x:c r="K11" s="70" t="n">
        <x:f>'Calculations'!E15</x:f>
        <x:v>68495.31999999999</x:v>
      </x:c>
    </x:row>
    <x:row r="12">
      <x:c r="A12" t="str">
        <x:v>West</x:v>
      </x:c>
      <x:c r="B12" s="70" t="n">
        <x:f>'Calculations'!E6</x:f>
        <x:v>238926.52000000005</x:v>
      </x:c>
      <x:c r="D12" s="72" t="str">
        <x:f>TEXT('Calculations'!H6,"mmm")</x:f>
        <x:v>Feb</x:v>
      </x:c>
      <x:c r="E12" s="70" t="n">
        <x:f>'Calculations'!I6</x:f>
        <x:v>27847.089999999997</x:v>
      </x:c>
      <x:c r="G12" t="str">
        <x:f>'Calculations'!A16</x:f>
        <x:v>Smart Home Hub</x:v>
      </x:c>
      <x:c r="H12" s="70" t="n">
        <x:f>'Calculations'!B16</x:f>
        <x:v>248163.56999999995</x:v>
      </x:c>
      <x:c r="J12" t="str">
        <x:f>'Calculations'!D16</x:f>
        <x:v>Ethan Smith</x:v>
      </x:c>
      <x:c r="K12" s="70" t="n">
        <x:f>'Calculations'!E16</x:f>
        <x:v>79484.07999999999</x:v>
      </x:c>
    </x:row>
    <x:row r="13">
      <x:c r="A13" t="str">
        <x:v>South</x:v>
      </x:c>
      <x:c r="B13" s="70" t="n">
        <x:f>'Calculations'!E7</x:f>
        <x:v>246400.95</x:v>
      </x:c>
      <x:c r="D13" s="72" t="str">
        <x:f>TEXT('Calculations'!H7,"mmm")</x:f>
        <x:v>Mar</x:v>
      </x:c>
      <x:c r="E13" s="70" t="n">
        <x:f>'Calculations'!I7</x:f>
        <x:v>50208.13000000001</x:v>
      </x:c>
      <x:c r="G13" t="str">
        <x:f>'Calculations'!A17</x:f>
        <x:v>Ergonomic Office Chair</x:v>
      </x:c>
      <x:c r="H13" s="70" t="n">
        <x:f>'Calculations'!B17</x:f>
        <x:v>120440.18000000002</x:v>
      </x:c>
      <x:c r="J13" t="str">
        <x:f>'Calculations'!D17</x:f>
        <x:v>Olivia Garcia</x:v>
      </x:c>
      <x:c r="K13" s="70" t="n">
        <x:f>'Calculations'!E17</x:f>
        <x:v>56805.340000000004</x:v>
      </x:c>
    </x:row>
    <x:row r="14">
      <x:c r="A14" t="str">
        <x:v>Midwest</x:v>
      </x:c>
      <x:c r="B14" s="70" t="n">
        <x:f>'Calculations'!E8</x:f>
        <x:v>86324.37999999998</x:v>
      </x:c>
      <x:c r="D14" s="72" t="str">
        <x:f>TEXT('Calculations'!H8,"mmm")</x:f>
        <x:v>Apr</x:v>
      </x:c>
      <x:c r="E14" s="70" t="n">
        <x:f>'Calculations'!I8</x:f>
        <x:v>42834.47</x:v>
      </x:c>
      <x:c r="G14" t="str">
        <x:f>'Calculations'!A18</x:f>
        <x:v>Standing Desk Converter</x:v>
      </x:c>
      <x:c r="H14" s="70" t="n">
        <x:f>'Calculations'!B18</x:f>
        <x:v>55579.68</x:v>
      </x:c>
      <x:c r="J14" t="str">
        <x:f>'Calculations'!D18</x:f>
        <x:v>Noah Brown</x:v>
      </x:c>
      <x:c r="K14" s="70" t="n">
        <x:f>'Calculations'!E18</x:f>
        <x:v>52004.790000000015</x:v>
      </x:c>
    </x:row>
    <x:row r="15">
      <x:c r="D15" s="72" t="str">
        <x:f>TEXT('Calculations'!H9,"mmm")</x:f>
        <x:v>May</x:v>
      </x:c>
      <x:c r="E15" s="70" t="n">
        <x:f>'Calculations'!I9</x:f>
        <x:v>78894.19</x:v>
      </x:c>
      <x:c r="G15" t="str">
        <x:f>'Calculations'!A19</x:f>
        <x:v>Stainless Cookware Set</x:v>
      </x:c>
      <x:c r="H15" s="70" t="n">
        <x:f>'Calculations'!B19</x:f>
        <x:v>68594.09</x:v>
      </x:c>
      <x:c r="J15" t="str">
        <x:f>'Calculations'!D19</x:f>
        <x:v>Sophia Martinez</x:v>
      </x:c>
      <x:c r="K15" s="70" t="n">
        <x:f>'Calculations'!E19</x:f>
        <x:v>74380.31999999999</x:v>
      </x:c>
    </x:row>
    <x:row r="16">
      <x:c r="D16" s="72" t="str">
        <x:f>TEXT('Calculations'!H10,"mmm")</x:f>
        <x:v>Jun</x:v>
      </x:c>
      <x:c r="E16" s="70" t="n">
        <x:f>'Calculations'!I10</x:f>
        <x:v>83231.01999999996</x:v>
      </x:c>
      <x:c r="G16" t="str">
        <x:f>'Calculations'!A20</x:f>
        <x:v>Air Fryer XL</x:v>
      </x:c>
      <x:c r="H16" s="70" t="n">
        <x:f>'Calculations'!B20</x:f>
        <x:v>111401.23999999999</x:v>
      </x:c>
      <x:c r="J16" t="str">
        <x:f>'Calculations'!D20</x:f>
        <x:v>Liam Wilson</x:v>
      </x:c>
      <x:c r="K16" s="70" t="n">
        <x:f>'Calculations'!E20</x:f>
        <x:v>38425.49</x:v>
      </x:c>
    </x:row>
    <x:row r="17">
      <x:c r="D17" s="72" t="str">
        <x:f>TEXT('Calculations'!H11,"mmm")</x:f>
        <x:v>Jul</x:v>
      </x:c>
      <x:c r="E17" s="70" t="n">
        <x:f>'Calculations'!I11</x:f>
        <x:v>65988.33</x:v>
      </x:c>
      <x:c r="G17" t="str">
        <x:f>'Calculations'!A21</x:f>
        <x:v>Fitness Tracker</x:v>
      </x:c>
      <x:c r="H17" s="70" t="n">
        <x:f>'Calculations'!B21</x:f>
        <x:v>51115.75000000001</x:v>
      </x:c>
      <x:c r="J17" t="str">
        <x:f>'Calculations'!D21</x:f>
        <x:v>Ava Davis</x:v>
      </x:c>
      <x:c r="K17" s="70" t="n">
        <x:f>'Calculations'!E21</x:f>
        <x:v>88897.43000000002</x:v>
      </x:c>
    </x:row>
    <x:row r="18">
      <x:c r="D18" s="72" t="str">
        <x:f>TEXT('Calculations'!H12,"mmm")</x:f>
        <x:v>Aug</x:v>
      </x:c>
      <x:c r="E18" s="70" t="n">
        <x:f>'Calculations'!I12</x:f>
        <x:v>89660.47000000002</x:v>
      </x:c>
      <x:c r="G18" t="str">
        <x:f>'Calculations'!A22</x:f>
        <x:v>Yoga Starter Kit</x:v>
      </x:c>
      <x:c r="H18" s="70" t="n">
        <x:f>'Calculations'!B22</x:f>
        <x:v>11956.01</x:v>
      </x:c>
      <x:c r="J18" t="str">
        <x:f>'Calculations'!D22</x:f>
        <x:v>Lucas Miller</x:v>
      </x:c>
      <x:c r="K18" s="70" t="n">
        <x:f>'Calculations'!E22</x:f>
        <x:v>77134.68000000001</x:v>
      </x:c>
    </x:row>
    <x:row r="19">
      <x:c r="D19" s="72" t="str">
        <x:f>TEXT('Calculations'!H13,"mmm")</x:f>
        <x:v>Sep</x:v>
      </x:c>
      <x:c r="E19" s="70" t="n">
        <x:f>'Calculations'!I13</x:f>
        <x:v>56137.289999999986</x:v>
      </x:c>
      <x:c r="G19" t="str">
        <x:f>'Calculations'!A23</x:f>
        <x:v>Travel Backpack</x:v>
      </x:c>
      <x:c r="H19" s="70" t="n">
        <x:f>'Calculations'!B23</x:f>
        <x:v>20587.910000000003</x:v>
      </x:c>
      <x:c r="J19" t="str">
        <x:f>'Calculations'!D23</x:f>
        <x:v>Isabella Taylor</x:v>
      </x:c>
      <x:c r="K19" s="70" t="n">
        <x:f>'Calculations'!E23</x:f>
        <x:v>62969.09000000001</x:v>
      </x:c>
    </x:row>
    <x:row r="20">
      <x:c r="D20" s="72" t="str">
        <x:f>TEXT('Calculations'!H14,"mmm")</x:f>
        <x:v>Oct</x:v>
      </x:c>
      <x:c r="E20" s="70" t="n">
        <x:f>'Calculations'!I14</x:f>
        <x:v>58893.600000000006</x:v>
      </x:c>
      <x:c r="G20" t="str">
        <x:f>'Calculations'!A24</x:f>
        <x:v>Insulated Water Bottle</x:v>
      </x:c>
      <x:c r="H20" s="70" t="n">
        <x:f>'Calculations'!B24</x:f>
        <x:v>3551.4900000000007</x:v>
      </x:c>
      <x:c r="J20" t="str">
        <x:f>'Calculations'!D24</x:f>
        <x:v>James Anderson</x:v>
      </x:c>
      <x:c r="K20" s="70" t="n">
        <x:f>'Calculations'!E24</x:f>
        <x:v>40748.90000000001</x:v>
      </x:c>
    </x:row>
    <x:row r="21">
      <x:c r="D21" s="72" t="str">
        <x:f>TEXT('Calculations'!H15,"mmm")</x:f>
        <x:v>Nov</x:v>
      </x:c>
      <x:c r="E21" s="70" t="n">
        <x:f>'Calculations'!I15</x:f>
        <x:v>82492.55</x:v>
      </x:c>
      <x:c r="J21" t="str">
        <x:f>'Calculations'!D25</x:f>
        <x:v>Mia Thomas</x:v>
      </x:c>
      <x:c r="K21" s="70" t="n">
        <x:f>'Calculations'!E25</x:f>
        <x:v>74858.91</x:v>
      </x:c>
    </x:row>
    <x:row r="22">
      <x:c r="D22" s="72" t="str">
        <x:f>TEXT('Calculations'!H16,"mmm")</x:f>
        <x:v>Dec</x:v>
      </x:c>
      <x:c r="E22" s="70" t="n">
        <x:f>'Calculations'!I16</x:f>
        <x:v>109797.65999999999</x:v>
      </x:c>
      <x:c r="J22" t="str">
        <x:f>'Calculations'!D26</x:f>
        <x:v>Benjamin Moore</x:v>
      </x:c>
      <x:c r="K22" s="70" t="n">
        <x:f>'Calculations'!E26</x:f>
        <x:v>63020.57</x:v>
      </x:c>
    </x:row>
  </x:sheetData>
  <x:mergeCells>
    <x:mergeCell ref="A1:N1"/>
    <x:mergeCell ref="A2:N2"/>
    <x:mergeCell ref="E4:N7"/>
  </x:mergeCells>
  <x:pageMargins left="0.7" right="0.7" top="0.75" bottom="0.75" header="0.3" footer="0.3"/>
  <x:drawing xmlns:r="http://schemas.openxmlformats.org/officeDocument/2006/relationships" r:id="R577e0c2df2754dcf"/>
</x:worksheet>
</file>