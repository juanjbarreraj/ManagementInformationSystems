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ummerSemester/ManagementInformationSystems/Week3/"/>
    </mc:Choice>
  </mc:AlternateContent>
  <xr:revisionPtr revIDLastSave="0" documentId="13_ncr:1_{E79CF69F-A7EA-AE40-80A4-6378D4212254}" xr6:coauthVersionLast="47" xr6:coauthVersionMax="47" xr10:uidLastSave="{00000000-0000-0000-0000-000000000000}"/>
  <bookViews>
    <workbookView xWindow="0" yWindow="0" windowWidth="38400" windowHeight="21600" activeTab="3" xr2:uid="{00000000-000D-0000-FFFF-FFFF00000000}"/>
  </bookViews>
  <sheets>
    <sheet name="Raw Data" sheetId="1" r:id="rId1"/>
    <sheet name="Lookup Tables" sheetId="2" r:id="rId2"/>
    <sheet name="Calculation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4" l="1"/>
  <c r="D22" i="4"/>
  <c r="A22" i="4"/>
  <c r="D21" i="4"/>
  <c r="A21" i="4"/>
  <c r="D20" i="4"/>
  <c r="A20" i="4"/>
  <c r="G19" i="4"/>
  <c r="D19" i="4"/>
  <c r="A19" i="4"/>
  <c r="H18" i="4"/>
  <c r="G18" i="4"/>
  <c r="D18" i="4"/>
  <c r="A18" i="4"/>
  <c r="D17" i="4"/>
  <c r="A17" i="4"/>
  <c r="D16" i="4"/>
  <c r="A16" i="4"/>
  <c r="D15" i="4"/>
  <c r="A15" i="4"/>
  <c r="G14" i="4"/>
  <c r="D14" i="4"/>
  <c r="A14" i="4"/>
  <c r="H13" i="4"/>
  <c r="G13" i="4"/>
  <c r="G12" i="4"/>
  <c r="G11" i="4"/>
  <c r="G10" i="4"/>
  <c r="H9" i="4"/>
  <c r="G9" i="4"/>
  <c r="G8" i="4"/>
  <c r="D8" i="4"/>
  <c r="H7" i="4"/>
  <c r="G7" i="4"/>
  <c r="D7" i="4"/>
  <c r="B7" i="4"/>
  <c r="G6" i="4"/>
  <c r="E6" i="4"/>
  <c r="D6" i="4"/>
  <c r="B6" i="4"/>
  <c r="G5" i="4"/>
  <c r="D5" i="4"/>
  <c r="B5" i="4"/>
  <c r="H16" i="3"/>
  <c r="H14" i="4" s="1"/>
  <c r="E16" i="3"/>
  <c r="E23" i="4" s="1"/>
  <c r="H15" i="3"/>
  <c r="E15" i="3"/>
  <c r="E22" i="4" s="1"/>
  <c r="H14" i="3"/>
  <c r="H12" i="4" s="1"/>
  <c r="E14" i="3"/>
  <c r="E21" i="4" s="1"/>
  <c r="H13" i="3"/>
  <c r="H11" i="4" s="1"/>
  <c r="E13" i="3"/>
  <c r="E20" i="4" s="1"/>
  <c r="H12" i="3"/>
  <c r="H10" i="4" s="1"/>
  <c r="E12" i="3"/>
  <c r="E19" i="4" s="1"/>
  <c r="H11" i="3"/>
  <c r="E11" i="3"/>
  <c r="E18" i="4" s="1"/>
  <c r="H10" i="3"/>
  <c r="H8" i="4" s="1"/>
  <c r="E10" i="3"/>
  <c r="E17" i="4" s="1"/>
  <c r="B10" i="3"/>
  <c r="E8" i="4" s="1"/>
  <c r="H9" i="3"/>
  <c r="E9" i="3"/>
  <c r="E16" i="4" s="1"/>
  <c r="B9" i="3"/>
  <c r="E7" i="4" s="1"/>
  <c r="P8" i="3"/>
  <c r="O8" i="3"/>
  <c r="H19" i="4" s="1"/>
  <c r="H8" i="3"/>
  <c r="H6" i="4" s="1"/>
  <c r="E8" i="3"/>
  <c r="E15" i="4" s="1"/>
  <c r="B8" i="3"/>
  <c r="P7" i="3"/>
  <c r="O7" i="3"/>
  <c r="H7" i="3"/>
  <c r="E7" i="3"/>
  <c r="B7" i="3"/>
  <c r="E5" i="4" s="1"/>
  <c r="P241" i="1"/>
  <c r="O241" i="1"/>
  <c r="N241" i="1"/>
  <c r="M241" i="1"/>
  <c r="L241" i="1"/>
  <c r="Q241" i="1" s="1"/>
  <c r="K241" i="1"/>
  <c r="J241" i="1"/>
  <c r="P240" i="1"/>
  <c r="O240" i="1"/>
  <c r="N240" i="1"/>
  <c r="M240" i="1"/>
  <c r="L240" i="1"/>
  <c r="Q240" i="1" s="1"/>
  <c r="K240" i="1"/>
  <c r="J240" i="1"/>
  <c r="P239" i="1"/>
  <c r="O239" i="1"/>
  <c r="N239" i="1"/>
  <c r="M239" i="1"/>
  <c r="L239" i="1"/>
  <c r="Q239" i="1" s="1"/>
  <c r="K239" i="1"/>
  <c r="J239" i="1"/>
  <c r="P238" i="1"/>
  <c r="O238" i="1"/>
  <c r="N238" i="1"/>
  <c r="M238" i="1"/>
  <c r="L238" i="1"/>
  <c r="Q238" i="1" s="1"/>
  <c r="K238" i="1"/>
  <c r="J238" i="1"/>
  <c r="P237" i="1"/>
  <c r="O237" i="1"/>
  <c r="N237" i="1"/>
  <c r="M237" i="1"/>
  <c r="L237" i="1"/>
  <c r="Q237" i="1" s="1"/>
  <c r="K237" i="1"/>
  <c r="J237" i="1"/>
  <c r="P236" i="1"/>
  <c r="O236" i="1"/>
  <c r="N236" i="1"/>
  <c r="M236" i="1"/>
  <c r="L236" i="1"/>
  <c r="Q236" i="1" s="1"/>
  <c r="K236" i="1"/>
  <c r="J236" i="1"/>
  <c r="P235" i="1"/>
  <c r="O235" i="1"/>
  <c r="N235" i="1"/>
  <c r="M235" i="1"/>
  <c r="L235" i="1"/>
  <c r="Q235" i="1" s="1"/>
  <c r="K235" i="1"/>
  <c r="J235" i="1"/>
  <c r="P234" i="1"/>
  <c r="O234" i="1"/>
  <c r="N234" i="1"/>
  <c r="M234" i="1"/>
  <c r="L234" i="1"/>
  <c r="Q234" i="1" s="1"/>
  <c r="K234" i="1"/>
  <c r="J234" i="1"/>
  <c r="P233" i="1"/>
  <c r="O233" i="1"/>
  <c r="N233" i="1"/>
  <c r="M233" i="1"/>
  <c r="L233" i="1"/>
  <c r="Q233" i="1" s="1"/>
  <c r="K233" i="1"/>
  <c r="J233" i="1"/>
  <c r="P232" i="1"/>
  <c r="O232" i="1"/>
  <c r="N232" i="1"/>
  <c r="M232" i="1"/>
  <c r="L232" i="1"/>
  <c r="Q232" i="1" s="1"/>
  <c r="K232" i="1"/>
  <c r="J232" i="1"/>
  <c r="P231" i="1"/>
  <c r="O231" i="1"/>
  <c r="N231" i="1"/>
  <c r="M231" i="1"/>
  <c r="L231" i="1"/>
  <c r="Q231" i="1" s="1"/>
  <c r="K231" i="1"/>
  <c r="J231" i="1"/>
  <c r="P230" i="1"/>
  <c r="O230" i="1"/>
  <c r="N230" i="1"/>
  <c r="M230" i="1"/>
  <c r="L230" i="1"/>
  <c r="Q230" i="1" s="1"/>
  <c r="K230" i="1"/>
  <c r="J230" i="1"/>
  <c r="P229" i="1"/>
  <c r="O229" i="1"/>
  <c r="N229" i="1"/>
  <c r="M229" i="1"/>
  <c r="L229" i="1"/>
  <c r="Q229" i="1" s="1"/>
  <c r="K229" i="1"/>
  <c r="J229" i="1"/>
  <c r="P228" i="1"/>
  <c r="O228" i="1"/>
  <c r="N228" i="1"/>
  <c r="M228" i="1"/>
  <c r="L228" i="1"/>
  <c r="Q228" i="1" s="1"/>
  <c r="K228" i="1"/>
  <c r="J228" i="1"/>
  <c r="P227" i="1"/>
  <c r="O227" i="1"/>
  <c r="N227" i="1"/>
  <c r="M227" i="1"/>
  <c r="L227" i="1"/>
  <c r="Q227" i="1" s="1"/>
  <c r="K227" i="1"/>
  <c r="J227" i="1"/>
  <c r="P226" i="1"/>
  <c r="O226" i="1"/>
  <c r="N226" i="1"/>
  <c r="M226" i="1"/>
  <c r="L226" i="1"/>
  <c r="Q226" i="1" s="1"/>
  <c r="K226" i="1"/>
  <c r="J226" i="1"/>
  <c r="P225" i="1"/>
  <c r="O225" i="1"/>
  <c r="N225" i="1"/>
  <c r="M225" i="1"/>
  <c r="L225" i="1"/>
  <c r="Q225" i="1" s="1"/>
  <c r="K225" i="1"/>
  <c r="J225" i="1"/>
  <c r="P224" i="1"/>
  <c r="O224" i="1"/>
  <c r="N224" i="1"/>
  <c r="M224" i="1"/>
  <c r="L224" i="1"/>
  <c r="Q224" i="1" s="1"/>
  <c r="K224" i="1"/>
  <c r="J224" i="1"/>
  <c r="P223" i="1"/>
  <c r="O223" i="1"/>
  <c r="N223" i="1"/>
  <c r="M223" i="1"/>
  <c r="L223" i="1"/>
  <c r="Q223" i="1" s="1"/>
  <c r="K223" i="1"/>
  <c r="J223" i="1"/>
  <c r="P222" i="1"/>
  <c r="O222" i="1"/>
  <c r="N222" i="1"/>
  <c r="M222" i="1"/>
  <c r="L222" i="1"/>
  <c r="Q222" i="1" s="1"/>
  <c r="K222" i="1"/>
  <c r="J222" i="1"/>
  <c r="P221" i="1"/>
  <c r="O221" i="1"/>
  <c r="N221" i="1"/>
  <c r="M221" i="1"/>
  <c r="L221" i="1"/>
  <c r="Q221" i="1" s="1"/>
  <c r="K221" i="1"/>
  <c r="J221" i="1"/>
  <c r="P220" i="1"/>
  <c r="O220" i="1"/>
  <c r="N220" i="1"/>
  <c r="M220" i="1"/>
  <c r="L220" i="1"/>
  <c r="Q220" i="1" s="1"/>
  <c r="K220" i="1"/>
  <c r="J220" i="1"/>
  <c r="P219" i="1"/>
  <c r="O219" i="1"/>
  <c r="N219" i="1"/>
  <c r="M219" i="1"/>
  <c r="L219" i="1"/>
  <c r="Q219" i="1" s="1"/>
  <c r="K219" i="1"/>
  <c r="J219" i="1"/>
  <c r="P218" i="1"/>
  <c r="O218" i="1"/>
  <c r="N218" i="1"/>
  <c r="M218" i="1"/>
  <c r="L218" i="1"/>
  <c r="Q218" i="1" s="1"/>
  <c r="K218" i="1"/>
  <c r="J218" i="1"/>
  <c r="P217" i="1"/>
  <c r="O217" i="1"/>
  <c r="N217" i="1"/>
  <c r="M217" i="1"/>
  <c r="L217" i="1"/>
  <c r="Q217" i="1" s="1"/>
  <c r="K217" i="1"/>
  <c r="J217" i="1"/>
  <c r="P216" i="1"/>
  <c r="O216" i="1"/>
  <c r="N216" i="1"/>
  <c r="M216" i="1"/>
  <c r="L216" i="1"/>
  <c r="Q216" i="1" s="1"/>
  <c r="K216" i="1"/>
  <c r="J216" i="1"/>
  <c r="P215" i="1"/>
  <c r="O215" i="1"/>
  <c r="N215" i="1"/>
  <c r="M215" i="1"/>
  <c r="L215" i="1"/>
  <c r="Q215" i="1" s="1"/>
  <c r="K215" i="1"/>
  <c r="J215" i="1"/>
  <c r="P214" i="1"/>
  <c r="O214" i="1"/>
  <c r="N214" i="1"/>
  <c r="M214" i="1"/>
  <c r="L214" i="1"/>
  <c r="Q214" i="1" s="1"/>
  <c r="K214" i="1"/>
  <c r="J214" i="1"/>
  <c r="P213" i="1"/>
  <c r="O213" i="1"/>
  <c r="N213" i="1"/>
  <c r="M213" i="1"/>
  <c r="L213" i="1"/>
  <c r="Q213" i="1" s="1"/>
  <c r="K213" i="1"/>
  <c r="J213" i="1"/>
  <c r="P212" i="1"/>
  <c r="O212" i="1"/>
  <c r="N212" i="1"/>
  <c r="M212" i="1"/>
  <c r="L212" i="1"/>
  <c r="Q212" i="1" s="1"/>
  <c r="K212" i="1"/>
  <c r="J212" i="1"/>
  <c r="P211" i="1"/>
  <c r="O211" i="1"/>
  <c r="N211" i="1"/>
  <c r="M211" i="1"/>
  <c r="L211" i="1"/>
  <c r="Q211" i="1" s="1"/>
  <c r="K211" i="1"/>
  <c r="J211" i="1"/>
  <c r="P210" i="1"/>
  <c r="N210" i="1"/>
  <c r="M210" i="1"/>
  <c r="O210" i="1" s="1"/>
  <c r="L210" i="1"/>
  <c r="Q210" i="1" s="1"/>
  <c r="K210" i="1"/>
  <c r="J210" i="1"/>
  <c r="P209" i="1"/>
  <c r="N209" i="1"/>
  <c r="M209" i="1"/>
  <c r="O209" i="1" s="1"/>
  <c r="L209" i="1"/>
  <c r="Q209" i="1" s="1"/>
  <c r="K209" i="1"/>
  <c r="J209" i="1"/>
  <c r="P208" i="1"/>
  <c r="N208" i="1"/>
  <c r="M208" i="1"/>
  <c r="O208" i="1" s="1"/>
  <c r="L208" i="1"/>
  <c r="Q208" i="1" s="1"/>
  <c r="K208" i="1"/>
  <c r="J208" i="1"/>
  <c r="P207" i="1"/>
  <c r="N207" i="1"/>
  <c r="M207" i="1"/>
  <c r="O207" i="1" s="1"/>
  <c r="L207" i="1"/>
  <c r="Q207" i="1" s="1"/>
  <c r="K207" i="1"/>
  <c r="J207" i="1"/>
  <c r="P206" i="1"/>
  <c r="O206" i="1"/>
  <c r="N206" i="1"/>
  <c r="M206" i="1"/>
  <c r="L206" i="1"/>
  <c r="Q206" i="1" s="1"/>
  <c r="K206" i="1"/>
  <c r="J206" i="1"/>
  <c r="P205" i="1"/>
  <c r="O205" i="1"/>
  <c r="N205" i="1"/>
  <c r="M205" i="1"/>
  <c r="L205" i="1"/>
  <c r="Q205" i="1" s="1"/>
  <c r="K205" i="1"/>
  <c r="J205" i="1"/>
  <c r="P204" i="1"/>
  <c r="N204" i="1"/>
  <c r="M204" i="1"/>
  <c r="O204" i="1" s="1"/>
  <c r="L204" i="1"/>
  <c r="Q204" i="1" s="1"/>
  <c r="K204" i="1"/>
  <c r="J204" i="1"/>
  <c r="P203" i="1"/>
  <c r="O203" i="1"/>
  <c r="N203" i="1"/>
  <c r="M203" i="1"/>
  <c r="L203" i="1"/>
  <c r="Q203" i="1" s="1"/>
  <c r="K203" i="1"/>
  <c r="J203" i="1"/>
  <c r="P202" i="1"/>
  <c r="O202" i="1"/>
  <c r="N202" i="1"/>
  <c r="M202" i="1"/>
  <c r="L202" i="1"/>
  <c r="Q202" i="1" s="1"/>
  <c r="K202" i="1"/>
  <c r="J202" i="1"/>
  <c r="P201" i="1"/>
  <c r="N201" i="1"/>
  <c r="M201" i="1"/>
  <c r="O201" i="1" s="1"/>
  <c r="L201" i="1"/>
  <c r="Q201" i="1" s="1"/>
  <c r="K201" i="1"/>
  <c r="J201" i="1"/>
  <c r="P200" i="1"/>
  <c r="N200" i="1"/>
  <c r="M200" i="1"/>
  <c r="O200" i="1" s="1"/>
  <c r="L200" i="1"/>
  <c r="Q200" i="1" s="1"/>
  <c r="K200" i="1"/>
  <c r="J200" i="1"/>
  <c r="P199" i="1"/>
  <c r="O199" i="1"/>
  <c r="N199" i="1"/>
  <c r="M199" i="1"/>
  <c r="L199" i="1"/>
  <c r="Q199" i="1" s="1"/>
  <c r="K199" i="1"/>
  <c r="J199" i="1"/>
  <c r="P198" i="1"/>
  <c r="O198" i="1"/>
  <c r="N198" i="1"/>
  <c r="M198" i="1"/>
  <c r="L198" i="1"/>
  <c r="Q198" i="1" s="1"/>
  <c r="K198" i="1"/>
  <c r="J198" i="1"/>
  <c r="P197" i="1"/>
  <c r="O197" i="1"/>
  <c r="N197" i="1"/>
  <c r="M197" i="1"/>
  <c r="L197" i="1"/>
  <c r="Q197" i="1" s="1"/>
  <c r="K197" i="1"/>
  <c r="J197" i="1"/>
  <c r="P196" i="1"/>
  <c r="O196" i="1"/>
  <c r="N196" i="1"/>
  <c r="M196" i="1"/>
  <c r="L196" i="1"/>
  <c r="Q196" i="1" s="1"/>
  <c r="K196" i="1"/>
  <c r="J196" i="1"/>
  <c r="P195" i="1"/>
  <c r="O195" i="1"/>
  <c r="N195" i="1"/>
  <c r="M195" i="1"/>
  <c r="L195" i="1"/>
  <c r="Q195" i="1" s="1"/>
  <c r="K195" i="1"/>
  <c r="J195" i="1"/>
  <c r="P194" i="1"/>
  <c r="N194" i="1"/>
  <c r="M194" i="1"/>
  <c r="O194" i="1" s="1"/>
  <c r="L194" i="1"/>
  <c r="Q194" i="1" s="1"/>
  <c r="K194" i="1"/>
  <c r="J194" i="1"/>
  <c r="P193" i="1"/>
  <c r="N193" i="1"/>
  <c r="M193" i="1"/>
  <c r="O193" i="1" s="1"/>
  <c r="L193" i="1"/>
  <c r="Q193" i="1" s="1"/>
  <c r="K193" i="1"/>
  <c r="J193" i="1"/>
  <c r="P192" i="1"/>
  <c r="N192" i="1"/>
  <c r="M192" i="1"/>
  <c r="O192" i="1" s="1"/>
  <c r="L192" i="1"/>
  <c r="Q192" i="1" s="1"/>
  <c r="K192" i="1"/>
  <c r="J192" i="1"/>
  <c r="P191" i="1"/>
  <c r="N191" i="1"/>
  <c r="M191" i="1"/>
  <c r="O191" i="1" s="1"/>
  <c r="L191" i="1"/>
  <c r="Q191" i="1" s="1"/>
  <c r="K191" i="1"/>
  <c r="J191" i="1"/>
  <c r="P190" i="1"/>
  <c r="O190" i="1"/>
  <c r="N190" i="1"/>
  <c r="M190" i="1"/>
  <c r="L190" i="1"/>
  <c r="Q190" i="1" s="1"/>
  <c r="K190" i="1"/>
  <c r="J190" i="1"/>
  <c r="P189" i="1"/>
  <c r="O189" i="1"/>
  <c r="N189" i="1"/>
  <c r="M189" i="1"/>
  <c r="L189" i="1"/>
  <c r="Q189" i="1" s="1"/>
  <c r="K189" i="1"/>
  <c r="J189" i="1"/>
  <c r="P188" i="1"/>
  <c r="N188" i="1"/>
  <c r="M188" i="1"/>
  <c r="O188" i="1" s="1"/>
  <c r="L188" i="1"/>
  <c r="Q188" i="1" s="1"/>
  <c r="K188" i="1"/>
  <c r="J188" i="1"/>
  <c r="P187" i="1"/>
  <c r="O187" i="1"/>
  <c r="N187" i="1"/>
  <c r="M187" i="1"/>
  <c r="L187" i="1"/>
  <c r="Q187" i="1" s="1"/>
  <c r="K187" i="1"/>
  <c r="J187" i="1"/>
  <c r="P186" i="1"/>
  <c r="N186" i="1"/>
  <c r="M186" i="1"/>
  <c r="O186" i="1" s="1"/>
  <c r="L186" i="1"/>
  <c r="Q186" i="1" s="1"/>
  <c r="K186" i="1"/>
  <c r="J186" i="1"/>
  <c r="P185" i="1"/>
  <c r="N185" i="1"/>
  <c r="M185" i="1"/>
  <c r="O185" i="1" s="1"/>
  <c r="L185" i="1"/>
  <c r="Q185" i="1" s="1"/>
  <c r="K185" i="1"/>
  <c r="J185" i="1"/>
  <c r="P184" i="1"/>
  <c r="N184" i="1"/>
  <c r="M184" i="1"/>
  <c r="O184" i="1" s="1"/>
  <c r="L184" i="1"/>
  <c r="Q184" i="1" s="1"/>
  <c r="K184" i="1"/>
  <c r="J184" i="1"/>
  <c r="P183" i="1"/>
  <c r="O183" i="1"/>
  <c r="N183" i="1"/>
  <c r="M183" i="1"/>
  <c r="L183" i="1"/>
  <c r="Q183" i="1" s="1"/>
  <c r="K183" i="1"/>
  <c r="J183" i="1"/>
  <c r="P182" i="1"/>
  <c r="O182" i="1"/>
  <c r="N182" i="1"/>
  <c r="M182" i="1"/>
  <c r="L182" i="1"/>
  <c r="Q182" i="1" s="1"/>
  <c r="K182" i="1"/>
  <c r="J182" i="1"/>
  <c r="P181" i="1"/>
  <c r="O181" i="1"/>
  <c r="N181" i="1"/>
  <c r="M181" i="1"/>
  <c r="L181" i="1"/>
  <c r="Q181" i="1" s="1"/>
  <c r="K181" i="1"/>
  <c r="J181" i="1"/>
  <c r="P180" i="1"/>
  <c r="N180" i="1"/>
  <c r="M180" i="1"/>
  <c r="O180" i="1" s="1"/>
  <c r="L180" i="1"/>
  <c r="Q180" i="1" s="1"/>
  <c r="K180" i="1"/>
  <c r="J180" i="1"/>
  <c r="P179" i="1"/>
  <c r="O179" i="1"/>
  <c r="N179" i="1"/>
  <c r="M179" i="1"/>
  <c r="L179" i="1"/>
  <c r="Q179" i="1" s="1"/>
  <c r="K179" i="1"/>
  <c r="J179" i="1"/>
  <c r="P178" i="1"/>
  <c r="O178" i="1"/>
  <c r="N178" i="1"/>
  <c r="M178" i="1"/>
  <c r="L178" i="1"/>
  <c r="Q178" i="1" s="1"/>
  <c r="K178" i="1"/>
  <c r="J178" i="1"/>
  <c r="P177" i="1"/>
  <c r="N177" i="1"/>
  <c r="M177" i="1"/>
  <c r="O177" i="1" s="1"/>
  <c r="L177" i="1"/>
  <c r="Q177" i="1" s="1"/>
  <c r="K177" i="1"/>
  <c r="J177" i="1"/>
  <c r="P176" i="1"/>
  <c r="N176" i="1"/>
  <c r="M176" i="1"/>
  <c r="O176" i="1" s="1"/>
  <c r="L176" i="1"/>
  <c r="Q176" i="1" s="1"/>
  <c r="K176" i="1"/>
  <c r="J176" i="1"/>
  <c r="P175" i="1"/>
  <c r="N175" i="1"/>
  <c r="M175" i="1"/>
  <c r="O175" i="1" s="1"/>
  <c r="L175" i="1"/>
  <c r="Q175" i="1" s="1"/>
  <c r="K175" i="1"/>
  <c r="J175" i="1"/>
  <c r="P174" i="1"/>
  <c r="O174" i="1"/>
  <c r="N174" i="1"/>
  <c r="M174" i="1"/>
  <c r="L174" i="1"/>
  <c r="Q174" i="1" s="1"/>
  <c r="K174" i="1"/>
  <c r="J174" i="1"/>
  <c r="P173" i="1"/>
  <c r="O173" i="1"/>
  <c r="N173" i="1"/>
  <c r="M173" i="1"/>
  <c r="L173" i="1"/>
  <c r="Q173" i="1" s="1"/>
  <c r="K173" i="1"/>
  <c r="J173" i="1"/>
  <c r="P172" i="1"/>
  <c r="O172" i="1"/>
  <c r="N172" i="1"/>
  <c r="M172" i="1"/>
  <c r="L172" i="1"/>
  <c r="Q172" i="1" s="1"/>
  <c r="K172" i="1"/>
  <c r="J172" i="1"/>
  <c r="P171" i="1"/>
  <c r="O171" i="1"/>
  <c r="N171" i="1"/>
  <c r="M171" i="1"/>
  <c r="L171" i="1"/>
  <c r="Q171" i="1" s="1"/>
  <c r="K171" i="1"/>
  <c r="J171" i="1"/>
  <c r="P170" i="1"/>
  <c r="N170" i="1"/>
  <c r="M170" i="1"/>
  <c r="O170" i="1" s="1"/>
  <c r="L170" i="1"/>
  <c r="Q170" i="1" s="1"/>
  <c r="K170" i="1"/>
  <c r="J170" i="1"/>
  <c r="P169" i="1"/>
  <c r="N169" i="1"/>
  <c r="M169" i="1"/>
  <c r="O169" i="1" s="1"/>
  <c r="L169" i="1"/>
  <c r="Q169" i="1" s="1"/>
  <c r="K169" i="1"/>
  <c r="J169" i="1"/>
  <c r="P168" i="1"/>
  <c r="N168" i="1"/>
  <c r="M168" i="1"/>
  <c r="O168" i="1" s="1"/>
  <c r="L168" i="1"/>
  <c r="Q168" i="1" s="1"/>
  <c r="K168" i="1"/>
  <c r="J168" i="1"/>
  <c r="P167" i="1"/>
  <c r="N167" i="1"/>
  <c r="M167" i="1"/>
  <c r="O167" i="1" s="1"/>
  <c r="L167" i="1"/>
  <c r="Q167" i="1" s="1"/>
  <c r="K167" i="1"/>
  <c r="J167" i="1"/>
  <c r="P166" i="1"/>
  <c r="N166" i="1"/>
  <c r="M166" i="1"/>
  <c r="O166" i="1" s="1"/>
  <c r="L166" i="1"/>
  <c r="Q166" i="1" s="1"/>
  <c r="K166" i="1"/>
  <c r="J166" i="1"/>
  <c r="P165" i="1"/>
  <c r="N165" i="1"/>
  <c r="M165" i="1"/>
  <c r="O165" i="1" s="1"/>
  <c r="L165" i="1"/>
  <c r="Q165" i="1" s="1"/>
  <c r="K165" i="1"/>
  <c r="J165" i="1"/>
  <c r="P164" i="1"/>
  <c r="N164" i="1"/>
  <c r="M164" i="1"/>
  <c r="O164" i="1" s="1"/>
  <c r="L164" i="1"/>
  <c r="Q164" i="1" s="1"/>
  <c r="K164" i="1"/>
  <c r="J164" i="1"/>
  <c r="P163" i="1"/>
  <c r="N163" i="1"/>
  <c r="M163" i="1"/>
  <c r="O163" i="1" s="1"/>
  <c r="L163" i="1"/>
  <c r="Q163" i="1" s="1"/>
  <c r="K163" i="1"/>
  <c r="J163" i="1"/>
  <c r="P162" i="1"/>
  <c r="N162" i="1"/>
  <c r="M162" i="1"/>
  <c r="O162" i="1" s="1"/>
  <c r="L162" i="1"/>
  <c r="Q162" i="1" s="1"/>
  <c r="K162" i="1"/>
  <c r="J162" i="1"/>
  <c r="P161" i="1"/>
  <c r="N161" i="1"/>
  <c r="M161" i="1"/>
  <c r="O161" i="1" s="1"/>
  <c r="L161" i="1"/>
  <c r="Q161" i="1" s="1"/>
  <c r="K161" i="1"/>
  <c r="J161" i="1"/>
  <c r="P160" i="1"/>
  <c r="N160" i="1"/>
  <c r="M160" i="1"/>
  <c r="O160" i="1" s="1"/>
  <c r="L160" i="1"/>
  <c r="Q160" i="1" s="1"/>
  <c r="K160" i="1"/>
  <c r="J160" i="1"/>
  <c r="P159" i="1"/>
  <c r="N159" i="1"/>
  <c r="M159" i="1"/>
  <c r="O159" i="1" s="1"/>
  <c r="L159" i="1"/>
  <c r="Q159" i="1" s="1"/>
  <c r="K159" i="1"/>
  <c r="J159" i="1"/>
  <c r="P158" i="1"/>
  <c r="N158" i="1"/>
  <c r="M158" i="1"/>
  <c r="O158" i="1" s="1"/>
  <c r="L158" i="1"/>
  <c r="Q158" i="1" s="1"/>
  <c r="K158" i="1"/>
  <c r="J158" i="1"/>
  <c r="P157" i="1"/>
  <c r="N157" i="1"/>
  <c r="M157" i="1"/>
  <c r="O157" i="1" s="1"/>
  <c r="L157" i="1"/>
  <c r="Q157" i="1" s="1"/>
  <c r="K157" i="1"/>
  <c r="J157" i="1"/>
  <c r="P156" i="1"/>
  <c r="N156" i="1"/>
  <c r="M156" i="1"/>
  <c r="O156" i="1" s="1"/>
  <c r="L156" i="1"/>
  <c r="Q156" i="1" s="1"/>
  <c r="K156" i="1"/>
  <c r="J156" i="1"/>
  <c r="P155" i="1"/>
  <c r="N155" i="1"/>
  <c r="M155" i="1"/>
  <c r="O155" i="1" s="1"/>
  <c r="L155" i="1"/>
  <c r="Q155" i="1" s="1"/>
  <c r="K155" i="1"/>
  <c r="J155" i="1"/>
  <c r="P154" i="1"/>
  <c r="N154" i="1"/>
  <c r="M154" i="1"/>
  <c r="O154" i="1" s="1"/>
  <c r="L154" i="1"/>
  <c r="Q154" i="1" s="1"/>
  <c r="K154" i="1"/>
  <c r="J154" i="1"/>
  <c r="P153" i="1"/>
  <c r="N153" i="1"/>
  <c r="M153" i="1"/>
  <c r="O153" i="1" s="1"/>
  <c r="L153" i="1"/>
  <c r="Q153" i="1" s="1"/>
  <c r="K153" i="1"/>
  <c r="J153" i="1"/>
  <c r="P152" i="1"/>
  <c r="N152" i="1"/>
  <c r="M152" i="1"/>
  <c r="O152" i="1" s="1"/>
  <c r="L152" i="1"/>
  <c r="Q152" i="1" s="1"/>
  <c r="K152" i="1"/>
  <c r="J152" i="1"/>
  <c r="P151" i="1"/>
  <c r="N151" i="1"/>
  <c r="M151" i="1"/>
  <c r="O151" i="1" s="1"/>
  <c r="L151" i="1"/>
  <c r="Q151" i="1" s="1"/>
  <c r="K151" i="1"/>
  <c r="J151" i="1"/>
  <c r="P150" i="1"/>
  <c r="N150" i="1"/>
  <c r="M150" i="1"/>
  <c r="O150" i="1" s="1"/>
  <c r="L150" i="1"/>
  <c r="Q150" i="1" s="1"/>
  <c r="K150" i="1"/>
  <c r="J150" i="1"/>
  <c r="P149" i="1"/>
  <c r="N149" i="1"/>
  <c r="M149" i="1"/>
  <c r="O149" i="1" s="1"/>
  <c r="L149" i="1"/>
  <c r="Q149" i="1" s="1"/>
  <c r="K149" i="1"/>
  <c r="J149" i="1"/>
  <c r="P148" i="1"/>
  <c r="N148" i="1"/>
  <c r="M148" i="1"/>
  <c r="O148" i="1" s="1"/>
  <c r="L148" i="1"/>
  <c r="Q148" i="1" s="1"/>
  <c r="K148" i="1"/>
  <c r="J148" i="1"/>
  <c r="P147" i="1"/>
  <c r="N147" i="1"/>
  <c r="M147" i="1"/>
  <c r="O147" i="1" s="1"/>
  <c r="L147" i="1"/>
  <c r="Q147" i="1" s="1"/>
  <c r="K147" i="1"/>
  <c r="J147" i="1"/>
  <c r="P146" i="1"/>
  <c r="N146" i="1"/>
  <c r="M146" i="1"/>
  <c r="O146" i="1" s="1"/>
  <c r="L146" i="1"/>
  <c r="Q146" i="1" s="1"/>
  <c r="K146" i="1"/>
  <c r="J146" i="1"/>
  <c r="P145" i="1"/>
  <c r="N145" i="1"/>
  <c r="M145" i="1"/>
  <c r="O145" i="1" s="1"/>
  <c r="L145" i="1"/>
  <c r="Q145" i="1" s="1"/>
  <c r="K145" i="1"/>
  <c r="J145" i="1"/>
  <c r="P144" i="1"/>
  <c r="N144" i="1"/>
  <c r="M144" i="1"/>
  <c r="O144" i="1" s="1"/>
  <c r="L144" i="1"/>
  <c r="Q144" i="1" s="1"/>
  <c r="K144" i="1"/>
  <c r="J144" i="1"/>
  <c r="P143" i="1"/>
  <c r="N143" i="1"/>
  <c r="M143" i="1"/>
  <c r="O143" i="1" s="1"/>
  <c r="L143" i="1"/>
  <c r="Q143" i="1" s="1"/>
  <c r="K143" i="1"/>
  <c r="J143" i="1"/>
  <c r="P142" i="1"/>
  <c r="N142" i="1"/>
  <c r="M142" i="1"/>
  <c r="O142" i="1" s="1"/>
  <c r="L142" i="1"/>
  <c r="Q142" i="1" s="1"/>
  <c r="K142" i="1"/>
  <c r="J142" i="1"/>
  <c r="P141" i="1"/>
  <c r="N141" i="1"/>
  <c r="M141" i="1"/>
  <c r="O141" i="1" s="1"/>
  <c r="L141" i="1"/>
  <c r="Q141" i="1" s="1"/>
  <c r="K141" i="1"/>
  <c r="J141" i="1"/>
  <c r="P140" i="1"/>
  <c r="N140" i="1"/>
  <c r="M140" i="1"/>
  <c r="O140" i="1" s="1"/>
  <c r="L140" i="1"/>
  <c r="Q140" i="1" s="1"/>
  <c r="K140" i="1"/>
  <c r="J140" i="1"/>
  <c r="P139" i="1"/>
  <c r="N139" i="1"/>
  <c r="M139" i="1"/>
  <c r="O139" i="1" s="1"/>
  <c r="L139" i="1"/>
  <c r="Q139" i="1" s="1"/>
  <c r="K139" i="1"/>
  <c r="J139" i="1"/>
  <c r="P138" i="1"/>
  <c r="N138" i="1"/>
  <c r="M138" i="1"/>
  <c r="O138" i="1" s="1"/>
  <c r="L138" i="1"/>
  <c r="Q138" i="1" s="1"/>
  <c r="K138" i="1"/>
  <c r="J138" i="1"/>
  <c r="P137" i="1"/>
  <c r="N137" i="1"/>
  <c r="M137" i="1"/>
  <c r="O137" i="1" s="1"/>
  <c r="L137" i="1"/>
  <c r="Q137" i="1" s="1"/>
  <c r="K137" i="1"/>
  <c r="J137" i="1"/>
  <c r="P136" i="1"/>
  <c r="N136" i="1"/>
  <c r="M136" i="1"/>
  <c r="O136" i="1" s="1"/>
  <c r="L136" i="1"/>
  <c r="Q136" i="1" s="1"/>
  <c r="K136" i="1"/>
  <c r="J136" i="1"/>
  <c r="P135" i="1"/>
  <c r="N135" i="1"/>
  <c r="M135" i="1"/>
  <c r="O135" i="1" s="1"/>
  <c r="L135" i="1"/>
  <c r="Q135" i="1" s="1"/>
  <c r="K135" i="1"/>
  <c r="J135" i="1"/>
  <c r="P134" i="1"/>
  <c r="N134" i="1"/>
  <c r="M134" i="1"/>
  <c r="O134" i="1" s="1"/>
  <c r="L134" i="1"/>
  <c r="Q134" i="1" s="1"/>
  <c r="K134" i="1"/>
  <c r="J134" i="1"/>
  <c r="P133" i="1"/>
  <c r="N133" i="1"/>
  <c r="M133" i="1"/>
  <c r="O133" i="1" s="1"/>
  <c r="L133" i="1"/>
  <c r="Q133" i="1" s="1"/>
  <c r="K133" i="1"/>
  <c r="J133" i="1"/>
  <c r="P132" i="1"/>
  <c r="N132" i="1"/>
  <c r="M132" i="1"/>
  <c r="O132" i="1" s="1"/>
  <c r="L132" i="1"/>
  <c r="Q132" i="1" s="1"/>
  <c r="K132" i="1"/>
  <c r="J132" i="1"/>
  <c r="P131" i="1"/>
  <c r="N131" i="1"/>
  <c r="M131" i="1"/>
  <c r="O131" i="1" s="1"/>
  <c r="L131" i="1"/>
  <c r="Q131" i="1" s="1"/>
  <c r="K131" i="1"/>
  <c r="J131" i="1"/>
  <c r="P130" i="1"/>
  <c r="N130" i="1"/>
  <c r="M130" i="1"/>
  <c r="O130" i="1" s="1"/>
  <c r="L130" i="1"/>
  <c r="Q130" i="1" s="1"/>
  <c r="K130" i="1"/>
  <c r="J130" i="1"/>
  <c r="P129" i="1"/>
  <c r="N129" i="1"/>
  <c r="M129" i="1"/>
  <c r="O129" i="1" s="1"/>
  <c r="L129" i="1"/>
  <c r="Q129" i="1" s="1"/>
  <c r="K129" i="1"/>
  <c r="J129" i="1"/>
  <c r="P128" i="1"/>
  <c r="N128" i="1"/>
  <c r="M128" i="1"/>
  <c r="O128" i="1" s="1"/>
  <c r="L128" i="1"/>
  <c r="Q128" i="1" s="1"/>
  <c r="K128" i="1"/>
  <c r="J128" i="1"/>
  <c r="P127" i="1"/>
  <c r="N127" i="1"/>
  <c r="M127" i="1"/>
  <c r="O127" i="1" s="1"/>
  <c r="L127" i="1"/>
  <c r="Q127" i="1" s="1"/>
  <c r="K127" i="1"/>
  <c r="J127" i="1"/>
  <c r="P126" i="1"/>
  <c r="N126" i="1"/>
  <c r="M126" i="1"/>
  <c r="O126" i="1" s="1"/>
  <c r="L126" i="1"/>
  <c r="Q126" i="1" s="1"/>
  <c r="K126" i="1"/>
  <c r="J126" i="1"/>
  <c r="P125" i="1"/>
  <c r="N125" i="1"/>
  <c r="M125" i="1"/>
  <c r="O125" i="1" s="1"/>
  <c r="L125" i="1"/>
  <c r="Q125" i="1" s="1"/>
  <c r="K125" i="1"/>
  <c r="J125" i="1"/>
  <c r="P124" i="1"/>
  <c r="N124" i="1"/>
  <c r="M124" i="1"/>
  <c r="O124" i="1" s="1"/>
  <c r="L124" i="1"/>
  <c r="Q124" i="1" s="1"/>
  <c r="K124" i="1"/>
  <c r="J124" i="1"/>
  <c r="P123" i="1"/>
  <c r="N123" i="1"/>
  <c r="M123" i="1"/>
  <c r="O123" i="1" s="1"/>
  <c r="L123" i="1"/>
  <c r="Q123" i="1" s="1"/>
  <c r="K123" i="1"/>
  <c r="J123" i="1"/>
  <c r="P122" i="1"/>
  <c r="N122" i="1"/>
  <c r="M122" i="1"/>
  <c r="O122" i="1" s="1"/>
  <c r="L122" i="1"/>
  <c r="Q122" i="1" s="1"/>
  <c r="K122" i="1"/>
  <c r="J122" i="1"/>
  <c r="P121" i="1"/>
  <c r="N121" i="1"/>
  <c r="M121" i="1"/>
  <c r="O121" i="1" s="1"/>
  <c r="L121" i="1"/>
  <c r="Q121" i="1" s="1"/>
  <c r="K121" i="1"/>
  <c r="J121" i="1"/>
  <c r="P120" i="1"/>
  <c r="N120" i="1"/>
  <c r="M120" i="1"/>
  <c r="O120" i="1" s="1"/>
  <c r="L120" i="1"/>
  <c r="Q120" i="1" s="1"/>
  <c r="K120" i="1"/>
  <c r="J120" i="1"/>
  <c r="P119" i="1"/>
  <c r="N119" i="1"/>
  <c r="M119" i="1"/>
  <c r="O119" i="1" s="1"/>
  <c r="L119" i="1"/>
  <c r="Q119" i="1" s="1"/>
  <c r="K119" i="1"/>
  <c r="J119" i="1"/>
  <c r="P118" i="1"/>
  <c r="N118" i="1"/>
  <c r="M118" i="1"/>
  <c r="O118" i="1" s="1"/>
  <c r="L118" i="1"/>
  <c r="Q118" i="1" s="1"/>
  <c r="K118" i="1"/>
  <c r="J118" i="1"/>
  <c r="P117" i="1"/>
  <c r="N117" i="1"/>
  <c r="M117" i="1"/>
  <c r="O117" i="1" s="1"/>
  <c r="L117" i="1"/>
  <c r="Q117" i="1" s="1"/>
  <c r="K117" i="1"/>
  <c r="J117" i="1"/>
  <c r="P116" i="1"/>
  <c r="N116" i="1"/>
  <c r="M116" i="1"/>
  <c r="O116" i="1" s="1"/>
  <c r="L116" i="1"/>
  <c r="Q116" i="1" s="1"/>
  <c r="K116" i="1"/>
  <c r="J116" i="1"/>
  <c r="P115" i="1"/>
  <c r="N115" i="1"/>
  <c r="M115" i="1"/>
  <c r="O115" i="1" s="1"/>
  <c r="L115" i="1"/>
  <c r="Q115" i="1" s="1"/>
  <c r="K115" i="1"/>
  <c r="J115" i="1"/>
  <c r="P114" i="1"/>
  <c r="N114" i="1"/>
  <c r="M114" i="1"/>
  <c r="O114" i="1" s="1"/>
  <c r="L114" i="1"/>
  <c r="Q114" i="1" s="1"/>
  <c r="K114" i="1"/>
  <c r="J114" i="1"/>
  <c r="P113" i="1"/>
  <c r="N113" i="1"/>
  <c r="M113" i="1"/>
  <c r="O113" i="1" s="1"/>
  <c r="L113" i="1"/>
  <c r="Q113" i="1" s="1"/>
  <c r="K113" i="1"/>
  <c r="J113" i="1"/>
  <c r="P112" i="1"/>
  <c r="N112" i="1"/>
  <c r="M112" i="1"/>
  <c r="O112" i="1" s="1"/>
  <c r="L112" i="1"/>
  <c r="Q112" i="1" s="1"/>
  <c r="K112" i="1"/>
  <c r="J112" i="1"/>
  <c r="P111" i="1"/>
  <c r="N111" i="1"/>
  <c r="M111" i="1"/>
  <c r="O111" i="1" s="1"/>
  <c r="L111" i="1"/>
  <c r="Q111" i="1" s="1"/>
  <c r="K111" i="1"/>
  <c r="J111" i="1"/>
  <c r="P110" i="1"/>
  <c r="N110" i="1"/>
  <c r="M110" i="1"/>
  <c r="O110" i="1" s="1"/>
  <c r="L110" i="1"/>
  <c r="Q110" i="1" s="1"/>
  <c r="K110" i="1"/>
  <c r="J110" i="1"/>
  <c r="P109" i="1"/>
  <c r="N109" i="1"/>
  <c r="M109" i="1"/>
  <c r="O109" i="1" s="1"/>
  <c r="L109" i="1"/>
  <c r="Q109" i="1" s="1"/>
  <c r="K109" i="1"/>
  <c r="J109" i="1"/>
  <c r="P108" i="1"/>
  <c r="N108" i="1"/>
  <c r="M108" i="1"/>
  <c r="O108" i="1" s="1"/>
  <c r="L108" i="1"/>
  <c r="Q108" i="1" s="1"/>
  <c r="K108" i="1"/>
  <c r="J108" i="1"/>
  <c r="P107" i="1"/>
  <c r="N107" i="1"/>
  <c r="M107" i="1"/>
  <c r="O107" i="1" s="1"/>
  <c r="L107" i="1"/>
  <c r="Q107" i="1" s="1"/>
  <c r="K107" i="1"/>
  <c r="J107" i="1"/>
  <c r="P106" i="1"/>
  <c r="N106" i="1"/>
  <c r="M106" i="1"/>
  <c r="O106" i="1" s="1"/>
  <c r="L106" i="1"/>
  <c r="Q106" i="1" s="1"/>
  <c r="K106" i="1"/>
  <c r="J106" i="1"/>
  <c r="P105" i="1"/>
  <c r="N105" i="1"/>
  <c r="M105" i="1"/>
  <c r="O105" i="1" s="1"/>
  <c r="L105" i="1"/>
  <c r="Q105" i="1" s="1"/>
  <c r="K105" i="1"/>
  <c r="J105" i="1"/>
  <c r="P104" i="1"/>
  <c r="N104" i="1"/>
  <c r="M104" i="1"/>
  <c r="O104" i="1" s="1"/>
  <c r="L104" i="1"/>
  <c r="Q104" i="1" s="1"/>
  <c r="K104" i="1"/>
  <c r="J104" i="1"/>
  <c r="P103" i="1"/>
  <c r="N103" i="1"/>
  <c r="M103" i="1"/>
  <c r="O103" i="1" s="1"/>
  <c r="L103" i="1"/>
  <c r="Q103" i="1" s="1"/>
  <c r="K103" i="1"/>
  <c r="J103" i="1"/>
  <c r="P102" i="1"/>
  <c r="N102" i="1"/>
  <c r="M102" i="1"/>
  <c r="O102" i="1" s="1"/>
  <c r="L102" i="1"/>
  <c r="Q102" i="1" s="1"/>
  <c r="K102" i="1"/>
  <c r="J102" i="1"/>
  <c r="P101" i="1"/>
  <c r="N101" i="1"/>
  <c r="M101" i="1"/>
  <c r="O101" i="1" s="1"/>
  <c r="L101" i="1"/>
  <c r="Q101" i="1" s="1"/>
  <c r="K101" i="1"/>
  <c r="J101" i="1"/>
  <c r="P100" i="1"/>
  <c r="N100" i="1"/>
  <c r="M100" i="1"/>
  <c r="O100" i="1" s="1"/>
  <c r="L100" i="1"/>
  <c r="Q100" i="1" s="1"/>
  <c r="K100" i="1"/>
  <c r="J100" i="1"/>
  <c r="P99" i="1"/>
  <c r="N99" i="1"/>
  <c r="M99" i="1"/>
  <c r="O99" i="1" s="1"/>
  <c r="L99" i="1"/>
  <c r="Q99" i="1" s="1"/>
  <c r="K99" i="1"/>
  <c r="J99" i="1"/>
  <c r="P98" i="1"/>
  <c r="N98" i="1"/>
  <c r="M98" i="1"/>
  <c r="O98" i="1" s="1"/>
  <c r="L98" i="1"/>
  <c r="Q98" i="1" s="1"/>
  <c r="K98" i="1"/>
  <c r="J98" i="1"/>
  <c r="P97" i="1"/>
  <c r="N97" i="1"/>
  <c r="M97" i="1"/>
  <c r="O97" i="1" s="1"/>
  <c r="L97" i="1"/>
  <c r="Q97" i="1" s="1"/>
  <c r="K97" i="1"/>
  <c r="J97" i="1"/>
  <c r="P96" i="1"/>
  <c r="N96" i="1"/>
  <c r="M96" i="1"/>
  <c r="O96" i="1" s="1"/>
  <c r="L96" i="1"/>
  <c r="Q96" i="1" s="1"/>
  <c r="K96" i="1"/>
  <c r="J96" i="1"/>
  <c r="P95" i="1"/>
  <c r="N95" i="1"/>
  <c r="M95" i="1"/>
  <c r="O95" i="1" s="1"/>
  <c r="L95" i="1"/>
  <c r="Q95" i="1" s="1"/>
  <c r="K95" i="1"/>
  <c r="J95" i="1"/>
  <c r="P94" i="1"/>
  <c r="N94" i="1"/>
  <c r="M94" i="1"/>
  <c r="O94" i="1" s="1"/>
  <c r="L94" i="1"/>
  <c r="Q94" i="1" s="1"/>
  <c r="K94" i="1"/>
  <c r="J94" i="1"/>
  <c r="P93" i="1"/>
  <c r="N93" i="1"/>
  <c r="M93" i="1"/>
  <c r="O93" i="1" s="1"/>
  <c r="L93" i="1"/>
  <c r="Q93" i="1" s="1"/>
  <c r="K93" i="1"/>
  <c r="J93" i="1"/>
  <c r="P92" i="1"/>
  <c r="N92" i="1"/>
  <c r="M92" i="1"/>
  <c r="O92" i="1" s="1"/>
  <c r="L92" i="1"/>
  <c r="Q92" i="1" s="1"/>
  <c r="K92" i="1"/>
  <c r="J92" i="1"/>
  <c r="P91" i="1"/>
  <c r="N91" i="1"/>
  <c r="M91" i="1"/>
  <c r="O91" i="1" s="1"/>
  <c r="L91" i="1"/>
  <c r="Q91" i="1" s="1"/>
  <c r="K91" i="1"/>
  <c r="J91" i="1"/>
  <c r="P90" i="1"/>
  <c r="N90" i="1"/>
  <c r="M90" i="1"/>
  <c r="O90" i="1" s="1"/>
  <c r="L90" i="1"/>
  <c r="Q90" i="1" s="1"/>
  <c r="K90" i="1"/>
  <c r="J90" i="1"/>
  <c r="P89" i="1"/>
  <c r="N89" i="1"/>
  <c r="M89" i="1"/>
  <c r="O89" i="1" s="1"/>
  <c r="L89" i="1"/>
  <c r="Q89" i="1" s="1"/>
  <c r="K89" i="1"/>
  <c r="J89" i="1"/>
  <c r="Q88" i="1"/>
  <c r="P88" i="1"/>
  <c r="N88" i="1"/>
  <c r="M88" i="1"/>
  <c r="O88" i="1" s="1"/>
  <c r="L88" i="1"/>
  <c r="K88" i="1"/>
  <c r="J88" i="1"/>
  <c r="Q87" i="1"/>
  <c r="P87" i="1"/>
  <c r="N87" i="1"/>
  <c r="M87" i="1"/>
  <c r="O87" i="1" s="1"/>
  <c r="L87" i="1"/>
  <c r="K87" i="1"/>
  <c r="J87" i="1"/>
  <c r="Q86" i="1"/>
  <c r="P86" i="1"/>
  <c r="N86" i="1"/>
  <c r="M86" i="1"/>
  <c r="O86" i="1" s="1"/>
  <c r="L86" i="1"/>
  <c r="K86" i="1"/>
  <c r="J86" i="1"/>
  <c r="Q85" i="1"/>
  <c r="P85" i="1"/>
  <c r="N85" i="1"/>
  <c r="M85" i="1"/>
  <c r="O85" i="1" s="1"/>
  <c r="L85" i="1"/>
  <c r="K85" i="1"/>
  <c r="J85" i="1"/>
  <c r="P84" i="1"/>
  <c r="N84" i="1"/>
  <c r="M84" i="1"/>
  <c r="O84" i="1" s="1"/>
  <c r="L84" i="1"/>
  <c r="Q84" i="1" s="1"/>
  <c r="K84" i="1"/>
  <c r="J84" i="1"/>
  <c r="P83" i="1"/>
  <c r="N83" i="1"/>
  <c r="M83" i="1"/>
  <c r="O83" i="1" s="1"/>
  <c r="L83" i="1"/>
  <c r="Q83" i="1" s="1"/>
  <c r="K83" i="1"/>
  <c r="J83" i="1"/>
  <c r="P82" i="1"/>
  <c r="N82" i="1"/>
  <c r="M82" i="1"/>
  <c r="O82" i="1" s="1"/>
  <c r="L82" i="1"/>
  <c r="Q82" i="1" s="1"/>
  <c r="K82" i="1"/>
  <c r="J82" i="1"/>
  <c r="P81" i="1"/>
  <c r="N81" i="1"/>
  <c r="M81" i="1"/>
  <c r="O81" i="1" s="1"/>
  <c r="L81" i="1"/>
  <c r="Q81" i="1" s="1"/>
  <c r="K81" i="1"/>
  <c r="J81" i="1"/>
  <c r="Q80" i="1"/>
  <c r="P80" i="1"/>
  <c r="N80" i="1"/>
  <c r="M80" i="1"/>
  <c r="O80" i="1" s="1"/>
  <c r="L80" i="1"/>
  <c r="K80" i="1"/>
  <c r="J80" i="1"/>
  <c r="Q79" i="1"/>
  <c r="P79" i="1"/>
  <c r="N79" i="1"/>
  <c r="M79" i="1"/>
  <c r="O79" i="1" s="1"/>
  <c r="L79" i="1"/>
  <c r="K79" i="1"/>
  <c r="J79" i="1"/>
  <c r="Q78" i="1"/>
  <c r="P78" i="1"/>
  <c r="N78" i="1"/>
  <c r="M78" i="1"/>
  <c r="O78" i="1" s="1"/>
  <c r="L78" i="1"/>
  <c r="K78" i="1"/>
  <c r="J78" i="1"/>
  <c r="Q77" i="1"/>
  <c r="P77" i="1"/>
  <c r="N77" i="1"/>
  <c r="M77" i="1"/>
  <c r="O77" i="1" s="1"/>
  <c r="L77" i="1"/>
  <c r="K77" i="1"/>
  <c r="J77" i="1"/>
  <c r="Q76" i="1"/>
  <c r="P76" i="1"/>
  <c r="N76" i="1"/>
  <c r="M76" i="1"/>
  <c r="O76" i="1" s="1"/>
  <c r="L76" i="1"/>
  <c r="K76" i="1"/>
  <c r="J76" i="1"/>
  <c r="Q75" i="1"/>
  <c r="P75" i="1"/>
  <c r="N75" i="1"/>
  <c r="M75" i="1"/>
  <c r="O75" i="1" s="1"/>
  <c r="L75" i="1"/>
  <c r="K75" i="1"/>
  <c r="J75" i="1"/>
  <c r="Q74" i="1"/>
  <c r="P74" i="1"/>
  <c r="N74" i="1"/>
  <c r="M74" i="1"/>
  <c r="O74" i="1" s="1"/>
  <c r="L74" i="1"/>
  <c r="K74" i="1"/>
  <c r="J74" i="1"/>
  <c r="Q73" i="1"/>
  <c r="P73" i="1"/>
  <c r="N73" i="1"/>
  <c r="M73" i="1"/>
  <c r="O73" i="1" s="1"/>
  <c r="L73" i="1"/>
  <c r="K73" i="1"/>
  <c r="J73" i="1"/>
  <c r="Q72" i="1"/>
  <c r="P72" i="1"/>
  <c r="N72" i="1"/>
  <c r="M72" i="1"/>
  <c r="O72" i="1" s="1"/>
  <c r="L72" i="1"/>
  <c r="K72" i="1"/>
  <c r="J72" i="1"/>
  <c r="Q71" i="1"/>
  <c r="P71" i="1"/>
  <c r="N71" i="1"/>
  <c r="M71" i="1"/>
  <c r="O71" i="1" s="1"/>
  <c r="L71" i="1"/>
  <c r="K71" i="1"/>
  <c r="J71" i="1"/>
  <c r="Q70" i="1"/>
  <c r="P70" i="1"/>
  <c r="N70" i="1"/>
  <c r="M70" i="1"/>
  <c r="O70" i="1" s="1"/>
  <c r="L70" i="1"/>
  <c r="K70" i="1"/>
  <c r="J70" i="1"/>
  <c r="Q69" i="1"/>
  <c r="P69" i="1"/>
  <c r="N69" i="1"/>
  <c r="M69" i="1"/>
  <c r="O69" i="1" s="1"/>
  <c r="L69" i="1"/>
  <c r="K69" i="1"/>
  <c r="J69" i="1"/>
  <c r="Q68" i="1"/>
  <c r="P68" i="1"/>
  <c r="N68" i="1"/>
  <c r="M68" i="1"/>
  <c r="O68" i="1" s="1"/>
  <c r="L68" i="1"/>
  <c r="K68" i="1"/>
  <c r="J68" i="1"/>
  <c r="Q67" i="1"/>
  <c r="P67" i="1"/>
  <c r="N67" i="1"/>
  <c r="M67" i="1"/>
  <c r="O67" i="1" s="1"/>
  <c r="L67" i="1"/>
  <c r="K67" i="1"/>
  <c r="J67" i="1"/>
  <c r="Q66" i="1"/>
  <c r="P66" i="1"/>
  <c r="N66" i="1"/>
  <c r="M66" i="1"/>
  <c r="O66" i="1" s="1"/>
  <c r="L66" i="1"/>
  <c r="K66" i="1"/>
  <c r="J66" i="1"/>
  <c r="Q65" i="1"/>
  <c r="P65" i="1"/>
  <c r="N65" i="1"/>
  <c r="M65" i="1"/>
  <c r="O65" i="1" s="1"/>
  <c r="L65" i="1"/>
  <c r="K65" i="1"/>
  <c r="J65" i="1"/>
  <c r="Q64" i="1"/>
  <c r="P64" i="1"/>
  <c r="N64" i="1"/>
  <c r="M64" i="1"/>
  <c r="O64" i="1" s="1"/>
  <c r="L64" i="1"/>
  <c r="K64" i="1"/>
  <c r="J64" i="1"/>
  <c r="Q63" i="1"/>
  <c r="P63" i="1"/>
  <c r="N63" i="1"/>
  <c r="M63" i="1"/>
  <c r="O63" i="1" s="1"/>
  <c r="L63" i="1"/>
  <c r="K63" i="1"/>
  <c r="J63" i="1"/>
  <c r="Q62" i="1"/>
  <c r="P62" i="1"/>
  <c r="N62" i="1"/>
  <c r="M62" i="1"/>
  <c r="O62" i="1" s="1"/>
  <c r="L62" i="1"/>
  <c r="K62" i="1"/>
  <c r="J62" i="1"/>
  <c r="Q61" i="1"/>
  <c r="P61" i="1"/>
  <c r="N61" i="1"/>
  <c r="M61" i="1"/>
  <c r="O61" i="1" s="1"/>
  <c r="L61" i="1"/>
  <c r="K61" i="1"/>
  <c r="J61" i="1"/>
  <c r="Q60" i="1"/>
  <c r="P60" i="1"/>
  <c r="N60" i="1"/>
  <c r="M60" i="1"/>
  <c r="O60" i="1" s="1"/>
  <c r="L60" i="1"/>
  <c r="K60" i="1"/>
  <c r="J60" i="1"/>
  <c r="Q59" i="1"/>
  <c r="P59" i="1"/>
  <c r="N59" i="1"/>
  <c r="M59" i="1"/>
  <c r="O59" i="1" s="1"/>
  <c r="L59" i="1"/>
  <c r="K59" i="1"/>
  <c r="J59" i="1"/>
  <c r="Q58" i="1"/>
  <c r="P58" i="1"/>
  <c r="N58" i="1"/>
  <c r="M58" i="1"/>
  <c r="O58" i="1" s="1"/>
  <c r="L58" i="1"/>
  <c r="K58" i="1"/>
  <c r="J58" i="1"/>
  <c r="Q57" i="1"/>
  <c r="P57" i="1"/>
  <c r="N57" i="1"/>
  <c r="M57" i="1"/>
  <c r="O57" i="1" s="1"/>
  <c r="L57" i="1"/>
  <c r="K57" i="1"/>
  <c r="J57" i="1"/>
  <c r="Q56" i="1"/>
  <c r="P56" i="1"/>
  <c r="N56" i="1"/>
  <c r="M56" i="1"/>
  <c r="O56" i="1" s="1"/>
  <c r="L56" i="1"/>
  <c r="K56" i="1"/>
  <c r="J56" i="1"/>
  <c r="Q55" i="1"/>
  <c r="P55" i="1"/>
  <c r="N55" i="1"/>
  <c r="M55" i="1"/>
  <c r="O55" i="1" s="1"/>
  <c r="L55" i="1"/>
  <c r="K55" i="1"/>
  <c r="J55" i="1"/>
  <c r="Q54" i="1"/>
  <c r="P54" i="1"/>
  <c r="N54" i="1"/>
  <c r="M54" i="1"/>
  <c r="O54" i="1" s="1"/>
  <c r="L54" i="1"/>
  <c r="K54" i="1"/>
  <c r="J54" i="1"/>
  <c r="Q53" i="1"/>
  <c r="P53" i="1"/>
  <c r="N53" i="1"/>
  <c r="M53" i="1"/>
  <c r="O53" i="1" s="1"/>
  <c r="L53" i="1"/>
  <c r="K53" i="1"/>
  <c r="J53" i="1"/>
  <c r="Q52" i="1"/>
  <c r="P52" i="1"/>
  <c r="N52" i="1"/>
  <c r="M52" i="1"/>
  <c r="O52" i="1" s="1"/>
  <c r="L52" i="1"/>
  <c r="K52" i="1"/>
  <c r="J52" i="1"/>
  <c r="Q51" i="1"/>
  <c r="P51" i="1"/>
  <c r="N51" i="1"/>
  <c r="M51" i="1"/>
  <c r="O51" i="1" s="1"/>
  <c r="L51" i="1"/>
  <c r="K51" i="1"/>
  <c r="J51" i="1"/>
  <c r="Q50" i="1"/>
  <c r="P50" i="1"/>
  <c r="N50" i="1"/>
  <c r="M50" i="1"/>
  <c r="O50" i="1" s="1"/>
  <c r="L50" i="1"/>
  <c r="K50" i="1"/>
  <c r="J50" i="1"/>
  <c r="Q49" i="1"/>
  <c r="P49" i="1"/>
  <c r="N49" i="1"/>
  <c r="M49" i="1"/>
  <c r="O49" i="1" s="1"/>
  <c r="L49" i="1"/>
  <c r="K49" i="1"/>
  <c r="J49" i="1"/>
  <c r="Q48" i="1"/>
  <c r="P48" i="1"/>
  <c r="N48" i="1"/>
  <c r="M48" i="1"/>
  <c r="O48" i="1" s="1"/>
  <c r="L48" i="1"/>
  <c r="K48" i="1"/>
  <c r="J48" i="1"/>
  <c r="Q47" i="1"/>
  <c r="P47" i="1"/>
  <c r="N47" i="1"/>
  <c r="M47" i="1"/>
  <c r="O47" i="1" s="1"/>
  <c r="L47" i="1"/>
  <c r="K47" i="1"/>
  <c r="J47" i="1"/>
  <c r="Q46" i="1"/>
  <c r="P46" i="1"/>
  <c r="N46" i="1"/>
  <c r="M46" i="1"/>
  <c r="O46" i="1" s="1"/>
  <c r="L46" i="1"/>
  <c r="K46" i="1"/>
  <c r="J46" i="1"/>
  <c r="Q45" i="1"/>
  <c r="P45" i="1"/>
  <c r="N45" i="1"/>
  <c r="M45" i="1"/>
  <c r="O45" i="1" s="1"/>
  <c r="L45" i="1"/>
  <c r="K45" i="1"/>
  <c r="J45" i="1"/>
  <c r="Q44" i="1"/>
  <c r="P44" i="1"/>
  <c r="N44" i="1"/>
  <c r="M44" i="1"/>
  <c r="O44" i="1" s="1"/>
  <c r="L44" i="1"/>
  <c r="K44" i="1"/>
  <c r="J44" i="1"/>
  <c r="Q43" i="1"/>
  <c r="P43" i="1"/>
  <c r="N43" i="1"/>
  <c r="M43" i="1"/>
  <c r="O43" i="1" s="1"/>
  <c r="L43" i="1"/>
  <c r="K43" i="1"/>
  <c r="J43" i="1"/>
  <c r="Q42" i="1"/>
  <c r="P42" i="1"/>
  <c r="N42" i="1"/>
  <c r="M42" i="1"/>
  <c r="O42" i="1" s="1"/>
  <c r="L42" i="1"/>
  <c r="K42" i="1"/>
  <c r="J42" i="1"/>
  <c r="Q41" i="1"/>
  <c r="P41" i="1"/>
  <c r="N41" i="1"/>
  <c r="M41" i="1"/>
  <c r="O41" i="1" s="1"/>
  <c r="L41" i="1"/>
  <c r="K41" i="1"/>
  <c r="J41" i="1"/>
  <c r="Q40" i="1"/>
  <c r="P40" i="1"/>
  <c r="N40" i="1"/>
  <c r="M40" i="1"/>
  <c r="O40" i="1" s="1"/>
  <c r="L40" i="1"/>
  <c r="K40" i="1"/>
  <c r="J40" i="1"/>
  <c r="Q39" i="1"/>
  <c r="P39" i="1"/>
  <c r="N39" i="1"/>
  <c r="M39" i="1"/>
  <c r="O39" i="1" s="1"/>
  <c r="L39" i="1"/>
  <c r="K39" i="1"/>
  <c r="J39" i="1"/>
  <c r="Q38" i="1"/>
  <c r="P38" i="1"/>
  <c r="N38" i="1"/>
  <c r="M38" i="1"/>
  <c r="O38" i="1" s="1"/>
  <c r="L38" i="1"/>
  <c r="K38" i="1"/>
  <c r="J38" i="1"/>
  <c r="Q37" i="1"/>
  <c r="P37" i="1"/>
  <c r="N37" i="1"/>
  <c r="M37" i="1"/>
  <c r="O37" i="1" s="1"/>
  <c r="L37" i="1"/>
  <c r="K37" i="1"/>
  <c r="J37" i="1"/>
  <c r="Q36" i="1"/>
  <c r="P36" i="1"/>
  <c r="N36" i="1"/>
  <c r="M36" i="1"/>
  <c r="O36" i="1" s="1"/>
  <c r="L36" i="1"/>
  <c r="K36" i="1"/>
  <c r="J36" i="1"/>
  <c r="Q35" i="1"/>
  <c r="P35" i="1"/>
  <c r="N35" i="1"/>
  <c r="M35" i="1"/>
  <c r="O35" i="1" s="1"/>
  <c r="L35" i="1"/>
  <c r="K35" i="1"/>
  <c r="J35" i="1"/>
  <c r="Q34" i="1"/>
  <c r="P34" i="1"/>
  <c r="N34" i="1"/>
  <c r="M34" i="1"/>
  <c r="O34" i="1" s="1"/>
  <c r="L34" i="1"/>
  <c r="K34" i="1"/>
  <c r="J34" i="1"/>
  <c r="Q33" i="1"/>
  <c r="P33" i="1"/>
  <c r="N33" i="1"/>
  <c r="M33" i="1"/>
  <c r="O33" i="1" s="1"/>
  <c r="L33" i="1"/>
  <c r="K33" i="1"/>
  <c r="J33" i="1"/>
  <c r="Q32" i="1"/>
  <c r="P32" i="1"/>
  <c r="N32" i="1"/>
  <c r="M32" i="1"/>
  <c r="O32" i="1" s="1"/>
  <c r="L32" i="1"/>
  <c r="K32" i="1"/>
  <c r="J32" i="1"/>
  <c r="Q31" i="1"/>
  <c r="P31" i="1"/>
  <c r="N31" i="1"/>
  <c r="M31" i="1"/>
  <c r="O31" i="1" s="1"/>
  <c r="L31" i="1"/>
  <c r="K31" i="1"/>
  <c r="J31" i="1"/>
  <c r="Q30" i="1"/>
  <c r="P30" i="1"/>
  <c r="N30" i="1"/>
  <c r="M30" i="1"/>
  <c r="O30" i="1" s="1"/>
  <c r="L30" i="1"/>
  <c r="K30" i="1"/>
  <c r="J30" i="1"/>
  <c r="Q29" i="1"/>
  <c r="P29" i="1"/>
  <c r="N29" i="1"/>
  <c r="M29" i="1"/>
  <c r="O29" i="1" s="1"/>
  <c r="L29" i="1"/>
  <c r="K29" i="1"/>
  <c r="J29" i="1"/>
  <c r="Q28" i="1"/>
  <c r="P28" i="1"/>
  <c r="N28" i="1"/>
  <c r="M28" i="1"/>
  <c r="O28" i="1" s="1"/>
  <c r="L28" i="1"/>
  <c r="K28" i="1"/>
  <c r="J28" i="1"/>
  <c r="Q27" i="1"/>
  <c r="P27" i="1"/>
  <c r="N27" i="1"/>
  <c r="M27" i="1"/>
  <c r="O27" i="1" s="1"/>
  <c r="L27" i="1"/>
  <c r="K27" i="1"/>
  <c r="J27" i="1"/>
  <c r="Q26" i="1"/>
  <c r="P26" i="1"/>
  <c r="N26" i="1"/>
  <c r="M26" i="1"/>
  <c r="O26" i="1" s="1"/>
  <c r="L26" i="1"/>
  <c r="K26" i="1"/>
  <c r="J26" i="1"/>
  <c r="Q25" i="1"/>
  <c r="P25" i="1"/>
  <c r="N25" i="1"/>
  <c r="M25" i="1"/>
  <c r="O25" i="1" s="1"/>
  <c r="L25" i="1"/>
  <c r="K25" i="1"/>
  <c r="J25" i="1"/>
  <c r="Q24" i="1"/>
  <c r="P24" i="1"/>
  <c r="N24" i="1"/>
  <c r="M24" i="1"/>
  <c r="O24" i="1" s="1"/>
  <c r="L24" i="1"/>
  <c r="K24" i="1"/>
  <c r="J24" i="1"/>
  <c r="Q23" i="1"/>
  <c r="P23" i="1"/>
  <c r="N23" i="1"/>
  <c r="M23" i="1"/>
  <c r="O23" i="1" s="1"/>
  <c r="L23" i="1"/>
  <c r="K23" i="1"/>
  <c r="J23" i="1"/>
  <c r="Q22" i="1"/>
  <c r="P22" i="1"/>
  <c r="N22" i="1"/>
  <c r="M22" i="1"/>
  <c r="O22" i="1" s="1"/>
  <c r="L22" i="1"/>
  <c r="K22" i="1"/>
  <c r="J22" i="1"/>
  <c r="Q21" i="1"/>
  <c r="P21" i="1"/>
  <c r="N21" i="1"/>
  <c r="M21" i="1"/>
  <c r="O21" i="1" s="1"/>
  <c r="L21" i="1"/>
  <c r="K21" i="1"/>
  <c r="J21" i="1"/>
  <c r="Q20" i="1"/>
  <c r="P20" i="1"/>
  <c r="N20" i="1"/>
  <c r="M20" i="1"/>
  <c r="O20" i="1" s="1"/>
  <c r="L20" i="1"/>
  <c r="K20" i="1"/>
  <c r="J20" i="1"/>
  <c r="Q19" i="1"/>
  <c r="P19" i="1"/>
  <c r="N19" i="1"/>
  <c r="M19" i="1"/>
  <c r="O19" i="1" s="1"/>
  <c r="L19" i="1"/>
  <c r="K19" i="1"/>
  <c r="J19" i="1"/>
  <c r="Q18" i="1"/>
  <c r="P18" i="1"/>
  <c r="N18" i="1"/>
  <c r="M18" i="1"/>
  <c r="O18" i="1" s="1"/>
  <c r="L18" i="1"/>
  <c r="K18" i="1"/>
  <c r="J18" i="1"/>
  <c r="Q17" i="1"/>
  <c r="P17" i="1"/>
  <c r="N17" i="1"/>
  <c r="M17" i="1"/>
  <c r="O17" i="1" s="1"/>
  <c r="L17" i="1"/>
  <c r="K17" i="1"/>
  <c r="J17" i="1"/>
  <c r="Q16" i="1"/>
  <c r="P16" i="1"/>
  <c r="N16" i="1"/>
  <c r="M16" i="1"/>
  <c r="O16" i="1" s="1"/>
  <c r="L16" i="1"/>
  <c r="K16" i="1"/>
  <c r="J16" i="1"/>
  <c r="Q15" i="1"/>
  <c r="P15" i="1"/>
  <c r="N15" i="1"/>
  <c r="M15" i="1"/>
  <c r="O15" i="1" s="1"/>
  <c r="L15" i="1"/>
  <c r="K15" i="1"/>
  <c r="J15" i="1"/>
  <c r="Q14" i="1"/>
  <c r="P14" i="1"/>
  <c r="N14" i="1"/>
  <c r="M14" i="1"/>
  <c r="O14" i="1" s="1"/>
  <c r="L14" i="1"/>
  <c r="K14" i="1"/>
  <c r="J14" i="1"/>
  <c r="Q13" i="1"/>
  <c r="P13" i="1"/>
  <c r="N13" i="1"/>
  <c r="M13" i="1"/>
  <c r="O13" i="1" s="1"/>
  <c r="L13" i="1"/>
  <c r="K13" i="1"/>
  <c r="J13" i="1"/>
  <c r="Q12" i="1"/>
  <c r="P12" i="1"/>
  <c r="N12" i="1"/>
  <c r="M12" i="1"/>
  <c r="O12" i="1" s="1"/>
  <c r="L12" i="1"/>
  <c r="K12" i="1"/>
  <c r="J12" i="1"/>
  <c r="Q11" i="1"/>
  <c r="P11" i="1"/>
  <c r="N11" i="1"/>
  <c r="M11" i="1"/>
  <c r="O11" i="1" s="1"/>
  <c r="L11" i="1"/>
  <c r="K11" i="1"/>
  <c r="J11" i="1"/>
  <c r="Q10" i="1"/>
  <c r="P10" i="1"/>
  <c r="N10" i="1"/>
  <c r="M10" i="1"/>
  <c r="O10" i="1" s="1"/>
  <c r="L10" i="1"/>
  <c r="K10" i="1"/>
  <c r="J10" i="1"/>
  <c r="Q9" i="1"/>
  <c r="P9" i="1"/>
  <c r="N9" i="1"/>
  <c r="M9" i="1"/>
  <c r="O9" i="1" s="1"/>
  <c r="L9" i="1"/>
  <c r="K9" i="1"/>
  <c r="J9" i="1"/>
  <c r="Q8" i="1"/>
  <c r="P8" i="1"/>
  <c r="N8" i="1"/>
  <c r="M8" i="1"/>
  <c r="O8" i="1" s="1"/>
  <c r="L8" i="1"/>
  <c r="K8" i="1"/>
  <c r="J8" i="1"/>
  <c r="Q7" i="1"/>
  <c r="P7" i="1"/>
  <c r="N7" i="1"/>
  <c r="M7" i="1"/>
  <c r="O7" i="1" s="1"/>
  <c r="L7" i="1"/>
  <c r="K7" i="1"/>
  <c r="J7" i="1"/>
  <c r="Q6" i="1"/>
  <c r="P6" i="1"/>
  <c r="N6" i="1"/>
  <c r="M6" i="1"/>
  <c r="O6" i="1" s="1"/>
  <c r="L6" i="1"/>
  <c r="K6" i="1"/>
  <c r="J6" i="1"/>
  <c r="Q5" i="1"/>
  <c r="P5" i="1"/>
  <c r="N5" i="1"/>
  <c r="M5" i="1"/>
  <c r="O5" i="1" s="1"/>
  <c r="L5" i="1"/>
  <c r="K5" i="1"/>
  <c r="J5" i="1"/>
  <c r="Q4" i="1"/>
  <c r="P4" i="1"/>
  <c r="N4" i="1"/>
  <c r="M4" i="1"/>
  <c r="O4" i="1" s="1"/>
  <c r="L4" i="1"/>
  <c r="K4" i="1"/>
  <c r="J4" i="1"/>
  <c r="Q3" i="1"/>
  <c r="P3" i="1"/>
  <c r="N3" i="1"/>
  <c r="M3" i="1"/>
  <c r="O3" i="1" s="1"/>
  <c r="L3" i="1"/>
  <c r="K3" i="1"/>
  <c r="J3" i="1"/>
  <c r="Q2" i="1"/>
  <c r="P2" i="1"/>
  <c r="K8" i="3" s="1"/>
  <c r="B15" i="4" s="1"/>
  <c r="N2" i="1"/>
  <c r="M2" i="1"/>
  <c r="O2" i="1" s="1"/>
  <c r="L2" i="1"/>
  <c r="K2" i="1"/>
  <c r="J2" i="1"/>
  <c r="K12" i="3" l="1"/>
  <c r="B19" i="4" s="1"/>
  <c r="K9" i="3"/>
  <c r="B16" i="4" s="1"/>
  <c r="L14" i="3"/>
  <c r="L12" i="3"/>
  <c r="L10" i="3"/>
  <c r="L15" i="3"/>
  <c r="L13" i="3"/>
  <c r="L11" i="3"/>
  <c r="L8" i="3"/>
  <c r="K7" i="3"/>
  <c r="B14" i="4" s="1"/>
  <c r="K14" i="3"/>
  <c r="B21" i="4" s="1"/>
  <c r="L9" i="3"/>
  <c r="K11" i="3"/>
  <c r="B18" i="4" s="1"/>
  <c r="K15" i="3"/>
  <c r="B22" i="4" s="1"/>
  <c r="E14" i="4"/>
  <c r="B9" i="4"/>
  <c r="B10" i="4"/>
  <c r="K10" i="3"/>
  <c r="B17" i="4" s="1"/>
  <c r="K13" i="3"/>
  <c r="B20" i="4" s="1"/>
  <c r="L7" i="3"/>
  <c r="B8" i="4"/>
  <c r="H5" i="4"/>
</calcChain>
</file>

<file path=xl/sharedStrings.xml><?xml version="1.0" encoding="utf-8"?>
<sst xmlns="http://schemas.openxmlformats.org/spreadsheetml/2006/main" count="1339" uniqueCount="95">
  <si>
    <t>Date</t>
  </si>
  <si>
    <t>Region</t>
  </si>
  <si>
    <t>Product ID</t>
  </si>
  <si>
    <t>Product Name</t>
  </si>
  <si>
    <t>Salesperson</t>
  </si>
  <si>
    <t>Quantity</t>
  </si>
  <si>
    <t>Revenue</t>
  </si>
  <si>
    <t>Cost</t>
  </si>
  <si>
    <t>Customer Type</t>
  </si>
  <si>
    <t>Product Category</t>
  </si>
  <si>
    <t>Regional Manager</t>
  </si>
  <si>
    <t>Commission Rate</t>
  </si>
  <si>
    <t>Gross Profit</t>
  </si>
  <si>
    <t>High Value Flag</t>
  </si>
  <si>
    <t>Profitability Flag</t>
  </si>
  <si>
    <t>Month</t>
  </si>
  <si>
    <t>Commission</t>
  </si>
  <si>
    <t>East</t>
  </si>
  <si>
    <t>P-1003</t>
  </si>
  <si>
    <t>Ergonomic Office Chair</t>
  </si>
  <si>
    <t>Sophia Martinez</t>
  </si>
  <si>
    <t>Retail</t>
  </si>
  <si>
    <t>P-1001</t>
  </si>
  <si>
    <t>Wireless Headphones</t>
  </si>
  <si>
    <t>Liam Wilson</t>
  </si>
  <si>
    <t>West</t>
  </si>
  <si>
    <t>P-1010</t>
  </si>
  <si>
    <t>Insulated Water Bottle</t>
  </si>
  <si>
    <t>Noah Brown</t>
  </si>
  <si>
    <t>Midwest</t>
  </si>
  <si>
    <t>P-1007</t>
  </si>
  <si>
    <t>Fitness Tracker</t>
  </si>
  <si>
    <t>P-1002</t>
  </si>
  <si>
    <t>Smart Home Hub</t>
  </si>
  <si>
    <t>Benjamin Moore</t>
  </si>
  <si>
    <t>P-1006</t>
  </si>
  <si>
    <t>Air Fryer XL</t>
  </si>
  <si>
    <t>Mia Thomas</t>
  </si>
  <si>
    <t>P-1004</t>
  </si>
  <si>
    <t>Standing Desk Converter</t>
  </si>
  <si>
    <t>Maya Johnson</t>
  </si>
  <si>
    <t>Ethan Smith</t>
  </si>
  <si>
    <t>Wholesale</t>
  </si>
  <si>
    <t>P-1008</t>
  </si>
  <si>
    <t>Yoga Starter Kit</t>
  </si>
  <si>
    <t>Ava Davis</t>
  </si>
  <si>
    <t>P-1005</t>
  </si>
  <si>
    <t>Stainless Cookware Set</t>
  </si>
  <si>
    <t>P-1009</t>
  </si>
  <si>
    <t>Travel Backpack</t>
  </si>
  <si>
    <t>South</t>
  </si>
  <si>
    <t>Olivia Garcia</t>
  </si>
  <si>
    <t>James Anderson</t>
  </si>
  <si>
    <t>Category</t>
  </si>
  <si>
    <t>Unit Price</t>
  </si>
  <si>
    <t>Electronics</t>
  </si>
  <si>
    <t>Amanda Lee</t>
  </si>
  <si>
    <t>Carlos Rivera</t>
  </si>
  <si>
    <t>Office Furniture</t>
  </si>
  <si>
    <t>Priya Shah</t>
  </si>
  <si>
    <t>Marcus Green</t>
  </si>
  <si>
    <t>Home Goods</t>
  </si>
  <si>
    <t>Fitness</t>
  </si>
  <si>
    <t>Travel</t>
  </si>
  <si>
    <t>Made by Juan Barrera</t>
  </si>
  <si>
    <t>Professor Jeffrey Seaman</t>
  </si>
  <si>
    <t>Management Information Systems</t>
  </si>
  <si>
    <t>Revenue by Region</t>
  </si>
  <si>
    <t>Revenue by Product</t>
  </si>
  <si>
    <t>Revenue by Salesperson</t>
  </si>
  <si>
    <t>Monthly Sales Trend</t>
  </si>
  <si>
    <t>Customer Type Analysis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</si>
  <si>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</si>
  <si>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</si>
  <si>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</si>
  <si>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</si>
  <si>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</si>
  <si>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</si>
  <si>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</si>
  <si>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</si>
  <si>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</si>
  <si>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Keystone Retail Solutions - Executive Sales Dashboard</t>
  </si>
  <si>
    <t>Made by Juan Barrera | Professor Jeffrey Seaman | Management Information Systems</t>
  </si>
  <si>
    <t>KPI</t>
  </si>
  <si>
    <t>Value</t>
  </si>
  <si>
    <t>Salesperson Performance</t>
  </si>
  <si>
    <t>Total Revenue</t>
  </si>
  <si>
    <t>Total Quantity Sold</t>
  </si>
  <si>
    <t>Average Sale Amount</t>
  </si>
  <si>
    <t>Top Performing Region</t>
  </si>
  <si>
    <t>Top Product</t>
  </si>
  <si>
    <t>Top Salesperson</t>
  </si>
  <si>
    <t>Top Products</t>
  </si>
  <si>
    <t>Executive Insights</t>
  </si>
  <si>
    <t>The dashboard highlights total revenue, quantity sold, average sale amount, and top performers. Leadership should focus on the strongest region and product categories while reviewing the lowest-performing region for sales support, inventory placement, and marketing opportunities.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</si>
</sst>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\$#,##0.00"/>
    <numFmt numFmtId="166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12700</xdr:colOff>
      <xdr:row>2</xdr:row>
      <xdr:rowOff>165100</xdr:rowOff>
    </xdr:from>
    <xdr:to>
      <xdr:col>16</xdr:col>
      <xdr:colOff>457200</xdr:colOff>
      <xdr:row>17</xdr:row>
      <xdr:rowOff>104004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5248E-73C0-6A70-F39C-9EF710AE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800" y="622300"/>
          <a:ext cx="5156200" cy="3177404"/>
        </a:xfrm>
        <a:prstGeom prst="rect">
          <a:avLst/>
        </a:prstGeom>
      </xdr:spPr>
    </xdr:pic>
    <xdr:clientData/>
  </xdr:twoCellAnchor>
  <xdr:twoCellAnchor editAs="oneCell">
    <xdr:from>
      <xdr:col>17</xdr:col>
      <xdr:colOff>17380</xdr:colOff>
      <xdr:row>3</xdr:row>
      <xdr:rowOff>9880</xdr:rowOff>
    </xdr:from>
    <xdr:to>
      <xdr:col>25</xdr:col>
      <xdr:colOff>10300</xdr:colOff>
      <xdr:row>18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7FEBDD-DAC3-828D-6E18-23DE3A34E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7280" y="644880"/>
          <a:ext cx="5377720" cy="3304820"/>
        </a:xfrm>
        <a:prstGeom prst="rect">
          <a:avLst/>
        </a:prstGeom>
      </xdr:spPr>
    </xdr:pic>
    <xdr:clientData/>
  </xdr:twoCellAnchor>
  <xdr:twoCellAnchor editAs="oneCell">
    <xdr:from>
      <xdr:col>17</xdr:col>
      <xdr:colOff>12700</xdr:colOff>
      <xdr:row>20</xdr:row>
      <xdr:rowOff>21870</xdr:rowOff>
    </xdr:from>
    <xdr:to>
      <xdr:col>24</xdr:col>
      <xdr:colOff>477800</xdr:colOff>
      <xdr:row>35</xdr:row>
      <xdr:rowOff>145771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7E72AF-7417-7630-9B23-E0A75BFE3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2600" y="4289070"/>
          <a:ext cx="5176800" cy="2829001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</xdr:colOff>
      <xdr:row>18</xdr:row>
      <xdr:rowOff>102468</xdr:rowOff>
    </xdr:from>
    <xdr:to>
      <xdr:col>16</xdr:col>
      <xdr:colOff>444500</xdr:colOff>
      <xdr:row>34</xdr:row>
      <xdr:rowOff>5330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0EA4C7-D171-53DB-0188-E6A45B00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800" y="3988668"/>
          <a:ext cx="5143500" cy="2811162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</xdr:colOff>
      <xdr:row>35</xdr:row>
      <xdr:rowOff>13984</xdr:rowOff>
    </xdr:from>
    <xdr:to>
      <xdr:col>14</xdr:col>
      <xdr:colOff>558800</xdr:colOff>
      <xdr:row>58</xdr:row>
      <xdr:rowOff>14999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4BDB81-7E78-22A0-80EF-BA6926EA2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800" y="6986284"/>
          <a:ext cx="3911600" cy="40904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Q241">
  <tableColumns count="17">
    <tableColumn id="1" xr3:uid="{00000000-0010-0000-0000-000001000000}" name="Date"/>
    <tableColumn id="2" xr3:uid="{00000000-0010-0000-0000-000002000000}" name="Region"/>
    <tableColumn id="3" xr3:uid="{00000000-0010-0000-0000-000003000000}" name="Product ID"/>
    <tableColumn id="4" xr3:uid="{00000000-0010-0000-0000-000004000000}" name="Product Name"/>
    <tableColumn id="5" xr3:uid="{00000000-0010-0000-0000-000005000000}" name="Salesperson"/>
    <tableColumn id="6" xr3:uid="{00000000-0010-0000-0000-000006000000}" name="Quantity"/>
    <tableColumn id="7" xr3:uid="{00000000-0010-0000-0000-000007000000}" name="Revenue"/>
    <tableColumn id="8" xr3:uid="{00000000-0010-0000-0000-000008000000}" name="Cost"/>
    <tableColumn id="9" xr3:uid="{00000000-0010-0000-0000-000009000000}" name="Customer Type"/>
    <tableColumn id="10" xr3:uid="{00000000-0010-0000-0000-00000A000000}" name="Product Category"/>
    <tableColumn id="11" xr3:uid="{00000000-0010-0000-0000-00000B000000}" name="Regional Manager"/>
    <tableColumn id="12" xr3:uid="{00000000-0010-0000-0000-00000C000000}" name="Commission Rate"/>
    <tableColumn id="13" xr3:uid="{00000000-0010-0000-0000-00000D000000}" name="Gross Profit"/>
    <tableColumn id="14" xr3:uid="{00000000-0010-0000-0000-00000E000000}" name="High Value Flag"/>
    <tableColumn id="15" xr3:uid="{00000000-0010-0000-0000-00000F000000}" name="Profitability Flag"/>
    <tableColumn id="16" xr3:uid="{00000000-0010-0000-0000-000010000000}" name="Month"/>
    <tableColumn id="17" xr3:uid="{00000000-0010-0000-0000-000011000000}" name="Commi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1"/>
  <sheetViews>
    <sheetView topLeftCell="A14" workbookViewId="0">
      <selection activeCell="K26" sqref="K26"/>
    </sheetView>
  </sheetViews>
  <sheetFormatPr baseColWidth="10" defaultColWidth="8.83203125" defaultRowHeight="14"/>
  <cols>
    <col min="1" max="3" width="16" customWidth="1"/>
    <col min="4" max="4" width="24" customWidth="1"/>
    <col min="5" max="5" width="20" customWidth="1"/>
    <col min="6" max="9" width="16" customWidth="1"/>
    <col min="10" max="11" width="20" customWidth="1"/>
    <col min="12" max="17" width="16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45659</v>
      </c>
      <c r="B2" t="s">
        <v>17</v>
      </c>
      <c r="C2" t="s">
        <v>18</v>
      </c>
      <c r="D2" t="s">
        <v>19</v>
      </c>
      <c r="E2" t="s">
        <v>20</v>
      </c>
      <c r="F2">
        <v>3</v>
      </c>
      <c r="G2" s="4">
        <v>749.97</v>
      </c>
      <c r="H2" s="4">
        <v>435</v>
      </c>
      <c r="I2" t="s">
        <v>21</v>
      </c>
      <c r="J2" t="str">
        <f>VLOOKUP(C2,'Lookup Tables'!$A$2:$D$11,3,FALSE)</f>
        <v>Office Furniture</v>
      </c>
      <c r="K2" t="str">
        <f>VLOOKUP(B2,'Lookup Tables'!$F$2:$H$5,2,FALSE)</f>
        <v>Amanda Lee</v>
      </c>
      <c r="L2" s="5">
        <f>VLOOKUP(B2,'Lookup Tables'!$F$2:$H$5,3,FALSE)</f>
        <v>0.05</v>
      </c>
      <c r="M2" s="4">
        <f t="shared" ref="M2:M65" si="0">G2-H2</f>
        <v>314.97000000000003</v>
      </c>
      <c r="N2" t="str">
        <f t="shared" ref="N2:N65" si="1">IF(G2&gt;1000,"High Value","Standard")</f>
        <v>Standard</v>
      </c>
      <c r="O2" t="str">
        <f t="shared" ref="O2:O65" si="2">IF(M2/G2&lt;0.25,"Review Margin","Strong Margin")</f>
        <v>Strong Margin</v>
      </c>
      <c r="P2" t="str">
        <f t="shared" ref="P2:P65" si="3">TEXT(A2,"mmm")</f>
        <v>Jan</v>
      </c>
      <c r="Q2" s="4">
        <f t="shared" ref="Q2:Q65" si="4">G2*L2</f>
        <v>37.4985</v>
      </c>
    </row>
    <row r="3" spans="1:17">
      <c r="A3" s="3">
        <v>45660</v>
      </c>
      <c r="B3" t="s">
        <v>17</v>
      </c>
      <c r="C3" t="s">
        <v>22</v>
      </c>
      <c r="D3" t="s">
        <v>23</v>
      </c>
      <c r="E3" t="s">
        <v>24</v>
      </c>
      <c r="F3">
        <v>1</v>
      </c>
      <c r="G3" s="4">
        <v>79.989999999999995</v>
      </c>
      <c r="H3" s="4">
        <v>42</v>
      </c>
      <c r="I3" t="s">
        <v>21</v>
      </c>
      <c r="J3" t="str">
        <f>VLOOKUP(C3,'Lookup Tables'!$A$2:$D$11,3,FALSE)</f>
        <v>Electronics</v>
      </c>
      <c r="K3" t="str">
        <f>VLOOKUP(B3,'Lookup Tables'!$F$2:$H$5,2,FALSE)</f>
        <v>Amanda Lee</v>
      </c>
      <c r="L3" s="5">
        <f>VLOOKUP(B3,'Lookup Tables'!$F$2:$H$5,3,FALSE)</f>
        <v>0.05</v>
      </c>
      <c r="M3" s="4">
        <f t="shared" si="0"/>
        <v>37.989999999999995</v>
      </c>
      <c r="N3" t="str">
        <f t="shared" si="1"/>
        <v>Standard</v>
      </c>
      <c r="O3" t="str">
        <f t="shared" si="2"/>
        <v>Strong Margin</v>
      </c>
      <c r="P3" t="str">
        <f t="shared" si="3"/>
        <v>Jan</v>
      </c>
      <c r="Q3" s="4">
        <f t="shared" si="4"/>
        <v>3.9994999999999998</v>
      </c>
    </row>
    <row r="4" spans="1:17">
      <c r="A4" s="3">
        <v>45661</v>
      </c>
      <c r="B4" t="s">
        <v>25</v>
      </c>
      <c r="C4" t="s">
        <v>26</v>
      </c>
      <c r="D4" t="s">
        <v>27</v>
      </c>
      <c r="E4" t="s">
        <v>28</v>
      </c>
      <c r="F4">
        <v>4</v>
      </c>
      <c r="G4" s="4">
        <v>119.96</v>
      </c>
      <c r="H4" s="4">
        <v>51</v>
      </c>
      <c r="I4" t="s">
        <v>21</v>
      </c>
      <c r="J4" t="str">
        <f>VLOOKUP(C4,'Lookup Tables'!$A$2:$D$11,3,FALSE)</f>
        <v>Travel</v>
      </c>
      <c r="K4" t="str">
        <f>VLOOKUP(B4,'Lookup Tables'!$F$2:$H$5,2,FALSE)</f>
        <v>Carlos Rivera</v>
      </c>
      <c r="L4" s="5">
        <f>VLOOKUP(B4,'Lookup Tables'!$F$2:$H$5,3,FALSE)</f>
        <v>5.5E-2</v>
      </c>
      <c r="M4" s="4">
        <f t="shared" si="0"/>
        <v>68.959999999999994</v>
      </c>
      <c r="N4" t="str">
        <f t="shared" si="1"/>
        <v>Standard</v>
      </c>
      <c r="O4" t="str">
        <f t="shared" si="2"/>
        <v>Strong Margin</v>
      </c>
      <c r="P4" t="str">
        <f t="shared" si="3"/>
        <v>Jan</v>
      </c>
      <c r="Q4" s="4">
        <f t="shared" si="4"/>
        <v>6.5977999999999994</v>
      </c>
    </row>
    <row r="5" spans="1:17">
      <c r="A5" s="3">
        <v>45662</v>
      </c>
      <c r="B5" t="s">
        <v>29</v>
      </c>
      <c r="C5" t="s">
        <v>30</v>
      </c>
      <c r="D5" t="s">
        <v>31</v>
      </c>
      <c r="E5" t="s">
        <v>20</v>
      </c>
      <c r="F5">
        <v>5</v>
      </c>
      <c r="G5" s="4">
        <v>299.95</v>
      </c>
      <c r="H5" s="4">
        <v>153.69999999999999</v>
      </c>
      <c r="I5" t="s">
        <v>21</v>
      </c>
      <c r="J5" t="str">
        <f>VLOOKUP(C5,'Lookup Tables'!$A$2:$D$11,3,FALSE)</f>
        <v>Fitness</v>
      </c>
      <c r="K5" t="str">
        <f>VLOOKUP(B5,'Lookup Tables'!$F$2:$H$5,2,FALSE)</f>
        <v>Priya Shah</v>
      </c>
      <c r="L5" s="5">
        <f>VLOOKUP(B5,'Lookup Tables'!$F$2:$H$5,3,FALSE)</f>
        <v>4.4999999999999998E-2</v>
      </c>
      <c r="M5" s="4">
        <f t="shared" si="0"/>
        <v>146.25</v>
      </c>
      <c r="N5" t="str">
        <f t="shared" si="1"/>
        <v>Standard</v>
      </c>
      <c r="O5" t="str">
        <f t="shared" si="2"/>
        <v>Strong Margin</v>
      </c>
      <c r="P5" t="str">
        <f t="shared" si="3"/>
        <v>Jan</v>
      </c>
      <c r="Q5" s="4">
        <f t="shared" si="4"/>
        <v>13.497749999999998</v>
      </c>
    </row>
    <row r="6" spans="1:17">
      <c r="A6" s="3">
        <v>45662</v>
      </c>
      <c r="B6" t="s">
        <v>17</v>
      </c>
      <c r="C6" t="s">
        <v>32</v>
      </c>
      <c r="D6" t="s">
        <v>33</v>
      </c>
      <c r="E6" t="s">
        <v>34</v>
      </c>
      <c r="F6">
        <v>12</v>
      </c>
      <c r="G6" s="4">
        <v>1439.88</v>
      </c>
      <c r="H6" s="4">
        <v>822</v>
      </c>
      <c r="I6" t="s">
        <v>21</v>
      </c>
      <c r="J6" t="str">
        <f>VLOOKUP(C6,'Lookup Tables'!$A$2:$D$11,3,FALSE)</f>
        <v>Electronics</v>
      </c>
      <c r="K6" t="str">
        <f>VLOOKUP(B6,'Lookup Tables'!$F$2:$H$5,2,FALSE)</f>
        <v>Amanda Lee</v>
      </c>
      <c r="L6" s="5">
        <f>VLOOKUP(B6,'Lookup Tables'!$F$2:$H$5,3,FALSE)</f>
        <v>0.05</v>
      </c>
      <c r="M6" s="4">
        <f t="shared" si="0"/>
        <v>617.88000000000011</v>
      </c>
      <c r="N6" t="str">
        <f t="shared" si="1"/>
        <v>High Value</v>
      </c>
      <c r="O6" t="str">
        <f t="shared" si="2"/>
        <v>Strong Margin</v>
      </c>
      <c r="P6" t="str">
        <f t="shared" si="3"/>
        <v>Jan</v>
      </c>
      <c r="Q6" s="4">
        <f t="shared" si="4"/>
        <v>71.994000000000014</v>
      </c>
    </row>
    <row r="7" spans="1:17">
      <c r="A7" s="3">
        <v>45663</v>
      </c>
      <c r="B7" t="s">
        <v>17</v>
      </c>
      <c r="C7" t="s">
        <v>35</v>
      </c>
      <c r="D7" t="s">
        <v>36</v>
      </c>
      <c r="E7" t="s">
        <v>37</v>
      </c>
      <c r="F7">
        <v>4</v>
      </c>
      <c r="G7" s="4">
        <v>559.96</v>
      </c>
      <c r="H7" s="4">
        <v>305.88</v>
      </c>
      <c r="I7" t="s">
        <v>21</v>
      </c>
      <c r="J7" t="str">
        <f>VLOOKUP(C7,'Lookup Tables'!$A$2:$D$11,3,FALSE)</f>
        <v>Home Goods</v>
      </c>
      <c r="K7" t="str">
        <f>VLOOKUP(B7,'Lookup Tables'!$F$2:$H$5,2,FALSE)</f>
        <v>Amanda Lee</v>
      </c>
      <c r="L7" s="5">
        <f>VLOOKUP(B7,'Lookup Tables'!$F$2:$H$5,3,FALSE)</f>
        <v>0.05</v>
      </c>
      <c r="M7" s="4">
        <f t="shared" si="0"/>
        <v>254.08000000000004</v>
      </c>
      <c r="N7" t="str">
        <f t="shared" si="1"/>
        <v>Standard</v>
      </c>
      <c r="O7" t="str">
        <f t="shared" si="2"/>
        <v>Strong Margin</v>
      </c>
      <c r="P7" t="str">
        <f t="shared" si="3"/>
        <v>Jan</v>
      </c>
      <c r="Q7" s="4">
        <f t="shared" si="4"/>
        <v>27.998000000000005</v>
      </c>
    </row>
    <row r="8" spans="1:17">
      <c r="A8" s="3">
        <v>45666</v>
      </c>
      <c r="B8" t="s">
        <v>17</v>
      </c>
      <c r="C8" t="s">
        <v>38</v>
      </c>
      <c r="D8" t="s">
        <v>39</v>
      </c>
      <c r="E8" t="s">
        <v>40</v>
      </c>
      <c r="F8">
        <v>9</v>
      </c>
      <c r="G8" s="4">
        <v>1709.91</v>
      </c>
      <c r="H8" s="4">
        <v>992.25</v>
      </c>
      <c r="I8" t="s">
        <v>21</v>
      </c>
      <c r="J8" t="str">
        <f>VLOOKUP(C8,'Lookup Tables'!$A$2:$D$11,3,FALSE)</f>
        <v>Office Furniture</v>
      </c>
      <c r="K8" t="str">
        <f>VLOOKUP(B8,'Lookup Tables'!$F$2:$H$5,2,FALSE)</f>
        <v>Amanda Lee</v>
      </c>
      <c r="L8" s="5">
        <f>VLOOKUP(B8,'Lookup Tables'!$F$2:$H$5,3,FALSE)</f>
        <v>0.05</v>
      </c>
      <c r="M8" s="4">
        <f t="shared" si="0"/>
        <v>717.66000000000008</v>
      </c>
      <c r="N8" t="str">
        <f t="shared" si="1"/>
        <v>High Value</v>
      </c>
      <c r="O8" t="str">
        <f t="shared" si="2"/>
        <v>Strong Margin</v>
      </c>
      <c r="P8" t="str">
        <f t="shared" si="3"/>
        <v>Jan</v>
      </c>
      <c r="Q8" s="4">
        <f t="shared" si="4"/>
        <v>85.495500000000007</v>
      </c>
    </row>
    <row r="9" spans="1:17">
      <c r="A9" s="3">
        <v>45667</v>
      </c>
      <c r="B9" t="s">
        <v>29</v>
      </c>
      <c r="C9" t="s">
        <v>38</v>
      </c>
      <c r="D9" t="s">
        <v>39</v>
      </c>
      <c r="E9" t="s">
        <v>34</v>
      </c>
      <c r="F9">
        <v>4</v>
      </c>
      <c r="G9" s="4">
        <v>759.96</v>
      </c>
      <c r="H9" s="4">
        <v>441</v>
      </c>
      <c r="I9" t="s">
        <v>21</v>
      </c>
      <c r="J9" t="str">
        <f>VLOOKUP(C9,'Lookup Tables'!$A$2:$D$11,3,FALSE)</f>
        <v>Office Furniture</v>
      </c>
      <c r="K9" t="str">
        <f>VLOOKUP(B9,'Lookup Tables'!$F$2:$H$5,2,FALSE)</f>
        <v>Priya Shah</v>
      </c>
      <c r="L9" s="5">
        <f>VLOOKUP(B9,'Lookup Tables'!$F$2:$H$5,3,FALSE)</f>
        <v>4.4999999999999998E-2</v>
      </c>
      <c r="M9" s="4">
        <f t="shared" si="0"/>
        <v>318.96000000000004</v>
      </c>
      <c r="N9" t="str">
        <f t="shared" si="1"/>
        <v>Standard</v>
      </c>
      <c r="O9" t="str">
        <f t="shared" si="2"/>
        <v>Strong Margin</v>
      </c>
      <c r="P9" t="str">
        <f t="shared" si="3"/>
        <v>Jan</v>
      </c>
      <c r="Q9" s="4">
        <f t="shared" si="4"/>
        <v>34.1982</v>
      </c>
    </row>
    <row r="10" spans="1:17">
      <c r="A10" s="3">
        <v>45668</v>
      </c>
      <c r="B10" t="s">
        <v>17</v>
      </c>
      <c r="C10" t="s">
        <v>30</v>
      </c>
      <c r="D10" t="s">
        <v>31</v>
      </c>
      <c r="E10" t="s">
        <v>41</v>
      </c>
      <c r="F10">
        <v>18</v>
      </c>
      <c r="G10" s="4">
        <v>842.26</v>
      </c>
      <c r="H10" s="4">
        <v>553.32000000000005</v>
      </c>
      <c r="I10" t="s">
        <v>42</v>
      </c>
      <c r="J10" t="str">
        <f>VLOOKUP(C10,'Lookup Tables'!$A$2:$D$11,3,FALSE)</f>
        <v>Fitness</v>
      </c>
      <c r="K10" t="str">
        <f>VLOOKUP(B10,'Lookup Tables'!$F$2:$H$5,2,FALSE)</f>
        <v>Amanda Lee</v>
      </c>
      <c r="L10" s="5">
        <f>VLOOKUP(B10,'Lookup Tables'!$F$2:$H$5,3,FALSE)</f>
        <v>0.05</v>
      </c>
      <c r="M10" s="4">
        <f t="shared" si="0"/>
        <v>288.93999999999994</v>
      </c>
      <c r="N10" t="str">
        <f t="shared" si="1"/>
        <v>Standard</v>
      </c>
      <c r="O10" t="str">
        <f t="shared" si="2"/>
        <v>Strong Margin</v>
      </c>
      <c r="P10" t="str">
        <f t="shared" si="3"/>
        <v>Jan</v>
      </c>
      <c r="Q10" s="4">
        <f t="shared" si="4"/>
        <v>42.113</v>
      </c>
    </row>
    <row r="11" spans="1:17">
      <c r="A11" s="3">
        <v>45669</v>
      </c>
      <c r="B11" t="s">
        <v>25</v>
      </c>
      <c r="C11" t="s">
        <v>43</v>
      </c>
      <c r="D11" t="s">
        <v>44</v>
      </c>
      <c r="E11" t="s">
        <v>45</v>
      </c>
      <c r="F11">
        <v>12</v>
      </c>
      <c r="G11" s="4">
        <v>599.88</v>
      </c>
      <c r="H11" s="4">
        <v>299.39999999999998</v>
      </c>
      <c r="I11" t="s">
        <v>21</v>
      </c>
      <c r="J11" t="str">
        <f>VLOOKUP(C11,'Lookup Tables'!$A$2:$D$11,3,FALSE)</f>
        <v>Fitness</v>
      </c>
      <c r="K11" t="str">
        <f>VLOOKUP(B11,'Lookup Tables'!$F$2:$H$5,2,FALSE)</f>
        <v>Carlos Rivera</v>
      </c>
      <c r="L11" s="5">
        <f>VLOOKUP(B11,'Lookup Tables'!$F$2:$H$5,3,FALSE)</f>
        <v>5.5E-2</v>
      </c>
      <c r="M11" s="4">
        <f t="shared" si="0"/>
        <v>300.48</v>
      </c>
      <c r="N11" t="str">
        <f t="shared" si="1"/>
        <v>Standard</v>
      </c>
      <c r="O11" t="str">
        <f t="shared" si="2"/>
        <v>Strong Margin</v>
      </c>
      <c r="P11" t="str">
        <f t="shared" si="3"/>
        <v>Jan</v>
      </c>
      <c r="Q11" s="4">
        <f t="shared" si="4"/>
        <v>32.993400000000001</v>
      </c>
    </row>
    <row r="12" spans="1:17">
      <c r="A12" s="3">
        <v>45670</v>
      </c>
      <c r="B12" t="s">
        <v>29</v>
      </c>
      <c r="C12" t="s">
        <v>46</v>
      </c>
      <c r="D12" t="s">
        <v>47</v>
      </c>
      <c r="E12" t="s">
        <v>28</v>
      </c>
      <c r="F12">
        <v>11</v>
      </c>
      <c r="G12" s="4">
        <v>1372.71</v>
      </c>
      <c r="H12" s="4">
        <v>1036.2</v>
      </c>
      <c r="I12" t="s">
        <v>42</v>
      </c>
      <c r="J12" t="str">
        <f>VLOOKUP(C12,'Lookup Tables'!$A$2:$D$11,3,FALSE)</f>
        <v>Home Goods</v>
      </c>
      <c r="K12" t="str">
        <f>VLOOKUP(B12,'Lookup Tables'!$F$2:$H$5,2,FALSE)</f>
        <v>Priya Shah</v>
      </c>
      <c r="L12" s="5">
        <f>VLOOKUP(B12,'Lookup Tables'!$F$2:$H$5,3,FALSE)</f>
        <v>4.4999999999999998E-2</v>
      </c>
      <c r="M12" s="4">
        <f t="shared" si="0"/>
        <v>336.51</v>
      </c>
      <c r="N12" t="str">
        <f t="shared" si="1"/>
        <v>High Value</v>
      </c>
      <c r="O12" t="str">
        <f t="shared" si="2"/>
        <v>Review Margin</v>
      </c>
      <c r="P12" t="str">
        <f t="shared" si="3"/>
        <v>Jan</v>
      </c>
      <c r="Q12" s="4">
        <f t="shared" si="4"/>
        <v>61.771949999999997</v>
      </c>
    </row>
    <row r="13" spans="1:17">
      <c r="A13" s="3">
        <v>45670</v>
      </c>
      <c r="B13" t="s">
        <v>29</v>
      </c>
      <c r="C13" t="s">
        <v>48</v>
      </c>
      <c r="D13" t="s">
        <v>49</v>
      </c>
      <c r="E13" t="s">
        <v>37</v>
      </c>
      <c r="F13">
        <v>1</v>
      </c>
      <c r="G13" s="4">
        <v>89.99</v>
      </c>
      <c r="H13" s="4">
        <v>51.83</v>
      </c>
      <c r="I13" t="s">
        <v>21</v>
      </c>
      <c r="J13" t="str">
        <f>VLOOKUP(C13,'Lookup Tables'!$A$2:$D$11,3,FALSE)</f>
        <v>Travel</v>
      </c>
      <c r="K13" t="str">
        <f>VLOOKUP(B13,'Lookup Tables'!$F$2:$H$5,2,FALSE)</f>
        <v>Priya Shah</v>
      </c>
      <c r="L13" s="5">
        <f>VLOOKUP(B13,'Lookup Tables'!$F$2:$H$5,3,FALSE)</f>
        <v>4.4999999999999998E-2</v>
      </c>
      <c r="M13" s="4">
        <f t="shared" si="0"/>
        <v>38.159999999999997</v>
      </c>
      <c r="N13" t="str">
        <f t="shared" si="1"/>
        <v>Standard</v>
      </c>
      <c r="O13" t="str">
        <f t="shared" si="2"/>
        <v>Strong Margin</v>
      </c>
      <c r="P13" t="str">
        <f t="shared" si="3"/>
        <v>Jan</v>
      </c>
      <c r="Q13" s="4">
        <f t="shared" si="4"/>
        <v>4.04955</v>
      </c>
    </row>
    <row r="14" spans="1:17">
      <c r="A14" s="3">
        <v>45671</v>
      </c>
      <c r="B14" t="s">
        <v>25</v>
      </c>
      <c r="C14" t="s">
        <v>48</v>
      </c>
      <c r="D14" t="s">
        <v>49</v>
      </c>
      <c r="E14" t="s">
        <v>40</v>
      </c>
      <c r="F14">
        <v>9</v>
      </c>
      <c r="G14" s="4">
        <v>809.91</v>
      </c>
      <c r="H14" s="4">
        <v>466.47</v>
      </c>
      <c r="I14" t="s">
        <v>21</v>
      </c>
      <c r="J14" t="str">
        <f>VLOOKUP(C14,'Lookup Tables'!$A$2:$D$11,3,FALSE)</f>
        <v>Travel</v>
      </c>
      <c r="K14" t="str">
        <f>VLOOKUP(B14,'Lookup Tables'!$F$2:$H$5,2,FALSE)</f>
        <v>Carlos Rivera</v>
      </c>
      <c r="L14" s="5">
        <f>VLOOKUP(B14,'Lookup Tables'!$F$2:$H$5,3,FALSE)</f>
        <v>5.5E-2</v>
      </c>
      <c r="M14" s="4">
        <f t="shared" si="0"/>
        <v>343.43999999999994</v>
      </c>
      <c r="N14" t="str">
        <f t="shared" si="1"/>
        <v>Standard</v>
      </c>
      <c r="O14" t="str">
        <f t="shared" si="2"/>
        <v>Strong Margin</v>
      </c>
      <c r="P14" t="str">
        <f t="shared" si="3"/>
        <v>Jan</v>
      </c>
      <c r="Q14" s="4">
        <f t="shared" si="4"/>
        <v>44.545049999999996</v>
      </c>
    </row>
    <row r="15" spans="1:17">
      <c r="A15" s="3">
        <v>45674</v>
      </c>
      <c r="B15" t="s">
        <v>50</v>
      </c>
      <c r="C15" t="s">
        <v>30</v>
      </c>
      <c r="D15" t="s">
        <v>31</v>
      </c>
      <c r="E15" t="s">
        <v>51</v>
      </c>
      <c r="F15">
        <v>8</v>
      </c>
      <c r="G15" s="4">
        <v>479.92</v>
      </c>
      <c r="H15" s="4">
        <v>245.92</v>
      </c>
      <c r="I15" t="s">
        <v>21</v>
      </c>
      <c r="J15" t="str">
        <f>VLOOKUP(C15,'Lookup Tables'!$A$2:$D$11,3,FALSE)</f>
        <v>Fitness</v>
      </c>
      <c r="K15" t="str">
        <f>VLOOKUP(B15,'Lookup Tables'!$F$2:$H$5,2,FALSE)</f>
        <v>Marcus Green</v>
      </c>
      <c r="L15" s="5">
        <f>VLOOKUP(B15,'Lookup Tables'!$F$2:$H$5,3,FALSE)</f>
        <v>0.05</v>
      </c>
      <c r="M15" s="4">
        <f t="shared" si="0"/>
        <v>234.00000000000003</v>
      </c>
      <c r="N15" t="str">
        <f t="shared" si="1"/>
        <v>Standard</v>
      </c>
      <c r="O15" t="str">
        <f t="shared" si="2"/>
        <v>Strong Margin</v>
      </c>
      <c r="P15" t="str">
        <f t="shared" si="3"/>
        <v>Jan</v>
      </c>
      <c r="Q15" s="4">
        <f t="shared" si="4"/>
        <v>23.996000000000002</v>
      </c>
    </row>
    <row r="16" spans="1:17">
      <c r="A16" s="3">
        <v>45675</v>
      </c>
      <c r="B16" t="s">
        <v>25</v>
      </c>
      <c r="C16" t="s">
        <v>26</v>
      </c>
      <c r="D16" t="s">
        <v>27</v>
      </c>
      <c r="E16" t="s">
        <v>40</v>
      </c>
      <c r="F16">
        <v>4</v>
      </c>
      <c r="G16" s="4">
        <v>119.96</v>
      </c>
      <c r="H16" s="4">
        <v>51</v>
      </c>
      <c r="I16" t="s">
        <v>21</v>
      </c>
      <c r="J16" t="str">
        <f>VLOOKUP(C16,'Lookup Tables'!$A$2:$D$11,3,FALSE)</f>
        <v>Travel</v>
      </c>
      <c r="K16" t="str">
        <f>VLOOKUP(B16,'Lookup Tables'!$F$2:$H$5,2,FALSE)</f>
        <v>Carlos Rivera</v>
      </c>
      <c r="L16" s="5">
        <f>VLOOKUP(B16,'Lookup Tables'!$F$2:$H$5,3,FALSE)</f>
        <v>5.5E-2</v>
      </c>
      <c r="M16" s="4">
        <f t="shared" si="0"/>
        <v>68.959999999999994</v>
      </c>
      <c r="N16" t="str">
        <f t="shared" si="1"/>
        <v>Standard</v>
      </c>
      <c r="O16" t="str">
        <f t="shared" si="2"/>
        <v>Strong Margin</v>
      </c>
      <c r="P16" t="str">
        <f t="shared" si="3"/>
        <v>Jan</v>
      </c>
      <c r="Q16" s="4">
        <f t="shared" si="4"/>
        <v>6.5977999999999994</v>
      </c>
    </row>
    <row r="17" spans="1:17">
      <c r="A17" s="3">
        <v>45675</v>
      </c>
      <c r="B17" t="s">
        <v>17</v>
      </c>
      <c r="C17" t="s">
        <v>26</v>
      </c>
      <c r="D17" t="s">
        <v>27</v>
      </c>
      <c r="E17" t="s">
        <v>52</v>
      </c>
      <c r="F17">
        <v>6</v>
      </c>
      <c r="G17" s="4">
        <v>179.94</v>
      </c>
      <c r="H17" s="4">
        <v>76.5</v>
      </c>
      <c r="I17" t="s">
        <v>21</v>
      </c>
      <c r="J17" t="str">
        <f>VLOOKUP(C17,'Lookup Tables'!$A$2:$D$11,3,FALSE)</f>
        <v>Travel</v>
      </c>
      <c r="K17" t="str">
        <f>VLOOKUP(B17,'Lookup Tables'!$F$2:$H$5,2,FALSE)</f>
        <v>Amanda Lee</v>
      </c>
      <c r="L17" s="5">
        <f>VLOOKUP(B17,'Lookup Tables'!$F$2:$H$5,3,FALSE)</f>
        <v>0.05</v>
      </c>
      <c r="M17" s="4">
        <f t="shared" si="0"/>
        <v>103.44</v>
      </c>
      <c r="N17" t="str">
        <f t="shared" si="1"/>
        <v>Standard</v>
      </c>
      <c r="O17" t="str">
        <f t="shared" si="2"/>
        <v>Strong Margin</v>
      </c>
      <c r="P17" t="str">
        <f t="shared" si="3"/>
        <v>Jan</v>
      </c>
      <c r="Q17" s="4">
        <f t="shared" si="4"/>
        <v>8.9969999999999999</v>
      </c>
    </row>
    <row r="18" spans="1:17">
      <c r="A18" s="3">
        <v>45677</v>
      </c>
      <c r="B18" t="s">
        <v>29</v>
      </c>
      <c r="C18" t="s">
        <v>46</v>
      </c>
      <c r="D18" t="s">
        <v>47</v>
      </c>
      <c r="E18" t="s">
        <v>52</v>
      </c>
      <c r="F18">
        <v>4</v>
      </c>
      <c r="G18" s="4">
        <v>639.96</v>
      </c>
      <c r="H18" s="4">
        <v>376.8</v>
      </c>
      <c r="I18" t="s">
        <v>21</v>
      </c>
      <c r="J18" t="str">
        <f>VLOOKUP(C18,'Lookup Tables'!$A$2:$D$11,3,FALSE)</f>
        <v>Home Goods</v>
      </c>
      <c r="K18" t="str">
        <f>VLOOKUP(B18,'Lookup Tables'!$F$2:$H$5,2,FALSE)</f>
        <v>Priya Shah</v>
      </c>
      <c r="L18" s="5">
        <f>VLOOKUP(B18,'Lookup Tables'!$F$2:$H$5,3,FALSE)</f>
        <v>4.4999999999999998E-2</v>
      </c>
      <c r="M18" s="4">
        <f t="shared" si="0"/>
        <v>263.16000000000003</v>
      </c>
      <c r="N18" t="str">
        <f t="shared" si="1"/>
        <v>Standard</v>
      </c>
      <c r="O18" t="str">
        <f t="shared" si="2"/>
        <v>Strong Margin</v>
      </c>
      <c r="P18" t="str">
        <f t="shared" si="3"/>
        <v>Jan</v>
      </c>
      <c r="Q18" s="4">
        <f t="shared" si="4"/>
        <v>28.798200000000001</v>
      </c>
    </row>
    <row r="19" spans="1:17">
      <c r="A19" s="3">
        <v>45677</v>
      </c>
      <c r="B19" t="s">
        <v>17</v>
      </c>
      <c r="C19" t="s">
        <v>46</v>
      </c>
      <c r="D19" t="s">
        <v>47</v>
      </c>
      <c r="E19" t="s">
        <v>52</v>
      </c>
      <c r="F19">
        <v>26</v>
      </c>
      <c r="G19" s="4">
        <v>3244.6</v>
      </c>
      <c r="H19" s="4">
        <v>2449.1999999999998</v>
      </c>
      <c r="I19" t="s">
        <v>42</v>
      </c>
      <c r="J19" t="str">
        <f>VLOOKUP(C19,'Lookup Tables'!$A$2:$D$11,3,FALSE)</f>
        <v>Home Goods</v>
      </c>
      <c r="K19" t="str">
        <f>VLOOKUP(B19,'Lookup Tables'!$F$2:$H$5,2,FALSE)</f>
        <v>Amanda Lee</v>
      </c>
      <c r="L19" s="5">
        <f>VLOOKUP(B19,'Lookup Tables'!$F$2:$H$5,3,FALSE)</f>
        <v>0.05</v>
      </c>
      <c r="M19" s="4">
        <f t="shared" si="0"/>
        <v>795.40000000000009</v>
      </c>
      <c r="N19" t="str">
        <f t="shared" si="1"/>
        <v>High Value</v>
      </c>
      <c r="O19" t="str">
        <f t="shared" si="2"/>
        <v>Review Margin</v>
      </c>
      <c r="P19" t="str">
        <f t="shared" si="3"/>
        <v>Jan</v>
      </c>
      <c r="Q19" s="4">
        <f t="shared" si="4"/>
        <v>162.23000000000002</v>
      </c>
    </row>
    <row r="20" spans="1:17">
      <c r="A20" s="3">
        <v>45678</v>
      </c>
      <c r="B20" t="s">
        <v>17</v>
      </c>
      <c r="C20" t="s">
        <v>30</v>
      </c>
      <c r="D20" t="s">
        <v>31</v>
      </c>
      <c r="E20" t="s">
        <v>34</v>
      </c>
      <c r="F20">
        <v>8</v>
      </c>
      <c r="G20" s="4">
        <v>479.92</v>
      </c>
      <c r="H20" s="4">
        <v>245.92</v>
      </c>
      <c r="I20" t="s">
        <v>21</v>
      </c>
      <c r="J20" t="str">
        <f>VLOOKUP(C20,'Lookup Tables'!$A$2:$D$11,3,FALSE)</f>
        <v>Fitness</v>
      </c>
      <c r="K20" t="str">
        <f>VLOOKUP(B20,'Lookup Tables'!$F$2:$H$5,2,FALSE)</f>
        <v>Amanda Lee</v>
      </c>
      <c r="L20" s="5">
        <f>VLOOKUP(B20,'Lookup Tables'!$F$2:$H$5,3,FALSE)</f>
        <v>0.05</v>
      </c>
      <c r="M20" s="4">
        <f t="shared" si="0"/>
        <v>234.00000000000003</v>
      </c>
      <c r="N20" t="str">
        <f t="shared" si="1"/>
        <v>Standard</v>
      </c>
      <c r="O20" t="str">
        <f t="shared" si="2"/>
        <v>Strong Margin</v>
      </c>
      <c r="P20" t="str">
        <f t="shared" si="3"/>
        <v>Jan</v>
      </c>
      <c r="Q20" s="4">
        <f t="shared" si="4"/>
        <v>23.996000000000002</v>
      </c>
    </row>
    <row r="21" spans="1:17">
      <c r="A21" s="3">
        <v>45679</v>
      </c>
      <c r="B21" t="s">
        <v>50</v>
      </c>
      <c r="C21" t="s">
        <v>32</v>
      </c>
      <c r="D21" t="s">
        <v>33</v>
      </c>
      <c r="E21" t="s">
        <v>52</v>
      </c>
      <c r="F21">
        <v>4</v>
      </c>
      <c r="G21" s="4">
        <v>479.96</v>
      </c>
      <c r="H21" s="4">
        <v>274</v>
      </c>
      <c r="I21" t="s">
        <v>21</v>
      </c>
      <c r="J21" t="str">
        <f>VLOOKUP(C21,'Lookup Tables'!$A$2:$D$11,3,FALSE)</f>
        <v>Electronics</v>
      </c>
      <c r="K21" t="str">
        <f>VLOOKUP(B21,'Lookup Tables'!$F$2:$H$5,2,FALSE)</f>
        <v>Marcus Green</v>
      </c>
      <c r="L21" s="5">
        <f>VLOOKUP(B21,'Lookup Tables'!$F$2:$H$5,3,FALSE)</f>
        <v>0.05</v>
      </c>
      <c r="M21" s="4">
        <f t="shared" si="0"/>
        <v>205.95999999999998</v>
      </c>
      <c r="N21" t="str">
        <f t="shared" si="1"/>
        <v>Standard</v>
      </c>
      <c r="O21" t="str">
        <f t="shared" si="2"/>
        <v>Strong Margin</v>
      </c>
      <c r="P21" t="str">
        <f t="shared" si="3"/>
        <v>Jan</v>
      </c>
      <c r="Q21" s="4">
        <f t="shared" si="4"/>
        <v>23.998000000000001</v>
      </c>
    </row>
    <row r="22" spans="1:17">
      <c r="A22" s="3">
        <v>45680</v>
      </c>
      <c r="B22" t="s">
        <v>17</v>
      </c>
      <c r="C22" t="s">
        <v>30</v>
      </c>
      <c r="D22" t="s">
        <v>31</v>
      </c>
      <c r="E22" t="s">
        <v>34</v>
      </c>
      <c r="F22">
        <v>4</v>
      </c>
      <c r="G22" s="4">
        <v>239.96</v>
      </c>
      <c r="H22" s="4">
        <v>122.96</v>
      </c>
      <c r="I22" t="s">
        <v>21</v>
      </c>
      <c r="J22" t="str">
        <f>VLOOKUP(C22,'Lookup Tables'!$A$2:$D$11,3,FALSE)</f>
        <v>Fitness</v>
      </c>
      <c r="K22" t="str">
        <f>VLOOKUP(B22,'Lookup Tables'!$F$2:$H$5,2,FALSE)</f>
        <v>Amanda Lee</v>
      </c>
      <c r="L22" s="5">
        <f>VLOOKUP(B22,'Lookup Tables'!$F$2:$H$5,3,FALSE)</f>
        <v>0.05</v>
      </c>
      <c r="M22" s="4">
        <f t="shared" si="0"/>
        <v>117.00000000000001</v>
      </c>
      <c r="N22" t="str">
        <f t="shared" si="1"/>
        <v>Standard</v>
      </c>
      <c r="O22" t="str">
        <f t="shared" si="2"/>
        <v>Strong Margin</v>
      </c>
      <c r="P22" t="str">
        <f t="shared" si="3"/>
        <v>Jan</v>
      </c>
      <c r="Q22" s="4">
        <f t="shared" si="4"/>
        <v>11.998000000000001</v>
      </c>
    </row>
    <row r="23" spans="1:17">
      <c r="A23" s="3">
        <v>45682</v>
      </c>
      <c r="B23" t="s">
        <v>29</v>
      </c>
      <c r="C23" t="s">
        <v>46</v>
      </c>
      <c r="D23" t="s">
        <v>47</v>
      </c>
      <c r="E23" t="s">
        <v>45</v>
      </c>
      <c r="F23">
        <v>3</v>
      </c>
      <c r="G23" s="4">
        <v>479.97</v>
      </c>
      <c r="H23" s="4">
        <v>282.60000000000002</v>
      </c>
      <c r="I23" t="s">
        <v>21</v>
      </c>
      <c r="J23" t="str">
        <f>VLOOKUP(C23,'Lookup Tables'!$A$2:$D$11,3,FALSE)</f>
        <v>Home Goods</v>
      </c>
      <c r="K23" t="str">
        <f>VLOOKUP(B23,'Lookup Tables'!$F$2:$H$5,2,FALSE)</f>
        <v>Priya Shah</v>
      </c>
      <c r="L23" s="5">
        <f>VLOOKUP(B23,'Lookup Tables'!$F$2:$H$5,3,FALSE)</f>
        <v>4.4999999999999998E-2</v>
      </c>
      <c r="M23" s="4">
        <f t="shared" si="0"/>
        <v>197.37</v>
      </c>
      <c r="N23" t="str">
        <f t="shared" si="1"/>
        <v>Standard</v>
      </c>
      <c r="O23" t="str">
        <f t="shared" si="2"/>
        <v>Strong Margin</v>
      </c>
      <c r="P23" t="str">
        <f t="shared" si="3"/>
        <v>Jan</v>
      </c>
      <c r="Q23" s="4">
        <f t="shared" si="4"/>
        <v>21.598649999999999</v>
      </c>
    </row>
    <row r="24" spans="1:17">
      <c r="A24" s="3">
        <v>45682</v>
      </c>
      <c r="B24" t="s">
        <v>17</v>
      </c>
      <c r="C24" t="s">
        <v>26</v>
      </c>
      <c r="D24" t="s">
        <v>27</v>
      </c>
      <c r="E24" t="s">
        <v>52</v>
      </c>
      <c r="F24">
        <v>29</v>
      </c>
      <c r="G24" s="4">
        <v>678.37</v>
      </c>
      <c r="H24" s="4">
        <v>369.75</v>
      </c>
      <c r="I24" t="s">
        <v>42</v>
      </c>
      <c r="J24" t="str">
        <f>VLOOKUP(C24,'Lookup Tables'!$A$2:$D$11,3,FALSE)</f>
        <v>Travel</v>
      </c>
      <c r="K24" t="str">
        <f>VLOOKUP(B24,'Lookup Tables'!$F$2:$H$5,2,FALSE)</f>
        <v>Amanda Lee</v>
      </c>
      <c r="L24" s="5">
        <f>VLOOKUP(B24,'Lookup Tables'!$F$2:$H$5,3,FALSE)</f>
        <v>0.05</v>
      </c>
      <c r="M24" s="4">
        <f t="shared" si="0"/>
        <v>308.62</v>
      </c>
      <c r="N24" t="str">
        <f t="shared" si="1"/>
        <v>Standard</v>
      </c>
      <c r="O24" t="str">
        <f t="shared" si="2"/>
        <v>Strong Margin</v>
      </c>
      <c r="P24" t="str">
        <f t="shared" si="3"/>
        <v>Jan</v>
      </c>
      <c r="Q24" s="4">
        <f t="shared" si="4"/>
        <v>33.918500000000002</v>
      </c>
    </row>
    <row r="25" spans="1:17">
      <c r="A25" s="3">
        <v>45682</v>
      </c>
      <c r="B25" t="s">
        <v>29</v>
      </c>
      <c r="C25" t="s">
        <v>26</v>
      </c>
      <c r="D25" t="s">
        <v>27</v>
      </c>
      <c r="E25" t="s">
        <v>45</v>
      </c>
      <c r="F25">
        <v>6</v>
      </c>
      <c r="G25" s="4">
        <v>179.94</v>
      </c>
      <c r="H25" s="4">
        <v>76.5</v>
      </c>
      <c r="I25" t="s">
        <v>21</v>
      </c>
      <c r="J25" t="str">
        <f>VLOOKUP(C25,'Lookup Tables'!$A$2:$D$11,3,FALSE)</f>
        <v>Travel</v>
      </c>
      <c r="K25" t="str">
        <f>VLOOKUP(B25,'Lookup Tables'!$F$2:$H$5,2,FALSE)</f>
        <v>Priya Shah</v>
      </c>
      <c r="L25" s="5">
        <f>VLOOKUP(B25,'Lookup Tables'!$F$2:$H$5,3,FALSE)</f>
        <v>4.4999999999999998E-2</v>
      </c>
      <c r="M25" s="4">
        <f t="shared" si="0"/>
        <v>103.44</v>
      </c>
      <c r="N25" t="str">
        <f t="shared" si="1"/>
        <v>Standard</v>
      </c>
      <c r="O25" t="str">
        <f t="shared" si="2"/>
        <v>Strong Margin</v>
      </c>
      <c r="P25" t="str">
        <f t="shared" si="3"/>
        <v>Jan</v>
      </c>
      <c r="Q25" s="4">
        <f t="shared" si="4"/>
        <v>8.0972999999999988</v>
      </c>
    </row>
    <row r="26" spans="1:17">
      <c r="A26" s="3">
        <v>45682</v>
      </c>
      <c r="B26" t="s">
        <v>25</v>
      </c>
      <c r="C26" t="s">
        <v>35</v>
      </c>
      <c r="D26" t="s">
        <v>36</v>
      </c>
      <c r="E26" t="s">
        <v>20</v>
      </c>
      <c r="F26">
        <v>10</v>
      </c>
      <c r="G26" s="4">
        <v>1399.9</v>
      </c>
      <c r="H26" s="4">
        <v>764.7</v>
      </c>
      <c r="I26" t="s">
        <v>21</v>
      </c>
      <c r="J26" t="str">
        <f>VLOOKUP(C26,'Lookup Tables'!$A$2:$D$11,3,FALSE)</f>
        <v>Home Goods</v>
      </c>
      <c r="K26" t="str">
        <f>VLOOKUP(B26,'Lookup Tables'!$F$2:$H$5,2,FALSE)</f>
        <v>Carlos Rivera</v>
      </c>
      <c r="L26" s="5">
        <f>VLOOKUP(B26,'Lookup Tables'!$F$2:$H$5,3,FALSE)</f>
        <v>5.5E-2</v>
      </c>
      <c r="M26" s="4">
        <f t="shared" si="0"/>
        <v>635.20000000000005</v>
      </c>
      <c r="N26" t="str">
        <f t="shared" si="1"/>
        <v>High Value</v>
      </c>
      <c r="O26" t="str">
        <f t="shared" si="2"/>
        <v>Strong Margin</v>
      </c>
      <c r="P26" t="str">
        <f t="shared" si="3"/>
        <v>Jan</v>
      </c>
      <c r="Q26" s="4">
        <f t="shared" si="4"/>
        <v>76.994500000000002</v>
      </c>
    </row>
    <row r="27" spans="1:17">
      <c r="A27" s="3">
        <v>45683</v>
      </c>
      <c r="B27" t="s">
        <v>17</v>
      </c>
      <c r="C27" t="s">
        <v>48</v>
      </c>
      <c r="D27" t="s">
        <v>49</v>
      </c>
      <c r="E27" t="s">
        <v>20</v>
      </c>
      <c r="F27">
        <v>6</v>
      </c>
      <c r="G27" s="4">
        <v>539.94000000000005</v>
      </c>
      <c r="H27" s="4">
        <v>310.98</v>
      </c>
      <c r="I27" t="s">
        <v>21</v>
      </c>
      <c r="J27" t="str">
        <f>VLOOKUP(C27,'Lookup Tables'!$A$2:$D$11,3,FALSE)</f>
        <v>Travel</v>
      </c>
      <c r="K27" t="str">
        <f>VLOOKUP(B27,'Lookup Tables'!$F$2:$H$5,2,FALSE)</f>
        <v>Amanda Lee</v>
      </c>
      <c r="L27" s="5">
        <f>VLOOKUP(B27,'Lookup Tables'!$F$2:$H$5,3,FALSE)</f>
        <v>0.05</v>
      </c>
      <c r="M27" s="4">
        <f t="shared" si="0"/>
        <v>228.96000000000004</v>
      </c>
      <c r="N27" t="str">
        <f t="shared" si="1"/>
        <v>Standard</v>
      </c>
      <c r="O27" t="str">
        <f t="shared" si="2"/>
        <v>Strong Margin</v>
      </c>
      <c r="P27" t="str">
        <f t="shared" si="3"/>
        <v>Jan</v>
      </c>
      <c r="Q27" s="4">
        <f t="shared" si="4"/>
        <v>26.997000000000003</v>
      </c>
    </row>
    <row r="28" spans="1:17">
      <c r="A28" s="3">
        <v>45685</v>
      </c>
      <c r="B28" t="s">
        <v>29</v>
      </c>
      <c r="C28" t="s">
        <v>48</v>
      </c>
      <c r="D28" t="s">
        <v>49</v>
      </c>
      <c r="E28" t="s">
        <v>28</v>
      </c>
      <c r="F28">
        <v>1</v>
      </c>
      <c r="G28" s="4">
        <v>89.99</v>
      </c>
      <c r="H28" s="4">
        <v>51.83</v>
      </c>
      <c r="I28" t="s">
        <v>21</v>
      </c>
      <c r="J28" t="str">
        <f>VLOOKUP(C28,'Lookup Tables'!$A$2:$D$11,3,FALSE)</f>
        <v>Travel</v>
      </c>
      <c r="K28" t="str">
        <f>VLOOKUP(B28,'Lookup Tables'!$F$2:$H$5,2,FALSE)</f>
        <v>Priya Shah</v>
      </c>
      <c r="L28" s="5">
        <f>VLOOKUP(B28,'Lookup Tables'!$F$2:$H$5,3,FALSE)</f>
        <v>4.4999999999999998E-2</v>
      </c>
      <c r="M28" s="4">
        <f t="shared" si="0"/>
        <v>38.159999999999997</v>
      </c>
      <c r="N28" t="str">
        <f t="shared" si="1"/>
        <v>Standard</v>
      </c>
      <c r="O28" t="str">
        <f t="shared" si="2"/>
        <v>Strong Margin</v>
      </c>
      <c r="P28" t="str">
        <f t="shared" si="3"/>
        <v>Jan</v>
      </c>
      <c r="Q28" s="4">
        <f t="shared" si="4"/>
        <v>4.04955</v>
      </c>
    </row>
    <row r="29" spans="1:17">
      <c r="A29" s="3">
        <v>45685</v>
      </c>
      <c r="B29" t="s">
        <v>50</v>
      </c>
      <c r="C29" t="s">
        <v>35</v>
      </c>
      <c r="D29" t="s">
        <v>36</v>
      </c>
      <c r="E29" t="s">
        <v>51</v>
      </c>
      <c r="F29">
        <v>5</v>
      </c>
      <c r="G29" s="4">
        <v>699.95</v>
      </c>
      <c r="H29" s="4">
        <v>382.35</v>
      </c>
      <c r="I29" t="s">
        <v>21</v>
      </c>
      <c r="J29" t="str">
        <f>VLOOKUP(C29,'Lookup Tables'!$A$2:$D$11,3,FALSE)</f>
        <v>Home Goods</v>
      </c>
      <c r="K29" t="str">
        <f>VLOOKUP(B29,'Lookup Tables'!$F$2:$H$5,2,FALSE)</f>
        <v>Marcus Green</v>
      </c>
      <c r="L29" s="5">
        <f>VLOOKUP(B29,'Lookup Tables'!$F$2:$H$5,3,FALSE)</f>
        <v>0.05</v>
      </c>
      <c r="M29" s="4">
        <f t="shared" si="0"/>
        <v>317.60000000000002</v>
      </c>
      <c r="N29" t="str">
        <f t="shared" si="1"/>
        <v>Standard</v>
      </c>
      <c r="O29" t="str">
        <f t="shared" si="2"/>
        <v>Strong Margin</v>
      </c>
      <c r="P29" t="str">
        <f t="shared" si="3"/>
        <v>Jan</v>
      </c>
      <c r="Q29" s="4">
        <f t="shared" si="4"/>
        <v>34.997500000000002</v>
      </c>
    </row>
    <row r="30" spans="1:17">
      <c r="A30" s="3">
        <v>45685</v>
      </c>
      <c r="B30" t="s">
        <v>25</v>
      </c>
      <c r="C30" t="s">
        <v>38</v>
      </c>
      <c r="D30" t="s">
        <v>39</v>
      </c>
      <c r="E30" t="s">
        <v>20</v>
      </c>
      <c r="F30">
        <v>4</v>
      </c>
      <c r="G30" s="4">
        <v>759.96</v>
      </c>
      <c r="H30" s="4">
        <v>441</v>
      </c>
      <c r="I30" t="s">
        <v>21</v>
      </c>
      <c r="J30" t="str">
        <f>VLOOKUP(C30,'Lookup Tables'!$A$2:$D$11,3,FALSE)</f>
        <v>Office Furniture</v>
      </c>
      <c r="K30" t="str">
        <f>VLOOKUP(B30,'Lookup Tables'!$F$2:$H$5,2,FALSE)</f>
        <v>Carlos Rivera</v>
      </c>
      <c r="L30" s="5">
        <f>VLOOKUP(B30,'Lookup Tables'!$F$2:$H$5,3,FALSE)</f>
        <v>5.5E-2</v>
      </c>
      <c r="M30" s="4">
        <f t="shared" si="0"/>
        <v>318.96000000000004</v>
      </c>
      <c r="N30" t="str">
        <f t="shared" si="1"/>
        <v>Standard</v>
      </c>
      <c r="O30" t="str">
        <f t="shared" si="2"/>
        <v>Strong Margin</v>
      </c>
      <c r="P30" t="str">
        <f t="shared" si="3"/>
        <v>Jan</v>
      </c>
      <c r="Q30" s="4">
        <f t="shared" si="4"/>
        <v>41.797800000000002</v>
      </c>
    </row>
    <row r="31" spans="1:17">
      <c r="A31" s="3">
        <v>45687</v>
      </c>
      <c r="B31" t="s">
        <v>25</v>
      </c>
      <c r="C31" t="s">
        <v>18</v>
      </c>
      <c r="D31" t="s">
        <v>19</v>
      </c>
      <c r="E31" t="s">
        <v>34</v>
      </c>
      <c r="F31">
        <v>12</v>
      </c>
      <c r="G31" s="4">
        <v>2999.88</v>
      </c>
      <c r="H31" s="4">
        <v>1740</v>
      </c>
      <c r="I31" t="s">
        <v>21</v>
      </c>
      <c r="J31" t="str">
        <f>VLOOKUP(C31,'Lookup Tables'!$A$2:$D$11,3,FALSE)</f>
        <v>Office Furniture</v>
      </c>
      <c r="K31" t="str">
        <f>VLOOKUP(B31,'Lookup Tables'!$F$2:$H$5,2,FALSE)</f>
        <v>Carlos Rivera</v>
      </c>
      <c r="L31" s="5">
        <f>VLOOKUP(B31,'Lookup Tables'!$F$2:$H$5,3,FALSE)</f>
        <v>5.5E-2</v>
      </c>
      <c r="M31" s="4">
        <f t="shared" si="0"/>
        <v>1259.8800000000001</v>
      </c>
      <c r="N31" t="str">
        <f t="shared" si="1"/>
        <v>High Value</v>
      </c>
      <c r="O31" t="str">
        <f t="shared" si="2"/>
        <v>Strong Margin</v>
      </c>
      <c r="P31" t="str">
        <f t="shared" si="3"/>
        <v>Jan</v>
      </c>
      <c r="Q31" s="4">
        <f t="shared" si="4"/>
        <v>164.99340000000001</v>
      </c>
    </row>
    <row r="32" spans="1:17">
      <c r="A32" s="3">
        <v>45687</v>
      </c>
      <c r="B32" t="s">
        <v>29</v>
      </c>
      <c r="C32" t="s">
        <v>22</v>
      </c>
      <c r="D32" t="s">
        <v>23</v>
      </c>
      <c r="E32" t="s">
        <v>20</v>
      </c>
      <c r="F32">
        <v>4</v>
      </c>
      <c r="G32" s="4">
        <v>319.95999999999998</v>
      </c>
      <c r="H32" s="4">
        <v>168</v>
      </c>
      <c r="I32" t="s">
        <v>21</v>
      </c>
      <c r="J32" t="str">
        <f>VLOOKUP(C32,'Lookup Tables'!$A$2:$D$11,3,FALSE)</f>
        <v>Electronics</v>
      </c>
      <c r="K32" t="str">
        <f>VLOOKUP(B32,'Lookup Tables'!$F$2:$H$5,2,FALSE)</f>
        <v>Priya Shah</v>
      </c>
      <c r="L32" s="5">
        <f>VLOOKUP(B32,'Lookup Tables'!$F$2:$H$5,3,FALSE)</f>
        <v>4.4999999999999998E-2</v>
      </c>
      <c r="M32" s="4">
        <f t="shared" si="0"/>
        <v>151.95999999999998</v>
      </c>
      <c r="N32" t="str">
        <f t="shared" si="1"/>
        <v>Standard</v>
      </c>
      <c r="O32" t="str">
        <f t="shared" si="2"/>
        <v>Strong Margin</v>
      </c>
      <c r="P32" t="str">
        <f t="shared" si="3"/>
        <v>Jan</v>
      </c>
      <c r="Q32" s="4">
        <f t="shared" si="4"/>
        <v>14.398199999999999</v>
      </c>
    </row>
    <row r="33" spans="1:17">
      <c r="A33" s="3">
        <v>45689</v>
      </c>
      <c r="B33" t="s">
        <v>29</v>
      </c>
      <c r="C33" t="s">
        <v>35</v>
      </c>
      <c r="D33" t="s">
        <v>36</v>
      </c>
      <c r="E33" t="s">
        <v>28</v>
      </c>
      <c r="F33">
        <v>30</v>
      </c>
      <c r="G33" s="4">
        <v>3275.77</v>
      </c>
      <c r="H33" s="4">
        <v>2294.1</v>
      </c>
      <c r="I33" t="s">
        <v>42</v>
      </c>
      <c r="J33" t="str">
        <f>VLOOKUP(C33,'Lookup Tables'!$A$2:$D$11,3,FALSE)</f>
        <v>Home Goods</v>
      </c>
      <c r="K33" t="str">
        <f>VLOOKUP(B33,'Lookup Tables'!$F$2:$H$5,2,FALSE)</f>
        <v>Priya Shah</v>
      </c>
      <c r="L33" s="5">
        <f>VLOOKUP(B33,'Lookup Tables'!$F$2:$H$5,3,FALSE)</f>
        <v>4.4999999999999998E-2</v>
      </c>
      <c r="M33" s="4">
        <f t="shared" si="0"/>
        <v>981.67000000000007</v>
      </c>
      <c r="N33" t="str">
        <f t="shared" si="1"/>
        <v>High Value</v>
      </c>
      <c r="O33" t="str">
        <f t="shared" si="2"/>
        <v>Strong Margin</v>
      </c>
      <c r="P33" t="str">
        <f t="shared" si="3"/>
        <v>Feb</v>
      </c>
      <c r="Q33" s="4">
        <f t="shared" si="4"/>
        <v>147.40965</v>
      </c>
    </row>
    <row r="34" spans="1:17">
      <c r="A34" s="3">
        <v>45690</v>
      </c>
      <c r="B34" t="s">
        <v>17</v>
      </c>
      <c r="C34" t="s">
        <v>26</v>
      </c>
      <c r="D34" t="s">
        <v>27</v>
      </c>
      <c r="E34" t="s">
        <v>24</v>
      </c>
      <c r="F34">
        <v>5</v>
      </c>
      <c r="G34" s="4">
        <v>149.94999999999999</v>
      </c>
      <c r="H34" s="4">
        <v>63.75</v>
      </c>
      <c r="I34" t="s">
        <v>21</v>
      </c>
      <c r="J34" t="str">
        <f>VLOOKUP(C34,'Lookup Tables'!$A$2:$D$11,3,FALSE)</f>
        <v>Travel</v>
      </c>
      <c r="K34" t="str">
        <f>VLOOKUP(B34,'Lookup Tables'!$F$2:$H$5,2,FALSE)</f>
        <v>Amanda Lee</v>
      </c>
      <c r="L34" s="5">
        <f>VLOOKUP(B34,'Lookup Tables'!$F$2:$H$5,3,FALSE)</f>
        <v>0.05</v>
      </c>
      <c r="M34" s="4">
        <f t="shared" si="0"/>
        <v>86.199999999999989</v>
      </c>
      <c r="N34" t="str">
        <f t="shared" si="1"/>
        <v>Standard</v>
      </c>
      <c r="O34" t="str">
        <f t="shared" si="2"/>
        <v>Strong Margin</v>
      </c>
      <c r="P34" t="str">
        <f t="shared" si="3"/>
        <v>Feb</v>
      </c>
      <c r="Q34" s="4">
        <f t="shared" si="4"/>
        <v>7.4974999999999996</v>
      </c>
    </row>
    <row r="35" spans="1:17">
      <c r="A35" s="3">
        <v>45692</v>
      </c>
      <c r="B35" t="s">
        <v>17</v>
      </c>
      <c r="C35" t="s">
        <v>46</v>
      </c>
      <c r="D35" t="s">
        <v>47</v>
      </c>
      <c r="E35" t="s">
        <v>41</v>
      </c>
      <c r="F35">
        <v>13</v>
      </c>
      <c r="G35" s="4">
        <v>1622.3</v>
      </c>
      <c r="H35" s="4">
        <v>1224.5999999999999</v>
      </c>
      <c r="I35" t="s">
        <v>42</v>
      </c>
      <c r="J35" t="str">
        <f>VLOOKUP(C35,'Lookup Tables'!$A$2:$D$11,3,FALSE)</f>
        <v>Home Goods</v>
      </c>
      <c r="K35" t="str">
        <f>VLOOKUP(B35,'Lookup Tables'!$F$2:$H$5,2,FALSE)</f>
        <v>Amanda Lee</v>
      </c>
      <c r="L35" s="5">
        <f>VLOOKUP(B35,'Lookup Tables'!$F$2:$H$5,3,FALSE)</f>
        <v>0.05</v>
      </c>
      <c r="M35" s="4">
        <f t="shared" si="0"/>
        <v>397.70000000000005</v>
      </c>
      <c r="N35" t="str">
        <f t="shared" si="1"/>
        <v>High Value</v>
      </c>
      <c r="O35" t="str">
        <f t="shared" si="2"/>
        <v>Review Margin</v>
      </c>
      <c r="P35" t="str">
        <f t="shared" si="3"/>
        <v>Feb</v>
      </c>
      <c r="Q35" s="4">
        <f t="shared" si="4"/>
        <v>81.115000000000009</v>
      </c>
    </row>
    <row r="36" spans="1:17">
      <c r="A36" s="3">
        <v>45694</v>
      </c>
      <c r="B36" t="s">
        <v>25</v>
      </c>
      <c r="C36" t="s">
        <v>32</v>
      </c>
      <c r="D36" t="s">
        <v>33</v>
      </c>
      <c r="E36" t="s">
        <v>45</v>
      </c>
      <c r="F36">
        <v>12</v>
      </c>
      <c r="G36" s="4">
        <v>1123.1099999999999</v>
      </c>
      <c r="H36" s="4">
        <v>822</v>
      </c>
      <c r="I36" t="s">
        <v>42</v>
      </c>
      <c r="J36" t="str">
        <f>VLOOKUP(C36,'Lookup Tables'!$A$2:$D$11,3,FALSE)</f>
        <v>Electronics</v>
      </c>
      <c r="K36" t="str">
        <f>VLOOKUP(B36,'Lookup Tables'!$F$2:$H$5,2,FALSE)</f>
        <v>Carlos Rivera</v>
      </c>
      <c r="L36" s="5">
        <f>VLOOKUP(B36,'Lookup Tables'!$F$2:$H$5,3,FALSE)</f>
        <v>5.5E-2</v>
      </c>
      <c r="M36" s="4">
        <f t="shared" si="0"/>
        <v>301.1099999999999</v>
      </c>
      <c r="N36" t="str">
        <f t="shared" si="1"/>
        <v>High Value</v>
      </c>
      <c r="O36" t="str">
        <f t="shared" si="2"/>
        <v>Strong Margin</v>
      </c>
      <c r="P36" t="str">
        <f t="shared" si="3"/>
        <v>Feb</v>
      </c>
      <c r="Q36" s="4">
        <f t="shared" si="4"/>
        <v>61.771049999999995</v>
      </c>
    </row>
    <row r="37" spans="1:17">
      <c r="A37" s="3">
        <v>45694</v>
      </c>
      <c r="B37" t="s">
        <v>17</v>
      </c>
      <c r="C37" t="s">
        <v>22</v>
      </c>
      <c r="D37" t="s">
        <v>23</v>
      </c>
      <c r="E37" t="s">
        <v>37</v>
      </c>
      <c r="F37">
        <v>11</v>
      </c>
      <c r="G37" s="4">
        <v>686.31</v>
      </c>
      <c r="H37" s="4">
        <v>462</v>
      </c>
      <c r="I37" t="s">
        <v>42</v>
      </c>
      <c r="J37" t="str">
        <f>VLOOKUP(C37,'Lookup Tables'!$A$2:$D$11,3,FALSE)</f>
        <v>Electronics</v>
      </c>
      <c r="K37" t="str">
        <f>VLOOKUP(B37,'Lookup Tables'!$F$2:$H$5,2,FALSE)</f>
        <v>Amanda Lee</v>
      </c>
      <c r="L37" s="5">
        <f>VLOOKUP(B37,'Lookup Tables'!$F$2:$H$5,3,FALSE)</f>
        <v>0.05</v>
      </c>
      <c r="M37" s="4">
        <f t="shared" si="0"/>
        <v>224.30999999999995</v>
      </c>
      <c r="N37" t="str">
        <f t="shared" si="1"/>
        <v>Standard</v>
      </c>
      <c r="O37" t="str">
        <f t="shared" si="2"/>
        <v>Strong Margin</v>
      </c>
      <c r="P37" t="str">
        <f t="shared" si="3"/>
        <v>Feb</v>
      </c>
      <c r="Q37" s="4">
        <f t="shared" si="4"/>
        <v>34.3155</v>
      </c>
    </row>
    <row r="38" spans="1:17">
      <c r="A38" s="3">
        <v>45696</v>
      </c>
      <c r="B38" t="s">
        <v>17</v>
      </c>
      <c r="C38" t="s">
        <v>38</v>
      </c>
      <c r="D38" t="s">
        <v>39</v>
      </c>
      <c r="E38" t="s">
        <v>34</v>
      </c>
      <c r="F38">
        <v>2</v>
      </c>
      <c r="G38" s="4">
        <v>379.98</v>
      </c>
      <c r="H38" s="4">
        <v>220.5</v>
      </c>
      <c r="I38" t="s">
        <v>21</v>
      </c>
      <c r="J38" t="str">
        <f>VLOOKUP(C38,'Lookup Tables'!$A$2:$D$11,3,FALSE)</f>
        <v>Office Furniture</v>
      </c>
      <c r="K38" t="str">
        <f>VLOOKUP(B38,'Lookup Tables'!$F$2:$H$5,2,FALSE)</f>
        <v>Amanda Lee</v>
      </c>
      <c r="L38" s="5">
        <f>VLOOKUP(B38,'Lookup Tables'!$F$2:$H$5,3,FALSE)</f>
        <v>0.05</v>
      </c>
      <c r="M38" s="4">
        <f t="shared" si="0"/>
        <v>159.48000000000002</v>
      </c>
      <c r="N38" t="str">
        <f t="shared" si="1"/>
        <v>Standard</v>
      </c>
      <c r="O38" t="str">
        <f t="shared" si="2"/>
        <v>Strong Margin</v>
      </c>
      <c r="P38" t="str">
        <f t="shared" si="3"/>
        <v>Feb</v>
      </c>
      <c r="Q38" s="4">
        <f t="shared" si="4"/>
        <v>18.999000000000002</v>
      </c>
    </row>
    <row r="39" spans="1:17">
      <c r="A39" s="3">
        <v>45697</v>
      </c>
      <c r="B39" t="s">
        <v>25</v>
      </c>
      <c r="C39" t="s">
        <v>22</v>
      </c>
      <c r="D39" t="s">
        <v>23</v>
      </c>
      <c r="E39" t="s">
        <v>20</v>
      </c>
      <c r="F39">
        <v>10</v>
      </c>
      <c r="G39" s="4">
        <v>799.9</v>
      </c>
      <c r="H39" s="4">
        <v>420</v>
      </c>
      <c r="I39" t="s">
        <v>21</v>
      </c>
      <c r="J39" t="str">
        <f>VLOOKUP(C39,'Lookup Tables'!$A$2:$D$11,3,FALSE)</f>
        <v>Electronics</v>
      </c>
      <c r="K39" t="str">
        <f>VLOOKUP(B39,'Lookup Tables'!$F$2:$H$5,2,FALSE)</f>
        <v>Carlos Rivera</v>
      </c>
      <c r="L39" s="5">
        <f>VLOOKUP(B39,'Lookup Tables'!$F$2:$H$5,3,FALSE)</f>
        <v>5.5E-2</v>
      </c>
      <c r="M39" s="4">
        <f t="shared" si="0"/>
        <v>379.9</v>
      </c>
      <c r="N39" t="str">
        <f t="shared" si="1"/>
        <v>Standard</v>
      </c>
      <c r="O39" t="str">
        <f t="shared" si="2"/>
        <v>Strong Margin</v>
      </c>
      <c r="P39" t="str">
        <f t="shared" si="3"/>
        <v>Feb</v>
      </c>
      <c r="Q39" s="4">
        <f t="shared" si="4"/>
        <v>43.994500000000002</v>
      </c>
    </row>
    <row r="40" spans="1:17">
      <c r="A40" s="3">
        <v>45698</v>
      </c>
      <c r="B40" t="s">
        <v>17</v>
      </c>
      <c r="C40" t="s">
        <v>26</v>
      </c>
      <c r="D40" t="s">
        <v>27</v>
      </c>
      <c r="E40" t="s">
        <v>24</v>
      </c>
      <c r="F40">
        <v>4</v>
      </c>
      <c r="G40" s="4">
        <v>119.96</v>
      </c>
      <c r="H40" s="4">
        <v>51</v>
      </c>
      <c r="I40" t="s">
        <v>21</v>
      </c>
      <c r="J40" t="str">
        <f>VLOOKUP(C40,'Lookup Tables'!$A$2:$D$11,3,FALSE)</f>
        <v>Travel</v>
      </c>
      <c r="K40" t="str">
        <f>VLOOKUP(B40,'Lookup Tables'!$F$2:$H$5,2,FALSE)</f>
        <v>Amanda Lee</v>
      </c>
      <c r="L40" s="5">
        <f>VLOOKUP(B40,'Lookup Tables'!$F$2:$H$5,3,FALSE)</f>
        <v>0.05</v>
      </c>
      <c r="M40" s="4">
        <f t="shared" si="0"/>
        <v>68.959999999999994</v>
      </c>
      <c r="N40" t="str">
        <f t="shared" si="1"/>
        <v>Standard</v>
      </c>
      <c r="O40" t="str">
        <f t="shared" si="2"/>
        <v>Strong Margin</v>
      </c>
      <c r="P40" t="str">
        <f t="shared" si="3"/>
        <v>Feb</v>
      </c>
      <c r="Q40" s="4">
        <f t="shared" si="4"/>
        <v>5.9980000000000002</v>
      </c>
    </row>
    <row r="41" spans="1:17">
      <c r="A41" s="3">
        <v>45698</v>
      </c>
      <c r="B41" t="s">
        <v>29</v>
      </c>
      <c r="C41" t="s">
        <v>32</v>
      </c>
      <c r="D41" t="s">
        <v>33</v>
      </c>
      <c r="E41" t="s">
        <v>51</v>
      </c>
      <c r="F41">
        <v>9</v>
      </c>
      <c r="G41" s="4">
        <v>1079.9100000000001</v>
      </c>
      <c r="H41" s="4">
        <v>616.5</v>
      </c>
      <c r="I41" t="s">
        <v>21</v>
      </c>
      <c r="J41" t="str">
        <f>VLOOKUP(C41,'Lookup Tables'!$A$2:$D$11,3,FALSE)</f>
        <v>Electronics</v>
      </c>
      <c r="K41" t="str">
        <f>VLOOKUP(B41,'Lookup Tables'!$F$2:$H$5,2,FALSE)</f>
        <v>Priya Shah</v>
      </c>
      <c r="L41" s="5">
        <f>VLOOKUP(B41,'Lookup Tables'!$F$2:$H$5,3,FALSE)</f>
        <v>4.4999999999999998E-2</v>
      </c>
      <c r="M41" s="4">
        <f t="shared" si="0"/>
        <v>463.41000000000008</v>
      </c>
      <c r="N41" t="str">
        <f t="shared" si="1"/>
        <v>High Value</v>
      </c>
      <c r="O41" t="str">
        <f t="shared" si="2"/>
        <v>Strong Margin</v>
      </c>
      <c r="P41" t="str">
        <f t="shared" si="3"/>
        <v>Feb</v>
      </c>
      <c r="Q41" s="4">
        <f t="shared" si="4"/>
        <v>48.595950000000002</v>
      </c>
    </row>
    <row r="42" spans="1:17">
      <c r="A42" s="3">
        <v>45698</v>
      </c>
      <c r="B42" t="s">
        <v>50</v>
      </c>
      <c r="C42" t="s">
        <v>32</v>
      </c>
      <c r="D42" t="s">
        <v>33</v>
      </c>
      <c r="E42" t="s">
        <v>34</v>
      </c>
      <c r="F42">
        <v>5</v>
      </c>
      <c r="G42" s="4">
        <v>599.95000000000005</v>
      </c>
      <c r="H42" s="4">
        <v>342.5</v>
      </c>
      <c r="I42" t="s">
        <v>21</v>
      </c>
      <c r="J42" t="str">
        <f>VLOOKUP(C42,'Lookup Tables'!$A$2:$D$11,3,FALSE)</f>
        <v>Electronics</v>
      </c>
      <c r="K42" t="str">
        <f>VLOOKUP(B42,'Lookup Tables'!$F$2:$H$5,2,FALSE)</f>
        <v>Marcus Green</v>
      </c>
      <c r="L42" s="5">
        <f>VLOOKUP(B42,'Lookup Tables'!$F$2:$H$5,3,FALSE)</f>
        <v>0.05</v>
      </c>
      <c r="M42" s="4">
        <f t="shared" si="0"/>
        <v>257.45000000000005</v>
      </c>
      <c r="N42" t="str">
        <f t="shared" si="1"/>
        <v>Standard</v>
      </c>
      <c r="O42" t="str">
        <f t="shared" si="2"/>
        <v>Strong Margin</v>
      </c>
      <c r="P42" t="str">
        <f t="shared" si="3"/>
        <v>Feb</v>
      </c>
      <c r="Q42" s="4">
        <f t="shared" si="4"/>
        <v>29.997500000000002</v>
      </c>
    </row>
    <row r="43" spans="1:17">
      <c r="A43" s="3">
        <v>45698</v>
      </c>
      <c r="B43" t="s">
        <v>17</v>
      </c>
      <c r="C43" t="s">
        <v>26</v>
      </c>
      <c r="D43" t="s">
        <v>27</v>
      </c>
      <c r="E43" t="s">
        <v>45</v>
      </c>
      <c r="F43">
        <v>5</v>
      </c>
      <c r="G43" s="4">
        <v>149.94999999999999</v>
      </c>
      <c r="H43" s="4">
        <v>63.75</v>
      </c>
      <c r="I43" t="s">
        <v>21</v>
      </c>
      <c r="J43" t="str">
        <f>VLOOKUP(C43,'Lookup Tables'!$A$2:$D$11,3,FALSE)</f>
        <v>Travel</v>
      </c>
      <c r="K43" t="str">
        <f>VLOOKUP(B43,'Lookup Tables'!$F$2:$H$5,2,FALSE)</f>
        <v>Amanda Lee</v>
      </c>
      <c r="L43" s="5">
        <f>VLOOKUP(B43,'Lookup Tables'!$F$2:$H$5,3,FALSE)</f>
        <v>0.05</v>
      </c>
      <c r="M43" s="4">
        <f t="shared" si="0"/>
        <v>86.199999999999989</v>
      </c>
      <c r="N43" t="str">
        <f t="shared" si="1"/>
        <v>Standard</v>
      </c>
      <c r="O43" t="str">
        <f t="shared" si="2"/>
        <v>Strong Margin</v>
      </c>
      <c r="P43" t="str">
        <f t="shared" si="3"/>
        <v>Feb</v>
      </c>
      <c r="Q43" s="4">
        <f t="shared" si="4"/>
        <v>7.4974999999999996</v>
      </c>
    </row>
    <row r="44" spans="1:17">
      <c r="A44" s="3">
        <v>45701</v>
      </c>
      <c r="B44" t="s">
        <v>17</v>
      </c>
      <c r="C44" t="s">
        <v>26</v>
      </c>
      <c r="D44" t="s">
        <v>27</v>
      </c>
      <c r="E44" t="s">
        <v>51</v>
      </c>
      <c r="F44">
        <v>25</v>
      </c>
      <c r="G44" s="4">
        <v>584.80999999999995</v>
      </c>
      <c r="H44" s="4">
        <v>318.75</v>
      </c>
      <c r="I44" t="s">
        <v>42</v>
      </c>
      <c r="J44" t="str">
        <f>VLOOKUP(C44,'Lookup Tables'!$A$2:$D$11,3,FALSE)</f>
        <v>Travel</v>
      </c>
      <c r="K44" t="str">
        <f>VLOOKUP(B44,'Lookup Tables'!$F$2:$H$5,2,FALSE)</f>
        <v>Amanda Lee</v>
      </c>
      <c r="L44" s="5">
        <f>VLOOKUP(B44,'Lookup Tables'!$F$2:$H$5,3,FALSE)</f>
        <v>0.05</v>
      </c>
      <c r="M44" s="4">
        <f t="shared" si="0"/>
        <v>266.05999999999995</v>
      </c>
      <c r="N44" t="str">
        <f t="shared" si="1"/>
        <v>Standard</v>
      </c>
      <c r="O44" t="str">
        <f t="shared" si="2"/>
        <v>Strong Margin</v>
      </c>
      <c r="P44" t="str">
        <f t="shared" si="3"/>
        <v>Feb</v>
      </c>
      <c r="Q44" s="4">
        <f t="shared" si="4"/>
        <v>29.240499999999997</v>
      </c>
    </row>
    <row r="45" spans="1:17">
      <c r="A45" s="3">
        <v>45701</v>
      </c>
      <c r="B45" t="s">
        <v>29</v>
      </c>
      <c r="C45" t="s">
        <v>32</v>
      </c>
      <c r="D45" t="s">
        <v>33</v>
      </c>
      <c r="E45" t="s">
        <v>20</v>
      </c>
      <c r="F45">
        <v>11</v>
      </c>
      <c r="G45" s="4">
        <v>1029.51</v>
      </c>
      <c r="H45" s="4">
        <v>753.5</v>
      </c>
      <c r="I45" t="s">
        <v>42</v>
      </c>
      <c r="J45" t="str">
        <f>VLOOKUP(C45,'Lookup Tables'!$A$2:$D$11,3,FALSE)</f>
        <v>Electronics</v>
      </c>
      <c r="K45" t="str">
        <f>VLOOKUP(B45,'Lookup Tables'!$F$2:$H$5,2,FALSE)</f>
        <v>Priya Shah</v>
      </c>
      <c r="L45" s="5">
        <f>VLOOKUP(B45,'Lookup Tables'!$F$2:$H$5,3,FALSE)</f>
        <v>4.4999999999999998E-2</v>
      </c>
      <c r="M45" s="4">
        <f t="shared" si="0"/>
        <v>276.01</v>
      </c>
      <c r="N45" t="str">
        <f t="shared" si="1"/>
        <v>High Value</v>
      </c>
      <c r="O45" t="str">
        <f t="shared" si="2"/>
        <v>Strong Margin</v>
      </c>
      <c r="P45" t="str">
        <f t="shared" si="3"/>
        <v>Feb</v>
      </c>
      <c r="Q45" s="4">
        <f t="shared" si="4"/>
        <v>46.327950000000001</v>
      </c>
    </row>
    <row r="46" spans="1:17">
      <c r="A46" s="3">
        <v>45702</v>
      </c>
      <c r="B46" t="s">
        <v>29</v>
      </c>
      <c r="C46" t="s">
        <v>46</v>
      </c>
      <c r="D46" t="s">
        <v>47</v>
      </c>
      <c r="E46" t="s">
        <v>40</v>
      </c>
      <c r="F46">
        <v>10</v>
      </c>
      <c r="G46" s="4">
        <v>1599.9</v>
      </c>
      <c r="H46" s="4">
        <v>942</v>
      </c>
      <c r="I46" t="s">
        <v>21</v>
      </c>
      <c r="J46" t="str">
        <f>VLOOKUP(C46,'Lookup Tables'!$A$2:$D$11,3,FALSE)</f>
        <v>Home Goods</v>
      </c>
      <c r="K46" t="str">
        <f>VLOOKUP(B46,'Lookup Tables'!$F$2:$H$5,2,FALSE)</f>
        <v>Priya Shah</v>
      </c>
      <c r="L46" s="5">
        <f>VLOOKUP(B46,'Lookup Tables'!$F$2:$H$5,3,FALSE)</f>
        <v>4.4999999999999998E-2</v>
      </c>
      <c r="M46" s="4">
        <f t="shared" si="0"/>
        <v>657.90000000000009</v>
      </c>
      <c r="N46" t="str">
        <f t="shared" si="1"/>
        <v>High Value</v>
      </c>
      <c r="O46" t="str">
        <f t="shared" si="2"/>
        <v>Strong Margin</v>
      </c>
      <c r="P46" t="str">
        <f t="shared" si="3"/>
        <v>Feb</v>
      </c>
      <c r="Q46" s="4">
        <f t="shared" si="4"/>
        <v>71.995500000000007</v>
      </c>
    </row>
    <row r="47" spans="1:17">
      <c r="A47" s="3">
        <v>45702</v>
      </c>
      <c r="B47" t="s">
        <v>17</v>
      </c>
      <c r="C47" t="s">
        <v>26</v>
      </c>
      <c r="D47" t="s">
        <v>27</v>
      </c>
      <c r="E47" t="s">
        <v>51</v>
      </c>
      <c r="F47">
        <v>4</v>
      </c>
      <c r="G47" s="4">
        <v>119.96</v>
      </c>
      <c r="H47" s="4">
        <v>51</v>
      </c>
      <c r="I47" t="s">
        <v>21</v>
      </c>
      <c r="J47" t="str">
        <f>VLOOKUP(C47,'Lookup Tables'!$A$2:$D$11,3,FALSE)</f>
        <v>Travel</v>
      </c>
      <c r="K47" t="str">
        <f>VLOOKUP(B47,'Lookup Tables'!$F$2:$H$5,2,FALSE)</f>
        <v>Amanda Lee</v>
      </c>
      <c r="L47" s="5">
        <f>VLOOKUP(B47,'Lookup Tables'!$F$2:$H$5,3,FALSE)</f>
        <v>0.05</v>
      </c>
      <c r="M47" s="4">
        <f t="shared" si="0"/>
        <v>68.959999999999994</v>
      </c>
      <c r="N47" t="str">
        <f t="shared" si="1"/>
        <v>Standard</v>
      </c>
      <c r="O47" t="str">
        <f t="shared" si="2"/>
        <v>Strong Margin</v>
      </c>
      <c r="P47" t="str">
        <f t="shared" si="3"/>
        <v>Feb</v>
      </c>
      <c r="Q47" s="4">
        <f t="shared" si="4"/>
        <v>5.9980000000000002</v>
      </c>
    </row>
    <row r="48" spans="1:17">
      <c r="A48" s="3">
        <v>45704</v>
      </c>
      <c r="B48" t="s">
        <v>29</v>
      </c>
      <c r="C48" t="s">
        <v>35</v>
      </c>
      <c r="D48" t="s">
        <v>36</v>
      </c>
      <c r="E48" t="s">
        <v>51</v>
      </c>
      <c r="F48">
        <v>15</v>
      </c>
      <c r="G48" s="4">
        <v>1637.88</v>
      </c>
      <c r="H48" s="4">
        <v>1147.05</v>
      </c>
      <c r="I48" t="s">
        <v>42</v>
      </c>
      <c r="J48" t="str">
        <f>VLOOKUP(C48,'Lookup Tables'!$A$2:$D$11,3,FALSE)</f>
        <v>Home Goods</v>
      </c>
      <c r="K48" t="str">
        <f>VLOOKUP(B48,'Lookup Tables'!$F$2:$H$5,2,FALSE)</f>
        <v>Priya Shah</v>
      </c>
      <c r="L48" s="5">
        <f>VLOOKUP(B48,'Lookup Tables'!$F$2:$H$5,3,FALSE)</f>
        <v>4.4999999999999998E-2</v>
      </c>
      <c r="M48" s="4">
        <f t="shared" si="0"/>
        <v>490.83000000000015</v>
      </c>
      <c r="N48" t="str">
        <f t="shared" si="1"/>
        <v>High Value</v>
      </c>
      <c r="O48" t="str">
        <f t="shared" si="2"/>
        <v>Strong Margin</v>
      </c>
      <c r="P48" t="str">
        <f t="shared" si="3"/>
        <v>Feb</v>
      </c>
      <c r="Q48" s="4">
        <f t="shared" si="4"/>
        <v>73.704599999999999</v>
      </c>
    </row>
    <row r="49" spans="1:17">
      <c r="A49" s="3">
        <v>45704</v>
      </c>
      <c r="B49" t="s">
        <v>25</v>
      </c>
      <c r="C49" t="s">
        <v>48</v>
      </c>
      <c r="D49" t="s">
        <v>49</v>
      </c>
      <c r="E49" t="s">
        <v>20</v>
      </c>
      <c r="F49">
        <v>1</v>
      </c>
      <c r="G49" s="4">
        <v>89.99</v>
      </c>
      <c r="H49" s="4">
        <v>51.83</v>
      </c>
      <c r="I49" t="s">
        <v>21</v>
      </c>
      <c r="J49" t="str">
        <f>VLOOKUP(C49,'Lookup Tables'!$A$2:$D$11,3,FALSE)</f>
        <v>Travel</v>
      </c>
      <c r="K49" t="str">
        <f>VLOOKUP(B49,'Lookup Tables'!$F$2:$H$5,2,FALSE)</f>
        <v>Carlos Rivera</v>
      </c>
      <c r="L49" s="5">
        <f>VLOOKUP(B49,'Lookup Tables'!$F$2:$H$5,3,FALSE)</f>
        <v>5.5E-2</v>
      </c>
      <c r="M49" s="4">
        <f t="shared" si="0"/>
        <v>38.159999999999997</v>
      </c>
      <c r="N49" t="str">
        <f t="shared" si="1"/>
        <v>Standard</v>
      </c>
      <c r="O49" t="str">
        <f t="shared" si="2"/>
        <v>Strong Margin</v>
      </c>
      <c r="P49" t="str">
        <f t="shared" si="3"/>
        <v>Feb</v>
      </c>
      <c r="Q49" s="4">
        <f t="shared" si="4"/>
        <v>4.9494499999999997</v>
      </c>
    </row>
    <row r="50" spans="1:17">
      <c r="A50" s="3">
        <v>45705</v>
      </c>
      <c r="B50" t="s">
        <v>25</v>
      </c>
      <c r="C50" t="s">
        <v>35</v>
      </c>
      <c r="D50" t="s">
        <v>36</v>
      </c>
      <c r="E50" t="s">
        <v>37</v>
      </c>
      <c r="F50">
        <v>10</v>
      </c>
      <c r="G50" s="4">
        <v>1399.9</v>
      </c>
      <c r="H50" s="4">
        <v>764.7</v>
      </c>
      <c r="I50" t="s">
        <v>21</v>
      </c>
      <c r="J50" t="str">
        <f>VLOOKUP(C50,'Lookup Tables'!$A$2:$D$11,3,FALSE)</f>
        <v>Home Goods</v>
      </c>
      <c r="K50" t="str">
        <f>VLOOKUP(B50,'Lookup Tables'!$F$2:$H$5,2,FALSE)</f>
        <v>Carlos Rivera</v>
      </c>
      <c r="L50" s="5">
        <f>VLOOKUP(B50,'Lookup Tables'!$F$2:$H$5,3,FALSE)</f>
        <v>5.5E-2</v>
      </c>
      <c r="M50" s="4">
        <f t="shared" si="0"/>
        <v>635.20000000000005</v>
      </c>
      <c r="N50" t="str">
        <f t="shared" si="1"/>
        <v>High Value</v>
      </c>
      <c r="O50" t="str">
        <f t="shared" si="2"/>
        <v>Strong Margin</v>
      </c>
      <c r="P50" t="str">
        <f t="shared" si="3"/>
        <v>Feb</v>
      </c>
      <c r="Q50" s="4">
        <f t="shared" si="4"/>
        <v>76.994500000000002</v>
      </c>
    </row>
    <row r="51" spans="1:17">
      <c r="A51" s="3">
        <v>45706</v>
      </c>
      <c r="B51" t="s">
        <v>17</v>
      </c>
      <c r="C51" t="s">
        <v>43</v>
      </c>
      <c r="D51" t="s">
        <v>44</v>
      </c>
      <c r="E51" t="s">
        <v>37</v>
      </c>
      <c r="F51">
        <v>24</v>
      </c>
      <c r="G51" s="4">
        <v>935.81</v>
      </c>
      <c r="H51" s="4">
        <v>598.79999999999995</v>
      </c>
      <c r="I51" t="s">
        <v>42</v>
      </c>
      <c r="J51" t="str">
        <f>VLOOKUP(C51,'Lookup Tables'!$A$2:$D$11,3,FALSE)</f>
        <v>Fitness</v>
      </c>
      <c r="K51" t="str">
        <f>VLOOKUP(B51,'Lookup Tables'!$F$2:$H$5,2,FALSE)</f>
        <v>Amanda Lee</v>
      </c>
      <c r="L51" s="5">
        <f>VLOOKUP(B51,'Lookup Tables'!$F$2:$H$5,3,FALSE)</f>
        <v>0.05</v>
      </c>
      <c r="M51" s="4">
        <f t="shared" si="0"/>
        <v>337.01</v>
      </c>
      <c r="N51" t="str">
        <f t="shared" si="1"/>
        <v>Standard</v>
      </c>
      <c r="O51" t="str">
        <f t="shared" si="2"/>
        <v>Strong Margin</v>
      </c>
      <c r="P51" t="str">
        <f t="shared" si="3"/>
        <v>Feb</v>
      </c>
      <c r="Q51" s="4">
        <f t="shared" si="4"/>
        <v>46.790500000000002</v>
      </c>
    </row>
    <row r="52" spans="1:17">
      <c r="A52" s="3">
        <v>45707</v>
      </c>
      <c r="B52" t="s">
        <v>17</v>
      </c>
      <c r="C52" t="s">
        <v>30</v>
      </c>
      <c r="D52" t="s">
        <v>31</v>
      </c>
      <c r="E52" t="s">
        <v>45</v>
      </c>
      <c r="F52">
        <v>9</v>
      </c>
      <c r="G52" s="4">
        <v>539.91</v>
      </c>
      <c r="H52" s="4">
        <v>276.66000000000003</v>
      </c>
      <c r="I52" t="s">
        <v>21</v>
      </c>
      <c r="J52" t="str">
        <f>VLOOKUP(C52,'Lookup Tables'!$A$2:$D$11,3,FALSE)</f>
        <v>Fitness</v>
      </c>
      <c r="K52" t="str">
        <f>VLOOKUP(B52,'Lookup Tables'!$F$2:$H$5,2,FALSE)</f>
        <v>Amanda Lee</v>
      </c>
      <c r="L52" s="5">
        <f>VLOOKUP(B52,'Lookup Tables'!$F$2:$H$5,3,FALSE)</f>
        <v>0.05</v>
      </c>
      <c r="M52" s="4">
        <f t="shared" si="0"/>
        <v>263.24999999999994</v>
      </c>
      <c r="N52" t="str">
        <f t="shared" si="1"/>
        <v>Standard</v>
      </c>
      <c r="O52" t="str">
        <f t="shared" si="2"/>
        <v>Strong Margin</v>
      </c>
      <c r="P52" t="str">
        <f t="shared" si="3"/>
        <v>Feb</v>
      </c>
      <c r="Q52" s="4">
        <f t="shared" si="4"/>
        <v>26.9955</v>
      </c>
    </row>
    <row r="53" spans="1:17">
      <c r="A53" s="3">
        <v>45709</v>
      </c>
      <c r="B53" t="s">
        <v>29</v>
      </c>
      <c r="C53" t="s">
        <v>48</v>
      </c>
      <c r="D53" t="s">
        <v>49</v>
      </c>
      <c r="E53" t="s">
        <v>51</v>
      </c>
      <c r="F53">
        <v>10</v>
      </c>
      <c r="G53" s="4">
        <v>899.9</v>
      </c>
      <c r="H53" s="4">
        <v>518.29999999999995</v>
      </c>
      <c r="I53" t="s">
        <v>21</v>
      </c>
      <c r="J53" t="str">
        <f>VLOOKUP(C53,'Lookup Tables'!$A$2:$D$11,3,FALSE)</f>
        <v>Travel</v>
      </c>
      <c r="K53" t="str">
        <f>VLOOKUP(B53,'Lookup Tables'!$F$2:$H$5,2,FALSE)</f>
        <v>Priya Shah</v>
      </c>
      <c r="L53" s="5">
        <f>VLOOKUP(B53,'Lookup Tables'!$F$2:$H$5,3,FALSE)</f>
        <v>4.4999999999999998E-2</v>
      </c>
      <c r="M53" s="4">
        <f t="shared" si="0"/>
        <v>381.6</v>
      </c>
      <c r="N53" t="str">
        <f t="shared" si="1"/>
        <v>Standard</v>
      </c>
      <c r="O53" t="str">
        <f t="shared" si="2"/>
        <v>Strong Margin</v>
      </c>
      <c r="P53" t="str">
        <f t="shared" si="3"/>
        <v>Feb</v>
      </c>
      <c r="Q53" s="4">
        <f t="shared" si="4"/>
        <v>40.4955</v>
      </c>
    </row>
    <row r="54" spans="1:17">
      <c r="A54" s="3">
        <v>45710</v>
      </c>
      <c r="B54" t="s">
        <v>50</v>
      </c>
      <c r="C54" t="s">
        <v>26</v>
      </c>
      <c r="D54" t="s">
        <v>27</v>
      </c>
      <c r="E54" t="s">
        <v>20</v>
      </c>
      <c r="F54">
        <v>8</v>
      </c>
      <c r="G54" s="4">
        <v>239.92</v>
      </c>
      <c r="H54" s="4">
        <v>102</v>
      </c>
      <c r="I54" t="s">
        <v>21</v>
      </c>
      <c r="J54" t="str">
        <f>VLOOKUP(C54,'Lookup Tables'!$A$2:$D$11,3,FALSE)</f>
        <v>Travel</v>
      </c>
      <c r="K54" t="str">
        <f>VLOOKUP(B54,'Lookup Tables'!$F$2:$H$5,2,FALSE)</f>
        <v>Marcus Green</v>
      </c>
      <c r="L54" s="5">
        <f>VLOOKUP(B54,'Lookup Tables'!$F$2:$H$5,3,FALSE)</f>
        <v>0.05</v>
      </c>
      <c r="M54" s="4">
        <f t="shared" si="0"/>
        <v>137.91999999999999</v>
      </c>
      <c r="N54" t="str">
        <f t="shared" si="1"/>
        <v>Standard</v>
      </c>
      <c r="O54" t="str">
        <f t="shared" si="2"/>
        <v>Strong Margin</v>
      </c>
      <c r="P54" t="str">
        <f t="shared" si="3"/>
        <v>Feb</v>
      </c>
      <c r="Q54" s="4">
        <f t="shared" si="4"/>
        <v>11.996</v>
      </c>
    </row>
    <row r="55" spans="1:17">
      <c r="A55" s="3">
        <v>45710</v>
      </c>
      <c r="B55" t="s">
        <v>17</v>
      </c>
      <c r="C55" t="s">
        <v>48</v>
      </c>
      <c r="D55" t="s">
        <v>49</v>
      </c>
      <c r="E55" t="s">
        <v>41</v>
      </c>
      <c r="F55">
        <v>5</v>
      </c>
      <c r="G55" s="4">
        <v>449.95</v>
      </c>
      <c r="H55" s="4">
        <v>259.14999999999998</v>
      </c>
      <c r="I55" t="s">
        <v>21</v>
      </c>
      <c r="J55" t="str">
        <f>VLOOKUP(C55,'Lookup Tables'!$A$2:$D$11,3,FALSE)</f>
        <v>Travel</v>
      </c>
      <c r="K55" t="str">
        <f>VLOOKUP(B55,'Lookup Tables'!$F$2:$H$5,2,FALSE)</f>
        <v>Amanda Lee</v>
      </c>
      <c r="L55" s="5">
        <f>VLOOKUP(B55,'Lookup Tables'!$F$2:$H$5,3,FALSE)</f>
        <v>0.05</v>
      </c>
      <c r="M55" s="4">
        <f t="shared" si="0"/>
        <v>190.8</v>
      </c>
      <c r="N55" t="str">
        <f t="shared" si="1"/>
        <v>Standard</v>
      </c>
      <c r="O55" t="str">
        <f t="shared" si="2"/>
        <v>Strong Margin</v>
      </c>
      <c r="P55" t="str">
        <f t="shared" si="3"/>
        <v>Feb</v>
      </c>
      <c r="Q55" s="4">
        <f t="shared" si="4"/>
        <v>22.497500000000002</v>
      </c>
    </row>
    <row r="56" spans="1:17">
      <c r="A56" s="3">
        <v>45711</v>
      </c>
      <c r="B56" t="s">
        <v>29</v>
      </c>
      <c r="C56" t="s">
        <v>35</v>
      </c>
      <c r="D56" t="s">
        <v>36</v>
      </c>
      <c r="E56" t="s">
        <v>24</v>
      </c>
      <c r="F56">
        <v>3</v>
      </c>
      <c r="G56" s="4">
        <v>419.97</v>
      </c>
      <c r="H56" s="4">
        <v>229.41</v>
      </c>
      <c r="I56" t="s">
        <v>21</v>
      </c>
      <c r="J56" t="str">
        <f>VLOOKUP(C56,'Lookup Tables'!$A$2:$D$11,3,FALSE)</f>
        <v>Home Goods</v>
      </c>
      <c r="K56" t="str">
        <f>VLOOKUP(B56,'Lookup Tables'!$F$2:$H$5,2,FALSE)</f>
        <v>Priya Shah</v>
      </c>
      <c r="L56" s="5">
        <f>VLOOKUP(B56,'Lookup Tables'!$F$2:$H$5,3,FALSE)</f>
        <v>4.4999999999999998E-2</v>
      </c>
      <c r="M56" s="4">
        <f t="shared" si="0"/>
        <v>190.56000000000003</v>
      </c>
      <c r="N56" t="str">
        <f t="shared" si="1"/>
        <v>Standard</v>
      </c>
      <c r="O56" t="str">
        <f t="shared" si="2"/>
        <v>Strong Margin</v>
      </c>
      <c r="P56" t="str">
        <f t="shared" si="3"/>
        <v>Feb</v>
      </c>
      <c r="Q56" s="4">
        <f t="shared" si="4"/>
        <v>18.89865</v>
      </c>
    </row>
    <row r="57" spans="1:17">
      <c r="A57" s="3">
        <v>45712</v>
      </c>
      <c r="B57" t="s">
        <v>25</v>
      </c>
      <c r="C57" t="s">
        <v>38</v>
      </c>
      <c r="D57" t="s">
        <v>39</v>
      </c>
      <c r="E57" t="s">
        <v>41</v>
      </c>
      <c r="F57">
        <v>27</v>
      </c>
      <c r="G57" s="4">
        <v>4001.19</v>
      </c>
      <c r="H57" s="4">
        <v>2976.75</v>
      </c>
      <c r="I57" t="s">
        <v>42</v>
      </c>
      <c r="J57" t="str">
        <f>VLOOKUP(C57,'Lookup Tables'!$A$2:$D$11,3,FALSE)</f>
        <v>Office Furniture</v>
      </c>
      <c r="K57" t="str">
        <f>VLOOKUP(B57,'Lookup Tables'!$F$2:$H$5,2,FALSE)</f>
        <v>Carlos Rivera</v>
      </c>
      <c r="L57" s="5">
        <f>VLOOKUP(B57,'Lookup Tables'!$F$2:$H$5,3,FALSE)</f>
        <v>5.5E-2</v>
      </c>
      <c r="M57" s="4">
        <f t="shared" si="0"/>
        <v>1024.44</v>
      </c>
      <c r="N57" t="str">
        <f t="shared" si="1"/>
        <v>High Value</v>
      </c>
      <c r="O57" t="str">
        <f t="shared" si="2"/>
        <v>Strong Margin</v>
      </c>
      <c r="P57" t="str">
        <f t="shared" si="3"/>
        <v>Feb</v>
      </c>
      <c r="Q57" s="4">
        <f t="shared" si="4"/>
        <v>220.06545</v>
      </c>
    </row>
    <row r="58" spans="1:17">
      <c r="A58" s="3">
        <v>45713</v>
      </c>
      <c r="B58" t="s">
        <v>25</v>
      </c>
      <c r="C58" t="s">
        <v>26</v>
      </c>
      <c r="D58" t="s">
        <v>27</v>
      </c>
      <c r="E58" t="s">
        <v>52</v>
      </c>
      <c r="F58">
        <v>8</v>
      </c>
      <c r="G58" s="4">
        <v>239.92</v>
      </c>
      <c r="H58" s="4">
        <v>102</v>
      </c>
      <c r="I58" t="s">
        <v>21</v>
      </c>
      <c r="J58" t="str">
        <f>VLOOKUP(C58,'Lookup Tables'!$A$2:$D$11,3,FALSE)</f>
        <v>Travel</v>
      </c>
      <c r="K58" t="str">
        <f>VLOOKUP(B58,'Lookup Tables'!$F$2:$H$5,2,FALSE)</f>
        <v>Carlos Rivera</v>
      </c>
      <c r="L58" s="5">
        <f>VLOOKUP(B58,'Lookup Tables'!$F$2:$H$5,3,FALSE)</f>
        <v>5.5E-2</v>
      </c>
      <c r="M58" s="4">
        <f t="shared" si="0"/>
        <v>137.91999999999999</v>
      </c>
      <c r="N58" t="str">
        <f t="shared" si="1"/>
        <v>Standard</v>
      </c>
      <c r="O58" t="str">
        <f t="shared" si="2"/>
        <v>Strong Margin</v>
      </c>
      <c r="P58" t="str">
        <f t="shared" si="3"/>
        <v>Feb</v>
      </c>
      <c r="Q58" s="4">
        <f t="shared" si="4"/>
        <v>13.195599999999999</v>
      </c>
    </row>
    <row r="59" spans="1:17">
      <c r="A59" s="3">
        <v>45714</v>
      </c>
      <c r="B59" t="s">
        <v>25</v>
      </c>
      <c r="C59" t="s">
        <v>43</v>
      </c>
      <c r="D59" t="s">
        <v>44</v>
      </c>
      <c r="E59" t="s">
        <v>41</v>
      </c>
      <c r="F59">
        <v>5</v>
      </c>
      <c r="G59" s="4">
        <v>249.95</v>
      </c>
      <c r="H59" s="4">
        <v>124.75</v>
      </c>
      <c r="I59" t="s">
        <v>21</v>
      </c>
      <c r="J59" t="str">
        <f>VLOOKUP(C59,'Lookup Tables'!$A$2:$D$11,3,FALSE)</f>
        <v>Fitness</v>
      </c>
      <c r="K59" t="str">
        <f>VLOOKUP(B59,'Lookup Tables'!$F$2:$H$5,2,FALSE)</f>
        <v>Carlos Rivera</v>
      </c>
      <c r="L59" s="5">
        <f>VLOOKUP(B59,'Lookup Tables'!$F$2:$H$5,3,FALSE)</f>
        <v>5.5E-2</v>
      </c>
      <c r="M59" s="4">
        <f t="shared" si="0"/>
        <v>125.19999999999999</v>
      </c>
      <c r="N59" t="str">
        <f t="shared" si="1"/>
        <v>Standard</v>
      </c>
      <c r="O59" t="str">
        <f t="shared" si="2"/>
        <v>Strong Margin</v>
      </c>
      <c r="P59" t="str">
        <f t="shared" si="3"/>
        <v>Feb</v>
      </c>
      <c r="Q59" s="4">
        <f t="shared" si="4"/>
        <v>13.747249999999999</v>
      </c>
    </row>
    <row r="60" spans="1:17">
      <c r="A60" s="3">
        <v>45714</v>
      </c>
      <c r="B60" t="s">
        <v>29</v>
      </c>
      <c r="C60" t="s">
        <v>32</v>
      </c>
      <c r="D60" t="s">
        <v>33</v>
      </c>
      <c r="E60" t="s">
        <v>41</v>
      </c>
      <c r="F60">
        <v>5</v>
      </c>
      <c r="G60" s="4">
        <v>599.95000000000005</v>
      </c>
      <c r="H60" s="4">
        <v>342.5</v>
      </c>
      <c r="I60" t="s">
        <v>21</v>
      </c>
      <c r="J60" t="str">
        <f>VLOOKUP(C60,'Lookup Tables'!$A$2:$D$11,3,FALSE)</f>
        <v>Electronics</v>
      </c>
      <c r="K60" t="str">
        <f>VLOOKUP(B60,'Lookup Tables'!$F$2:$H$5,2,FALSE)</f>
        <v>Priya Shah</v>
      </c>
      <c r="L60" s="5">
        <f>VLOOKUP(B60,'Lookup Tables'!$F$2:$H$5,3,FALSE)</f>
        <v>4.4999999999999998E-2</v>
      </c>
      <c r="M60" s="4">
        <f t="shared" si="0"/>
        <v>257.45000000000005</v>
      </c>
      <c r="N60" t="str">
        <f t="shared" si="1"/>
        <v>Standard</v>
      </c>
      <c r="O60" t="str">
        <f t="shared" si="2"/>
        <v>Strong Margin</v>
      </c>
      <c r="P60" t="str">
        <f t="shared" si="3"/>
        <v>Feb</v>
      </c>
      <c r="Q60" s="4">
        <f t="shared" si="4"/>
        <v>26.99775</v>
      </c>
    </row>
    <row r="61" spans="1:17">
      <c r="A61" s="3">
        <v>45715</v>
      </c>
      <c r="B61" t="s">
        <v>17</v>
      </c>
      <c r="C61" t="s">
        <v>43</v>
      </c>
      <c r="D61" t="s">
        <v>44</v>
      </c>
      <c r="E61" t="s">
        <v>41</v>
      </c>
      <c r="F61">
        <v>4</v>
      </c>
      <c r="G61" s="4">
        <v>199.96</v>
      </c>
      <c r="H61" s="4">
        <v>99.8</v>
      </c>
      <c r="I61" t="s">
        <v>21</v>
      </c>
      <c r="J61" t="str">
        <f>VLOOKUP(C61,'Lookup Tables'!$A$2:$D$11,3,FALSE)</f>
        <v>Fitness</v>
      </c>
      <c r="K61" t="str">
        <f>VLOOKUP(B61,'Lookup Tables'!$F$2:$H$5,2,FALSE)</f>
        <v>Amanda Lee</v>
      </c>
      <c r="L61" s="5">
        <f>VLOOKUP(B61,'Lookup Tables'!$F$2:$H$5,3,FALSE)</f>
        <v>0.05</v>
      </c>
      <c r="M61" s="4">
        <f t="shared" si="0"/>
        <v>100.16000000000001</v>
      </c>
      <c r="N61" t="str">
        <f t="shared" si="1"/>
        <v>Standard</v>
      </c>
      <c r="O61" t="str">
        <f t="shared" si="2"/>
        <v>Strong Margin</v>
      </c>
      <c r="P61" t="str">
        <f t="shared" si="3"/>
        <v>Feb</v>
      </c>
      <c r="Q61" s="4">
        <f t="shared" si="4"/>
        <v>9.9980000000000011</v>
      </c>
    </row>
    <row r="62" spans="1:17">
      <c r="A62" s="3">
        <v>45715</v>
      </c>
      <c r="B62" t="s">
        <v>29</v>
      </c>
      <c r="C62" t="s">
        <v>26</v>
      </c>
      <c r="D62" t="s">
        <v>27</v>
      </c>
      <c r="E62" t="s">
        <v>37</v>
      </c>
      <c r="F62">
        <v>12</v>
      </c>
      <c r="G62" s="4">
        <v>359.88</v>
      </c>
      <c r="H62" s="4">
        <v>153</v>
      </c>
      <c r="I62" t="s">
        <v>21</v>
      </c>
      <c r="J62" t="str">
        <f>VLOOKUP(C62,'Lookup Tables'!$A$2:$D$11,3,FALSE)</f>
        <v>Travel</v>
      </c>
      <c r="K62" t="str">
        <f>VLOOKUP(B62,'Lookup Tables'!$F$2:$H$5,2,FALSE)</f>
        <v>Priya Shah</v>
      </c>
      <c r="L62" s="5">
        <f>VLOOKUP(B62,'Lookup Tables'!$F$2:$H$5,3,FALSE)</f>
        <v>4.4999999999999998E-2</v>
      </c>
      <c r="M62" s="4">
        <f t="shared" si="0"/>
        <v>206.88</v>
      </c>
      <c r="N62" t="str">
        <f t="shared" si="1"/>
        <v>Standard</v>
      </c>
      <c r="O62" t="str">
        <f t="shared" si="2"/>
        <v>Strong Margin</v>
      </c>
      <c r="P62" t="str">
        <f t="shared" si="3"/>
        <v>Feb</v>
      </c>
      <c r="Q62" s="4">
        <f t="shared" si="4"/>
        <v>16.194599999999998</v>
      </c>
    </row>
    <row r="63" spans="1:17">
      <c r="A63" s="3">
        <v>45716</v>
      </c>
      <c r="B63" t="s">
        <v>17</v>
      </c>
      <c r="C63" t="s">
        <v>38</v>
      </c>
      <c r="D63" t="s">
        <v>39</v>
      </c>
      <c r="E63" t="s">
        <v>51</v>
      </c>
      <c r="F63">
        <v>2</v>
      </c>
      <c r="G63" s="4">
        <v>379.98</v>
      </c>
      <c r="H63" s="4">
        <v>220.5</v>
      </c>
      <c r="I63" t="s">
        <v>21</v>
      </c>
      <c r="J63" t="str">
        <f>VLOOKUP(C63,'Lookup Tables'!$A$2:$D$11,3,FALSE)</f>
        <v>Office Furniture</v>
      </c>
      <c r="K63" t="str">
        <f>VLOOKUP(B63,'Lookup Tables'!$F$2:$H$5,2,FALSE)</f>
        <v>Amanda Lee</v>
      </c>
      <c r="L63" s="5">
        <f>VLOOKUP(B63,'Lookup Tables'!$F$2:$H$5,3,FALSE)</f>
        <v>0.05</v>
      </c>
      <c r="M63" s="4">
        <f t="shared" si="0"/>
        <v>159.48000000000002</v>
      </c>
      <c r="N63" t="str">
        <f t="shared" si="1"/>
        <v>Standard</v>
      </c>
      <c r="O63" t="str">
        <f t="shared" si="2"/>
        <v>Strong Margin</v>
      </c>
      <c r="P63" t="str">
        <f t="shared" si="3"/>
        <v>Feb</v>
      </c>
      <c r="Q63" s="4">
        <f t="shared" si="4"/>
        <v>18.999000000000002</v>
      </c>
    </row>
    <row r="64" spans="1:17">
      <c r="A64" s="3">
        <v>45720</v>
      </c>
      <c r="B64" t="s">
        <v>25</v>
      </c>
      <c r="C64" t="s">
        <v>38</v>
      </c>
      <c r="D64" t="s">
        <v>39</v>
      </c>
      <c r="E64" t="s">
        <v>51</v>
      </c>
      <c r="F64">
        <v>12</v>
      </c>
      <c r="G64" s="4">
        <v>2279.88</v>
      </c>
      <c r="H64" s="4">
        <v>1323</v>
      </c>
      <c r="I64" t="s">
        <v>21</v>
      </c>
      <c r="J64" t="str">
        <f>VLOOKUP(C64,'Lookup Tables'!$A$2:$D$11,3,FALSE)</f>
        <v>Office Furniture</v>
      </c>
      <c r="K64" t="str">
        <f>VLOOKUP(B64,'Lookup Tables'!$F$2:$H$5,2,FALSE)</f>
        <v>Carlos Rivera</v>
      </c>
      <c r="L64" s="5">
        <f>VLOOKUP(B64,'Lookup Tables'!$F$2:$H$5,3,FALSE)</f>
        <v>5.5E-2</v>
      </c>
      <c r="M64" s="4">
        <f t="shared" si="0"/>
        <v>956.88000000000011</v>
      </c>
      <c r="N64" t="str">
        <f t="shared" si="1"/>
        <v>High Value</v>
      </c>
      <c r="O64" t="str">
        <f t="shared" si="2"/>
        <v>Strong Margin</v>
      </c>
      <c r="P64" t="str">
        <f t="shared" si="3"/>
        <v>Mar</v>
      </c>
      <c r="Q64" s="4">
        <f t="shared" si="4"/>
        <v>125.3934</v>
      </c>
    </row>
    <row r="65" spans="1:17">
      <c r="A65" s="3">
        <v>45721</v>
      </c>
      <c r="B65" t="s">
        <v>17</v>
      </c>
      <c r="C65" t="s">
        <v>46</v>
      </c>
      <c r="D65" t="s">
        <v>47</v>
      </c>
      <c r="E65" t="s">
        <v>52</v>
      </c>
      <c r="F65">
        <v>26</v>
      </c>
      <c r="G65" s="4">
        <v>3244.6</v>
      </c>
      <c r="H65" s="4">
        <v>2449.1999999999998</v>
      </c>
      <c r="I65" t="s">
        <v>42</v>
      </c>
      <c r="J65" t="str">
        <f>VLOOKUP(C65,'Lookup Tables'!$A$2:$D$11,3,FALSE)</f>
        <v>Home Goods</v>
      </c>
      <c r="K65" t="str">
        <f>VLOOKUP(B65,'Lookup Tables'!$F$2:$H$5,2,FALSE)</f>
        <v>Amanda Lee</v>
      </c>
      <c r="L65" s="5">
        <f>VLOOKUP(B65,'Lookup Tables'!$F$2:$H$5,3,FALSE)</f>
        <v>0.05</v>
      </c>
      <c r="M65" s="4">
        <f t="shared" si="0"/>
        <v>795.40000000000009</v>
      </c>
      <c r="N65" t="str">
        <f t="shared" si="1"/>
        <v>High Value</v>
      </c>
      <c r="O65" t="str">
        <f t="shared" si="2"/>
        <v>Review Margin</v>
      </c>
      <c r="P65" t="str">
        <f t="shared" si="3"/>
        <v>Mar</v>
      </c>
      <c r="Q65" s="4">
        <f t="shared" si="4"/>
        <v>162.23000000000002</v>
      </c>
    </row>
    <row r="66" spans="1:17">
      <c r="A66" s="3">
        <v>45721</v>
      </c>
      <c r="B66" t="s">
        <v>50</v>
      </c>
      <c r="C66" t="s">
        <v>26</v>
      </c>
      <c r="D66" t="s">
        <v>27</v>
      </c>
      <c r="E66" t="s">
        <v>24</v>
      </c>
      <c r="F66">
        <v>9</v>
      </c>
      <c r="G66" s="4">
        <v>269.91000000000003</v>
      </c>
      <c r="H66" s="4">
        <v>114.75</v>
      </c>
      <c r="I66" t="s">
        <v>21</v>
      </c>
      <c r="J66" t="str">
        <f>VLOOKUP(C66,'Lookup Tables'!$A$2:$D$11,3,FALSE)</f>
        <v>Travel</v>
      </c>
      <c r="K66" t="str">
        <f>VLOOKUP(B66,'Lookup Tables'!$F$2:$H$5,2,FALSE)</f>
        <v>Marcus Green</v>
      </c>
      <c r="L66" s="5">
        <f>VLOOKUP(B66,'Lookup Tables'!$F$2:$H$5,3,FALSE)</f>
        <v>0.05</v>
      </c>
      <c r="M66" s="4">
        <f t="shared" ref="M66:M129" si="5">G66-H66</f>
        <v>155.16000000000003</v>
      </c>
      <c r="N66" t="str">
        <f t="shared" ref="N66:N129" si="6">IF(G66&gt;1000,"High Value","Standard")</f>
        <v>Standard</v>
      </c>
      <c r="O66" t="str">
        <f t="shared" ref="O66:O129" si="7">IF(M66/G66&lt;0.25,"Review Margin","Strong Margin")</f>
        <v>Strong Margin</v>
      </c>
      <c r="P66" t="str">
        <f t="shared" ref="P66:P129" si="8">TEXT(A66,"mmm")</f>
        <v>Mar</v>
      </c>
      <c r="Q66" s="4">
        <f t="shared" ref="Q66:Q129" si="9">G66*L66</f>
        <v>13.495500000000002</v>
      </c>
    </row>
    <row r="67" spans="1:17">
      <c r="A67" s="3">
        <v>45722</v>
      </c>
      <c r="B67" t="s">
        <v>50</v>
      </c>
      <c r="C67" t="s">
        <v>32</v>
      </c>
      <c r="D67" t="s">
        <v>33</v>
      </c>
      <c r="E67" t="s">
        <v>34</v>
      </c>
      <c r="F67">
        <v>8</v>
      </c>
      <c r="G67" s="4">
        <v>959.92</v>
      </c>
      <c r="H67" s="4">
        <v>548</v>
      </c>
      <c r="I67" t="s">
        <v>21</v>
      </c>
      <c r="J67" t="str">
        <f>VLOOKUP(C67,'Lookup Tables'!$A$2:$D$11,3,FALSE)</f>
        <v>Electronics</v>
      </c>
      <c r="K67" t="str">
        <f>VLOOKUP(B67,'Lookup Tables'!$F$2:$H$5,2,FALSE)</f>
        <v>Marcus Green</v>
      </c>
      <c r="L67" s="5">
        <f>VLOOKUP(B67,'Lookup Tables'!$F$2:$H$5,3,FALSE)</f>
        <v>0.05</v>
      </c>
      <c r="M67" s="4">
        <f t="shared" si="5"/>
        <v>411.91999999999996</v>
      </c>
      <c r="N67" t="str">
        <f t="shared" si="6"/>
        <v>Standard</v>
      </c>
      <c r="O67" t="str">
        <f t="shared" si="7"/>
        <v>Strong Margin</v>
      </c>
      <c r="P67" t="str">
        <f t="shared" si="8"/>
        <v>Mar</v>
      </c>
      <c r="Q67" s="4">
        <f t="shared" si="9"/>
        <v>47.996000000000002</v>
      </c>
    </row>
    <row r="68" spans="1:17">
      <c r="A68" s="3">
        <v>45723</v>
      </c>
      <c r="B68" t="s">
        <v>50</v>
      </c>
      <c r="C68" t="s">
        <v>43</v>
      </c>
      <c r="D68" t="s">
        <v>44</v>
      </c>
      <c r="E68" t="s">
        <v>45</v>
      </c>
      <c r="F68">
        <v>9</v>
      </c>
      <c r="G68" s="4">
        <v>350.93</v>
      </c>
      <c r="H68" s="4">
        <v>224.55</v>
      </c>
      <c r="I68" t="s">
        <v>42</v>
      </c>
      <c r="J68" t="str">
        <f>VLOOKUP(C68,'Lookup Tables'!$A$2:$D$11,3,FALSE)</f>
        <v>Fitness</v>
      </c>
      <c r="K68" t="str">
        <f>VLOOKUP(B68,'Lookup Tables'!$F$2:$H$5,2,FALSE)</f>
        <v>Marcus Green</v>
      </c>
      <c r="L68" s="5">
        <f>VLOOKUP(B68,'Lookup Tables'!$F$2:$H$5,3,FALSE)</f>
        <v>0.05</v>
      </c>
      <c r="M68" s="4">
        <f t="shared" si="5"/>
        <v>126.38</v>
      </c>
      <c r="N68" t="str">
        <f t="shared" si="6"/>
        <v>Standard</v>
      </c>
      <c r="O68" t="str">
        <f t="shared" si="7"/>
        <v>Strong Margin</v>
      </c>
      <c r="P68" t="str">
        <f t="shared" si="8"/>
        <v>Mar</v>
      </c>
      <c r="Q68" s="4">
        <f t="shared" si="9"/>
        <v>17.546500000000002</v>
      </c>
    </row>
    <row r="69" spans="1:17">
      <c r="A69" s="3">
        <v>45723</v>
      </c>
      <c r="B69" t="s">
        <v>50</v>
      </c>
      <c r="C69" t="s">
        <v>43</v>
      </c>
      <c r="D69" t="s">
        <v>44</v>
      </c>
      <c r="E69" t="s">
        <v>28</v>
      </c>
      <c r="F69">
        <v>20</v>
      </c>
      <c r="G69" s="4">
        <v>779.84</v>
      </c>
      <c r="H69" s="4">
        <v>499</v>
      </c>
      <c r="I69" t="s">
        <v>42</v>
      </c>
      <c r="J69" t="str">
        <f>VLOOKUP(C69,'Lookup Tables'!$A$2:$D$11,3,FALSE)</f>
        <v>Fitness</v>
      </c>
      <c r="K69" t="str">
        <f>VLOOKUP(B69,'Lookup Tables'!$F$2:$H$5,2,FALSE)</f>
        <v>Marcus Green</v>
      </c>
      <c r="L69" s="5">
        <f>VLOOKUP(B69,'Lookup Tables'!$F$2:$H$5,3,FALSE)</f>
        <v>0.05</v>
      </c>
      <c r="M69" s="4">
        <f t="shared" si="5"/>
        <v>280.84000000000003</v>
      </c>
      <c r="N69" t="str">
        <f t="shared" si="6"/>
        <v>Standard</v>
      </c>
      <c r="O69" t="str">
        <f t="shared" si="7"/>
        <v>Strong Margin</v>
      </c>
      <c r="P69" t="str">
        <f t="shared" si="8"/>
        <v>Mar</v>
      </c>
      <c r="Q69" s="4">
        <f t="shared" si="9"/>
        <v>38.992000000000004</v>
      </c>
    </row>
    <row r="70" spans="1:17">
      <c r="A70" s="3">
        <v>45723</v>
      </c>
      <c r="B70" t="s">
        <v>25</v>
      </c>
      <c r="C70" t="s">
        <v>30</v>
      </c>
      <c r="D70" t="s">
        <v>31</v>
      </c>
      <c r="E70" t="s">
        <v>40</v>
      </c>
      <c r="F70">
        <v>8</v>
      </c>
      <c r="G70" s="4">
        <v>374.34</v>
      </c>
      <c r="H70" s="4">
        <v>245.92</v>
      </c>
      <c r="I70" t="s">
        <v>42</v>
      </c>
      <c r="J70" t="str">
        <f>VLOOKUP(C70,'Lookup Tables'!$A$2:$D$11,3,FALSE)</f>
        <v>Fitness</v>
      </c>
      <c r="K70" t="str">
        <f>VLOOKUP(B70,'Lookup Tables'!$F$2:$H$5,2,FALSE)</f>
        <v>Carlos Rivera</v>
      </c>
      <c r="L70" s="5">
        <f>VLOOKUP(B70,'Lookup Tables'!$F$2:$H$5,3,FALSE)</f>
        <v>5.5E-2</v>
      </c>
      <c r="M70" s="4">
        <f t="shared" si="5"/>
        <v>128.41999999999999</v>
      </c>
      <c r="N70" t="str">
        <f t="shared" si="6"/>
        <v>Standard</v>
      </c>
      <c r="O70" t="str">
        <f t="shared" si="7"/>
        <v>Strong Margin</v>
      </c>
      <c r="P70" t="str">
        <f t="shared" si="8"/>
        <v>Mar</v>
      </c>
      <c r="Q70" s="4">
        <f t="shared" si="9"/>
        <v>20.588699999999999</v>
      </c>
    </row>
    <row r="71" spans="1:17">
      <c r="A71" s="3">
        <v>45724</v>
      </c>
      <c r="B71" t="s">
        <v>25</v>
      </c>
      <c r="C71" t="s">
        <v>18</v>
      </c>
      <c r="D71" t="s">
        <v>19</v>
      </c>
      <c r="E71" t="s">
        <v>34</v>
      </c>
      <c r="F71">
        <v>2</v>
      </c>
      <c r="G71" s="4">
        <v>499.98</v>
      </c>
      <c r="H71" s="4">
        <v>290</v>
      </c>
      <c r="I71" t="s">
        <v>21</v>
      </c>
      <c r="J71" t="str">
        <f>VLOOKUP(C71,'Lookup Tables'!$A$2:$D$11,3,FALSE)</f>
        <v>Office Furniture</v>
      </c>
      <c r="K71" t="str">
        <f>VLOOKUP(B71,'Lookup Tables'!$F$2:$H$5,2,FALSE)</f>
        <v>Carlos Rivera</v>
      </c>
      <c r="L71" s="5">
        <f>VLOOKUP(B71,'Lookup Tables'!$F$2:$H$5,3,FALSE)</f>
        <v>5.5E-2</v>
      </c>
      <c r="M71" s="4">
        <f t="shared" si="5"/>
        <v>209.98000000000002</v>
      </c>
      <c r="N71" t="str">
        <f t="shared" si="6"/>
        <v>Standard</v>
      </c>
      <c r="O71" t="str">
        <f t="shared" si="7"/>
        <v>Strong Margin</v>
      </c>
      <c r="P71" t="str">
        <f t="shared" si="8"/>
        <v>Mar</v>
      </c>
      <c r="Q71" s="4">
        <f t="shared" si="9"/>
        <v>27.498900000000003</v>
      </c>
    </row>
    <row r="72" spans="1:17">
      <c r="A72" s="3">
        <v>45726</v>
      </c>
      <c r="B72" t="s">
        <v>29</v>
      </c>
      <c r="C72" t="s">
        <v>30</v>
      </c>
      <c r="D72" t="s">
        <v>31</v>
      </c>
      <c r="E72" t="s">
        <v>52</v>
      </c>
      <c r="F72">
        <v>4</v>
      </c>
      <c r="G72" s="4">
        <v>239.96</v>
      </c>
      <c r="H72" s="4">
        <v>122.96</v>
      </c>
      <c r="I72" t="s">
        <v>21</v>
      </c>
      <c r="J72" t="str">
        <f>VLOOKUP(C72,'Lookup Tables'!$A$2:$D$11,3,FALSE)</f>
        <v>Fitness</v>
      </c>
      <c r="K72" t="str">
        <f>VLOOKUP(B72,'Lookup Tables'!$F$2:$H$5,2,FALSE)</f>
        <v>Priya Shah</v>
      </c>
      <c r="L72" s="5">
        <f>VLOOKUP(B72,'Lookup Tables'!$F$2:$H$5,3,FALSE)</f>
        <v>4.4999999999999998E-2</v>
      </c>
      <c r="M72" s="4">
        <f t="shared" si="5"/>
        <v>117.00000000000001</v>
      </c>
      <c r="N72" t="str">
        <f t="shared" si="6"/>
        <v>Standard</v>
      </c>
      <c r="O72" t="str">
        <f t="shared" si="7"/>
        <v>Strong Margin</v>
      </c>
      <c r="P72" t="str">
        <f t="shared" si="8"/>
        <v>Mar</v>
      </c>
      <c r="Q72" s="4">
        <f t="shared" si="9"/>
        <v>10.7982</v>
      </c>
    </row>
    <row r="73" spans="1:17">
      <c r="A73" s="3">
        <v>45727</v>
      </c>
      <c r="B73" t="s">
        <v>17</v>
      </c>
      <c r="C73" t="s">
        <v>32</v>
      </c>
      <c r="D73" t="s">
        <v>33</v>
      </c>
      <c r="E73" t="s">
        <v>51</v>
      </c>
      <c r="F73">
        <v>23</v>
      </c>
      <c r="G73" s="4">
        <v>2152.62</v>
      </c>
      <c r="H73" s="4">
        <v>1575.5</v>
      </c>
      <c r="I73" t="s">
        <v>42</v>
      </c>
      <c r="J73" t="str">
        <f>VLOOKUP(C73,'Lookup Tables'!$A$2:$D$11,3,FALSE)</f>
        <v>Electronics</v>
      </c>
      <c r="K73" t="str">
        <f>VLOOKUP(B73,'Lookup Tables'!$F$2:$H$5,2,FALSE)</f>
        <v>Amanda Lee</v>
      </c>
      <c r="L73" s="5">
        <f>VLOOKUP(B73,'Lookup Tables'!$F$2:$H$5,3,FALSE)</f>
        <v>0.05</v>
      </c>
      <c r="M73" s="4">
        <f t="shared" si="5"/>
        <v>577.11999999999989</v>
      </c>
      <c r="N73" t="str">
        <f t="shared" si="6"/>
        <v>High Value</v>
      </c>
      <c r="O73" t="str">
        <f t="shared" si="7"/>
        <v>Strong Margin</v>
      </c>
      <c r="P73" t="str">
        <f t="shared" si="8"/>
        <v>Mar</v>
      </c>
      <c r="Q73" s="4">
        <f t="shared" si="9"/>
        <v>107.631</v>
      </c>
    </row>
    <row r="74" spans="1:17">
      <c r="A74" s="3">
        <v>45727</v>
      </c>
      <c r="B74" t="s">
        <v>25</v>
      </c>
      <c r="C74" t="s">
        <v>46</v>
      </c>
      <c r="D74" t="s">
        <v>47</v>
      </c>
      <c r="E74" t="s">
        <v>34</v>
      </c>
      <c r="F74">
        <v>23</v>
      </c>
      <c r="G74" s="4">
        <v>2870.22</v>
      </c>
      <c r="H74" s="4">
        <v>2166.6</v>
      </c>
      <c r="I74" t="s">
        <v>42</v>
      </c>
      <c r="J74" t="str">
        <f>VLOOKUP(C74,'Lookup Tables'!$A$2:$D$11,3,FALSE)</f>
        <v>Home Goods</v>
      </c>
      <c r="K74" t="str">
        <f>VLOOKUP(B74,'Lookup Tables'!$F$2:$H$5,2,FALSE)</f>
        <v>Carlos Rivera</v>
      </c>
      <c r="L74" s="5">
        <f>VLOOKUP(B74,'Lookup Tables'!$F$2:$H$5,3,FALSE)</f>
        <v>5.5E-2</v>
      </c>
      <c r="M74" s="4">
        <f t="shared" si="5"/>
        <v>703.61999999999989</v>
      </c>
      <c r="N74" t="str">
        <f t="shared" si="6"/>
        <v>High Value</v>
      </c>
      <c r="O74" t="str">
        <f t="shared" si="7"/>
        <v>Review Margin</v>
      </c>
      <c r="P74" t="str">
        <f t="shared" si="8"/>
        <v>Mar</v>
      </c>
      <c r="Q74" s="4">
        <f t="shared" si="9"/>
        <v>157.8621</v>
      </c>
    </row>
    <row r="75" spans="1:17">
      <c r="A75" s="3">
        <v>45730</v>
      </c>
      <c r="B75" t="s">
        <v>29</v>
      </c>
      <c r="C75" t="s">
        <v>22</v>
      </c>
      <c r="D75" t="s">
        <v>23</v>
      </c>
      <c r="E75" t="s">
        <v>20</v>
      </c>
      <c r="F75">
        <v>6</v>
      </c>
      <c r="G75" s="4">
        <v>479.94</v>
      </c>
      <c r="H75" s="4">
        <v>252</v>
      </c>
      <c r="I75" t="s">
        <v>21</v>
      </c>
      <c r="J75" t="str">
        <f>VLOOKUP(C75,'Lookup Tables'!$A$2:$D$11,3,FALSE)</f>
        <v>Electronics</v>
      </c>
      <c r="K75" t="str">
        <f>VLOOKUP(B75,'Lookup Tables'!$F$2:$H$5,2,FALSE)</f>
        <v>Priya Shah</v>
      </c>
      <c r="L75" s="5">
        <f>VLOOKUP(B75,'Lookup Tables'!$F$2:$H$5,3,FALSE)</f>
        <v>4.4999999999999998E-2</v>
      </c>
      <c r="M75" s="4">
        <f t="shared" si="5"/>
        <v>227.94</v>
      </c>
      <c r="N75" t="str">
        <f t="shared" si="6"/>
        <v>Standard</v>
      </c>
      <c r="O75" t="str">
        <f t="shared" si="7"/>
        <v>Strong Margin</v>
      </c>
      <c r="P75" t="str">
        <f t="shared" si="8"/>
        <v>Mar</v>
      </c>
      <c r="Q75" s="4">
        <f t="shared" si="9"/>
        <v>21.597300000000001</v>
      </c>
    </row>
    <row r="76" spans="1:17">
      <c r="A76" s="3">
        <v>45730</v>
      </c>
      <c r="B76" t="s">
        <v>17</v>
      </c>
      <c r="C76" t="s">
        <v>35</v>
      </c>
      <c r="D76" t="s">
        <v>36</v>
      </c>
      <c r="E76" t="s">
        <v>28</v>
      </c>
      <c r="F76">
        <v>2</v>
      </c>
      <c r="G76" s="4">
        <v>279.98</v>
      </c>
      <c r="H76" s="4">
        <v>152.94</v>
      </c>
      <c r="I76" t="s">
        <v>21</v>
      </c>
      <c r="J76" t="str">
        <f>VLOOKUP(C76,'Lookup Tables'!$A$2:$D$11,3,FALSE)</f>
        <v>Home Goods</v>
      </c>
      <c r="K76" t="str">
        <f>VLOOKUP(B76,'Lookup Tables'!$F$2:$H$5,2,FALSE)</f>
        <v>Amanda Lee</v>
      </c>
      <c r="L76" s="5">
        <f>VLOOKUP(B76,'Lookup Tables'!$F$2:$H$5,3,FALSE)</f>
        <v>0.05</v>
      </c>
      <c r="M76" s="4">
        <f t="shared" si="5"/>
        <v>127.04000000000002</v>
      </c>
      <c r="N76" t="str">
        <f t="shared" si="6"/>
        <v>Standard</v>
      </c>
      <c r="O76" t="str">
        <f t="shared" si="7"/>
        <v>Strong Margin</v>
      </c>
      <c r="P76" t="str">
        <f t="shared" si="8"/>
        <v>Mar</v>
      </c>
      <c r="Q76" s="4">
        <f t="shared" si="9"/>
        <v>13.999000000000002</v>
      </c>
    </row>
    <row r="77" spans="1:17">
      <c r="A77" s="3">
        <v>45731</v>
      </c>
      <c r="B77" t="s">
        <v>17</v>
      </c>
      <c r="C77" t="s">
        <v>48</v>
      </c>
      <c r="D77" t="s">
        <v>49</v>
      </c>
      <c r="E77" t="s">
        <v>37</v>
      </c>
      <c r="F77">
        <v>11</v>
      </c>
      <c r="G77" s="4">
        <v>989.89</v>
      </c>
      <c r="H77" s="4">
        <v>570.13</v>
      </c>
      <c r="I77" t="s">
        <v>21</v>
      </c>
      <c r="J77" t="str">
        <f>VLOOKUP(C77,'Lookup Tables'!$A$2:$D$11,3,FALSE)</f>
        <v>Travel</v>
      </c>
      <c r="K77" t="str">
        <f>VLOOKUP(B77,'Lookup Tables'!$F$2:$H$5,2,FALSE)</f>
        <v>Amanda Lee</v>
      </c>
      <c r="L77" s="5">
        <f>VLOOKUP(B77,'Lookup Tables'!$F$2:$H$5,3,FALSE)</f>
        <v>0.05</v>
      </c>
      <c r="M77" s="4">
        <f t="shared" si="5"/>
        <v>419.76</v>
      </c>
      <c r="N77" t="str">
        <f t="shared" si="6"/>
        <v>Standard</v>
      </c>
      <c r="O77" t="str">
        <f t="shared" si="7"/>
        <v>Strong Margin</v>
      </c>
      <c r="P77" t="str">
        <f t="shared" si="8"/>
        <v>Mar</v>
      </c>
      <c r="Q77" s="4">
        <f t="shared" si="9"/>
        <v>49.494500000000002</v>
      </c>
    </row>
    <row r="78" spans="1:17">
      <c r="A78" s="3">
        <v>45732</v>
      </c>
      <c r="B78" t="s">
        <v>17</v>
      </c>
      <c r="C78" t="s">
        <v>26</v>
      </c>
      <c r="D78" t="s">
        <v>27</v>
      </c>
      <c r="E78" t="s">
        <v>52</v>
      </c>
      <c r="F78">
        <v>8</v>
      </c>
      <c r="G78" s="4">
        <v>239.92</v>
      </c>
      <c r="H78" s="4">
        <v>102</v>
      </c>
      <c r="I78" t="s">
        <v>21</v>
      </c>
      <c r="J78" t="str">
        <f>VLOOKUP(C78,'Lookup Tables'!$A$2:$D$11,3,FALSE)</f>
        <v>Travel</v>
      </c>
      <c r="K78" t="str">
        <f>VLOOKUP(B78,'Lookup Tables'!$F$2:$H$5,2,FALSE)</f>
        <v>Amanda Lee</v>
      </c>
      <c r="L78" s="5">
        <f>VLOOKUP(B78,'Lookup Tables'!$F$2:$H$5,3,FALSE)</f>
        <v>0.05</v>
      </c>
      <c r="M78" s="4">
        <f t="shared" si="5"/>
        <v>137.91999999999999</v>
      </c>
      <c r="N78" t="str">
        <f t="shared" si="6"/>
        <v>Standard</v>
      </c>
      <c r="O78" t="str">
        <f t="shared" si="7"/>
        <v>Strong Margin</v>
      </c>
      <c r="P78" t="str">
        <f t="shared" si="8"/>
        <v>Mar</v>
      </c>
      <c r="Q78" s="4">
        <f t="shared" si="9"/>
        <v>11.996</v>
      </c>
    </row>
    <row r="79" spans="1:17">
      <c r="A79" s="3">
        <v>45733</v>
      </c>
      <c r="B79" t="s">
        <v>17</v>
      </c>
      <c r="C79" t="s">
        <v>46</v>
      </c>
      <c r="D79" t="s">
        <v>47</v>
      </c>
      <c r="E79" t="s">
        <v>37</v>
      </c>
      <c r="F79">
        <v>8</v>
      </c>
      <c r="G79" s="4">
        <v>1279.92</v>
      </c>
      <c r="H79" s="4">
        <v>753.6</v>
      </c>
      <c r="I79" t="s">
        <v>21</v>
      </c>
      <c r="J79" t="str">
        <f>VLOOKUP(C79,'Lookup Tables'!$A$2:$D$11,3,FALSE)</f>
        <v>Home Goods</v>
      </c>
      <c r="K79" t="str">
        <f>VLOOKUP(B79,'Lookup Tables'!$F$2:$H$5,2,FALSE)</f>
        <v>Amanda Lee</v>
      </c>
      <c r="L79" s="5">
        <f>VLOOKUP(B79,'Lookup Tables'!$F$2:$H$5,3,FALSE)</f>
        <v>0.05</v>
      </c>
      <c r="M79" s="4">
        <f t="shared" si="5"/>
        <v>526.32000000000005</v>
      </c>
      <c r="N79" t="str">
        <f t="shared" si="6"/>
        <v>High Value</v>
      </c>
      <c r="O79" t="str">
        <f t="shared" si="7"/>
        <v>Strong Margin</v>
      </c>
      <c r="P79" t="str">
        <f t="shared" si="8"/>
        <v>Mar</v>
      </c>
      <c r="Q79" s="4">
        <f t="shared" si="9"/>
        <v>63.996000000000009</v>
      </c>
    </row>
    <row r="80" spans="1:17">
      <c r="A80" s="3">
        <v>45734</v>
      </c>
      <c r="B80" t="s">
        <v>17</v>
      </c>
      <c r="C80" t="s">
        <v>38</v>
      </c>
      <c r="D80" t="s">
        <v>39</v>
      </c>
      <c r="E80" t="s">
        <v>37</v>
      </c>
      <c r="F80">
        <v>6</v>
      </c>
      <c r="G80" s="4">
        <v>1139.94</v>
      </c>
      <c r="H80" s="4">
        <v>661.5</v>
      </c>
      <c r="I80" t="s">
        <v>21</v>
      </c>
      <c r="J80" t="str">
        <f>VLOOKUP(C80,'Lookup Tables'!$A$2:$D$11,3,FALSE)</f>
        <v>Office Furniture</v>
      </c>
      <c r="K80" t="str">
        <f>VLOOKUP(B80,'Lookup Tables'!$F$2:$H$5,2,FALSE)</f>
        <v>Amanda Lee</v>
      </c>
      <c r="L80" s="5">
        <f>VLOOKUP(B80,'Lookup Tables'!$F$2:$H$5,3,FALSE)</f>
        <v>0.05</v>
      </c>
      <c r="M80" s="4">
        <f t="shared" si="5"/>
        <v>478.44000000000005</v>
      </c>
      <c r="N80" t="str">
        <f t="shared" si="6"/>
        <v>High Value</v>
      </c>
      <c r="O80" t="str">
        <f t="shared" si="7"/>
        <v>Strong Margin</v>
      </c>
      <c r="P80" t="str">
        <f t="shared" si="8"/>
        <v>Mar</v>
      </c>
      <c r="Q80" s="4">
        <f t="shared" si="9"/>
        <v>56.997000000000007</v>
      </c>
    </row>
    <row r="81" spans="1:17">
      <c r="A81" s="3">
        <v>45735</v>
      </c>
      <c r="B81" t="s">
        <v>29</v>
      </c>
      <c r="C81" t="s">
        <v>30</v>
      </c>
      <c r="D81" t="s">
        <v>31</v>
      </c>
      <c r="E81" t="s">
        <v>40</v>
      </c>
      <c r="F81">
        <v>25</v>
      </c>
      <c r="G81" s="4">
        <v>1169.81</v>
      </c>
      <c r="H81" s="4">
        <v>768.5</v>
      </c>
      <c r="I81" t="s">
        <v>42</v>
      </c>
      <c r="J81" t="str">
        <f>VLOOKUP(C81,'Lookup Tables'!$A$2:$D$11,3,FALSE)</f>
        <v>Fitness</v>
      </c>
      <c r="K81" t="str">
        <f>VLOOKUP(B81,'Lookup Tables'!$F$2:$H$5,2,FALSE)</f>
        <v>Priya Shah</v>
      </c>
      <c r="L81" s="5">
        <f>VLOOKUP(B81,'Lookup Tables'!$F$2:$H$5,3,FALSE)</f>
        <v>4.4999999999999998E-2</v>
      </c>
      <c r="M81" s="4">
        <f t="shared" si="5"/>
        <v>401.30999999999995</v>
      </c>
      <c r="N81" t="str">
        <f t="shared" si="6"/>
        <v>High Value</v>
      </c>
      <c r="O81" t="str">
        <f t="shared" si="7"/>
        <v>Strong Margin</v>
      </c>
      <c r="P81" t="str">
        <f t="shared" si="8"/>
        <v>Mar</v>
      </c>
      <c r="Q81" s="4">
        <f t="shared" si="9"/>
        <v>52.641449999999999</v>
      </c>
    </row>
    <row r="82" spans="1:17">
      <c r="A82" s="3">
        <v>45743</v>
      </c>
      <c r="B82" t="s">
        <v>50</v>
      </c>
      <c r="C82" t="s">
        <v>32</v>
      </c>
      <c r="D82" t="s">
        <v>33</v>
      </c>
      <c r="E82" t="s">
        <v>37</v>
      </c>
      <c r="F82">
        <v>5</v>
      </c>
      <c r="G82" s="4">
        <v>599.95000000000005</v>
      </c>
      <c r="H82" s="4">
        <v>342.5</v>
      </c>
      <c r="I82" t="s">
        <v>21</v>
      </c>
      <c r="J82" t="str">
        <f>VLOOKUP(C82,'Lookup Tables'!$A$2:$D$11,3,FALSE)</f>
        <v>Electronics</v>
      </c>
      <c r="K82" t="str">
        <f>VLOOKUP(B82,'Lookup Tables'!$F$2:$H$5,2,FALSE)</f>
        <v>Marcus Green</v>
      </c>
      <c r="L82" s="5">
        <f>VLOOKUP(B82,'Lookup Tables'!$F$2:$H$5,3,FALSE)</f>
        <v>0.05</v>
      </c>
      <c r="M82" s="4">
        <f t="shared" si="5"/>
        <v>257.45000000000005</v>
      </c>
      <c r="N82" t="str">
        <f t="shared" si="6"/>
        <v>Standard</v>
      </c>
      <c r="O82" t="str">
        <f t="shared" si="7"/>
        <v>Strong Margin</v>
      </c>
      <c r="P82" t="str">
        <f t="shared" si="8"/>
        <v>Mar</v>
      </c>
      <c r="Q82" s="4">
        <f t="shared" si="9"/>
        <v>29.997500000000002</v>
      </c>
    </row>
    <row r="83" spans="1:17">
      <c r="A83" s="3">
        <v>45743</v>
      </c>
      <c r="B83" t="s">
        <v>25</v>
      </c>
      <c r="C83" t="s">
        <v>43</v>
      </c>
      <c r="D83" t="s">
        <v>44</v>
      </c>
      <c r="E83" t="s">
        <v>37</v>
      </c>
      <c r="F83">
        <v>4</v>
      </c>
      <c r="G83" s="4">
        <v>199.96</v>
      </c>
      <c r="H83" s="4">
        <v>99.8</v>
      </c>
      <c r="I83" t="s">
        <v>21</v>
      </c>
      <c r="J83" t="str">
        <f>VLOOKUP(C83,'Lookup Tables'!$A$2:$D$11,3,FALSE)</f>
        <v>Fitness</v>
      </c>
      <c r="K83" t="str">
        <f>VLOOKUP(B83,'Lookup Tables'!$F$2:$H$5,2,FALSE)</f>
        <v>Carlos Rivera</v>
      </c>
      <c r="L83" s="5">
        <f>VLOOKUP(B83,'Lookup Tables'!$F$2:$H$5,3,FALSE)</f>
        <v>5.5E-2</v>
      </c>
      <c r="M83" s="4">
        <f t="shared" si="5"/>
        <v>100.16000000000001</v>
      </c>
      <c r="N83" t="str">
        <f t="shared" si="6"/>
        <v>Standard</v>
      </c>
      <c r="O83" t="str">
        <f t="shared" si="7"/>
        <v>Strong Margin</v>
      </c>
      <c r="P83" t="str">
        <f t="shared" si="8"/>
        <v>Mar</v>
      </c>
      <c r="Q83" s="4">
        <f t="shared" si="9"/>
        <v>10.9978</v>
      </c>
    </row>
    <row r="84" spans="1:17">
      <c r="A84" s="3">
        <v>45743</v>
      </c>
      <c r="B84" t="s">
        <v>50</v>
      </c>
      <c r="C84" t="s">
        <v>43</v>
      </c>
      <c r="D84" t="s">
        <v>44</v>
      </c>
      <c r="E84" t="s">
        <v>28</v>
      </c>
      <c r="F84">
        <v>8</v>
      </c>
      <c r="G84" s="4">
        <v>399.92</v>
      </c>
      <c r="H84" s="4">
        <v>199.6</v>
      </c>
      <c r="I84" t="s">
        <v>21</v>
      </c>
      <c r="J84" t="str">
        <f>VLOOKUP(C84,'Lookup Tables'!$A$2:$D$11,3,FALSE)</f>
        <v>Fitness</v>
      </c>
      <c r="K84" t="str">
        <f>VLOOKUP(B84,'Lookup Tables'!$F$2:$H$5,2,FALSE)</f>
        <v>Marcus Green</v>
      </c>
      <c r="L84" s="5">
        <f>VLOOKUP(B84,'Lookup Tables'!$F$2:$H$5,3,FALSE)</f>
        <v>0.05</v>
      </c>
      <c r="M84" s="4">
        <f t="shared" si="5"/>
        <v>200.32000000000002</v>
      </c>
      <c r="N84" t="str">
        <f t="shared" si="6"/>
        <v>Standard</v>
      </c>
      <c r="O84" t="str">
        <f t="shared" si="7"/>
        <v>Strong Margin</v>
      </c>
      <c r="P84" t="str">
        <f t="shared" si="8"/>
        <v>Mar</v>
      </c>
      <c r="Q84" s="4">
        <f t="shared" si="9"/>
        <v>19.996000000000002</v>
      </c>
    </row>
    <row r="85" spans="1:17">
      <c r="A85" s="3">
        <v>45744</v>
      </c>
      <c r="B85" t="s">
        <v>17</v>
      </c>
      <c r="C85" t="s">
        <v>38</v>
      </c>
      <c r="D85" t="s">
        <v>39</v>
      </c>
      <c r="E85" t="s">
        <v>37</v>
      </c>
      <c r="F85">
        <v>4</v>
      </c>
      <c r="G85" s="4">
        <v>759.96</v>
      </c>
      <c r="H85" s="4">
        <v>441</v>
      </c>
      <c r="I85" t="s">
        <v>21</v>
      </c>
      <c r="J85" t="str">
        <f>VLOOKUP(C85,'Lookup Tables'!$A$2:$D$11,3,FALSE)</f>
        <v>Office Furniture</v>
      </c>
      <c r="K85" t="str">
        <f>VLOOKUP(B85,'Lookup Tables'!$F$2:$H$5,2,FALSE)</f>
        <v>Amanda Lee</v>
      </c>
      <c r="L85" s="5">
        <f>VLOOKUP(B85,'Lookup Tables'!$F$2:$H$5,3,FALSE)</f>
        <v>0.05</v>
      </c>
      <c r="M85" s="4">
        <f t="shared" si="5"/>
        <v>318.96000000000004</v>
      </c>
      <c r="N85" t="str">
        <f t="shared" si="6"/>
        <v>Standard</v>
      </c>
      <c r="O85" t="str">
        <f t="shared" si="7"/>
        <v>Strong Margin</v>
      </c>
      <c r="P85" t="str">
        <f t="shared" si="8"/>
        <v>Mar</v>
      </c>
      <c r="Q85" s="4">
        <f t="shared" si="9"/>
        <v>37.998000000000005</v>
      </c>
    </row>
    <row r="86" spans="1:17">
      <c r="A86" s="3">
        <v>45745</v>
      </c>
      <c r="B86" t="s">
        <v>29</v>
      </c>
      <c r="C86" t="s">
        <v>32</v>
      </c>
      <c r="D86" t="s">
        <v>33</v>
      </c>
      <c r="E86" t="s">
        <v>24</v>
      </c>
      <c r="F86">
        <v>9</v>
      </c>
      <c r="G86" s="4">
        <v>1079.9100000000001</v>
      </c>
      <c r="H86" s="4">
        <v>616.5</v>
      </c>
      <c r="I86" t="s">
        <v>21</v>
      </c>
      <c r="J86" t="str">
        <f>VLOOKUP(C86,'Lookup Tables'!$A$2:$D$11,3,FALSE)</f>
        <v>Electronics</v>
      </c>
      <c r="K86" t="str">
        <f>VLOOKUP(B86,'Lookup Tables'!$F$2:$H$5,2,FALSE)</f>
        <v>Priya Shah</v>
      </c>
      <c r="L86" s="5">
        <f>VLOOKUP(B86,'Lookup Tables'!$F$2:$H$5,3,FALSE)</f>
        <v>4.4999999999999998E-2</v>
      </c>
      <c r="M86" s="4">
        <f t="shared" si="5"/>
        <v>463.41000000000008</v>
      </c>
      <c r="N86" t="str">
        <f t="shared" si="6"/>
        <v>High Value</v>
      </c>
      <c r="O86" t="str">
        <f t="shared" si="7"/>
        <v>Strong Margin</v>
      </c>
      <c r="P86" t="str">
        <f t="shared" si="8"/>
        <v>Mar</v>
      </c>
      <c r="Q86" s="4">
        <f t="shared" si="9"/>
        <v>48.595950000000002</v>
      </c>
    </row>
    <row r="87" spans="1:17">
      <c r="A87" s="3">
        <v>45745</v>
      </c>
      <c r="B87" t="s">
        <v>29</v>
      </c>
      <c r="C87" t="s">
        <v>30</v>
      </c>
      <c r="D87" t="s">
        <v>31</v>
      </c>
      <c r="E87" t="s">
        <v>28</v>
      </c>
      <c r="F87">
        <v>29</v>
      </c>
      <c r="G87" s="4">
        <v>1356.97</v>
      </c>
      <c r="H87" s="4">
        <v>891.46</v>
      </c>
      <c r="I87" t="s">
        <v>42</v>
      </c>
      <c r="J87" t="str">
        <f>VLOOKUP(C87,'Lookup Tables'!$A$2:$D$11,3,FALSE)</f>
        <v>Fitness</v>
      </c>
      <c r="K87" t="str">
        <f>VLOOKUP(B87,'Lookup Tables'!$F$2:$H$5,2,FALSE)</f>
        <v>Priya Shah</v>
      </c>
      <c r="L87" s="5">
        <f>VLOOKUP(B87,'Lookup Tables'!$F$2:$H$5,3,FALSE)</f>
        <v>4.4999999999999998E-2</v>
      </c>
      <c r="M87" s="4">
        <f t="shared" si="5"/>
        <v>465.51</v>
      </c>
      <c r="N87" t="str">
        <f t="shared" si="6"/>
        <v>High Value</v>
      </c>
      <c r="O87" t="str">
        <f t="shared" si="7"/>
        <v>Strong Margin</v>
      </c>
      <c r="P87" t="str">
        <f t="shared" si="8"/>
        <v>Mar</v>
      </c>
      <c r="Q87" s="4">
        <f t="shared" si="9"/>
        <v>61.063649999999996</v>
      </c>
    </row>
    <row r="88" spans="1:17">
      <c r="A88" s="3">
        <v>45746</v>
      </c>
      <c r="B88" t="s">
        <v>50</v>
      </c>
      <c r="C88" t="s">
        <v>48</v>
      </c>
      <c r="D88" t="s">
        <v>49</v>
      </c>
      <c r="E88" t="s">
        <v>37</v>
      </c>
      <c r="F88">
        <v>17</v>
      </c>
      <c r="G88" s="4">
        <v>1193.27</v>
      </c>
      <c r="H88" s="4">
        <v>881.11</v>
      </c>
      <c r="I88" t="s">
        <v>42</v>
      </c>
      <c r="J88" t="str">
        <f>VLOOKUP(C88,'Lookup Tables'!$A$2:$D$11,3,FALSE)</f>
        <v>Travel</v>
      </c>
      <c r="K88" t="str">
        <f>VLOOKUP(B88,'Lookup Tables'!$F$2:$H$5,2,FALSE)</f>
        <v>Marcus Green</v>
      </c>
      <c r="L88" s="5">
        <f>VLOOKUP(B88,'Lookup Tables'!$F$2:$H$5,3,FALSE)</f>
        <v>0.05</v>
      </c>
      <c r="M88" s="4">
        <f t="shared" si="5"/>
        <v>312.15999999999997</v>
      </c>
      <c r="N88" t="str">
        <f t="shared" si="6"/>
        <v>High Value</v>
      </c>
      <c r="O88" t="str">
        <f t="shared" si="7"/>
        <v>Strong Margin</v>
      </c>
      <c r="P88" t="str">
        <f t="shared" si="8"/>
        <v>Mar</v>
      </c>
      <c r="Q88" s="4">
        <f t="shared" si="9"/>
        <v>59.663499999999999</v>
      </c>
    </row>
    <row r="89" spans="1:17">
      <c r="A89" s="3">
        <v>45750</v>
      </c>
      <c r="B89" t="s">
        <v>50</v>
      </c>
      <c r="C89" t="s">
        <v>26</v>
      </c>
      <c r="D89" t="s">
        <v>27</v>
      </c>
      <c r="E89" t="s">
        <v>37</v>
      </c>
      <c r="F89">
        <v>22</v>
      </c>
      <c r="G89" s="4">
        <v>514.63</v>
      </c>
      <c r="H89" s="4">
        <v>280.5</v>
      </c>
      <c r="I89" t="s">
        <v>42</v>
      </c>
      <c r="J89" t="str">
        <f>VLOOKUP(C89,'Lookup Tables'!$A$2:$D$11,3,FALSE)</f>
        <v>Travel</v>
      </c>
      <c r="K89" t="str">
        <f>VLOOKUP(B89,'Lookup Tables'!$F$2:$H$5,2,FALSE)</f>
        <v>Marcus Green</v>
      </c>
      <c r="L89" s="5">
        <f>VLOOKUP(B89,'Lookup Tables'!$F$2:$H$5,3,FALSE)</f>
        <v>0.05</v>
      </c>
      <c r="M89" s="4">
        <f t="shared" si="5"/>
        <v>234.13</v>
      </c>
      <c r="N89" t="str">
        <f t="shared" si="6"/>
        <v>Standard</v>
      </c>
      <c r="O89" t="str">
        <f t="shared" si="7"/>
        <v>Strong Margin</v>
      </c>
      <c r="P89" t="str">
        <f t="shared" si="8"/>
        <v>Apr</v>
      </c>
      <c r="Q89" s="4">
        <f t="shared" si="9"/>
        <v>25.7315</v>
      </c>
    </row>
    <row r="90" spans="1:17">
      <c r="A90" s="3">
        <v>45750</v>
      </c>
      <c r="B90" t="s">
        <v>17</v>
      </c>
      <c r="C90" t="s">
        <v>46</v>
      </c>
      <c r="D90" t="s">
        <v>47</v>
      </c>
      <c r="E90" t="s">
        <v>24</v>
      </c>
      <c r="F90">
        <v>22</v>
      </c>
      <c r="G90" s="4">
        <v>2745.43</v>
      </c>
      <c r="H90" s="4">
        <v>2072.4</v>
      </c>
      <c r="I90" t="s">
        <v>42</v>
      </c>
      <c r="J90" t="str">
        <f>VLOOKUP(C90,'Lookup Tables'!$A$2:$D$11,3,FALSE)</f>
        <v>Home Goods</v>
      </c>
      <c r="K90" t="str">
        <f>VLOOKUP(B90,'Lookup Tables'!$F$2:$H$5,2,FALSE)</f>
        <v>Amanda Lee</v>
      </c>
      <c r="L90" s="5">
        <f>VLOOKUP(B90,'Lookup Tables'!$F$2:$H$5,3,FALSE)</f>
        <v>0.05</v>
      </c>
      <c r="M90" s="4">
        <f t="shared" si="5"/>
        <v>673.02999999999975</v>
      </c>
      <c r="N90" t="str">
        <f t="shared" si="6"/>
        <v>High Value</v>
      </c>
      <c r="O90" t="str">
        <f t="shared" si="7"/>
        <v>Review Margin</v>
      </c>
      <c r="P90" t="str">
        <f t="shared" si="8"/>
        <v>Apr</v>
      </c>
      <c r="Q90" s="4">
        <f t="shared" si="9"/>
        <v>137.2715</v>
      </c>
    </row>
    <row r="91" spans="1:17">
      <c r="A91" s="3">
        <v>45751</v>
      </c>
      <c r="B91" t="s">
        <v>29</v>
      </c>
      <c r="C91" t="s">
        <v>43</v>
      </c>
      <c r="D91" t="s">
        <v>44</v>
      </c>
      <c r="E91" t="s">
        <v>34</v>
      </c>
      <c r="F91">
        <v>14</v>
      </c>
      <c r="G91" s="4">
        <v>545.89</v>
      </c>
      <c r="H91" s="4">
        <v>349.3</v>
      </c>
      <c r="I91" t="s">
        <v>42</v>
      </c>
      <c r="J91" t="str">
        <f>VLOOKUP(C91,'Lookup Tables'!$A$2:$D$11,3,FALSE)</f>
        <v>Fitness</v>
      </c>
      <c r="K91" t="str">
        <f>VLOOKUP(B91,'Lookup Tables'!$F$2:$H$5,2,FALSE)</f>
        <v>Priya Shah</v>
      </c>
      <c r="L91" s="5">
        <f>VLOOKUP(B91,'Lookup Tables'!$F$2:$H$5,3,FALSE)</f>
        <v>4.4999999999999998E-2</v>
      </c>
      <c r="M91" s="4">
        <f t="shared" si="5"/>
        <v>196.58999999999997</v>
      </c>
      <c r="N91" t="str">
        <f t="shared" si="6"/>
        <v>Standard</v>
      </c>
      <c r="O91" t="str">
        <f t="shared" si="7"/>
        <v>Strong Margin</v>
      </c>
      <c r="P91" t="str">
        <f t="shared" si="8"/>
        <v>Apr</v>
      </c>
      <c r="Q91" s="4">
        <f t="shared" si="9"/>
        <v>24.565049999999999</v>
      </c>
    </row>
    <row r="92" spans="1:17">
      <c r="A92" s="3">
        <v>45756</v>
      </c>
      <c r="B92" t="s">
        <v>17</v>
      </c>
      <c r="C92" t="s">
        <v>35</v>
      </c>
      <c r="D92" t="s">
        <v>36</v>
      </c>
      <c r="E92" t="s">
        <v>20</v>
      </c>
      <c r="F92">
        <v>4</v>
      </c>
      <c r="G92" s="4">
        <v>559.96</v>
      </c>
      <c r="H92" s="4">
        <v>305.88</v>
      </c>
      <c r="I92" t="s">
        <v>21</v>
      </c>
      <c r="J92" t="str">
        <f>VLOOKUP(C92,'Lookup Tables'!$A$2:$D$11,3,FALSE)</f>
        <v>Home Goods</v>
      </c>
      <c r="K92" t="str">
        <f>VLOOKUP(B92,'Lookup Tables'!$F$2:$H$5,2,FALSE)</f>
        <v>Amanda Lee</v>
      </c>
      <c r="L92" s="5">
        <f>VLOOKUP(B92,'Lookup Tables'!$F$2:$H$5,3,FALSE)</f>
        <v>0.05</v>
      </c>
      <c r="M92" s="4">
        <f t="shared" si="5"/>
        <v>254.08000000000004</v>
      </c>
      <c r="N92" t="str">
        <f t="shared" si="6"/>
        <v>Standard</v>
      </c>
      <c r="O92" t="str">
        <f t="shared" si="7"/>
        <v>Strong Margin</v>
      </c>
      <c r="P92" t="str">
        <f t="shared" si="8"/>
        <v>Apr</v>
      </c>
      <c r="Q92" s="4">
        <f t="shared" si="9"/>
        <v>27.998000000000005</v>
      </c>
    </row>
    <row r="93" spans="1:17">
      <c r="A93" s="3">
        <v>45756</v>
      </c>
      <c r="B93" t="s">
        <v>50</v>
      </c>
      <c r="C93" t="s">
        <v>48</v>
      </c>
      <c r="D93" t="s">
        <v>49</v>
      </c>
      <c r="E93" t="s">
        <v>37</v>
      </c>
      <c r="F93">
        <v>10</v>
      </c>
      <c r="G93" s="4">
        <v>899.9</v>
      </c>
      <c r="H93" s="4">
        <v>518.29999999999995</v>
      </c>
      <c r="I93" t="s">
        <v>21</v>
      </c>
      <c r="J93" t="str">
        <f>VLOOKUP(C93,'Lookup Tables'!$A$2:$D$11,3,FALSE)</f>
        <v>Travel</v>
      </c>
      <c r="K93" t="str">
        <f>VLOOKUP(B93,'Lookup Tables'!$F$2:$H$5,2,FALSE)</f>
        <v>Marcus Green</v>
      </c>
      <c r="L93" s="5">
        <f>VLOOKUP(B93,'Lookup Tables'!$F$2:$H$5,3,FALSE)</f>
        <v>0.05</v>
      </c>
      <c r="M93" s="4">
        <f t="shared" si="5"/>
        <v>381.6</v>
      </c>
      <c r="N93" t="str">
        <f t="shared" si="6"/>
        <v>Standard</v>
      </c>
      <c r="O93" t="str">
        <f t="shared" si="7"/>
        <v>Strong Margin</v>
      </c>
      <c r="P93" t="str">
        <f t="shared" si="8"/>
        <v>Apr</v>
      </c>
      <c r="Q93" s="4">
        <f t="shared" si="9"/>
        <v>44.995000000000005</v>
      </c>
    </row>
    <row r="94" spans="1:17">
      <c r="A94" s="3">
        <v>45757</v>
      </c>
      <c r="B94" t="s">
        <v>50</v>
      </c>
      <c r="C94" t="s">
        <v>32</v>
      </c>
      <c r="D94" t="s">
        <v>33</v>
      </c>
      <c r="E94" t="s">
        <v>24</v>
      </c>
      <c r="F94">
        <v>6</v>
      </c>
      <c r="G94" s="4">
        <v>719.94</v>
      </c>
      <c r="H94" s="4">
        <v>411</v>
      </c>
      <c r="I94" t="s">
        <v>21</v>
      </c>
      <c r="J94" t="str">
        <f>VLOOKUP(C94,'Lookup Tables'!$A$2:$D$11,3,FALSE)</f>
        <v>Electronics</v>
      </c>
      <c r="K94" t="str">
        <f>VLOOKUP(B94,'Lookup Tables'!$F$2:$H$5,2,FALSE)</f>
        <v>Marcus Green</v>
      </c>
      <c r="L94" s="5">
        <f>VLOOKUP(B94,'Lookup Tables'!$F$2:$H$5,3,FALSE)</f>
        <v>0.05</v>
      </c>
      <c r="M94" s="4">
        <f t="shared" si="5"/>
        <v>308.94000000000005</v>
      </c>
      <c r="N94" t="str">
        <f t="shared" si="6"/>
        <v>Standard</v>
      </c>
      <c r="O94" t="str">
        <f t="shared" si="7"/>
        <v>Strong Margin</v>
      </c>
      <c r="P94" t="str">
        <f t="shared" si="8"/>
        <v>Apr</v>
      </c>
      <c r="Q94" s="4">
        <f t="shared" si="9"/>
        <v>35.997000000000007</v>
      </c>
    </row>
    <row r="95" spans="1:17">
      <c r="A95" s="3">
        <v>45758</v>
      </c>
      <c r="B95" t="s">
        <v>17</v>
      </c>
      <c r="C95" t="s">
        <v>43</v>
      </c>
      <c r="D95" t="s">
        <v>44</v>
      </c>
      <c r="E95" t="s">
        <v>37</v>
      </c>
      <c r="F95">
        <v>12</v>
      </c>
      <c r="G95" s="4">
        <v>599.88</v>
      </c>
      <c r="H95" s="4">
        <v>299.39999999999998</v>
      </c>
      <c r="I95" t="s">
        <v>21</v>
      </c>
      <c r="J95" t="str">
        <f>VLOOKUP(C95,'Lookup Tables'!$A$2:$D$11,3,FALSE)</f>
        <v>Fitness</v>
      </c>
      <c r="K95" t="str">
        <f>VLOOKUP(B95,'Lookup Tables'!$F$2:$H$5,2,FALSE)</f>
        <v>Amanda Lee</v>
      </c>
      <c r="L95" s="5">
        <f>VLOOKUP(B95,'Lookup Tables'!$F$2:$H$5,3,FALSE)</f>
        <v>0.05</v>
      </c>
      <c r="M95" s="4">
        <f t="shared" si="5"/>
        <v>300.48</v>
      </c>
      <c r="N95" t="str">
        <f t="shared" si="6"/>
        <v>Standard</v>
      </c>
      <c r="O95" t="str">
        <f t="shared" si="7"/>
        <v>Strong Margin</v>
      </c>
      <c r="P95" t="str">
        <f t="shared" si="8"/>
        <v>Apr</v>
      </c>
      <c r="Q95" s="4">
        <f t="shared" si="9"/>
        <v>29.994</v>
      </c>
    </row>
    <row r="96" spans="1:17">
      <c r="A96" s="3">
        <v>45760</v>
      </c>
      <c r="B96" t="s">
        <v>50</v>
      </c>
      <c r="C96" t="s">
        <v>38</v>
      </c>
      <c r="D96" t="s">
        <v>39</v>
      </c>
      <c r="E96" t="s">
        <v>28</v>
      </c>
      <c r="F96">
        <v>11</v>
      </c>
      <c r="G96" s="4">
        <v>2089.89</v>
      </c>
      <c r="H96" s="4">
        <v>1212.75</v>
      </c>
      <c r="I96" t="s">
        <v>21</v>
      </c>
      <c r="J96" t="str">
        <f>VLOOKUP(C96,'Lookup Tables'!$A$2:$D$11,3,FALSE)</f>
        <v>Office Furniture</v>
      </c>
      <c r="K96" t="str">
        <f>VLOOKUP(B96,'Lookup Tables'!$F$2:$H$5,2,FALSE)</f>
        <v>Marcus Green</v>
      </c>
      <c r="L96" s="5">
        <f>VLOOKUP(B96,'Lookup Tables'!$F$2:$H$5,3,FALSE)</f>
        <v>0.05</v>
      </c>
      <c r="M96" s="4">
        <f t="shared" si="5"/>
        <v>877.13999999999987</v>
      </c>
      <c r="N96" t="str">
        <f t="shared" si="6"/>
        <v>High Value</v>
      </c>
      <c r="O96" t="str">
        <f t="shared" si="7"/>
        <v>Strong Margin</v>
      </c>
      <c r="P96" t="str">
        <f t="shared" si="8"/>
        <v>Apr</v>
      </c>
      <c r="Q96" s="4">
        <f t="shared" si="9"/>
        <v>104.4945</v>
      </c>
    </row>
    <row r="97" spans="1:17">
      <c r="A97" s="3">
        <v>45760</v>
      </c>
      <c r="B97" t="s">
        <v>17</v>
      </c>
      <c r="C97" t="s">
        <v>26</v>
      </c>
      <c r="D97" t="s">
        <v>27</v>
      </c>
      <c r="E97" t="s">
        <v>45</v>
      </c>
      <c r="F97">
        <v>23</v>
      </c>
      <c r="G97" s="4">
        <v>538.02</v>
      </c>
      <c r="H97" s="4">
        <v>293.25</v>
      </c>
      <c r="I97" t="s">
        <v>42</v>
      </c>
      <c r="J97" t="str">
        <f>VLOOKUP(C97,'Lookup Tables'!$A$2:$D$11,3,FALSE)</f>
        <v>Travel</v>
      </c>
      <c r="K97" t="str">
        <f>VLOOKUP(B97,'Lookup Tables'!$F$2:$H$5,2,FALSE)</f>
        <v>Amanda Lee</v>
      </c>
      <c r="L97" s="5">
        <f>VLOOKUP(B97,'Lookup Tables'!$F$2:$H$5,3,FALSE)</f>
        <v>0.05</v>
      </c>
      <c r="M97" s="4">
        <f t="shared" si="5"/>
        <v>244.76999999999998</v>
      </c>
      <c r="N97" t="str">
        <f t="shared" si="6"/>
        <v>Standard</v>
      </c>
      <c r="O97" t="str">
        <f t="shared" si="7"/>
        <v>Strong Margin</v>
      </c>
      <c r="P97" t="str">
        <f t="shared" si="8"/>
        <v>Apr</v>
      </c>
      <c r="Q97" s="4">
        <f t="shared" si="9"/>
        <v>26.901</v>
      </c>
    </row>
    <row r="98" spans="1:17">
      <c r="A98" s="3">
        <v>45761</v>
      </c>
      <c r="B98" t="s">
        <v>25</v>
      </c>
      <c r="C98" t="s">
        <v>32</v>
      </c>
      <c r="D98" t="s">
        <v>33</v>
      </c>
      <c r="E98" t="s">
        <v>41</v>
      </c>
      <c r="F98">
        <v>11</v>
      </c>
      <c r="G98" s="4">
        <v>1319.89</v>
      </c>
      <c r="H98" s="4">
        <v>753.5</v>
      </c>
      <c r="I98" t="s">
        <v>21</v>
      </c>
      <c r="J98" t="str">
        <f>VLOOKUP(C98,'Lookup Tables'!$A$2:$D$11,3,FALSE)</f>
        <v>Electronics</v>
      </c>
      <c r="K98" t="str">
        <f>VLOOKUP(B98,'Lookup Tables'!$F$2:$H$5,2,FALSE)</f>
        <v>Carlos Rivera</v>
      </c>
      <c r="L98" s="5">
        <f>VLOOKUP(B98,'Lookup Tables'!$F$2:$H$5,3,FALSE)</f>
        <v>5.5E-2</v>
      </c>
      <c r="M98" s="4">
        <f t="shared" si="5"/>
        <v>566.3900000000001</v>
      </c>
      <c r="N98" t="str">
        <f t="shared" si="6"/>
        <v>High Value</v>
      </c>
      <c r="O98" t="str">
        <f t="shared" si="7"/>
        <v>Strong Margin</v>
      </c>
      <c r="P98" t="str">
        <f t="shared" si="8"/>
        <v>Apr</v>
      </c>
      <c r="Q98" s="4">
        <f t="shared" si="9"/>
        <v>72.593950000000007</v>
      </c>
    </row>
    <row r="99" spans="1:17">
      <c r="A99" s="3">
        <v>45762</v>
      </c>
      <c r="B99" t="s">
        <v>17</v>
      </c>
      <c r="C99" t="s">
        <v>26</v>
      </c>
      <c r="D99" t="s">
        <v>27</v>
      </c>
      <c r="E99" t="s">
        <v>24</v>
      </c>
      <c r="F99">
        <v>1</v>
      </c>
      <c r="G99" s="4">
        <v>29.99</v>
      </c>
      <c r="H99" s="4">
        <v>12.75</v>
      </c>
      <c r="I99" t="s">
        <v>21</v>
      </c>
      <c r="J99" t="str">
        <f>VLOOKUP(C99,'Lookup Tables'!$A$2:$D$11,3,FALSE)</f>
        <v>Travel</v>
      </c>
      <c r="K99" t="str">
        <f>VLOOKUP(B99,'Lookup Tables'!$F$2:$H$5,2,FALSE)</f>
        <v>Amanda Lee</v>
      </c>
      <c r="L99" s="5">
        <f>VLOOKUP(B99,'Lookup Tables'!$F$2:$H$5,3,FALSE)</f>
        <v>0.05</v>
      </c>
      <c r="M99" s="4">
        <f t="shared" si="5"/>
        <v>17.239999999999998</v>
      </c>
      <c r="N99" t="str">
        <f t="shared" si="6"/>
        <v>Standard</v>
      </c>
      <c r="O99" t="str">
        <f t="shared" si="7"/>
        <v>Strong Margin</v>
      </c>
      <c r="P99" t="str">
        <f t="shared" si="8"/>
        <v>Apr</v>
      </c>
      <c r="Q99" s="4">
        <f t="shared" si="9"/>
        <v>1.4995000000000001</v>
      </c>
    </row>
    <row r="100" spans="1:17">
      <c r="A100" s="3">
        <v>45762</v>
      </c>
      <c r="B100" t="s">
        <v>50</v>
      </c>
      <c r="C100" t="s">
        <v>48</v>
      </c>
      <c r="D100" t="s">
        <v>49</v>
      </c>
      <c r="E100" t="s">
        <v>40</v>
      </c>
      <c r="F100">
        <v>2</v>
      </c>
      <c r="G100" s="4">
        <v>179.98</v>
      </c>
      <c r="H100" s="4">
        <v>103.66</v>
      </c>
      <c r="I100" t="s">
        <v>21</v>
      </c>
      <c r="J100" t="str">
        <f>VLOOKUP(C100,'Lookup Tables'!$A$2:$D$11,3,FALSE)</f>
        <v>Travel</v>
      </c>
      <c r="K100" t="str">
        <f>VLOOKUP(B100,'Lookup Tables'!$F$2:$H$5,2,FALSE)</f>
        <v>Marcus Green</v>
      </c>
      <c r="L100" s="5">
        <f>VLOOKUP(B100,'Lookup Tables'!$F$2:$H$5,3,FALSE)</f>
        <v>0.05</v>
      </c>
      <c r="M100" s="4">
        <f t="shared" si="5"/>
        <v>76.319999999999993</v>
      </c>
      <c r="N100" t="str">
        <f t="shared" si="6"/>
        <v>Standard</v>
      </c>
      <c r="O100" t="str">
        <f t="shared" si="7"/>
        <v>Strong Margin</v>
      </c>
      <c r="P100" t="str">
        <f t="shared" si="8"/>
        <v>Apr</v>
      </c>
      <c r="Q100" s="4">
        <f t="shared" si="9"/>
        <v>8.9990000000000006</v>
      </c>
    </row>
    <row r="101" spans="1:17">
      <c r="A101" s="3">
        <v>45766</v>
      </c>
      <c r="B101" t="s">
        <v>25</v>
      </c>
      <c r="C101" t="s">
        <v>32</v>
      </c>
      <c r="D101" t="s">
        <v>33</v>
      </c>
      <c r="E101" t="s">
        <v>34</v>
      </c>
      <c r="F101">
        <v>6</v>
      </c>
      <c r="G101" s="4">
        <v>719.94</v>
      </c>
      <c r="H101" s="4">
        <v>411</v>
      </c>
      <c r="I101" t="s">
        <v>21</v>
      </c>
      <c r="J101" t="str">
        <f>VLOOKUP(C101,'Lookup Tables'!$A$2:$D$11,3,FALSE)</f>
        <v>Electronics</v>
      </c>
      <c r="K101" t="str">
        <f>VLOOKUP(B101,'Lookup Tables'!$F$2:$H$5,2,FALSE)</f>
        <v>Carlos Rivera</v>
      </c>
      <c r="L101" s="5">
        <f>VLOOKUP(B101,'Lookup Tables'!$F$2:$H$5,3,FALSE)</f>
        <v>5.5E-2</v>
      </c>
      <c r="M101" s="4">
        <f t="shared" si="5"/>
        <v>308.94000000000005</v>
      </c>
      <c r="N101" t="str">
        <f t="shared" si="6"/>
        <v>Standard</v>
      </c>
      <c r="O101" t="str">
        <f t="shared" si="7"/>
        <v>Strong Margin</v>
      </c>
      <c r="P101" t="str">
        <f t="shared" si="8"/>
        <v>Apr</v>
      </c>
      <c r="Q101" s="4">
        <f t="shared" si="9"/>
        <v>39.596700000000006</v>
      </c>
    </row>
    <row r="102" spans="1:17">
      <c r="A102" s="3">
        <v>45767</v>
      </c>
      <c r="B102" t="s">
        <v>25</v>
      </c>
      <c r="C102" t="s">
        <v>22</v>
      </c>
      <c r="D102" t="s">
        <v>23</v>
      </c>
      <c r="E102" t="s">
        <v>28</v>
      </c>
      <c r="F102">
        <v>12</v>
      </c>
      <c r="G102" s="4">
        <v>959.88</v>
      </c>
      <c r="H102" s="4">
        <v>504</v>
      </c>
      <c r="I102" t="s">
        <v>21</v>
      </c>
      <c r="J102" t="str">
        <f>VLOOKUP(C102,'Lookup Tables'!$A$2:$D$11,3,FALSE)</f>
        <v>Electronics</v>
      </c>
      <c r="K102" t="str">
        <f>VLOOKUP(B102,'Lookup Tables'!$F$2:$H$5,2,FALSE)</f>
        <v>Carlos Rivera</v>
      </c>
      <c r="L102" s="5">
        <f>VLOOKUP(B102,'Lookup Tables'!$F$2:$H$5,3,FALSE)</f>
        <v>5.5E-2</v>
      </c>
      <c r="M102" s="4">
        <f t="shared" si="5"/>
        <v>455.88</v>
      </c>
      <c r="N102" t="str">
        <f t="shared" si="6"/>
        <v>Standard</v>
      </c>
      <c r="O102" t="str">
        <f t="shared" si="7"/>
        <v>Strong Margin</v>
      </c>
      <c r="P102" t="str">
        <f t="shared" si="8"/>
        <v>Apr</v>
      </c>
      <c r="Q102" s="4">
        <f t="shared" si="9"/>
        <v>52.793399999999998</v>
      </c>
    </row>
    <row r="103" spans="1:17">
      <c r="A103" s="3">
        <v>45767</v>
      </c>
      <c r="B103" t="s">
        <v>17</v>
      </c>
      <c r="C103" t="s">
        <v>38</v>
      </c>
      <c r="D103" t="s">
        <v>39</v>
      </c>
      <c r="E103" t="s">
        <v>20</v>
      </c>
      <c r="F103">
        <v>12</v>
      </c>
      <c r="G103" s="4">
        <v>1778.31</v>
      </c>
      <c r="H103" s="4">
        <v>1323</v>
      </c>
      <c r="I103" t="s">
        <v>42</v>
      </c>
      <c r="J103" t="str">
        <f>VLOOKUP(C103,'Lookup Tables'!$A$2:$D$11,3,FALSE)</f>
        <v>Office Furniture</v>
      </c>
      <c r="K103" t="str">
        <f>VLOOKUP(B103,'Lookup Tables'!$F$2:$H$5,2,FALSE)</f>
        <v>Amanda Lee</v>
      </c>
      <c r="L103" s="5">
        <f>VLOOKUP(B103,'Lookup Tables'!$F$2:$H$5,3,FALSE)</f>
        <v>0.05</v>
      </c>
      <c r="M103" s="4">
        <f t="shared" si="5"/>
        <v>455.30999999999995</v>
      </c>
      <c r="N103" t="str">
        <f t="shared" si="6"/>
        <v>High Value</v>
      </c>
      <c r="O103" t="str">
        <f t="shared" si="7"/>
        <v>Strong Margin</v>
      </c>
      <c r="P103" t="str">
        <f t="shared" si="8"/>
        <v>Apr</v>
      </c>
      <c r="Q103" s="4">
        <f t="shared" si="9"/>
        <v>88.915500000000009</v>
      </c>
    </row>
    <row r="104" spans="1:17">
      <c r="A104" s="3">
        <v>45769</v>
      </c>
      <c r="B104" t="s">
        <v>50</v>
      </c>
      <c r="C104" t="s">
        <v>43</v>
      </c>
      <c r="D104" t="s">
        <v>44</v>
      </c>
      <c r="E104" t="s">
        <v>20</v>
      </c>
      <c r="F104">
        <v>12</v>
      </c>
      <c r="G104" s="4">
        <v>599.88</v>
      </c>
      <c r="H104" s="4">
        <v>299.39999999999998</v>
      </c>
      <c r="I104" t="s">
        <v>21</v>
      </c>
      <c r="J104" t="str">
        <f>VLOOKUP(C104,'Lookup Tables'!$A$2:$D$11,3,FALSE)</f>
        <v>Fitness</v>
      </c>
      <c r="K104" t="str">
        <f>VLOOKUP(B104,'Lookup Tables'!$F$2:$H$5,2,FALSE)</f>
        <v>Marcus Green</v>
      </c>
      <c r="L104" s="5">
        <f>VLOOKUP(B104,'Lookup Tables'!$F$2:$H$5,3,FALSE)</f>
        <v>0.05</v>
      </c>
      <c r="M104" s="4">
        <f t="shared" si="5"/>
        <v>300.48</v>
      </c>
      <c r="N104" t="str">
        <f t="shared" si="6"/>
        <v>Standard</v>
      </c>
      <c r="O104" t="str">
        <f t="shared" si="7"/>
        <v>Strong Margin</v>
      </c>
      <c r="P104" t="str">
        <f t="shared" si="8"/>
        <v>Apr</v>
      </c>
      <c r="Q104" s="4">
        <f t="shared" si="9"/>
        <v>29.994</v>
      </c>
    </row>
    <row r="105" spans="1:17">
      <c r="A105" s="3">
        <v>45769</v>
      </c>
      <c r="B105" t="s">
        <v>17</v>
      </c>
      <c r="C105" t="s">
        <v>48</v>
      </c>
      <c r="D105" t="s">
        <v>49</v>
      </c>
      <c r="E105" t="s">
        <v>51</v>
      </c>
      <c r="F105">
        <v>3</v>
      </c>
      <c r="G105" s="4">
        <v>269.97000000000003</v>
      </c>
      <c r="H105" s="4">
        <v>155.49</v>
      </c>
      <c r="I105" t="s">
        <v>21</v>
      </c>
      <c r="J105" t="str">
        <f>VLOOKUP(C105,'Lookup Tables'!$A$2:$D$11,3,FALSE)</f>
        <v>Travel</v>
      </c>
      <c r="K105" t="str">
        <f>VLOOKUP(B105,'Lookup Tables'!$F$2:$H$5,2,FALSE)</f>
        <v>Amanda Lee</v>
      </c>
      <c r="L105" s="5">
        <f>VLOOKUP(B105,'Lookup Tables'!$F$2:$H$5,3,FALSE)</f>
        <v>0.05</v>
      </c>
      <c r="M105" s="4">
        <f t="shared" si="5"/>
        <v>114.48000000000002</v>
      </c>
      <c r="N105" t="str">
        <f t="shared" si="6"/>
        <v>Standard</v>
      </c>
      <c r="O105" t="str">
        <f t="shared" si="7"/>
        <v>Strong Margin</v>
      </c>
      <c r="P105" t="str">
        <f t="shared" si="8"/>
        <v>Apr</v>
      </c>
      <c r="Q105" s="4">
        <f t="shared" si="9"/>
        <v>13.498500000000002</v>
      </c>
    </row>
    <row r="106" spans="1:17">
      <c r="A106" s="3">
        <v>45769</v>
      </c>
      <c r="B106" t="s">
        <v>17</v>
      </c>
      <c r="C106" t="s">
        <v>32</v>
      </c>
      <c r="D106" t="s">
        <v>33</v>
      </c>
      <c r="E106" t="s">
        <v>40</v>
      </c>
      <c r="F106">
        <v>14</v>
      </c>
      <c r="G106" s="4">
        <v>1310.29</v>
      </c>
      <c r="H106" s="4">
        <v>959</v>
      </c>
      <c r="I106" t="s">
        <v>42</v>
      </c>
      <c r="J106" t="str">
        <f>VLOOKUP(C106,'Lookup Tables'!$A$2:$D$11,3,FALSE)</f>
        <v>Electronics</v>
      </c>
      <c r="K106" t="str">
        <f>VLOOKUP(B106,'Lookup Tables'!$F$2:$H$5,2,FALSE)</f>
        <v>Amanda Lee</v>
      </c>
      <c r="L106" s="5">
        <f>VLOOKUP(B106,'Lookup Tables'!$F$2:$H$5,3,FALSE)</f>
        <v>0.05</v>
      </c>
      <c r="M106" s="4">
        <f t="shared" si="5"/>
        <v>351.28999999999996</v>
      </c>
      <c r="N106" t="str">
        <f t="shared" si="6"/>
        <v>High Value</v>
      </c>
      <c r="O106" t="str">
        <f t="shared" si="7"/>
        <v>Strong Margin</v>
      </c>
      <c r="P106" t="str">
        <f t="shared" si="8"/>
        <v>Apr</v>
      </c>
      <c r="Q106" s="4">
        <f t="shared" si="9"/>
        <v>65.514499999999998</v>
      </c>
    </row>
    <row r="107" spans="1:17">
      <c r="A107" s="3">
        <v>45769</v>
      </c>
      <c r="B107" t="s">
        <v>25</v>
      </c>
      <c r="C107" t="s">
        <v>38</v>
      </c>
      <c r="D107" t="s">
        <v>39</v>
      </c>
      <c r="E107" t="s">
        <v>51</v>
      </c>
      <c r="F107">
        <v>8</v>
      </c>
      <c r="G107" s="4">
        <v>1519.92</v>
      </c>
      <c r="H107" s="4">
        <v>882</v>
      </c>
      <c r="I107" t="s">
        <v>21</v>
      </c>
      <c r="J107" t="str">
        <f>VLOOKUP(C107,'Lookup Tables'!$A$2:$D$11,3,FALSE)</f>
        <v>Office Furniture</v>
      </c>
      <c r="K107" t="str">
        <f>VLOOKUP(B107,'Lookup Tables'!$F$2:$H$5,2,FALSE)</f>
        <v>Carlos Rivera</v>
      </c>
      <c r="L107" s="5">
        <f>VLOOKUP(B107,'Lookup Tables'!$F$2:$H$5,3,FALSE)</f>
        <v>5.5E-2</v>
      </c>
      <c r="M107" s="4">
        <f t="shared" si="5"/>
        <v>637.92000000000007</v>
      </c>
      <c r="N107" t="str">
        <f t="shared" si="6"/>
        <v>High Value</v>
      </c>
      <c r="O107" t="str">
        <f t="shared" si="7"/>
        <v>Strong Margin</v>
      </c>
      <c r="P107" t="str">
        <f t="shared" si="8"/>
        <v>Apr</v>
      </c>
      <c r="Q107" s="4">
        <f t="shared" si="9"/>
        <v>83.595600000000005</v>
      </c>
    </row>
    <row r="108" spans="1:17">
      <c r="A108" s="3">
        <v>45770</v>
      </c>
      <c r="B108" t="s">
        <v>29</v>
      </c>
      <c r="C108" t="s">
        <v>48</v>
      </c>
      <c r="D108" t="s">
        <v>49</v>
      </c>
      <c r="E108" t="s">
        <v>28</v>
      </c>
      <c r="F108">
        <v>10</v>
      </c>
      <c r="G108" s="4">
        <v>899.9</v>
      </c>
      <c r="H108" s="4">
        <v>518.29999999999995</v>
      </c>
      <c r="I108" t="s">
        <v>21</v>
      </c>
      <c r="J108" t="str">
        <f>VLOOKUP(C108,'Lookup Tables'!$A$2:$D$11,3,FALSE)</f>
        <v>Travel</v>
      </c>
      <c r="K108" t="str">
        <f>VLOOKUP(B108,'Lookup Tables'!$F$2:$H$5,2,FALSE)</f>
        <v>Priya Shah</v>
      </c>
      <c r="L108" s="5">
        <f>VLOOKUP(B108,'Lookup Tables'!$F$2:$H$5,3,FALSE)</f>
        <v>4.4999999999999998E-2</v>
      </c>
      <c r="M108" s="4">
        <f t="shared" si="5"/>
        <v>381.6</v>
      </c>
      <c r="N108" t="str">
        <f t="shared" si="6"/>
        <v>Standard</v>
      </c>
      <c r="O108" t="str">
        <f t="shared" si="7"/>
        <v>Strong Margin</v>
      </c>
      <c r="P108" t="str">
        <f t="shared" si="8"/>
        <v>Apr</v>
      </c>
      <c r="Q108" s="4">
        <f t="shared" si="9"/>
        <v>40.4955</v>
      </c>
    </row>
    <row r="109" spans="1:17">
      <c r="A109" s="3">
        <v>45771</v>
      </c>
      <c r="B109" t="s">
        <v>17</v>
      </c>
      <c r="C109" t="s">
        <v>46</v>
      </c>
      <c r="D109" t="s">
        <v>47</v>
      </c>
      <c r="E109" t="s">
        <v>24</v>
      </c>
      <c r="F109">
        <v>6</v>
      </c>
      <c r="G109" s="4">
        <v>959.94</v>
      </c>
      <c r="H109" s="4">
        <v>565.20000000000005</v>
      </c>
      <c r="I109" t="s">
        <v>21</v>
      </c>
      <c r="J109" t="str">
        <f>VLOOKUP(C109,'Lookup Tables'!$A$2:$D$11,3,FALSE)</f>
        <v>Home Goods</v>
      </c>
      <c r="K109" t="str">
        <f>VLOOKUP(B109,'Lookup Tables'!$F$2:$H$5,2,FALSE)</f>
        <v>Amanda Lee</v>
      </c>
      <c r="L109" s="5">
        <f>VLOOKUP(B109,'Lookup Tables'!$F$2:$H$5,3,FALSE)</f>
        <v>0.05</v>
      </c>
      <c r="M109" s="4">
        <f t="shared" si="5"/>
        <v>394.74</v>
      </c>
      <c r="N109" t="str">
        <f t="shared" si="6"/>
        <v>Standard</v>
      </c>
      <c r="O109" t="str">
        <f t="shared" si="7"/>
        <v>Strong Margin</v>
      </c>
      <c r="P109" t="str">
        <f t="shared" si="8"/>
        <v>Apr</v>
      </c>
      <c r="Q109" s="4">
        <f t="shared" si="9"/>
        <v>47.997000000000007</v>
      </c>
    </row>
    <row r="110" spans="1:17">
      <c r="A110" s="3">
        <v>45772</v>
      </c>
      <c r="B110" t="s">
        <v>29</v>
      </c>
      <c r="C110" t="s">
        <v>48</v>
      </c>
      <c r="D110" t="s">
        <v>49</v>
      </c>
      <c r="E110" t="s">
        <v>28</v>
      </c>
      <c r="F110">
        <v>9</v>
      </c>
      <c r="G110" s="4">
        <v>809.91</v>
      </c>
      <c r="H110" s="4">
        <v>466.47</v>
      </c>
      <c r="I110" t="s">
        <v>21</v>
      </c>
      <c r="J110" t="str">
        <f>VLOOKUP(C110,'Lookup Tables'!$A$2:$D$11,3,FALSE)</f>
        <v>Travel</v>
      </c>
      <c r="K110" t="str">
        <f>VLOOKUP(B110,'Lookup Tables'!$F$2:$H$5,2,FALSE)</f>
        <v>Priya Shah</v>
      </c>
      <c r="L110" s="5">
        <f>VLOOKUP(B110,'Lookup Tables'!$F$2:$H$5,3,FALSE)</f>
        <v>4.4999999999999998E-2</v>
      </c>
      <c r="M110" s="4">
        <f t="shared" si="5"/>
        <v>343.43999999999994</v>
      </c>
      <c r="N110" t="str">
        <f t="shared" si="6"/>
        <v>Standard</v>
      </c>
      <c r="O110" t="str">
        <f t="shared" si="7"/>
        <v>Strong Margin</v>
      </c>
      <c r="P110" t="str">
        <f t="shared" si="8"/>
        <v>Apr</v>
      </c>
      <c r="Q110" s="4">
        <f t="shared" si="9"/>
        <v>36.445949999999996</v>
      </c>
    </row>
    <row r="111" spans="1:17">
      <c r="A111" s="3">
        <v>45772</v>
      </c>
      <c r="B111" t="s">
        <v>25</v>
      </c>
      <c r="C111" t="s">
        <v>38</v>
      </c>
      <c r="D111" t="s">
        <v>39</v>
      </c>
      <c r="E111" t="s">
        <v>40</v>
      </c>
      <c r="F111">
        <v>12</v>
      </c>
      <c r="G111" s="4">
        <v>2279.88</v>
      </c>
      <c r="H111" s="4">
        <v>1323</v>
      </c>
      <c r="I111" t="s">
        <v>21</v>
      </c>
      <c r="J111" t="str">
        <f>VLOOKUP(C111,'Lookup Tables'!$A$2:$D$11,3,FALSE)</f>
        <v>Office Furniture</v>
      </c>
      <c r="K111" t="str">
        <f>VLOOKUP(B111,'Lookup Tables'!$F$2:$H$5,2,FALSE)</f>
        <v>Carlos Rivera</v>
      </c>
      <c r="L111" s="5">
        <f>VLOOKUP(B111,'Lookup Tables'!$F$2:$H$5,3,FALSE)</f>
        <v>5.5E-2</v>
      </c>
      <c r="M111" s="4">
        <f t="shared" si="5"/>
        <v>956.88000000000011</v>
      </c>
      <c r="N111" t="str">
        <f t="shared" si="6"/>
        <v>High Value</v>
      </c>
      <c r="O111" t="str">
        <f t="shared" si="7"/>
        <v>Strong Margin</v>
      </c>
      <c r="P111" t="str">
        <f t="shared" si="8"/>
        <v>Apr</v>
      </c>
      <c r="Q111" s="4">
        <f t="shared" si="9"/>
        <v>125.3934</v>
      </c>
    </row>
    <row r="112" spans="1:17">
      <c r="A112" s="3">
        <v>45772</v>
      </c>
      <c r="B112" t="s">
        <v>50</v>
      </c>
      <c r="C112" t="s">
        <v>18</v>
      </c>
      <c r="D112" t="s">
        <v>19</v>
      </c>
      <c r="E112" t="s">
        <v>52</v>
      </c>
      <c r="F112">
        <v>8</v>
      </c>
      <c r="G112" s="4">
        <v>1999.92</v>
      </c>
      <c r="H112" s="4">
        <v>1160</v>
      </c>
      <c r="I112" t="s">
        <v>21</v>
      </c>
      <c r="J112" t="str">
        <f>VLOOKUP(C112,'Lookup Tables'!$A$2:$D$11,3,FALSE)</f>
        <v>Office Furniture</v>
      </c>
      <c r="K112" t="str">
        <f>VLOOKUP(B112,'Lookup Tables'!$F$2:$H$5,2,FALSE)</f>
        <v>Marcus Green</v>
      </c>
      <c r="L112" s="5">
        <f>VLOOKUP(B112,'Lookup Tables'!$F$2:$H$5,3,FALSE)</f>
        <v>0.05</v>
      </c>
      <c r="M112" s="4">
        <f t="shared" si="5"/>
        <v>839.92000000000007</v>
      </c>
      <c r="N112" t="str">
        <f t="shared" si="6"/>
        <v>High Value</v>
      </c>
      <c r="O112" t="str">
        <f t="shared" si="7"/>
        <v>Strong Margin</v>
      </c>
      <c r="P112" t="str">
        <f t="shared" si="8"/>
        <v>Apr</v>
      </c>
      <c r="Q112" s="4">
        <f t="shared" si="9"/>
        <v>99.996000000000009</v>
      </c>
    </row>
    <row r="113" spans="1:17">
      <c r="A113" s="3">
        <v>45772</v>
      </c>
      <c r="B113" t="s">
        <v>29</v>
      </c>
      <c r="C113" t="s">
        <v>43</v>
      </c>
      <c r="D113" t="s">
        <v>44</v>
      </c>
      <c r="E113" t="s">
        <v>52</v>
      </c>
      <c r="F113">
        <v>5</v>
      </c>
      <c r="G113" s="4">
        <v>249.95</v>
      </c>
      <c r="H113" s="4">
        <v>124.75</v>
      </c>
      <c r="I113" t="s">
        <v>21</v>
      </c>
      <c r="J113" t="str">
        <f>VLOOKUP(C113,'Lookup Tables'!$A$2:$D$11,3,FALSE)</f>
        <v>Fitness</v>
      </c>
      <c r="K113" t="str">
        <f>VLOOKUP(B113,'Lookup Tables'!$F$2:$H$5,2,FALSE)</f>
        <v>Priya Shah</v>
      </c>
      <c r="L113" s="5">
        <f>VLOOKUP(B113,'Lookup Tables'!$F$2:$H$5,3,FALSE)</f>
        <v>4.4999999999999998E-2</v>
      </c>
      <c r="M113" s="4">
        <f t="shared" si="5"/>
        <v>125.19999999999999</v>
      </c>
      <c r="N113" t="str">
        <f t="shared" si="6"/>
        <v>Standard</v>
      </c>
      <c r="O113" t="str">
        <f t="shared" si="7"/>
        <v>Strong Margin</v>
      </c>
      <c r="P113" t="str">
        <f t="shared" si="8"/>
        <v>Apr</v>
      </c>
      <c r="Q113" s="4">
        <f t="shared" si="9"/>
        <v>11.24775</v>
      </c>
    </row>
    <row r="114" spans="1:17">
      <c r="A114" s="3">
        <v>45773</v>
      </c>
      <c r="B114" t="s">
        <v>17</v>
      </c>
      <c r="C114" t="s">
        <v>18</v>
      </c>
      <c r="D114" t="s">
        <v>19</v>
      </c>
      <c r="E114" t="s">
        <v>37</v>
      </c>
      <c r="F114">
        <v>2</v>
      </c>
      <c r="G114" s="4">
        <v>499.98</v>
      </c>
      <c r="H114" s="4">
        <v>290</v>
      </c>
      <c r="I114" t="s">
        <v>21</v>
      </c>
      <c r="J114" t="str">
        <f>VLOOKUP(C114,'Lookup Tables'!$A$2:$D$11,3,FALSE)</f>
        <v>Office Furniture</v>
      </c>
      <c r="K114" t="str">
        <f>VLOOKUP(B114,'Lookup Tables'!$F$2:$H$5,2,FALSE)</f>
        <v>Amanda Lee</v>
      </c>
      <c r="L114" s="5">
        <f>VLOOKUP(B114,'Lookup Tables'!$F$2:$H$5,3,FALSE)</f>
        <v>0.05</v>
      </c>
      <c r="M114" s="4">
        <f t="shared" si="5"/>
        <v>209.98000000000002</v>
      </c>
      <c r="N114" t="str">
        <f t="shared" si="6"/>
        <v>Standard</v>
      </c>
      <c r="O114" t="str">
        <f t="shared" si="7"/>
        <v>Strong Margin</v>
      </c>
      <c r="P114" t="str">
        <f t="shared" si="8"/>
        <v>Apr</v>
      </c>
      <c r="Q114" s="4">
        <f t="shared" si="9"/>
        <v>24.999000000000002</v>
      </c>
    </row>
    <row r="115" spans="1:17">
      <c r="A115" s="3">
        <v>45773</v>
      </c>
      <c r="B115" t="s">
        <v>50</v>
      </c>
      <c r="C115" t="s">
        <v>43</v>
      </c>
      <c r="D115" t="s">
        <v>44</v>
      </c>
      <c r="E115" t="s">
        <v>34</v>
      </c>
      <c r="F115">
        <v>4</v>
      </c>
      <c r="G115" s="4">
        <v>199.96</v>
      </c>
      <c r="H115" s="4">
        <v>99.8</v>
      </c>
      <c r="I115" t="s">
        <v>21</v>
      </c>
      <c r="J115" t="str">
        <f>VLOOKUP(C115,'Lookup Tables'!$A$2:$D$11,3,FALSE)</f>
        <v>Fitness</v>
      </c>
      <c r="K115" t="str">
        <f>VLOOKUP(B115,'Lookup Tables'!$F$2:$H$5,2,FALSE)</f>
        <v>Marcus Green</v>
      </c>
      <c r="L115" s="5">
        <f>VLOOKUP(B115,'Lookup Tables'!$F$2:$H$5,3,FALSE)</f>
        <v>0.05</v>
      </c>
      <c r="M115" s="4">
        <f t="shared" si="5"/>
        <v>100.16000000000001</v>
      </c>
      <c r="N115" t="str">
        <f t="shared" si="6"/>
        <v>Standard</v>
      </c>
      <c r="O115" t="str">
        <f t="shared" si="7"/>
        <v>Strong Margin</v>
      </c>
      <c r="P115" t="str">
        <f t="shared" si="8"/>
        <v>Apr</v>
      </c>
      <c r="Q115" s="4">
        <f t="shared" si="9"/>
        <v>9.9980000000000011</v>
      </c>
    </row>
    <row r="116" spans="1:17">
      <c r="A116" s="3">
        <v>45774</v>
      </c>
      <c r="B116" t="s">
        <v>50</v>
      </c>
      <c r="C116" t="s">
        <v>46</v>
      </c>
      <c r="D116" t="s">
        <v>47</v>
      </c>
      <c r="E116" t="s">
        <v>52</v>
      </c>
      <c r="F116">
        <v>17</v>
      </c>
      <c r="G116" s="4">
        <v>2121.4699999999998</v>
      </c>
      <c r="H116" s="4">
        <v>1601.4</v>
      </c>
      <c r="I116" t="s">
        <v>42</v>
      </c>
      <c r="J116" t="str">
        <f>VLOOKUP(C116,'Lookup Tables'!$A$2:$D$11,3,FALSE)</f>
        <v>Home Goods</v>
      </c>
      <c r="K116" t="str">
        <f>VLOOKUP(B116,'Lookup Tables'!$F$2:$H$5,2,FALSE)</f>
        <v>Marcus Green</v>
      </c>
      <c r="L116" s="5">
        <f>VLOOKUP(B116,'Lookup Tables'!$F$2:$H$5,3,FALSE)</f>
        <v>0.05</v>
      </c>
      <c r="M116" s="4">
        <f t="shared" si="5"/>
        <v>520.06999999999971</v>
      </c>
      <c r="N116" t="str">
        <f t="shared" si="6"/>
        <v>High Value</v>
      </c>
      <c r="O116" t="str">
        <f t="shared" si="7"/>
        <v>Review Margin</v>
      </c>
      <c r="P116" t="str">
        <f t="shared" si="8"/>
        <v>Apr</v>
      </c>
      <c r="Q116" s="4">
        <f t="shared" si="9"/>
        <v>106.0735</v>
      </c>
    </row>
    <row r="117" spans="1:17">
      <c r="A117" s="3">
        <v>45775</v>
      </c>
      <c r="B117" t="s">
        <v>25</v>
      </c>
      <c r="C117" t="s">
        <v>26</v>
      </c>
      <c r="D117" t="s">
        <v>27</v>
      </c>
      <c r="E117" t="s">
        <v>24</v>
      </c>
      <c r="F117">
        <v>7</v>
      </c>
      <c r="G117" s="4">
        <v>209.93</v>
      </c>
      <c r="H117" s="4">
        <v>89.25</v>
      </c>
      <c r="I117" t="s">
        <v>21</v>
      </c>
      <c r="J117" t="str">
        <f>VLOOKUP(C117,'Lookup Tables'!$A$2:$D$11,3,FALSE)</f>
        <v>Travel</v>
      </c>
      <c r="K117" t="str">
        <f>VLOOKUP(B117,'Lookup Tables'!$F$2:$H$5,2,FALSE)</f>
        <v>Carlos Rivera</v>
      </c>
      <c r="L117" s="5">
        <f>VLOOKUP(B117,'Lookup Tables'!$F$2:$H$5,3,FALSE)</f>
        <v>5.5E-2</v>
      </c>
      <c r="M117" s="4">
        <f t="shared" si="5"/>
        <v>120.68</v>
      </c>
      <c r="N117" t="str">
        <f t="shared" si="6"/>
        <v>Standard</v>
      </c>
      <c r="O117" t="str">
        <f t="shared" si="7"/>
        <v>Strong Margin</v>
      </c>
      <c r="P117" t="str">
        <f t="shared" si="8"/>
        <v>Apr</v>
      </c>
      <c r="Q117" s="4">
        <f t="shared" si="9"/>
        <v>11.546150000000001</v>
      </c>
    </row>
    <row r="118" spans="1:17">
      <c r="A118" s="3">
        <v>45775</v>
      </c>
      <c r="B118" t="s">
        <v>25</v>
      </c>
      <c r="C118" t="s">
        <v>30</v>
      </c>
      <c r="D118" t="s">
        <v>31</v>
      </c>
      <c r="E118" t="s">
        <v>37</v>
      </c>
      <c r="F118">
        <v>21</v>
      </c>
      <c r="G118" s="4">
        <v>982.64</v>
      </c>
      <c r="H118" s="4">
        <v>645.54</v>
      </c>
      <c r="I118" t="s">
        <v>42</v>
      </c>
      <c r="J118" t="str">
        <f>VLOOKUP(C118,'Lookup Tables'!$A$2:$D$11,3,FALSE)</f>
        <v>Fitness</v>
      </c>
      <c r="K118" t="str">
        <f>VLOOKUP(B118,'Lookup Tables'!$F$2:$H$5,2,FALSE)</f>
        <v>Carlos Rivera</v>
      </c>
      <c r="L118" s="5">
        <f>VLOOKUP(B118,'Lookup Tables'!$F$2:$H$5,3,FALSE)</f>
        <v>5.5E-2</v>
      </c>
      <c r="M118" s="4">
        <f t="shared" si="5"/>
        <v>337.1</v>
      </c>
      <c r="N118" t="str">
        <f t="shared" si="6"/>
        <v>Standard</v>
      </c>
      <c r="O118" t="str">
        <f t="shared" si="7"/>
        <v>Strong Margin</v>
      </c>
      <c r="P118" t="str">
        <f t="shared" si="8"/>
        <v>Apr</v>
      </c>
      <c r="Q118" s="4">
        <f t="shared" si="9"/>
        <v>54.045200000000001</v>
      </c>
    </row>
    <row r="119" spans="1:17">
      <c r="A119" s="3">
        <v>45775</v>
      </c>
      <c r="B119" t="s">
        <v>25</v>
      </c>
      <c r="C119" t="s">
        <v>30</v>
      </c>
      <c r="D119" t="s">
        <v>31</v>
      </c>
      <c r="E119" t="s">
        <v>24</v>
      </c>
      <c r="F119">
        <v>24</v>
      </c>
      <c r="G119" s="4">
        <v>1123.01</v>
      </c>
      <c r="H119" s="4">
        <v>737.76</v>
      </c>
      <c r="I119" t="s">
        <v>42</v>
      </c>
      <c r="J119" t="str">
        <f>VLOOKUP(C119,'Lookup Tables'!$A$2:$D$11,3,FALSE)</f>
        <v>Fitness</v>
      </c>
      <c r="K119" t="str">
        <f>VLOOKUP(B119,'Lookup Tables'!$F$2:$H$5,2,FALSE)</f>
        <v>Carlos Rivera</v>
      </c>
      <c r="L119" s="5">
        <f>VLOOKUP(B119,'Lookup Tables'!$F$2:$H$5,3,FALSE)</f>
        <v>5.5E-2</v>
      </c>
      <c r="M119" s="4">
        <f t="shared" si="5"/>
        <v>385.25</v>
      </c>
      <c r="N119" t="str">
        <f t="shared" si="6"/>
        <v>High Value</v>
      </c>
      <c r="O119" t="str">
        <f t="shared" si="7"/>
        <v>Strong Margin</v>
      </c>
      <c r="P119" t="str">
        <f t="shared" si="8"/>
        <v>Apr</v>
      </c>
      <c r="Q119" s="4">
        <f t="shared" si="9"/>
        <v>61.765549999999998</v>
      </c>
    </row>
    <row r="120" spans="1:17">
      <c r="A120" s="3">
        <v>45776</v>
      </c>
      <c r="B120" t="s">
        <v>17</v>
      </c>
      <c r="C120" t="s">
        <v>18</v>
      </c>
      <c r="D120" t="s">
        <v>19</v>
      </c>
      <c r="E120" t="s">
        <v>24</v>
      </c>
      <c r="F120">
        <v>25</v>
      </c>
      <c r="G120" s="4">
        <v>4874.8100000000004</v>
      </c>
      <c r="H120" s="4">
        <v>3625</v>
      </c>
      <c r="I120" t="s">
        <v>42</v>
      </c>
      <c r="J120" t="str">
        <f>VLOOKUP(C120,'Lookup Tables'!$A$2:$D$11,3,FALSE)</f>
        <v>Office Furniture</v>
      </c>
      <c r="K120" t="str">
        <f>VLOOKUP(B120,'Lookup Tables'!$F$2:$H$5,2,FALSE)</f>
        <v>Amanda Lee</v>
      </c>
      <c r="L120" s="5">
        <f>VLOOKUP(B120,'Lookup Tables'!$F$2:$H$5,3,FALSE)</f>
        <v>0.05</v>
      </c>
      <c r="M120" s="4">
        <f t="shared" si="5"/>
        <v>1249.8100000000004</v>
      </c>
      <c r="N120" t="str">
        <f t="shared" si="6"/>
        <v>High Value</v>
      </c>
      <c r="O120" t="str">
        <f t="shared" si="7"/>
        <v>Strong Margin</v>
      </c>
      <c r="P120" t="str">
        <f t="shared" si="8"/>
        <v>Apr</v>
      </c>
      <c r="Q120" s="4">
        <f t="shared" si="9"/>
        <v>243.74050000000003</v>
      </c>
    </row>
    <row r="121" spans="1:17">
      <c r="A121" s="3">
        <v>45776</v>
      </c>
      <c r="B121" t="s">
        <v>17</v>
      </c>
      <c r="C121" t="s">
        <v>22</v>
      </c>
      <c r="D121" t="s">
        <v>23</v>
      </c>
      <c r="E121" t="s">
        <v>34</v>
      </c>
      <c r="F121">
        <v>29</v>
      </c>
      <c r="G121" s="4">
        <v>1809.37</v>
      </c>
      <c r="H121" s="4">
        <v>1218</v>
      </c>
      <c r="I121" t="s">
        <v>42</v>
      </c>
      <c r="J121" t="str">
        <f>VLOOKUP(C121,'Lookup Tables'!$A$2:$D$11,3,FALSE)</f>
        <v>Electronics</v>
      </c>
      <c r="K121" t="str">
        <f>VLOOKUP(B121,'Lookup Tables'!$F$2:$H$5,2,FALSE)</f>
        <v>Amanda Lee</v>
      </c>
      <c r="L121" s="5">
        <f>VLOOKUP(B121,'Lookup Tables'!$F$2:$H$5,3,FALSE)</f>
        <v>0.05</v>
      </c>
      <c r="M121" s="4">
        <f t="shared" si="5"/>
        <v>591.36999999999989</v>
      </c>
      <c r="N121" t="str">
        <f t="shared" si="6"/>
        <v>High Value</v>
      </c>
      <c r="O121" t="str">
        <f t="shared" si="7"/>
        <v>Strong Margin</v>
      </c>
      <c r="P121" t="str">
        <f t="shared" si="8"/>
        <v>Apr</v>
      </c>
      <c r="Q121" s="4">
        <f t="shared" si="9"/>
        <v>90.468500000000006</v>
      </c>
    </row>
    <row r="122" spans="1:17">
      <c r="A122" s="3">
        <v>45777</v>
      </c>
      <c r="B122" t="s">
        <v>50</v>
      </c>
      <c r="C122" t="s">
        <v>18</v>
      </c>
      <c r="D122" t="s">
        <v>19</v>
      </c>
      <c r="E122" t="s">
        <v>34</v>
      </c>
      <c r="F122">
        <v>17</v>
      </c>
      <c r="G122" s="4">
        <v>3314.87</v>
      </c>
      <c r="H122" s="4">
        <v>2465</v>
      </c>
      <c r="I122" t="s">
        <v>42</v>
      </c>
      <c r="J122" t="str">
        <f>VLOOKUP(C122,'Lookup Tables'!$A$2:$D$11,3,FALSE)</f>
        <v>Office Furniture</v>
      </c>
      <c r="K122" t="str">
        <f>VLOOKUP(B122,'Lookup Tables'!$F$2:$H$5,2,FALSE)</f>
        <v>Marcus Green</v>
      </c>
      <c r="L122" s="5">
        <f>VLOOKUP(B122,'Lookup Tables'!$F$2:$H$5,3,FALSE)</f>
        <v>0.05</v>
      </c>
      <c r="M122" s="4">
        <f t="shared" si="5"/>
        <v>849.86999999999989</v>
      </c>
      <c r="N122" t="str">
        <f t="shared" si="6"/>
        <v>High Value</v>
      </c>
      <c r="O122" t="str">
        <f t="shared" si="7"/>
        <v>Strong Margin</v>
      </c>
      <c r="P122" t="str">
        <f t="shared" si="8"/>
        <v>Apr</v>
      </c>
      <c r="Q122" s="4">
        <f t="shared" si="9"/>
        <v>165.74350000000001</v>
      </c>
    </row>
    <row r="123" spans="1:17">
      <c r="A123" s="3">
        <v>45778</v>
      </c>
      <c r="B123" t="s">
        <v>25</v>
      </c>
      <c r="C123" t="s">
        <v>38</v>
      </c>
      <c r="D123" t="s">
        <v>39</v>
      </c>
      <c r="E123" t="s">
        <v>51</v>
      </c>
      <c r="F123">
        <v>10</v>
      </c>
      <c r="G123" s="4">
        <v>1899.9</v>
      </c>
      <c r="H123" s="4">
        <v>1102.5</v>
      </c>
      <c r="I123" t="s">
        <v>21</v>
      </c>
      <c r="J123" t="str">
        <f>VLOOKUP(C123,'Lookup Tables'!$A$2:$D$11,3,FALSE)</f>
        <v>Office Furniture</v>
      </c>
      <c r="K123" t="str">
        <f>VLOOKUP(B123,'Lookup Tables'!$F$2:$H$5,2,FALSE)</f>
        <v>Carlos Rivera</v>
      </c>
      <c r="L123" s="5">
        <f>VLOOKUP(B123,'Lookup Tables'!$F$2:$H$5,3,FALSE)</f>
        <v>5.5E-2</v>
      </c>
      <c r="M123" s="4">
        <f t="shared" si="5"/>
        <v>797.40000000000009</v>
      </c>
      <c r="N123" t="str">
        <f t="shared" si="6"/>
        <v>High Value</v>
      </c>
      <c r="O123" t="str">
        <f t="shared" si="7"/>
        <v>Strong Margin</v>
      </c>
      <c r="P123" t="str">
        <f t="shared" si="8"/>
        <v>May</v>
      </c>
      <c r="Q123" s="4">
        <f t="shared" si="9"/>
        <v>104.4945</v>
      </c>
    </row>
    <row r="124" spans="1:17">
      <c r="A124" s="3">
        <v>45779</v>
      </c>
      <c r="B124" t="s">
        <v>17</v>
      </c>
      <c r="C124" t="s">
        <v>48</v>
      </c>
      <c r="D124" t="s">
        <v>49</v>
      </c>
      <c r="E124" t="s">
        <v>41</v>
      </c>
      <c r="F124">
        <v>15</v>
      </c>
      <c r="G124" s="4">
        <v>1052.8800000000001</v>
      </c>
      <c r="H124" s="4">
        <v>777.45</v>
      </c>
      <c r="I124" t="s">
        <v>42</v>
      </c>
      <c r="J124" t="str">
        <f>VLOOKUP(C124,'Lookup Tables'!$A$2:$D$11,3,FALSE)</f>
        <v>Travel</v>
      </c>
      <c r="K124" t="str">
        <f>VLOOKUP(B124,'Lookup Tables'!$F$2:$H$5,2,FALSE)</f>
        <v>Amanda Lee</v>
      </c>
      <c r="L124" s="5">
        <f>VLOOKUP(B124,'Lookup Tables'!$F$2:$H$5,3,FALSE)</f>
        <v>0.05</v>
      </c>
      <c r="M124" s="4">
        <f t="shared" si="5"/>
        <v>275.43000000000006</v>
      </c>
      <c r="N124" t="str">
        <f t="shared" si="6"/>
        <v>High Value</v>
      </c>
      <c r="O124" t="str">
        <f t="shared" si="7"/>
        <v>Strong Margin</v>
      </c>
      <c r="P124" t="str">
        <f t="shared" si="8"/>
        <v>May</v>
      </c>
      <c r="Q124" s="4">
        <f t="shared" si="9"/>
        <v>52.644000000000005</v>
      </c>
    </row>
    <row r="125" spans="1:17">
      <c r="A125" s="3">
        <v>45780</v>
      </c>
      <c r="B125" t="s">
        <v>25</v>
      </c>
      <c r="C125" t="s">
        <v>35</v>
      </c>
      <c r="D125" t="s">
        <v>36</v>
      </c>
      <c r="E125" t="s">
        <v>51</v>
      </c>
      <c r="F125">
        <v>25</v>
      </c>
      <c r="G125" s="4">
        <v>2729.81</v>
      </c>
      <c r="H125" s="4">
        <v>1911.75</v>
      </c>
      <c r="I125" t="s">
        <v>42</v>
      </c>
      <c r="J125" t="str">
        <f>VLOOKUP(C125,'Lookup Tables'!$A$2:$D$11,3,FALSE)</f>
        <v>Home Goods</v>
      </c>
      <c r="K125" t="str">
        <f>VLOOKUP(B125,'Lookup Tables'!$F$2:$H$5,2,FALSE)</f>
        <v>Carlos Rivera</v>
      </c>
      <c r="L125" s="5">
        <f>VLOOKUP(B125,'Lookup Tables'!$F$2:$H$5,3,FALSE)</f>
        <v>5.5E-2</v>
      </c>
      <c r="M125" s="4">
        <f t="shared" si="5"/>
        <v>818.06</v>
      </c>
      <c r="N125" t="str">
        <f t="shared" si="6"/>
        <v>High Value</v>
      </c>
      <c r="O125" t="str">
        <f t="shared" si="7"/>
        <v>Strong Margin</v>
      </c>
      <c r="P125" t="str">
        <f t="shared" si="8"/>
        <v>May</v>
      </c>
      <c r="Q125" s="4">
        <f t="shared" si="9"/>
        <v>150.13954999999999</v>
      </c>
    </row>
    <row r="126" spans="1:17">
      <c r="A126" s="3">
        <v>45780</v>
      </c>
      <c r="B126" t="s">
        <v>29</v>
      </c>
      <c r="C126" t="s">
        <v>30</v>
      </c>
      <c r="D126" t="s">
        <v>31</v>
      </c>
      <c r="E126" t="s">
        <v>51</v>
      </c>
      <c r="F126">
        <v>28</v>
      </c>
      <c r="G126" s="4">
        <v>1310.18</v>
      </c>
      <c r="H126" s="4">
        <v>860.72</v>
      </c>
      <c r="I126" t="s">
        <v>42</v>
      </c>
      <c r="J126" t="str">
        <f>VLOOKUP(C126,'Lookup Tables'!$A$2:$D$11,3,FALSE)</f>
        <v>Fitness</v>
      </c>
      <c r="K126" t="str">
        <f>VLOOKUP(B126,'Lookup Tables'!$F$2:$H$5,2,FALSE)</f>
        <v>Priya Shah</v>
      </c>
      <c r="L126" s="5">
        <f>VLOOKUP(B126,'Lookup Tables'!$F$2:$H$5,3,FALSE)</f>
        <v>4.4999999999999998E-2</v>
      </c>
      <c r="M126" s="4">
        <f t="shared" si="5"/>
        <v>449.46000000000004</v>
      </c>
      <c r="N126" t="str">
        <f t="shared" si="6"/>
        <v>High Value</v>
      </c>
      <c r="O126" t="str">
        <f t="shared" si="7"/>
        <v>Strong Margin</v>
      </c>
      <c r="P126" t="str">
        <f t="shared" si="8"/>
        <v>May</v>
      </c>
      <c r="Q126" s="4">
        <f t="shared" si="9"/>
        <v>58.958100000000002</v>
      </c>
    </row>
    <row r="127" spans="1:17">
      <c r="A127" s="3">
        <v>45782</v>
      </c>
      <c r="B127" t="s">
        <v>17</v>
      </c>
      <c r="C127" t="s">
        <v>30</v>
      </c>
      <c r="D127" t="s">
        <v>31</v>
      </c>
      <c r="E127" t="s">
        <v>45</v>
      </c>
      <c r="F127">
        <v>1</v>
      </c>
      <c r="G127" s="4">
        <v>59.99</v>
      </c>
      <c r="H127" s="4">
        <v>30.74</v>
      </c>
      <c r="I127" t="s">
        <v>21</v>
      </c>
      <c r="J127" t="str">
        <f>VLOOKUP(C127,'Lookup Tables'!$A$2:$D$11,3,FALSE)</f>
        <v>Fitness</v>
      </c>
      <c r="K127" t="str">
        <f>VLOOKUP(B127,'Lookup Tables'!$F$2:$H$5,2,FALSE)</f>
        <v>Amanda Lee</v>
      </c>
      <c r="L127" s="5">
        <f>VLOOKUP(B127,'Lookup Tables'!$F$2:$H$5,3,FALSE)</f>
        <v>0.05</v>
      </c>
      <c r="M127" s="4">
        <f t="shared" si="5"/>
        <v>29.250000000000004</v>
      </c>
      <c r="N127" t="str">
        <f t="shared" si="6"/>
        <v>Standard</v>
      </c>
      <c r="O127" t="str">
        <f t="shared" si="7"/>
        <v>Strong Margin</v>
      </c>
      <c r="P127" t="str">
        <f t="shared" si="8"/>
        <v>May</v>
      </c>
      <c r="Q127" s="4">
        <f t="shared" si="9"/>
        <v>2.9995000000000003</v>
      </c>
    </row>
    <row r="128" spans="1:17">
      <c r="A128" s="3">
        <v>45783</v>
      </c>
      <c r="B128" t="s">
        <v>17</v>
      </c>
      <c r="C128" t="s">
        <v>35</v>
      </c>
      <c r="D128" t="s">
        <v>36</v>
      </c>
      <c r="E128" t="s">
        <v>51</v>
      </c>
      <c r="F128">
        <v>22</v>
      </c>
      <c r="G128" s="4">
        <v>2402.23</v>
      </c>
      <c r="H128" s="4">
        <v>1682.34</v>
      </c>
      <c r="I128" t="s">
        <v>42</v>
      </c>
      <c r="J128" t="str">
        <f>VLOOKUP(C128,'Lookup Tables'!$A$2:$D$11,3,FALSE)</f>
        <v>Home Goods</v>
      </c>
      <c r="K128" t="str">
        <f>VLOOKUP(B128,'Lookup Tables'!$F$2:$H$5,2,FALSE)</f>
        <v>Amanda Lee</v>
      </c>
      <c r="L128" s="5">
        <f>VLOOKUP(B128,'Lookup Tables'!$F$2:$H$5,3,FALSE)</f>
        <v>0.05</v>
      </c>
      <c r="M128" s="4">
        <f t="shared" si="5"/>
        <v>719.8900000000001</v>
      </c>
      <c r="N128" t="str">
        <f t="shared" si="6"/>
        <v>High Value</v>
      </c>
      <c r="O128" t="str">
        <f t="shared" si="7"/>
        <v>Strong Margin</v>
      </c>
      <c r="P128" t="str">
        <f t="shared" si="8"/>
        <v>May</v>
      </c>
      <c r="Q128" s="4">
        <f t="shared" si="9"/>
        <v>120.11150000000001</v>
      </c>
    </row>
    <row r="129" spans="1:17">
      <c r="A129" s="3">
        <v>45784</v>
      </c>
      <c r="B129" t="s">
        <v>17</v>
      </c>
      <c r="C129" t="s">
        <v>22</v>
      </c>
      <c r="D129" t="s">
        <v>23</v>
      </c>
      <c r="E129" t="s">
        <v>20</v>
      </c>
      <c r="F129">
        <v>10</v>
      </c>
      <c r="G129" s="4">
        <v>799.9</v>
      </c>
      <c r="H129" s="4">
        <v>420</v>
      </c>
      <c r="I129" t="s">
        <v>21</v>
      </c>
      <c r="J129" t="str">
        <f>VLOOKUP(C129,'Lookup Tables'!$A$2:$D$11,3,FALSE)</f>
        <v>Electronics</v>
      </c>
      <c r="K129" t="str">
        <f>VLOOKUP(B129,'Lookup Tables'!$F$2:$H$5,2,FALSE)</f>
        <v>Amanda Lee</v>
      </c>
      <c r="L129" s="5">
        <f>VLOOKUP(B129,'Lookup Tables'!$F$2:$H$5,3,FALSE)</f>
        <v>0.05</v>
      </c>
      <c r="M129" s="4">
        <f t="shared" si="5"/>
        <v>379.9</v>
      </c>
      <c r="N129" t="str">
        <f t="shared" si="6"/>
        <v>Standard</v>
      </c>
      <c r="O129" t="str">
        <f t="shared" si="7"/>
        <v>Strong Margin</v>
      </c>
      <c r="P129" t="str">
        <f t="shared" si="8"/>
        <v>May</v>
      </c>
      <c r="Q129" s="4">
        <f t="shared" si="9"/>
        <v>39.995000000000005</v>
      </c>
    </row>
    <row r="130" spans="1:17">
      <c r="A130" s="3">
        <v>45785</v>
      </c>
      <c r="B130" t="s">
        <v>25</v>
      </c>
      <c r="C130" t="s">
        <v>18</v>
      </c>
      <c r="D130" t="s">
        <v>19</v>
      </c>
      <c r="E130" t="s">
        <v>45</v>
      </c>
      <c r="F130">
        <v>11</v>
      </c>
      <c r="G130" s="4">
        <v>2144.91</v>
      </c>
      <c r="H130" s="4">
        <v>1595</v>
      </c>
      <c r="I130" t="s">
        <v>42</v>
      </c>
      <c r="J130" t="str">
        <f>VLOOKUP(C130,'Lookup Tables'!$A$2:$D$11,3,FALSE)</f>
        <v>Office Furniture</v>
      </c>
      <c r="K130" t="str">
        <f>VLOOKUP(B130,'Lookup Tables'!$F$2:$H$5,2,FALSE)</f>
        <v>Carlos Rivera</v>
      </c>
      <c r="L130" s="5">
        <f>VLOOKUP(B130,'Lookup Tables'!$F$2:$H$5,3,FALSE)</f>
        <v>5.5E-2</v>
      </c>
      <c r="M130" s="4">
        <f t="shared" ref="M130:M193" si="10">G130-H130</f>
        <v>549.90999999999985</v>
      </c>
      <c r="N130" t="str">
        <f t="shared" ref="N130:N193" si="11">IF(G130&gt;1000,"High Value","Standard")</f>
        <v>High Value</v>
      </c>
      <c r="O130" t="str">
        <f t="shared" ref="O130:O193" si="12">IF(M130/G130&lt;0.25,"Review Margin","Strong Margin")</f>
        <v>Strong Margin</v>
      </c>
      <c r="P130" t="str">
        <f t="shared" ref="P130:P193" si="13">TEXT(A130,"mmm")</f>
        <v>May</v>
      </c>
      <c r="Q130" s="4">
        <f t="shared" ref="Q130:Q193" si="14">G130*L130</f>
        <v>117.97004999999999</v>
      </c>
    </row>
    <row r="131" spans="1:17">
      <c r="A131" s="3">
        <v>45786</v>
      </c>
      <c r="B131" t="s">
        <v>50</v>
      </c>
      <c r="C131" t="s">
        <v>18</v>
      </c>
      <c r="D131" t="s">
        <v>19</v>
      </c>
      <c r="E131" t="s">
        <v>24</v>
      </c>
      <c r="F131">
        <v>5</v>
      </c>
      <c r="G131" s="4">
        <v>1249.95</v>
      </c>
      <c r="H131" s="4">
        <v>725</v>
      </c>
      <c r="I131" t="s">
        <v>21</v>
      </c>
      <c r="J131" t="str">
        <f>VLOOKUP(C131,'Lookup Tables'!$A$2:$D$11,3,FALSE)</f>
        <v>Office Furniture</v>
      </c>
      <c r="K131" t="str">
        <f>VLOOKUP(B131,'Lookup Tables'!$F$2:$H$5,2,FALSE)</f>
        <v>Marcus Green</v>
      </c>
      <c r="L131" s="5">
        <f>VLOOKUP(B131,'Lookup Tables'!$F$2:$H$5,3,FALSE)</f>
        <v>0.05</v>
      </c>
      <c r="M131" s="4">
        <f t="shared" si="10"/>
        <v>524.95000000000005</v>
      </c>
      <c r="N131" t="str">
        <f t="shared" si="11"/>
        <v>High Value</v>
      </c>
      <c r="O131" t="str">
        <f t="shared" si="12"/>
        <v>Strong Margin</v>
      </c>
      <c r="P131" t="str">
        <f t="shared" si="13"/>
        <v>May</v>
      </c>
      <c r="Q131" s="4">
        <f t="shared" si="14"/>
        <v>62.497500000000002</v>
      </c>
    </row>
    <row r="132" spans="1:17">
      <c r="A132" s="3">
        <v>45788</v>
      </c>
      <c r="B132" t="s">
        <v>17</v>
      </c>
      <c r="C132" t="s">
        <v>35</v>
      </c>
      <c r="D132" t="s">
        <v>36</v>
      </c>
      <c r="E132" t="s">
        <v>28</v>
      </c>
      <c r="F132">
        <v>19</v>
      </c>
      <c r="G132" s="4">
        <v>2074.65</v>
      </c>
      <c r="H132" s="4">
        <v>1452.93</v>
      </c>
      <c r="I132" t="s">
        <v>42</v>
      </c>
      <c r="J132" t="str">
        <f>VLOOKUP(C132,'Lookup Tables'!$A$2:$D$11,3,FALSE)</f>
        <v>Home Goods</v>
      </c>
      <c r="K132" t="str">
        <f>VLOOKUP(B132,'Lookup Tables'!$F$2:$H$5,2,FALSE)</f>
        <v>Amanda Lee</v>
      </c>
      <c r="L132" s="5">
        <f>VLOOKUP(B132,'Lookup Tables'!$F$2:$H$5,3,FALSE)</f>
        <v>0.05</v>
      </c>
      <c r="M132" s="4">
        <f t="shared" si="10"/>
        <v>621.72</v>
      </c>
      <c r="N132" t="str">
        <f t="shared" si="11"/>
        <v>High Value</v>
      </c>
      <c r="O132" t="str">
        <f t="shared" si="12"/>
        <v>Strong Margin</v>
      </c>
      <c r="P132" t="str">
        <f t="shared" si="13"/>
        <v>May</v>
      </c>
      <c r="Q132" s="4">
        <f t="shared" si="14"/>
        <v>103.73250000000002</v>
      </c>
    </row>
    <row r="133" spans="1:17">
      <c r="A133" s="3">
        <v>45788</v>
      </c>
      <c r="B133" t="s">
        <v>25</v>
      </c>
      <c r="C133" t="s">
        <v>30</v>
      </c>
      <c r="D133" t="s">
        <v>31</v>
      </c>
      <c r="E133" t="s">
        <v>41</v>
      </c>
      <c r="F133">
        <v>5</v>
      </c>
      <c r="G133" s="4">
        <v>299.95</v>
      </c>
      <c r="H133" s="4">
        <v>153.69999999999999</v>
      </c>
      <c r="I133" t="s">
        <v>21</v>
      </c>
      <c r="J133" t="str">
        <f>VLOOKUP(C133,'Lookup Tables'!$A$2:$D$11,3,FALSE)</f>
        <v>Fitness</v>
      </c>
      <c r="K133" t="str">
        <f>VLOOKUP(B133,'Lookup Tables'!$F$2:$H$5,2,FALSE)</f>
        <v>Carlos Rivera</v>
      </c>
      <c r="L133" s="5">
        <f>VLOOKUP(B133,'Lookup Tables'!$F$2:$H$5,3,FALSE)</f>
        <v>5.5E-2</v>
      </c>
      <c r="M133" s="4">
        <f t="shared" si="10"/>
        <v>146.25</v>
      </c>
      <c r="N133" t="str">
        <f t="shared" si="11"/>
        <v>Standard</v>
      </c>
      <c r="O133" t="str">
        <f t="shared" si="12"/>
        <v>Strong Margin</v>
      </c>
      <c r="P133" t="str">
        <f t="shared" si="13"/>
        <v>May</v>
      </c>
      <c r="Q133" s="4">
        <f t="shared" si="14"/>
        <v>16.497250000000001</v>
      </c>
    </row>
    <row r="134" spans="1:17">
      <c r="A134" s="3">
        <v>45788</v>
      </c>
      <c r="B134" t="s">
        <v>29</v>
      </c>
      <c r="C134" t="s">
        <v>22</v>
      </c>
      <c r="D134" t="s">
        <v>23</v>
      </c>
      <c r="E134" t="s">
        <v>51</v>
      </c>
      <c r="F134">
        <v>11</v>
      </c>
      <c r="G134" s="4">
        <v>686.31</v>
      </c>
      <c r="H134" s="4">
        <v>462</v>
      </c>
      <c r="I134" t="s">
        <v>42</v>
      </c>
      <c r="J134" t="str">
        <f>VLOOKUP(C134,'Lookup Tables'!$A$2:$D$11,3,FALSE)</f>
        <v>Electronics</v>
      </c>
      <c r="K134" t="str">
        <f>VLOOKUP(B134,'Lookup Tables'!$F$2:$H$5,2,FALSE)</f>
        <v>Priya Shah</v>
      </c>
      <c r="L134" s="5">
        <f>VLOOKUP(B134,'Lookup Tables'!$F$2:$H$5,3,FALSE)</f>
        <v>4.4999999999999998E-2</v>
      </c>
      <c r="M134" s="4">
        <f t="shared" si="10"/>
        <v>224.30999999999995</v>
      </c>
      <c r="N134" t="str">
        <f t="shared" si="11"/>
        <v>Standard</v>
      </c>
      <c r="O134" t="str">
        <f t="shared" si="12"/>
        <v>Strong Margin</v>
      </c>
      <c r="P134" t="str">
        <f t="shared" si="13"/>
        <v>May</v>
      </c>
      <c r="Q134" s="4">
        <f t="shared" si="14"/>
        <v>30.883949999999995</v>
      </c>
    </row>
    <row r="135" spans="1:17">
      <c r="A135" s="3">
        <v>45789</v>
      </c>
      <c r="B135" t="s">
        <v>29</v>
      </c>
      <c r="C135" t="s">
        <v>30</v>
      </c>
      <c r="D135" t="s">
        <v>31</v>
      </c>
      <c r="E135" t="s">
        <v>34</v>
      </c>
      <c r="F135">
        <v>15</v>
      </c>
      <c r="G135" s="4">
        <v>701.88</v>
      </c>
      <c r="H135" s="4">
        <v>461.1</v>
      </c>
      <c r="I135" t="s">
        <v>42</v>
      </c>
      <c r="J135" t="str">
        <f>VLOOKUP(C135,'Lookup Tables'!$A$2:$D$11,3,FALSE)</f>
        <v>Fitness</v>
      </c>
      <c r="K135" t="str">
        <f>VLOOKUP(B135,'Lookup Tables'!$F$2:$H$5,2,FALSE)</f>
        <v>Priya Shah</v>
      </c>
      <c r="L135" s="5">
        <f>VLOOKUP(B135,'Lookup Tables'!$F$2:$H$5,3,FALSE)</f>
        <v>4.4999999999999998E-2</v>
      </c>
      <c r="M135" s="4">
        <f t="shared" si="10"/>
        <v>240.77999999999997</v>
      </c>
      <c r="N135" t="str">
        <f t="shared" si="11"/>
        <v>Standard</v>
      </c>
      <c r="O135" t="str">
        <f t="shared" si="12"/>
        <v>Strong Margin</v>
      </c>
      <c r="P135" t="str">
        <f t="shared" si="13"/>
        <v>May</v>
      </c>
      <c r="Q135" s="4">
        <f t="shared" si="14"/>
        <v>31.584599999999998</v>
      </c>
    </row>
    <row r="136" spans="1:17">
      <c r="A136" s="3">
        <v>45790</v>
      </c>
      <c r="B136" t="s">
        <v>29</v>
      </c>
      <c r="C136" t="s">
        <v>43</v>
      </c>
      <c r="D136" t="s">
        <v>44</v>
      </c>
      <c r="E136" t="s">
        <v>40</v>
      </c>
      <c r="F136">
        <v>10</v>
      </c>
      <c r="G136" s="4">
        <v>499.9</v>
      </c>
      <c r="H136" s="4">
        <v>249.5</v>
      </c>
      <c r="I136" t="s">
        <v>21</v>
      </c>
      <c r="J136" t="str">
        <f>VLOOKUP(C136,'Lookup Tables'!$A$2:$D$11,3,FALSE)</f>
        <v>Fitness</v>
      </c>
      <c r="K136" t="str">
        <f>VLOOKUP(B136,'Lookup Tables'!$F$2:$H$5,2,FALSE)</f>
        <v>Priya Shah</v>
      </c>
      <c r="L136" s="5">
        <f>VLOOKUP(B136,'Lookup Tables'!$F$2:$H$5,3,FALSE)</f>
        <v>4.4999999999999998E-2</v>
      </c>
      <c r="M136" s="4">
        <f t="shared" si="10"/>
        <v>250.39999999999998</v>
      </c>
      <c r="N136" t="str">
        <f t="shared" si="11"/>
        <v>Standard</v>
      </c>
      <c r="O136" t="str">
        <f t="shared" si="12"/>
        <v>Strong Margin</v>
      </c>
      <c r="P136" t="str">
        <f t="shared" si="13"/>
        <v>May</v>
      </c>
      <c r="Q136" s="4">
        <f t="shared" si="14"/>
        <v>22.4955</v>
      </c>
    </row>
    <row r="137" spans="1:17">
      <c r="A137" s="3">
        <v>45792</v>
      </c>
      <c r="B137" t="s">
        <v>50</v>
      </c>
      <c r="C137" t="s">
        <v>46</v>
      </c>
      <c r="D137" t="s">
        <v>47</v>
      </c>
      <c r="E137" t="s">
        <v>52</v>
      </c>
      <c r="F137">
        <v>25</v>
      </c>
      <c r="G137" s="4">
        <v>3119.81</v>
      </c>
      <c r="H137" s="4">
        <v>2355</v>
      </c>
      <c r="I137" t="s">
        <v>42</v>
      </c>
      <c r="J137" t="str">
        <f>VLOOKUP(C137,'Lookup Tables'!$A$2:$D$11,3,FALSE)</f>
        <v>Home Goods</v>
      </c>
      <c r="K137" t="str">
        <f>VLOOKUP(B137,'Lookup Tables'!$F$2:$H$5,2,FALSE)</f>
        <v>Marcus Green</v>
      </c>
      <c r="L137" s="5">
        <f>VLOOKUP(B137,'Lookup Tables'!$F$2:$H$5,3,FALSE)</f>
        <v>0.05</v>
      </c>
      <c r="M137" s="4">
        <f t="shared" si="10"/>
        <v>764.81</v>
      </c>
      <c r="N137" t="str">
        <f t="shared" si="11"/>
        <v>High Value</v>
      </c>
      <c r="O137" t="str">
        <f t="shared" si="12"/>
        <v>Review Margin</v>
      </c>
      <c r="P137" t="str">
        <f t="shared" si="13"/>
        <v>May</v>
      </c>
      <c r="Q137" s="4">
        <f t="shared" si="14"/>
        <v>155.9905</v>
      </c>
    </row>
    <row r="138" spans="1:17">
      <c r="A138" s="3">
        <v>45794</v>
      </c>
      <c r="B138" t="s">
        <v>17</v>
      </c>
      <c r="C138" t="s">
        <v>48</v>
      </c>
      <c r="D138" t="s">
        <v>49</v>
      </c>
      <c r="E138" t="s">
        <v>37</v>
      </c>
      <c r="F138">
        <v>11</v>
      </c>
      <c r="G138" s="4">
        <v>772.11</v>
      </c>
      <c r="H138" s="4">
        <v>570.13</v>
      </c>
      <c r="I138" t="s">
        <v>42</v>
      </c>
      <c r="J138" t="str">
        <f>VLOOKUP(C138,'Lookup Tables'!$A$2:$D$11,3,FALSE)</f>
        <v>Travel</v>
      </c>
      <c r="K138" t="str">
        <f>VLOOKUP(B138,'Lookup Tables'!$F$2:$H$5,2,FALSE)</f>
        <v>Amanda Lee</v>
      </c>
      <c r="L138" s="5">
        <f>VLOOKUP(B138,'Lookup Tables'!$F$2:$H$5,3,FALSE)</f>
        <v>0.05</v>
      </c>
      <c r="M138" s="4">
        <f t="shared" si="10"/>
        <v>201.98000000000002</v>
      </c>
      <c r="N138" t="str">
        <f t="shared" si="11"/>
        <v>Standard</v>
      </c>
      <c r="O138" t="str">
        <f t="shared" si="12"/>
        <v>Strong Margin</v>
      </c>
      <c r="P138" t="str">
        <f t="shared" si="13"/>
        <v>May</v>
      </c>
      <c r="Q138" s="4">
        <f t="shared" si="14"/>
        <v>38.605500000000006</v>
      </c>
    </row>
    <row r="139" spans="1:17">
      <c r="A139" s="3">
        <v>45796</v>
      </c>
      <c r="B139" t="s">
        <v>17</v>
      </c>
      <c r="C139" t="s">
        <v>30</v>
      </c>
      <c r="D139" t="s">
        <v>31</v>
      </c>
      <c r="E139" t="s">
        <v>28</v>
      </c>
      <c r="F139">
        <v>11</v>
      </c>
      <c r="G139" s="4">
        <v>659.89</v>
      </c>
      <c r="H139" s="4">
        <v>338.14</v>
      </c>
      <c r="I139" t="s">
        <v>21</v>
      </c>
      <c r="J139" t="str">
        <f>VLOOKUP(C139,'Lookup Tables'!$A$2:$D$11,3,FALSE)</f>
        <v>Fitness</v>
      </c>
      <c r="K139" t="str">
        <f>VLOOKUP(B139,'Lookup Tables'!$F$2:$H$5,2,FALSE)</f>
        <v>Amanda Lee</v>
      </c>
      <c r="L139" s="5">
        <f>VLOOKUP(B139,'Lookup Tables'!$F$2:$H$5,3,FALSE)</f>
        <v>0.05</v>
      </c>
      <c r="M139" s="4">
        <f t="shared" si="10"/>
        <v>321.75</v>
      </c>
      <c r="N139" t="str">
        <f t="shared" si="11"/>
        <v>Standard</v>
      </c>
      <c r="O139" t="str">
        <f t="shared" si="12"/>
        <v>Strong Margin</v>
      </c>
      <c r="P139" t="str">
        <f t="shared" si="13"/>
        <v>May</v>
      </c>
      <c r="Q139" s="4">
        <f t="shared" si="14"/>
        <v>32.994500000000002</v>
      </c>
    </row>
    <row r="140" spans="1:17">
      <c r="A140" s="3">
        <v>45798</v>
      </c>
      <c r="B140" t="s">
        <v>17</v>
      </c>
      <c r="C140" t="s">
        <v>43</v>
      </c>
      <c r="D140" t="s">
        <v>44</v>
      </c>
      <c r="E140" t="s">
        <v>41</v>
      </c>
      <c r="F140">
        <v>17</v>
      </c>
      <c r="G140" s="4">
        <v>662.87</v>
      </c>
      <c r="H140" s="4">
        <v>424.15</v>
      </c>
      <c r="I140" t="s">
        <v>42</v>
      </c>
      <c r="J140" t="str">
        <f>VLOOKUP(C140,'Lookup Tables'!$A$2:$D$11,3,FALSE)</f>
        <v>Fitness</v>
      </c>
      <c r="K140" t="str">
        <f>VLOOKUP(B140,'Lookup Tables'!$F$2:$H$5,2,FALSE)</f>
        <v>Amanda Lee</v>
      </c>
      <c r="L140" s="5">
        <f>VLOOKUP(B140,'Lookup Tables'!$F$2:$H$5,3,FALSE)</f>
        <v>0.05</v>
      </c>
      <c r="M140" s="4">
        <f t="shared" si="10"/>
        <v>238.72000000000003</v>
      </c>
      <c r="N140" t="str">
        <f t="shared" si="11"/>
        <v>Standard</v>
      </c>
      <c r="O140" t="str">
        <f t="shared" si="12"/>
        <v>Strong Margin</v>
      </c>
      <c r="P140" t="str">
        <f t="shared" si="13"/>
        <v>May</v>
      </c>
      <c r="Q140" s="4">
        <f t="shared" si="14"/>
        <v>33.143500000000003</v>
      </c>
    </row>
    <row r="141" spans="1:17">
      <c r="A141" s="3">
        <v>45800</v>
      </c>
      <c r="B141" t="s">
        <v>17</v>
      </c>
      <c r="C141" t="s">
        <v>30</v>
      </c>
      <c r="D141" t="s">
        <v>31</v>
      </c>
      <c r="E141" t="s">
        <v>51</v>
      </c>
      <c r="F141">
        <v>3</v>
      </c>
      <c r="G141" s="4">
        <v>179.97</v>
      </c>
      <c r="H141" s="4">
        <v>92.22</v>
      </c>
      <c r="I141" t="s">
        <v>21</v>
      </c>
      <c r="J141" t="str">
        <f>VLOOKUP(C141,'Lookup Tables'!$A$2:$D$11,3,FALSE)</f>
        <v>Fitness</v>
      </c>
      <c r="K141" t="str">
        <f>VLOOKUP(B141,'Lookup Tables'!$F$2:$H$5,2,FALSE)</f>
        <v>Amanda Lee</v>
      </c>
      <c r="L141" s="5">
        <f>VLOOKUP(B141,'Lookup Tables'!$F$2:$H$5,3,FALSE)</f>
        <v>0.05</v>
      </c>
      <c r="M141" s="4">
        <f t="shared" si="10"/>
        <v>87.75</v>
      </c>
      <c r="N141" t="str">
        <f t="shared" si="11"/>
        <v>Standard</v>
      </c>
      <c r="O141" t="str">
        <f t="shared" si="12"/>
        <v>Strong Margin</v>
      </c>
      <c r="P141" t="str">
        <f t="shared" si="13"/>
        <v>May</v>
      </c>
      <c r="Q141" s="4">
        <f t="shared" si="14"/>
        <v>8.9984999999999999</v>
      </c>
    </row>
    <row r="142" spans="1:17">
      <c r="A142" s="3">
        <v>45800</v>
      </c>
      <c r="B142" t="s">
        <v>25</v>
      </c>
      <c r="C142" t="s">
        <v>18</v>
      </c>
      <c r="D142" t="s">
        <v>19</v>
      </c>
      <c r="E142" t="s">
        <v>34</v>
      </c>
      <c r="F142">
        <v>1</v>
      </c>
      <c r="G142" s="4">
        <v>249.99</v>
      </c>
      <c r="H142" s="4">
        <v>145</v>
      </c>
      <c r="I142" t="s">
        <v>21</v>
      </c>
      <c r="J142" t="str">
        <f>VLOOKUP(C142,'Lookup Tables'!$A$2:$D$11,3,FALSE)</f>
        <v>Office Furniture</v>
      </c>
      <c r="K142" t="str">
        <f>VLOOKUP(B142,'Lookup Tables'!$F$2:$H$5,2,FALSE)</f>
        <v>Carlos Rivera</v>
      </c>
      <c r="L142" s="5">
        <f>VLOOKUP(B142,'Lookup Tables'!$F$2:$H$5,3,FALSE)</f>
        <v>5.5E-2</v>
      </c>
      <c r="M142" s="4">
        <f t="shared" si="10"/>
        <v>104.99000000000001</v>
      </c>
      <c r="N142" t="str">
        <f t="shared" si="11"/>
        <v>Standard</v>
      </c>
      <c r="O142" t="str">
        <f t="shared" si="12"/>
        <v>Strong Margin</v>
      </c>
      <c r="P142" t="str">
        <f t="shared" si="13"/>
        <v>May</v>
      </c>
      <c r="Q142" s="4">
        <f t="shared" si="14"/>
        <v>13.749450000000001</v>
      </c>
    </row>
    <row r="143" spans="1:17">
      <c r="A143" s="3">
        <v>45800</v>
      </c>
      <c r="B143" t="s">
        <v>17</v>
      </c>
      <c r="C143" t="s">
        <v>30</v>
      </c>
      <c r="D143" t="s">
        <v>31</v>
      </c>
      <c r="E143" t="s">
        <v>28</v>
      </c>
      <c r="F143">
        <v>2</v>
      </c>
      <c r="G143" s="4">
        <v>119.98</v>
      </c>
      <c r="H143" s="4">
        <v>61.48</v>
      </c>
      <c r="I143" t="s">
        <v>21</v>
      </c>
      <c r="J143" t="str">
        <f>VLOOKUP(C143,'Lookup Tables'!$A$2:$D$11,3,FALSE)</f>
        <v>Fitness</v>
      </c>
      <c r="K143" t="str">
        <f>VLOOKUP(B143,'Lookup Tables'!$F$2:$H$5,2,FALSE)</f>
        <v>Amanda Lee</v>
      </c>
      <c r="L143" s="5">
        <f>VLOOKUP(B143,'Lookup Tables'!$F$2:$H$5,3,FALSE)</f>
        <v>0.05</v>
      </c>
      <c r="M143" s="4">
        <f t="shared" si="10"/>
        <v>58.500000000000007</v>
      </c>
      <c r="N143" t="str">
        <f t="shared" si="11"/>
        <v>Standard</v>
      </c>
      <c r="O143" t="str">
        <f t="shared" si="12"/>
        <v>Strong Margin</v>
      </c>
      <c r="P143" t="str">
        <f t="shared" si="13"/>
        <v>May</v>
      </c>
      <c r="Q143" s="4">
        <f t="shared" si="14"/>
        <v>5.9990000000000006</v>
      </c>
    </row>
    <row r="144" spans="1:17">
      <c r="A144" s="3">
        <v>45802</v>
      </c>
      <c r="B144" t="s">
        <v>17</v>
      </c>
      <c r="C144" t="s">
        <v>32</v>
      </c>
      <c r="D144" t="s">
        <v>33</v>
      </c>
      <c r="E144" t="s">
        <v>20</v>
      </c>
      <c r="F144">
        <v>6</v>
      </c>
      <c r="G144" s="4">
        <v>719.94</v>
      </c>
      <c r="H144" s="4">
        <v>411</v>
      </c>
      <c r="I144" t="s">
        <v>21</v>
      </c>
      <c r="J144" t="str">
        <f>VLOOKUP(C144,'Lookup Tables'!$A$2:$D$11,3,FALSE)</f>
        <v>Electronics</v>
      </c>
      <c r="K144" t="str">
        <f>VLOOKUP(B144,'Lookup Tables'!$F$2:$H$5,2,FALSE)</f>
        <v>Amanda Lee</v>
      </c>
      <c r="L144" s="5">
        <f>VLOOKUP(B144,'Lookup Tables'!$F$2:$H$5,3,FALSE)</f>
        <v>0.05</v>
      </c>
      <c r="M144" s="4">
        <f t="shared" si="10"/>
        <v>308.94000000000005</v>
      </c>
      <c r="N144" t="str">
        <f t="shared" si="11"/>
        <v>Standard</v>
      </c>
      <c r="O144" t="str">
        <f t="shared" si="12"/>
        <v>Strong Margin</v>
      </c>
      <c r="P144" t="str">
        <f t="shared" si="13"/>
        <v>May</v>
      </c>
      <c r="Q144" s="4">
        <f t="shared" si="14"/>
        <v>35.997000000000007</v>
      </c>
    </row>
    <row r="145" spans="1:17">
      <c r="A145" s="3">
        <v>45804</v>
      </c>
      <c r="B145" t="s">
        <v>29</v>
      </c>
      <c r="C145" t="s">
        <v>30</v>
      </c>
      <c r="D145" t="s">
        <v>31</v>
      </c>
      <c r="E145" t="s">
        <v>41</v>
      </c>
      <c r="F145">
        <v>6</v>
      </c>
      <c r="G145" s="4">
        <v>359.94</v>
      </c>
      <c r="H145" s="4">
        <v>184.44</v>
      </c>
      <c r="I145" t="s">
        <v>21</v>
      </c>
      <c r="J145" t="str">
        <f>VLOOKUP(C145,'Lookup Tables'!$A$2:$D$11,3,FALSE)</f>
        <v>Fitness</v>
      </c>
      <c r="K145" t="str">
        <f>VLOOKUP(B145,'Lookup Tables'!$F$2:$H$5,2,FALSE)</f>
        <v>Priya Shah</v>
      </c>
      <c r="L145" s="5">
        <f>VLOOKUP(B145,'Lookup Tables'!$F$2:$H$5,3,FALSE)</f>
        <v>4.4999999999999998E-2</v>
      </c>
      <c r="M145" s="4">
        <f t="shared" si="10"/>
        <v>175.5</v>
      </c>
      <c r="N145" t="str">
        <f t="shared" si="11"/>
        <v>Standard</v>
      </c>
      <c r="O145" t="str">
        <f t="shared" si="12"/>
        <v>Strong Margin</v>
      </c>
      <c r="P145" t="str">
        <f t="shared" si="13"/>
        <v>May</v>
      </c>
      <c r="Q145" s="4">
        <f t="shared" si="14"/>
        <v>16.197299999999998</v>
      </c>
    </row>
    <row r="146" spans="1:17">
      <c r="A146" s="3">
        <v>45804</v>
      </c>
      <c r="B146" t="s">
        <v>29</v>
      </c>
      <c r="C146" t="s">
        <v>26</v>
      </c>
      <c r="D146" t="s">
        <v>27</v>
      </c>
      <c r="E146" t="s">
        <v>28</v>
      </c>
      <c r="F146">
        <v>14</v>
      </c>
      <c r="G146" s="4">
        <v>327.49</v>
      </c>
      <c r="H146" s="4">
        <v>178.5</v>
      </c>
      <c r="I146" t="s">
        <v>42</v>
      </c>
      <c r="J146" t="str">
        <f>VLOOKUP(C146,'Lookup Tables'!$A$2:$D$11,3,FALSE)</f>
        <v>Travel</v>
      </c>
      <c r="K146" t="str">
        <f>VLOOKUP(B146,'Lookup Tables'!$F$2:$H$5,2,FALSE)</f>
        <v>Priya Shah</v>
      </c>
      <c r="L146" s="5">
        <f>VLOOKUP(B146,'Lookup Tables'!$F$2:$H$5,3,FALSE)</f>
        <v>4.4999999999999998E-2</v>
      </c>
      <c r="M146" s="4">
        <f t="shared" si="10"/>
        <v>148.99</v>
      </c>
      <c r="N146" t="str">
        <f t="shared" si="11"/>
        <v>Standard</v>
      </c>
      <c r="O146" t="str">
        <f t="shared" si="12"/>
        <v>Strong Margin</v>
      </c>
      <c r="P146" t="str">
        <f t="shared" si="13"/>
        <v>May</v>
      </c>
      <c r="Q146" s="4">
        <f t="shared" si="14"/>
        <v>14.73705</v>
      </c>
    </row>
    <row r="147" spans="1:17">
      <c r="A147" s="3">
        <v>45805</v>
      </c>
      <c r="B147" t="s">
        <v>25</v>
      </c>
      <c r="C147" t="s">
        <v>43</v>
      </c>
      <c r="D147" t="s">
        <v>44</v>
      </c>
      <c r="E147" t="s">
        <v>34</v>
      </c>
      <c r="F147">
        <v>1</v>
      </c>
      <c r="G147" s="4">
        <v>49.99</v>
      </c>
      <c r="H147" s="4">
        <v>24.95</v>
      </c>
      <c r="I147" t="s">
        <v>21</v>
      </c>
      <c r="J147" t="str">
        <f>VLOOKUP(C147,'Lookup Tables'!$A$2:$D$11,3,FALSE)</f>
        <v>Fitness</v>
      </c>
      <c r="K147" t="str">
        <f>VLOOKUP(B147,'Lookup Tables'!$F$2:$H$5,2,FALSE)</f>
        <v>Carlos Rivera</v>
      </c>
      <c r="L147" s="5">
        <f>VLOOKUP(B147,'Lookup Tables'!$F$2:$H$5,3,FALSE)</f>
        <v>5.5E-2</v>
      </c>
      <c r="M147" s="4">
        <f t="shared" si="10"/>
        <v>25.040000000000003</v>
      </c>
      <c r="N147" t="str">
        <f t="shared" si="11"/>
        <v>Standard</v>
      </c>
      <c r="O147" t="str">
        <f t="shared" si="12"/>
        <v>Strong Margin</v>
      </c>
      <c r="P147" t="str">
        <f t="shared" si="13"/>
        <v>May</v>
      </c>
      <c r="Q147" s="4">
        <f t="shared" si="14"/>
        <v>2.7494499999999999</v>
      </c>
    </row>
    <row r="148" spans="1:17">
      <c r="A148" s="3">
        <v>45805</v>
      </c>
      <c r="B148" t="s">
        <v>17</v>
      </c>
      <c r="C148" t="s">
        <v>30</v>
      </c>
      <c r="D148" t="s">
        <v>31</v>
      </c>
      <c r="E148" t="s">
        <v>40</v>
      </c>
      <c r="F148">
        <v>27</v>
      </c>
      <c r="G148" s="4">
        <v>1263.3900000000001</v>
      </c>
      <c r="H148" s="4">
        <v>829.98</v>
      </c>
      <c r="I148" t="s">
        <v>42</v>
      </c>
      <c r="J148" t="str">
        <f>VLOOKUP(C148,'Lookup Tables'!$A$2:$D$11,3,FALSE)</f>
        <v>Fitness</v>
      </c>
      <c r="K148" t="str">
        <f>VLOOKUP(B148,'Lookup Tables'!$F$2:$H$5,2,FALSE)</f>
        <v>Amanda Lee</v>
      </c>
      <c r="L148" s="5">
        <f>VLOOKUP(B148,'Lookup Tables'!$F$2:$H$5,3,FALSE)</f>
        <v>0.05</v>
      </c>
      <c r="M148" s="4">
        <f t="shared" si="10"/>
        <v>433.41000000000008</v>
      </c>
      <c r="N148" t="str">
        <f t="shared" si="11"/>
        <v>High Value</v>
      </c>
      <c r="O148" t="str">
        <f t="shared" si="12"/>
        <v>Strong Margin</v>
      </c>
      <c r="P148" t="str">
        <f t="shared" si="13"/>
        <v>May</v>
      </c>
      <c r="Q148" s="4">
        <f t="shared" si="14"/>
        <v>63.169500000000006</v>
      </c>
    </row>
    <row r="149" spans="1:17">
      <c r="A149" s="3">
        <v>45806</v>
      </c>
      <c r="B149" t="s">
        <v>25</v>
      </c>
      <c r="C149" t="s">
        <v>46</v>
      </c>
      <c r="D149" t="s">
        <v>47</v>
      </c>
      <c r="E149" t="s">
        <v>45</v>
      </c>
      <c r="F149">
        <v>29</v>
      </c>
      <c r="G149" s="4">
        <v>3618.97</v>
      </c>
      <c r="H149" s="4">
        <v>2731.8</v>
      </c>
      <c r="I149" t="s">
        <v>42</v>
      </c>
      <c r="J149" t="str">
        <f>VLOOKUP(C149,'Lookup Tables'!$A$2:$D$11,3,FALSE)</f>
        <v>Home Goods</v>
      </c>
      <c r="K149" t="str">
        <f>VLOOKUP(B149,'Lookup Tables'!$F$2:$H$5,2,FALSE)</f>
        <v>Carlos Rivera</v>
      </c>
      <c r="L149" s="5">
        <f>VLOOKUP(B149,'Lookup Tables'!$F$2:$H$5,3,FALSE)</f>
        <v>5.5E-2</v>
      </c>
      <c r="M149" s="4">
        <f t="shared" si="10"/>
        <v>887.16999999999962</v>
      </c>
      <c r="N149" t="str">
        <f t="shared" si="11"/>
        <v>High Value</v>
      </c>
      <c r="O149" t="str">
        <f t="shared" si="12"/>
        <v>Review Margin</v>
      </c>
      <c r="P149" t="str">
        <f t="shared" si="13"/>
        <v>May</v>
      </c>
      <c r="Q149" s="4">
        <f t="shared" si="14"/>
        <v>199.04335</v>
      </c>
    </row>
    <row r="150" spans="1:17">
      <c r="A150" s="3">
        <v>45807</v>
      </c>
      <c r="B150" t="s">
        <v>17</v>
      </c>
      <c r="C150" t="s">
        <v>46</v>
      </c>
      <c r="D150" t="s">
        <v>47</v>
      </c>
      <c r="E150" t="s">
        <v>52</v>
      </c>
      <c r="F150">
        <v>7</v>
      </c>
      <c r="G150" s="4">
        <v>1119.93</v>
      </c>
      <c r="H150" s="4">
        <v>659.4</v>
      </c>
      <c r="I150" t="s">
        <v>21</v>
      </c>
      <c r="J150" t="str">
        <f>VLOOKUP(C150,'Lookup Tables'!$A$2:$D$11,3,FALSE)</f>
        <v>Home Goods</v>
      </c>
      <c r="K150" t="str">
        <f>VLOOKUP(B150,'Lookup Tables'!$F$2:$H$5,2,FALSE)</f>
        <v>Amanda Lee</v>
      </c>
      <c r="L150" s="5">
        <f>VLOOKUP(B150,'Lookup Tables'!$F$2:$H$5,3,FALSE)</f>
        <v>0.05</v>
      </c>
      <c r="M150" s="4">
        <f t="shared" si="10"/>
        <v>460.53000000000009</v>
      </c>
      <c r="N150" t="str">
        <f t="shared" si="11"/>
        <v>High Value</v>
      </c>
      <c r="O150" t="str">
        <f t="shared" si="12"/>
        <v>Strong Margin</v>
      </c>
      <c r="P150" t="str">
        <f t="shared" si="13"/>
        <v>May</v>
      </c>
      <c r="Q150" s="4">
        <f t="shared" si="14"/>
        <v>55.996500000000005</v>
      </c>
    </row>
    <row r="151" spans="1:17">
      <c r="A151" s="3">
        <v>45808</v>
      </c>
      <c r="B151" t="s">
        <v>25</v>
      </c>
      <c r="C151" t="s">
        <v>30</v>
      </c>
      <c r="D151" t="s">
        <v>31</v>
      </c>
      <c r="E151" t="s">
        <v>20</v>
      </c>
      <c r="F151">
        <v>6</v>
      </c>
      <c r="G151" s="4">
        <v>359.94</v>
      </c>
      <c r="H151" s="4">
        <v>184.44</v>
      </c>
      <c r="I151" t="s">
        <v>21</v>
      </c>
      <c r="J151" t="str">
        <f>VLOOKUP(C151,'Lookup Tables'!$A$2:$D$11,3,FALSE)</f>
        <v>Fitness</v>
      </c>
      <c r="K151" t="str">
        <f>VLOOKUP(B151,'Lookup Tables'!$F$2:$H$5,2,FALSE)</f>
        <v>Carlos Rivera</v>
      </c>
      <c r="L151" s="5">
        <f>VLOOKUP(B151,'Lookup Tables'!$F$2:$H$5,3,FALSE)</f>
        <v>5.5E-2</v>
      </c>
      <c r="M151" s="4">
        <f t="shared" si="10"/>
        <v>175.5</v>
      </c>
      <c r="N151" t="str">
        <f t="shared" si="11"/>
        <v>Standard</v>
      </c>
      <c r="O151" t="str">
        <f t="shared" si="12"/>
        <v>Strong Margin</v>
      </c>
      <c r="P151" t="str">
        <f t="shared" si="13"/>
        <v>May</v>
      </c>
      <c r="Q151" s="4">
        <f t="shared" si="14"/>
        <v>19.796700000000001</v>
      </c>
    </row>
    <row r="152" spans="1:17">
      <c r="A152" s="3">
        <v>45809</v>
      </c>
      <c r="B152" t="s">
        <v>25</v>
      </c>
      <c r="C152" t="s">
        <v>18</v>
      </c>
      <c r="D152" t="s">
        <v>19</v>
      </c>
      <c r="E152" t="s">
        <v>37</v>
      </c>
      <c r="F152">
        <v>12</v>
      </c>
      <c r="G152" s="4">
        <v>2999.88</v>
      </c>
      <c r="H152" s="4">
        <v>1740</v>
      </c>
      <c r="I152" t="s">
        <v>21</v>
      </c>
      <c r="J152" t="str">
        <f>VLOOKUP(C152,'Lookup Tables'!$A$2:$D$11,3,FALSE)</f>
        <v>Office Furniture</v>
      </c>
      <c r="K152" t="str">
        <f>VLOOKUP(B152,'Lookup Tables'!$F$2:$H$5,2,FALSE)</f>
        <v>Carlos Rivera</v>
      </c>
      <c r="L152" s="5">
        <f>VLOOKUP(B152,'Lookup Tables'!$F$2:$H$5,3,FALSE)</f>
        <v>5.5E-2</v>
      </c>
      <c r="M152" s="4">
        <f t="shared" si="10"/>
        <v>1259.8800000000001</v>
      </c>
      <c r="N152" t="str">
        <f t="shared" si="11"/>
        <v>High Value</v>
      </c>
      <c r="O152" t="str">
        <f t="shared" si="12"/>
        <v>Strong Margin</v>
      </c>
      <c r="P152" t="str">
        <f t="shared" si="13"/>
        <v>Jun</v>
      </c>
      <c r="Q152" s="4">
        <f t="shared" si="14"/>
        <v>164.99340000000001</v>
      </c>
    </row>
    <row r="153" spans="1:17">
      <c r="A153" s="3">
        <v>45810</v>
      </c>
      <c r="B153" t="s">
        <v>25</v>
      </c>
      <c r="C153" t="s">
        <v>22</v>
      </c>
      <c r="D153" t="s">
        <v>23</v>
      </c>
      <c r="E153" t="s">
        <v>28</v>
      </c>
      <c r="F153">
        <v>3</v>
      </c>
      <c r="G153" s="4">
        <v>239.97</v>
      </c>
      <c r="H153" s="4">
        <v>126</v>
      </c>
      <c r="I153" t="s">
        <v>21</v>
      </c>
      <c r="J153" t="str">
        <f>VLOOKUP(C153,'Lookup Tables'!$A$2:$D$11,3,FALSE)</f>
        <v>Electronics</v>
      </c>
      <c r="K153" t="str">
        <f>VLOOKUP(B153,'Lookup Tables'!$F$2:$H$5,2,FALSE)</f>
        <v>Carlos Rivera</v>
      </c>
      <c r="L153" s="5">
        <f>VLOOKUP(B153,'Lookup Tables'!$F$2:$H$5,3,FALSE)</f>
        <v>5.5E-2</v>
      </c>
      <c r="M153" s="4">
        <f t="shared" si="10"/>
        <v>113.97</v>
      </c>
      <c r="N153" t="str">
        <f t="shared" si="11"/>
        <v>Standard</v>
      </c>
      <c r="O153" t="str">
        <f t="shared" si="12"/>
        <v>Strong Margin</v>
      </c>
      <c r="P153" t="str">
        <f t="shared" si="13"/>
        <v>Jun</v>
      </c>
      <c r="Q153" s="4">
        <f t="shared" si="14"/>
        <v>13.19835</v>
      </c>
    </row>
    <row r="154" spans="1:17">
      <c r="A154" s="3">
        <v>45811</v>
      </c>
      <c r="B154" t="s">
        <v>50</v>
      </c>
      <c r="C154" t="s">
        <v>48</v>
      </c>
      <c r="D154" t="s">
        <v>49</v>
      </c>
      <c r="E154" t="s">
        <v>37</v>
      </c>
      <c r="F154">
        <v>8</v>
      </c>
      <c r="G154" s="4">
        <v>561.54</v>
      </c>
      <c r="H154" s="4">
        <v>414.64</v>
      </c>
      <c r="I154" t="s">
        <v>42</v>
      </c>
      <c r="J154" t="str">
        <f>VLOOKUP(C154,'Lookup Tables'!$A$2:$D$11,3,FALSE)</f>
        <v>Travel</v>
      </c>
      <c r="K154" t="str">
        <f>VLOOKUP(B154,'Lookup Tables'!$F$2:$H$5,2,FALSE)</f>
        <v>Marcus Green</v>
      </c>
      <c r="L154" s="5">
        <f>VLOOKUP(B154,'Lookup Tables'!$F$2:$H$5,3,FALSE)</f>
        <v>0.05</v>
      </c>
      <c r="M154" s="4">
        <f t="shared" si="10"/>
        <v>146.89999999999998</v>
      </c>
      <c r="N154" t="str">
        <f t="shared" si="11"/>
        <v>Standard</v>
      </c>
      <c r="O154" t="str">
        <f t="shared" si="12"/>
        <v>Strong Margin</v>
      </c>
      <c r="P154" t="str">
        <f t="shared" si="13"/>
        <v>Jun</v>
      </c>
      <c r="Q154" s="4">
        <f t="shared" si="14"/>
        <v>28.076999999999998</v>
      </c>
    </row>
    <row r="155" spans="1:17">
      <c r="A155" s="3">
        <v>45811</v>
      </c>
      <c r="B155" t="s">
        <v>25</v>
      </c>
      <c r="C155" t="s">
        <v>32</v>
      </c>
      <c r="D155" t="s">
        <v>33</v>
      </c>
      <c r="E155" t="s">
        <v>24</v>
      </c>
      <c r="F155">
        <v>6</v>
      </c>
      <c r="G155" s="4">
        <v>719.94</v>
      </c>
      <c r="H155" s="4">
        <v>411</v>
      </c>
      <c r="I155" t="s">
        <v>21</v>
      </c>
      <c r="J155" t="str">
        <f>VLOOKUP(C155,'Lookup Tables'!$A$2:$D$11,3,FALSE)</f>
        <v>Electronics</v>
      </c>
      <c r="K155" t="str">
        <f>VLOOKUP(B155,'Lookup Tables'!$F$2:$H$5,2,FALSE)</f>
        <v>Carlos Rivera</v>
      </c>
      <c r="L155" s="5">
        <f>VLOOKUP(B155,'Lookup Tables'!$F$2:$H$5,3,FALSE)</f>
        <v>5.5E-2</v>
      </c>
      <c r="M155" s="4">
        <f t="shared" si="10"/>
        <v>308.94000000000005</v>
      </c>
      <c r="N155" t="str">
        <f t="shared" si="11"/>
        <v>Standard</v>
      </c>
      <c r="O155" t="str">
        <f t="shared" si="12"/>
        <v>Strong Margin</v>
      </c>
      <c r="P155" t="str">
        <f t="shared" si="13"/>
        <v>Jun</v>
      </c>
      <c r="Q155" s="4">
        <f t="shared" si="14"/>
        <v>39.596700000000006</v>
      </c>
    </row>
    <row r="156" spans="1:17">
      <c r="A156" s="3">
        <v>45812</v>
      </c>
      <c r="B156" t="s">
        <v>17</v>
      </c>
      <c r="C156" t="s">
        <v>30</v>
      </c>
      <c r="D156" t="s">
        <v>31</v>
      </c>
      <c r="E156" t="s">
        <v>41</v>
      </c>
      <c r="F156">
        <v>1</v>
      </c>
      <c r="G156" s="4">
        <v>59.99</v>
      </c>
      <c r="H156" s="4">
        <v>30.74</v>
      </c>
      <c r="I156" t="s">
        <v>21</v>
      </c>
      <c r="J156" t="str">
        <f>VLOOKUP(C156,'Lookup Tables'!$A$2:$D$11,3,FALSE)</f>
        <v>Fitness</v>
      </c>
      <c r="K156" t="str">
        <f>VLOOKUP(B156,'Lookup Tables'!$F$2:$H$5,2,FALSE)</f>
        <v>Amanda Lee</v>
      </c>
      <c r="L156" s="5">
        <f>VLOOKUP(B156,'Lookup Tables'!$F$2:$H$5,3,FALSE)</f>
        <v>0.05</v>
      </c>
      <c r="M156" s="4">
        <f t="shared" si="10"/>
        <v>29.250000000000004</v>
      </c>
      <c r="N156" t="str">
        <f t="shared" si="11"/>
        <v>Standard</v>
      </c>
      <c r="O156" t="str">
        <f t="shared" si="12"/>
        <v>Strong Margin</v>
      </c>
      <c r="P156" t="str">
        <f t="shared" si="13"/>
        <v>Jun</v>
      </c>
      <c r="Q156" s="4">
        <f t="shared" si="14"/>
        <v>2.9995000000000003</v>
      </c>
    </row>
    <row r="157" spans="1:17">
      <c r="A157" s="3">
        <v>45814</v>
      </c>
      <c r="B157" t="s">
        <v>29</v>
      </c>
      <c r="C157" t="s">
        <v>26</v>
      </c>
      <c r="D157" t="s">
        <v>27</v>
      </c>
      <c r="E157" t="s">
        <v>24</v>
      </c>
      <c r="F157">
        <v>20</v>
      </c>
      <c r="G157" s="4">
        <v>467.84</v>
      </c>
      <c r="H157" s="4">
        <v>255</v>
      </c>
      <c r="I157" t="s">
        <v>42</v>
      </c>
      <c r="J157" t="str">
        <f>VLOOKUP(C157,'Lookup Tables'!$A$2:$D$11,3,FALSE)</f>
        <v>Travel</v>
      </c>
      <c r="K157" t="str">
        <f>VLOOKUP(B157,'Lookup Tables'!$F$2:$H$5,2,FALSE)</f>
        <v>Priya Shah</v>
      </c>
      <c r="L157" s="5">
        <f>VLOOKUP(B157,'Lookup Tables'!$F$2:$H$5,3,FALSE)</f>
        <v>4.4999999999999998E-2</v>
      </c>
      <c r="M157" s="4">
        <f t="shared" si="10"/>
        <v>212.83999999999997</v>
      </c>
      <c r="N157" t="str">
        <f t="shared" si="11"/>
        <v>Standard</v>
      </c>
      <c r="O157" t="str">
        <f t="shared" si="12"/>
        <v>Strong Margin</v>
      </c>
      <c r="P157" t="str">
        <f t="shared" si="13"/>
        <v>Jun</v>
      </c>
      <c r="Q157" s="4">
        <f t="shared" si="14"/>
        <v>21.052799999999998</v>
      </c>
    </row>
    <row r="158" spans="1:17">
      <c r="A158" s="3">
        <v>45815</v>
      </c>
      <c r="B158" t="s">
        <v>50</v>
      </c>
      <c r="C158" t="s">
        <v>48</v>
      </c>
      <c r="D158" t="s">
        <v>49</v>
      </c>
      <c r="E158" t="s">
        <v>51</v>
      </c>
      <c r="F158">
        <v>25</v>
      </c>
      <c r="G158" s="4">
        <v>1754.81</v>
      </c>
      <c r="H158" s="4">
        <v>1295.75</v>
      </c>
      <c r="I158" t="s">
        <v>42</v>
      </c>
      <c r="J158" t="str">
        <f>VLOOKUP(C158,'Lookup Tables'!$A$2:$D$11,3,FALSE)</f>
        <v>Travel</v>
      </c>
      <c r="K158" t="str">
        <f>VLOOKUP(B158,'Lookup Tables'!$F$2:$H$5,2,FALSE)</f>
        <v>Marcus Green</v>
      </c>
      <c r="L158" s="5">
        <f>VLOOKUP(B158,'Lookup Tables'!$F$2:$H$5,3,FALSE)</f>
        <v>0.05</v>
      </c>
      <c r="M158" s="4">
        <f t="shared" si="10"/>
        <v>459.05999999999995</v>
      </c>
      <c r="N158" t="str">
        <f t="shared" si="11"/>
        <v>High Value</v>
      </c>
      <c r="O158" t="str">
        <f t="shared" si="12"/>
        <v>Strong Margin</v>
      </c>
      <c r="P158" t="str">
        <f t="shared" si="13"/>
        <v>Jun</v>
      </c>
      <c r="Q158" s="4">
        <f t="shared" si="14"/>
        <v>87.740499999999997</v>
      </c>
    </row>
    <row r="159" spans="1:17">
      <c r="A159" s="3">
        <v>45816</v>
      </c>
      <c r="B159" t="s">
        <v>25</v>
      </c>
      <c r="C159" t="s">
        <v>30</v>
      </c>
      <c r="D159" t="s">
        <v>31</v>
      </c>
      <c r="E159" t="s">
        <v>40</v>
      </c>
      <c r="F159">
        <v>17</v>
      </c>
      <c r="G159" s="4">
        <v>795.47</v>
      </c>
      <c r="H159" s="4">
        <v>522.58000000000004</v>
      </c>
      <c r="I159" t="s">
        <v>42</v>
      </c>
      <c r="J159" t="str">
        <f>VLOOKUP(C159,'Lookup Tables'!$A$2:$D$11,3,FALSE)</f>
        <v>Fitness</v>
      </c>
      <c r="K159" t="str">
        <f>VLOOKUP(B159,'Lookup Tables'!$F$2:$H$5,2,FALSE)</f>
        <v>Carlos Rivera</v>
      </c>
      <c r="L159" s="5">
        <f>VLOOKUP(B159,'Lookup Tables'!$F$2:$H$5,3,FALSE)</f>
        <v>5.5E-2</v>
      </c>
      <c r="M159" s="4">
        <f t="shared" si="10"/>
        <v>272.89</v>
      </c>
      <c r="N159" t="str">
        <f t="shared" si="11"/>
        <v>Standard</v>
      </c>
      <c r="O159" t="str">
        <f t="shared" si="12"/>
        <v>Strong Margin</v>
      </c>
      <c r="P159" t="str">
        <f t="shared" si="13"/>
        <v>Jun</v>
      </c>
      <c r="Q159" s="4">
        <f t="shared" si="14"/>
        <v>43.75085</v>
      </c>
    </row>
    <row r="160" spans="1:17">
      <c r="A160" s="3">
        <v>45816</v>
      </c>
      <c r="B160" t="s">
        <v>29</v>
      </c>
      <c r="C160" t="s">
        <v>48</v>
      </c>
      <c r="D160" t="s">
        <v>49</v>
      </c>
      <c r="E160" t="s">
        <v>45</v>
      </c>
      <c r="F160">
        <v>11</v>
      </c>
      <c r="G160" s="4">
        <v>989.89</v>
      </c>
      <c r="H160" s="4">
        <v>570.13</v>
      </c>
      <c r="I160" t="s">
        <v>21</v>
      </c>
      <c r="J160" t="str">
        <f>VLOOKUP(C160,'Lookup Tables'!$A$2:$D$11,3,FALSE)</f>
        <v>Travel</v>
      </c>
      <c r="K160" t="str">
        <f>VLOOKUP(B160,'Lookup Tables'!$F$2:$H$5,2,FALSE)</f>
        <v>Priya Shah</v>
      </c>
      <c r="L160" s="5">
        <f>VLOOKUP(B160,'Lookup Tables'!$F$2:$H$5,3,FALSE)</f>
        <v>4.4999999999999998E-2</v>
      </c>
      <c r="M160" s="4">
        <f t="shared" si="10"/>
        <v>419.76</v>
      </c>
      <c r="N160" t="str">
        <f t="shared" si="11"/>
        <v>Standard</v>
      </c>
      <c r="O160" t="str">
        <f t="shared" si="12"/>
        <v>Strong Margin</v>
      </c>
      <c r="P160" t="str">
        <f t="shared" si="13"/>
        <v>Jun</v>
      </c>
      <c r="Q160" s="4">
        <f t="shared" si="14"/>
        <v>44.545049999999996</v>
      </c>
    </row>
    <row r="161" spans="1:17">
      <c r="A161" s="3">
        <v>45817</v>
      </c>
      <c r="B161" t="s">
        <v>50</v>
      </c>
      <c r="C161" t="s">
        <v>35</v>
      </c>
      <c r="D161" t="s">
        <v>36</v>
      </c>
      <c r="E161" t="s">
        <v>52</v>
      </c>
      <c r="F161">
        <v>2</v>
      </c>
      <c r="G161" s="4">
        <v>279.98</v>
      </c>
      <c r="H161" s="4">
        <v>152.94</v>
      </c>
      <c r="I161" t="s">
        <v>21</v>
      </c>
      <c r="J161" t="str">
        <f>VLOOKUP(C161,'Lookup Tables'!$A$2:$D$11,3,FALSE)</f>
        <v>Home Goods</v>
      </c>
      <c r="K161" t="str">
        <f>VLOOKUP(B161,'Lookup Tables'!$F$2:$H$5,2,FALSE)</f>
        <v>Marcus Green</v>
      </c>
      <c r="L161" s="5">
        <f>VLOOKUP(B161,'Lookup Tables'!$F$2:$H$5,3,FALSE)</f>
        <v>0.05</v>
      </c>
      <c r="M161" s="4">
        <f t="shared" si="10"/>
        <v>127.04000000000002</v>
      </c>
      <c r="N161" t="str">
        <f t="shared" si="11"/>
        <v>Standard</v>
      </c>
      <c r="O161" t="str">
        <f t="shared" si="12"/>
        <v>Strong Margin</v>
      </c>
      <c r="P161" t="str">
        <f t="shared" si="13"/>
        <v>Jun</v>
      </c>
      <c r="Q161" s="4">
        <f t="shared" si="14"/>
        <v>13.999000000000002</v>
      </c>
    </row>
    <row r="162" spans="1:17">
      <c r="A162" s="3">
        <v>45817</v>
      </c>
      <c r="B162" t="s">
        <v>17</v>
      </c>
      <c r="C162" t="s">
        <v>26</v>
      </c>
      <c r="D162" t="s">
        <v>27</v>
      </c>
      <c r="E162" t="s">
        <v>52</v>
      </c>
      <c r="F162">
        <v>5</v>
      </c>
      <c r="G162" s="4">
        <v>149.94999999999999</v>
      </c>
      <c r="H162" s="4">
        <v>63.75</v>
      </c>
      <c r="I162" t="s">
        <v>21</v>
      </c>
      <c r="J162" t="str">
        <f>VLOOKUP(C162,'Lookup Tables'!$A$2:$D$11,3,FALSE)</f>
        <v>Travel</v>
      </c>
      <c r="K162" t="str">
        <f>VLOOKUP(B162,'Lookup Tables'!$F$2:$H$5,2,FALSE)</f>
        <v>Amanda Lee</v>
      </c>
      <c r="L162" s="5">
        <f>VLOOKUP(B162,'Lookup Tables'!$F$2:$H$5,3,FALSE)</f>
        <v>0.05</v>
      </c>
      <c r="M162" s="4">
        <f t="shared" si="10"/>
        <v>86.199999999999989</v>
      </c>
      <c r="N162" t="str">
        <f t="shared" si="11"/>
        <v>Standard</v>
      </c>
      <c r="O162" t="str">
        <f t="shared" si="12"/>
        <v>Strong Margin</v>
      </c>
      <c r="P162" t="str">
        <f t="shared" si="13"/>
        <v>Jun</v>
      </c>
      <c r="Q162" s="4">
        <f t="shared" si="14"/>
        <v>7.4974999999999996</v>
      </c>
    </row>
    <row r="163" spans="1:17">
      <c r="A163" s="3">
        <v>45817</v>
      </c>
      <c r="B163" t="s">
        <v>17</v>
      </c>
      <c r="C163" t="s">
        <v>46</v>
      </c>
      <c r="D163" t="s">
        <v>47</v>
      </c>
      <c r="E163" t="s">
        <v>24</v>
      </c>
      <c r="F163">
        <v>21</v>
      </c>
      <c r="G163" s="4">
        <v>2620.64</v>
      </c>
      <c r="H163" s="4">
        <v>1978.2</v>
      </c>
      <c r="I163" t="s">
        <v>42</v>
      </c>
      <c r="J163" t="str">
        <f>VLOOKUP(C163,'Lookup Tables'!$A$2:$D$11,3,FALSE)</f>
        <v>Home Goods</v>
      </c>
      <c r="K163" t="str">
        <f>VLOOKUP(B163,'Lookup Tables'!$F$2:$H$5,2,FALSE)</f>
        <v>Amanda Lee</v>
      </c>
      <c r="L163" s="5">
        <f>VLOOKUP(B163,'Lookup Tables'!$F$2:$H$5,3,FALSE)</f>
        <v>0.05</v>
      </c>
      <c r="M163" s="4">
        <f t="shared" si="10"/>
        <v>642.43999999999983</v>
      </c>
      <c r="N163" t="str">
        <f t="shared" si="11"/>
        <v>High Value</v>
      </c>
      <c r="O163" t="str">
        <f t="shared" si="12"/>
        <v>Review Margin</v>
      </c>
      <c r="P163" t="str">
        <f t="shared" si="13"/>
        <v>Jun</v>
      </c>
      <c r="Q163" s="4">
        <f t="shared" si="14"/>
        <v>131.03200000000001</v>
      </c>
    </row>
    <row r="164" spans="1:17">
      <c r="A164" s="3">
        <v>45819</v>
      </c>
      <c r="B164" t="s">
        <v>17</v>
      </c>
      <c r="C164" t="s">
        <v>30</v>
      </c>
      <c r="D164" t="s">
        <v>31</v>
      </c>
      <c r="E164" t="s">
        <v>52</v>
      </c>
      <c r="F164">
        <v>7</v>
      </c>
      <c r="G164" s="4">
        <v>419.93</v>
      </c>
      <c r="H164" s="4">
        <v>215.18</v>
      </c>
      <c r="I164" t="s">
        <v>21</v>
      </c>
      <c r="J164" t="str">
        <f>VLOOKUP(C164,'Lookup Tables'!$A$2:$D$11,3,FALSE)</f>
        <v>Fitness</v>
      </c>
      <c r="K164" t="str">
        <f>VLOOKUP(B164,'Lookup Tables'!$F$2:$H$5,2,FALSE)</f>
        <v>Amanda Lee</v>
      </c>
      <c r="L164" s="5">
        <f>VLOOKUP(B164,'Lookup Tables'!$F$2:$H$5,3,FALSE)</f>
        <v>0.05</v>
      </c>
      <c r="M164" s="4">
        <f t="shared" si="10"/>
        <v>204.75</v>
      </c>
      <c r="N164" t="str">
        <f t="shared" si="11"/>
        <v>Standard</v>
      </c>
      <c r="O164" t="str">
        <f t="shared" si="12"/>
        <v>Strong Margin</v>
      </c>
      <c r="P164" t="str">
        <f t="shared" si="13"/>
        <v>Jun</v>
      </c>
      <c r="Q164" s="4">
        <f t="shared" si="14"/>
        <v>20.996500000000001</v>
      </c>
    </row>
    <row r="165" spans="1:17">
      <c r="A165" s="3">
        <v>45819</v>
      </c>
      <c r="B165" t="s">
        <v>17</v>
      </c>
      <c r="C165" t="s">
        <v>32</v>
      </c>
      <c r="D165" t="s">
        <v>33</v>
      </c>
      <c r="E165" t="s">
        <v>20</v>
      </c>
      <c r="F165">
        <v>9</v>
      </c>
      <c r="G165" s="4">
        <v>1079.9100000000001</v>
      </c>
      <c r="H165" s="4">
        <v>616.5</v>
      </c>
      <c r="I165" t="s">
        <v>21</v>
      </c>
      <c r="J165" t="str">
        <f>VLOOKUP(C165,'Lookup Tables'!$A$2:$D$11,3,FALSE)</f>
        <v>Electronics</v>
      </c>
      <c r="K165" t="str">
        <f>VLOOKUP(B165,'Lookup Tables'!$F$2:$H$5,2,FALSE)</f>
        <v>Amanda Lee</v>
      </c>
      <c r="L165" s="5">
        <f>VLOOKUP(B165,'Lookup Tables'!$F$2:$H$5,3,FALSE)</f>
        <v>0.05</v>
      </c>
      <c r="M165" s="4">
        <f t="shared" si="10"/>
        <v>463.41000000000008</v>
      </c>
      <c r="N165" t="str">
        <f t="shared" si="11"/>
        <v>High Value</v>
      </c>
      <c r="O165" t="str">
        <f t="shared" si="12"/>
        <v>Strong Margin</v>
      </c>
      <c r="P165" t="str">
        <f t="shared" si="13"/>
        <v>Jun</v>
      </c>
      <c r="Q165" s="4">
        <f t="shared" si="14"/>
        <v>53.995500000000007</v>
      </c>
    </row>
    <row r="166" spans="1:17">
      <c r="A166" s="3">
        <v>45822</v>
      </c>
      <c r="B166" t="s">
        <v>17</v>
      </c>
      <c r="C166" t="s">
        <v>46</v>
      </c>
      <c r="D166" t="s">
        <v>47</v>
      </c>
      <c r="E166" t="s">
        <v>24</v>
      </c>
      <c r="F166">
        <v>12</v>
      </c>
      <c r="G166" s="4">
        <v>1919.88</v>
      </c>
      <c r="H166" s="4">
        <v>1130.4000000000001</v>
      </c>
      <c r="I166" t="s">
        <v>21</v>
      </c>
      <c r="J166" t="str">
        <f>VLOOKUP(C166,'Lookup Tables'!$A$2:$D$11,3,FALSE)</f>
        <v>Home Goods</v>
      </c>
      <c r="K166" t="str">
        <f>VLOOKUP(B166,'Lookup Tables'!$F$2:$H$5,2,FALSE)</f>
        <v>Amanda Lee</v>
      </c>
      <c r="L166" s="5">
        <f>VLOOKUP(B166,'Lookup Tables'!$F$2:$H$5,3,FALSE)</f>
        <v>0.05</v>
      </c>
      <c r="M166" s="4">
        <f t="shared" si="10"/>
        <v>789.48</v>
      </c>
      <c r="N166" t="str">
        <f t="shared" si="11"/>
        <v>High Value</v>
      </c>
      <c r="O166" t="str">
        <f t="shared" si="12"/>
        <v>Strong Margin</v>
      </c>
      <c r="P166" t="str">
        <f t="shared" si="13"/>
        <v>Jun</v>
      </c>
      <c r="Q166" s="4">
        <f t="shared" si="14"/>
        <v>95.994000000000014</v>
      </c>
    </row>
    <row r="167" spans="1:17">
      <c r="A167" s="3">
        <v>45822</v>
      </c>
      <c r="B167" t="s">
        <v>50</v>
      </c>
      <c r="C167" t="s">
        <v>18</v>
      </c>
      <c r="D167" t="s">
        <v>19</v>
      </c>
      <c r="E167" t="s">
        <v>34</v>
      </c>
      <c r="F167">
        <v>7</v>
      </c>
      <c r="G167" s="4">
        <v>1749.93</v>
      </c>
      <c r="H167" s="4">
        <v>1015</v>
      </c>
      <c r="I167" t="s">
        <v>21</v>
      </c>
      <c r="J167" t="str">
        <f>VLOOKUP(C167,'Lookup Tables'!$A$2:$D$11,3,FALSE)</f>
        <v>Office Furniture</v>
      </c>
      <c r="K167" t="str">
        <f>VLOOKUP(B167,'Lookup Tables'!$F$2:$H$5,2,FALSE)</f>
        <v>Marcus Green</v>
      </c>
      <c r="L167" s="5">
        <f>VLOOKUP(B167,'Lookup Tables'!$F$2:$H$5,3,FALSE)</f>
        <v>0.05</v>
      </c>
      <c r="M167" s="4">
        <f t="shared" si="10"/>
        <v>734.93000000000006</v>
      </c>
      <c r="N167" t="str">
        <f t="shared" si="11"/>
        <v>High Value</v>
      </c>
      <c r="O167" t="str">
        <f t="shared" si="12"/>
        <v>Strong Margin</v>
      </c>
      <c r="P167" t="str">
        <f t="shared" si="13"/>
        <v>Jun</v>
      </c>
      <c r="Q167" s="4">
        <f t="shared" si="14"/>
        <v>87.496500000000012</v>
      </c>
    </row>
    <row r="168" spans="1:17">
      <c r="A168" s="3">
        <v>45822</v>
      </c>
      <c r="B168" t="s">
        <v>50</v>
      </c>
      <c r="C168" t="s">
        <v>46</v>
      </c>
      <c r="D168" t="s">
        <v>47</v>
      </c>
      <c r="E168" t="s">
        <v>34</v>
      </c>
      <c r="F168">
        <v>14</v>
      </c>
      <c r="G168" s="4">
        <v>1747.09</v>
      </c>
      <c r="H168" s="4">
        <v>1318.8</v>
      </c>
      <c r="I168" t="s">
        <v>42</v>
      </c>
      <c r="J168" t="str">
        <f>VLOOKUP(C168,'Lookup Tables'!$A$2:$D$11,3,FALSE)</f>
        <v>Home Goods</v>
      </c>
      <c r="K168" t="str">
        <f>VLOOKUP(B168,'Lookup Tables'!$F$2:$H$5,2,FALSE)</f>
        <v>Marcus Green</v>
      </c>
      <c r="L168" s="5">
        <f>VLOOKUP(B168,'Lookup Tables'!$F$2:$H$5,3,FALSE)</f>
        <v>0.05</v>
      </c>
      <c r="M168" s="4">
        <f t="shared" si="10"/>
        <v>428.28999999999996</v>
      </c>
      <c r="N168" t="str">
        <f t="shared" si="11"/>
        <v>High Value</v>
      </c>
      <c r="O168" t="str">
        <f t="shared" si="12"/>
        <v>Review Margin</v>
      </c>
      <c r="P168" t="str">
        <f t="shared" si="13"/>
        <v>Jun</v>
      </c>
      <c r="Q168" s="4">
        <f t="shared" si="14"/>
        <v>87.354500000000002</v>
      </c>
    </row>
    <row r="169" spans="1:17">
      <c r="A169" s="3">
        <v>45824</v>
      </c>
      <c r="B169" t="s">
        <v>17</v>
      </c>
      <c r="C169" t="s">
        <v>43</v>
      </c>
      <c r="D169" t="s">
        <v>44</v>
      </c>
      <c r="E169" t="s">
        <v>37</v>
      </c>
      <c r="F169">
        <v>2</v>
      </c>
      <c r="G169" s="4">
        <v>99.98</v>
      </c>
      <c r="H169" s="4">
        <v>49.9</v>
      </c>
      <c r="I169" t="s">
        <v>21</v>
      </c>
      <c r="J169" t="str">
        <f>VLOOKUP(C169,'Lookup Tables'!$A$2:$D$11,3,FALSE)</f>
        <v>Fitness</v>
      </c>
      <c r="K169" t="str">
        <f>VLOOKUP(B169,'Lookup Tables'!$F$2:$H$5,2,FALSE)</f>
        <v>Amanda Lee</v>
      </c>
      <c r="L169" s="5">
        <f>VLOOKUP(B169,'Lookup Tables'!$F$2:$H$5,3,FALSE)</f>
        <v>0.05</v>
      </c>
      <c r="M169" s="4">
        <f t="shared" si="10"/>
        <v>50.080000000000005</v>
      </c>
      <c r="N169" t="str">
        <f t="shared" si="11"/>
        <v>Standard</v>
      </c>
      <c r="O169" t="str">
        <f t="shared" si="12"/>
        <v>Strong Margin</v>
      </c>
      <c r="P169" t="str">
        <f t="shared" si="13"/>
        <v>Jun</v>
      </c>
      <c r="Q169" s="4">
        <f t="shared" si="14"/>
        <v>4.9990000000000006</v>
      </c>
    </row>
    <row r="170" spans="1:17">
      <c r="A170" s="3">
        <v>45825</v>
      </c>
      <c r="B170" t="s">
        <v>25</v>
      </c>
      <c r="C170" t="s">
        <v>48</v>
      </c>
      <c r="D170" t="s">
        <v>49</v>
      </c>
      <c r="E170" t="s">
        <v>34</v>
      </c>
      <c r="F170">
        <v>4</v>
      </c>
      <c r="G170" s="4">
        <v>359.96</v>
      </c>
      <c r="H170" s="4">
        <v>207.32</v>
      </c>
      <c r="I170" t="s">
        <v>21</v>
      </c>
      <c r="J170" t="str">
        <f>VLOOKUP(C170,'Lookup Tables'!$A$2:$D$11,3,FALSE)</f>
        <v>Travel</v>
      </c>
      <c r="K170" t="str">
        <f>VLOOKUP(B170,'Lookup Tables'!$F$2:$H$5,2,FALSE)</f>
        <v>Carlos Rivera</v>
      </c>
      <c r="L170" s="5">
        <f>VLOOKUP(B170,'Lookup Tables'!$F$2:$H$5,3,FALSE)</f>
        <v>5.5E-2</v>
      </c>
      <c r="M170" s="4">
        <f t="shared" si="10"/>
        <v>152.63999999999999</v>
      </c>
      <c r="N170" t="str">
        <f t="shared" si="11"/>
        <v>Standard</v>
      </c>
      <c r="O170" t="str">
        <f t="shared" si="12"/>
        <v>Strong Margin</v>
      </c>
      <c r="P170" t="str">
        <f t="shared" si="13"/>
        <v>Jun</v>
      </c>
      <c r="Q170" s="4">
        <f t="shared" si="14"/>
        <v>19.797799999999999</v>
      </c>
    </row>
    <row r="171" spans="1:17">
      <c r="A171" s="3">
        <v>45827</v>
      </c>
      <c r="B171" t="s">
        <v>50</v>
      </c>
      <c r="C171" t="s">
        <v>43</v>
      </c>
      <c r="D171" t="s">
        <v>44</v>
      </c>
      <c r="E171" t="s">
        <v>51</v>
      </c>
      <c r="F171">
        <v>9</v>
      </c>
      <c r="G171" s="4">
        <v>449.91</v>
      </c>
      <c r="H171" s="4">
        <v>224.55</v>
      </c>
      <c r="I171" t="s">
        <v>21</v>
      </c>
      <c r="J171" t="str">
        <f>VLOOKUP(C171,'Lookup Tables'!$A$2:$D$11,3,FALSE)</f>
        <v>Fitness</v>
      </c>
      <c r="K171" t="str">
        <f>VLOOKUP(B171,'Lookup Tables'!$F$2:$H$5,2,FALSE)</f>
        <v>Marcus Green</v>
      </c>
      <c r="L171" s="5">
        <f>VLOOKUP(B171,'Lookup Tables'!$F$2:$H$5,3,FALSE)</f>
        <v>0.05</v>
      </c>
      <c r="M171" s="4">
        <f t="shared" si="10"/>
        <v>225.36</v>
      </c>
      <c r="N171" t="str">
        <f t="shared" si="11"/>
        <v>Standard</v>
      </c>
      <c r="O171" t="str">
        <f t="shared" si="12"/>
        <v>Strong Margin</v>
      </c>
      <c r="P171" t="str">
        <f t="shared" si="13"/>
        <v>Jun</v>
      </c>
      <c r="Q171" s="4">
        <f t="shared" si="14"/>
        <v>22.495500000000003</v>
      </c>
    </row>
    <row r="172" spans="1:17">
      <c r="A172" s="3">
        <v>45827</v>
      </c>
      <c r="B172" t="s">
        <v>25</v>
      </c>
      <c r="C172" t="s">
        <v>18</v>
      </c>
      <c r="D172" t="s">
        <v>19</v>
      </c>
      <c r="E172" t="s">
        <v>45</v>
      </c>
      <c r="F172">
        <v>9</v>
      </c>
      <c r="G172" s="4">
        <v>2249.91</v>
      </c>
      <c r="H172" s="4">
        <v>1305</v>
      </c>
      <c r="I172" t="s">
        <v>21</v>
      </c>
      <c r="J172" t="str">
        <f>VLOOKUP(C172,'Lookup Tables'!$A$2:$D$11,3,FALSE)</f>
        <v>Office Furniture</v>
      </c>
      <c r="K172" t="str">
        <f>VLOOKUP(B172,'Lookup Tables'!$F$2:$H$5,2,FALSE)</f>
        <v>Carlos Rivera</v>
      </c>
      <c r="L172" s="5">
        <f>VLOOKUP(B172,'Lookup Tables'!$F$2:$H$5,3,FALSE)</f>
        <v>5.5E-2</v>
      </c>
      <c r="M172" s="4">
        <f t="shared" si="10"/>
        <v>944.90999999999985</v>
      </c>
      <c r="N172" t="str">
        <f t="shared" si="11"/>
        <v>High Value</v>
      </c>
      <c r="O172" t="str">
        <f t="shared" si="12"/>
        <v>Strong Margin</v>
      </c>
      <c r="P172" t="str">
        <f t="shared" si="13"/>
        <v>Jun</v>
      </c>
      <c r="Q172" s="4">
        <f t="shared" si="14"/>
        <v>123.74504999999999</v>
      </c>
    </row>
    <row r="173" spans="1:17">
      <c r="A173" s="3">
        <v>45828</v>
      </c>
      <c r="B173" t="s">
        <v>50</v>
      </c>
      <c r="C173" t="s">
        <v>48</v>
      </c>
      <c r="D173" t="s">
        <v>49</v>
      </c>
      <c r="E173" t="s">
        <v>45</v>
      </c>
      <c r="F173">
        <v>6</v>
      </c>
      <c r="G173" s="4">
        <v>539.94000000000005</v>
      </c>
      <c r="H173" s="4">
        <v>310.98</v>
      </c>
      <c r="I173" t="s">
        <v>21</v>
      </c>
      <c r="J173" t="str">
        <f>VLOOKUP(C173,'Lookup Tables'!$A$2:$D$11,3,FALSE)</f>
        <v>Travel</v>
      </c>
      <c r="K173" t="str">
        <f>VLOOKUP(B173,'Lookup Tables'!$F$2:$H$5,2,FALSE)</f>
        <v>Marcus Green</v>
      </c>
      <c r="L173" s="5">
        <f>VLOOKUP(B173,'Lookup Tables'!$F$2:$H$5,3,FALSE)</f>
        <v>0.05</v>
      </c>
      <c r="M173" s="4">
        <f t="shared" si="10"/>
        <v>228.96000000000004</v>
      </c>
      <c r="N173" t="str">
        <f t="shared" si="11"/>
        <v>Standard</v>
      </c>
      <c r="O173" t="str">
        <f t="shared" si="12"/>
        <v>Strong Margin</v>
      </c>
      <c r="P173" t="str">
        <f t="shared" si="13"/>
        <v>Jun</v>
      </c>
      <c r="Q173" s="4">
        <f t="shared" si="14"/>
        <v>26.997000000000003</v>
      </c>
    </row>
    <row r="174" spans="1:17">
      <c r="A174" s="3">
        <v>45829</v>
      </c>
      <c r="B174" t="s">
        <v>17</v>
      </c>
      <c r="C174" t="s">
        <v>48</v>
      </c>
      <c r="D174" t="s">
        <v>49</v>
      </c>
      <c r="E174" t="s">
        <v>51</v>
      </c>
      <c r="F174">
        <v>12</v>
      </c>
      <c r="G174" s="4">
        <v>842.31</v>
      </c>
      <c r="H174" s="4">
        <v>621.96</v>
      </c>
      <c r="I174" t="s">
        <v>42</v>
      </c>
      <c r="J174" t="str">
        <f>VLOOKUP(C174,'Lookup Tables'!$A$2:$D$11,3,FALSE)</f>
        <v>Travel</v>
      </c>
      <c r="K174" t="str">
        <f>VLOOKUP(B174,'Lookup Tables'!$F$2:$H$5,2,FALSE)</f>
        <v>Amanda Lee</v>
      </c>
      <c r="L174" s="5">
        <f>VLOOKUP(B174,'Lookup Tables'!$F$2:$H$5,3,FALSE)</f>
        <v>0.05</v>
      </c>
      <c r="M174" s="4">
        <f t="shared" si="10"/>
        <v>220.34999999999991</v>
      </c>
      <c r="N174" t="str">
        <f t="shared" si="11"/>
        <v>Standard</v>
      </c>
      <c r="O174" t="str">
        <f t="shared" si="12"/>
        <v>Strong Margin</v>
      </c>
      <c r="P174" t="str">
        <f t="shared" si="13"/>
        <v>Jun</v>
      </c>
      <c r="Q174" s="4">
        <f t="shared" si="14"/>
        <v>42.115499999999997</v>
      </c>
    </row>
    <row r="175" spans="1:17">
      <c r="A175" s="3">
        <v>45829</v>
      </c>
      <c r="B175" t="s">
        <v>25</v>
      </c>
      <c r="C175" t="s">
        <v>48</v>
      </c>
      <c r="D175" t="s">
        <v>49</v>
      </c>
      <c r="E175" t="s">
        <v>52</v>
      </c>
      <c r="F175">
        <v>8</v>
      </c>
      <c r="G175" s="4">
        <v>719.92</v>
      </c>
      <c r="H175" s="4">
        <v>414.64</v>
      </c>
      <c r="I175" t="s">
        <v>21</v>
      </c>
      <c r="J175" t="str">
        <f>VLOOKUP(C175,'Lookup Tables'!$A$2:$D$11,3,FALSE)</f>
        <v>Travel</v>
      </c>
      <c r="K175" t="str">
        <f>VLOOKUP(B175,'Lookup Tables'!$F$2:$H$5,2,FALSE)</f>
        <v>Carlos Rivera</v>
      </c>
      <c r="L175" s="5">
        <f>VLOOKUP(B175,'Lookup Tables'!$F$2:$H$5,3,FALSE)</f>
        <v>5.5E-2</v>
      </c>
      <c r="M175" s="4">
        <f t="shared" si="10"/>
        <v>305.27999999999997</v>
      </c>
      <c r="N175" t="str">
        <f t="shared" si="11"/>
        <v>Standard</v>
      </c>
      <c r="O175" t="str">
        <f t="shared" si="12"/>
        <v>Strong Margin</v>
      </c>
      <c r="P175" t="str">
        <f t="shared" si="13"/>
        <v>Jun</v>
      </c>
      <c r="Q175" s="4">
        <f t="shared" si="14"/>
        <v>39.595599999999997</v>
      </c>
    </row>
    <row r="176" spans="1:17">
      <c r="A176" s="3">
        <v>45830</v>
      </c>
      <c r="B176" t="s">
        <v>17</v>
      </c>
      <c r="C176" t="s">
        <v>32</v>
      </c>
      <c r="D176" t="s">
        <v>33</v>
      </c>
      <c r="E176" t="s">
        <v>52</v>
      </c>
      <c r="F176">
        <v>9</v>
      </c>
      <c r="G176" s="4">
        <v>1079.9100000000001</v>
      </c>
      <c r="H176" s="4">
        <v>616.5</v>
      </c>
      <c r="I176" t="s">
        <v>21</v>
      </c>
      <c r="J176" t="str">
        <f>VLOOKUP(C176,'Lookup Tables'!$A$2:$D$11,3,FALSE)</f>
        <v>Electronics</v>
      </c>
      <c r="K176" t="str">
        <f>VLOOKUP(B176,'Lookup Tables'!$F$2:$H$5,2,FALSE)</f>
        <v>Amanda Lee</v>
      </c>
      <c r="L176" s="5">
        <f>VLOOKUP(B176,'Lookup Tables'!$F$2:$H$5,3,FALSE)</f>
        <v>0.05</v>
      </c>
      <c r="M176" s="4">
        <f t="shared" si="10"/>
        <v>463.41000000000008</v>
      </c>
      <c r="N176" t="str">
        <f t="shared" si="11"/>
        <v>High Value</v>
      </c>
      <c r="O176" t="str">
        <f t="shared" si="12"/>
        <v>Strong Margin</v>
      </c>
      <c r="P176" t="str">
        <f t="shared" si="13"/>
        <v>Jun</v>
      </c>
      <c r="Q176" s="4">
        <f t="shared" si="14"/>
        <v>53.995500000000007</v>
      </c>
    </row>
    <row r="177" spans="1:17">
      <c r="A177" s="3">
        <v>45830</v>
      </c>
      <c r="B177" t="s">
        <v>29</v>
      </c>
      <c r="C177" t="s">
        <v>43</v>
      </c>
      <c r="D177" t="s">
        <v>44</v>
      </c>
      <c r="E177" t="s">
        <v>41</v>
      </c>
      <c r="F177">
        <v>10</v>
      </c>
      <c r="G177" s="4">
        <v>389.92</v>
      </c>
      <c r="H177" s="4">
        <v>249.5</v>
      </c>
      <c r="I177" t="s">
        <v>42</v>
      </c>
      <c r="J177" t="str">
        <f>VLOOKUP(C177,'Lookup Tables'!$A$2:$D$11,3,FALSE)</f>
        <v>Fitness</v>
      </c>
      <c r="K177" t="str">
        <f>VLOOKUP(B177,'Lookup Tables'!$F$2:$H$5,2,FALSE)</f>
        <v>Priya Shah</v>
      </c>
      <c r="L177" s="5">
        <f>VLOOKUP(B177,'Lookup Tables'!$F$2:$H$5,3,FALSE)</f>
        <v>4.4999999999999998E-2</v>
      </c>
      <c r="M177" s="4">
        <f t="shared" si="10"/>
        <v>140.42000000000002</v>
      </c>
      <c r="N177" t="str">
        <f t="shared" si="11"/>
        <v>Standard</v>
      </c>
      <c r="O177" t="str">
        <f t="shared" si="12"/>
        <v>Strong Margin</v>
      </c>
      <c r="P177" t="str">
        <f t="shared" si="13"/>
        <v>Jun</v>
      </c>
      <c r="Q177" s="4">
        <f t="shared" si="14"/>
        <v>17.546399999999998</v>
      </c>
    </row>
    <row r="178" spans="1:17">
      <c r="A178" s="3">
        <v>45830</v>
      </c>
      <c r="B178" t="s">
        <v>17</v>
      </c>
      <c r="C178" t="s">
        <v>38</v>
      </c>
      <c r="D178" t="s">
        <v>39</v>
      </c>
      <c r="E178" t="s">
        <v>34</v>
      </c>
      <c r="F178">
        <v>6</v>
      </c>
      <c r="G178" s="4">
        <v>1139.94</v>
      </c>
      <c r="H178" s="4">
        <v>661.5</v>
      </c>
      <c r="I178" t="s">
        <v>21</v>
      </c>
      <c r="J178" t="str">
        <f>VLOOKUP(C178,'Lookup Tables'!$A$2:$D$11,3,FALSE)</f>
        <v>Office Furniture</v>
      </c>
      <c r="K178" t="str">
        <f>VLOOKUP(B178,'Lookup Tables'!$F$2:$H$5,2,FALSE)</f>
        <v>Amanda Lee</v>
      </c>
      <c r="L178" s="5">
        <f>VLOOKUP(B178,'Lookup Tables'!$F$2:$H$5,3,FALSE)</f>
        <v>0.05</v>
      </c>
      <c r="M178" s="4">
        <f t="shared" si="10"/>
        <v>478.44000000000005</v>
      </c>
      <c r="N178" t="str">
        <f t="shared" si="11"/>
        <v>High Value</v>
      </c>
      <c r="O178" t="str">
        <f t="shared" si="12"/>
        <v>Strong Margin</v>
      </c>
      <c r="P178" t="str">
        <f t="shared" si="13"/>
        <v>Jun</v>
      </c>
      <c r="Q178" s="4">
        <f t="shared" si="14"/>
        <v>56.997000000000007</v>
      </c>
    </row>
    <row r="179" spans="1:17">
      <c r="A179" s="3">
        <v>45830</v>
      </c>
      <c r="B179" t="s">
        <v>50</v>
      </c>
      <c r="C179" t="s">
        <v>48</v>
      </c>
      <c r="D179" t="s">
        <v>49</v>
      </c>
      <c r="E179" t="s">
        <v>51</v>
      </c>
      <c r="F179">
        <v>12</v>
      </c>
      <c r="G179" s="4">
        <v>1079.8800000000001</v>
      </c>
      <c r="H179" s="4">
        <v>621.96</v>
      </c>
      <c r="I179" t="s">
        <v>21</v>
      </c>
      <c r="J179" t="str">
        <f>VLOOKUP(C179,'Lookup Tables'!$A$2:$D$11,3,FALSE)</f>
        <v>Travel</v>
      </c>
      <c r="K179" t="str">
        <f>VLOOKUP(B179,'Lookup Tables'!$F$2:$H$5,2,FALSE)</f>
        <v>Marcus Green</v>
      </c>
      <c r="L179" s="5">
        <f>VLOOKUP(B179,'Lookup Tables'!$F$2:$H$5,3,FALSE)</f>
        <v>0.05</v>
      </c>
      <c r="M179" s="4">
        <f t="shared" si="10"/>
        <v>457.92000000000007</v>
      </c>
      <c r="N179" t="str">
        <f t="shared" si="11"/>
        <v>High Value</v>
      </c>
      <c r="O179" t="str">
        <f t="shared" si="12"/>
        <v>Strong Margin</v>
      </c>
      <c r="P179" t="str">
        <f t="shared" si="13"/>
        <v>Jun</v>
      </c>
      <c r="Q179" s="4">
        <f t="shared" si="14"/>
        <v>53.994000000000007</v>
      </c>
    </row>
    <row r="180" spans="1:17">
      <c r="A180" s="3">
        <v>45831</v>
      </c>
      <c r="B180" t="s">
        <v>17</v>
      </c>
      <c r="C180" t="s">
        <v>30</v>
      </c>
      <c r="D180" t="s">
        <v>31</v>
      </c>
      <c r="E180" t="s">
        <v>41</v>
      </c>
      <c r="F180">
        <v>4</v>
      </c>
      <c r="G180" s="4">
        <v>239.96</v>
      </c>
      <c r="H180" s="4">
        <v>122.96</v>
      </c>
      <c r="I180" t="s">
        <v>21</v>
      </c>
      <c r="J180" t="str">
        <f>VLOOKUP(C180,'Lookup Tables'!$A$2:$D$11,3,FALSE)</f>
        <v>Fitness</v>
      </c>
      <c r="K180" t="str">
        <f>VLOOKUP(B180,'Lookup Tables'!$F$2:$H$5,2,FALSE)</f>
        <v>Amanda Lee</v>
      </c>
      <c r="L180" s="5">
        <f>VLOOKUP(B180,'Lookup Tables'!$F$2:$H$5,3,FALSE)</f>
        <v>0.05</v>
      </c>
      <c r="M180" s="4">
        <f t="shared" si="10"/>
        <v>117.00000000000001</v>
      </c>
      <c r="N180" t="str">
        <f t="shared" si="11"/>
        <v>Standard</v>
      </c>
      <c r="O180" t="str">
        <f t="shared" si="12"/>
        <v>Strong Margin</v>
      </c>
      <c r="P180" t="str">
        <f t="shared" si="13"/>
        <v>Jun</v>
      </c>
      <c r="Q180" s="4">
        <f t="shared" si="14"/>
        <v>11.998000000000001</v>
      </c>
    </row>
    <row r="181" spans="1:17">
      <c r="A181" s="3">
        <v>45832</v>
      </c>
      <c r="B181" t="s">
        <v>29</v>
      </c>
      <c r="C181" t="s">
        <v>43</v>
      </c>
      <c r="D181" t="s">
        <v>44</v>
      </c>
      <c r="E181" t="s">
        <v>40</v>
      </c>
      <c r="F181">
        <v>1</v>
      </c>
      <c r="G181" s="4">
        <v>49.99</v>
      </c>
      <c r="H181" s="4">
        <v>24.95</v>
      </c>
      <c r="I181" t="s">
        <v>21</v>
      </c>
      <c r="J181" t="str">
        <f>VLOOKUP(C181,'Lookup Tables'!$A$2:$D$11,3,FALSE)</f>
        <v>Fitness</v>
      </c>
      <c r="K181" t="str">
        <f>VLOOKUP(B181,'Lookup Tables'!$F$2:$H$5,2,FALSE)</f>
        <v>Priya Shah</v>
      </c>
      <c r="L181" s="5">
        <f>VLOOKUP(B181,'Lookup Tables'!$F$2:$H$5,3,FALSE)</f>
        <v>4.4999999999999998E-2</v>
      </c>
      <c r="M181" s="4">
        <f t="shared" si="10"/>
        <v>25.040000000000003</v>
      </c>
      <c r="N181" t="str">
        <f t="shared" si="11"/>
        <v>Standard</v>
      </c>
      <c r="O181" t="str">
        <f t="shared" si="12"/>
        <v>Strong Margin</v>
      </c>
      <c r="P181" t="str">
        <f t="shared" si="13"/>
        <v>Jun</v>
      </c>
      <c r="Q181" s="4">
        <f t="shared" si="14"/>
        <v>2.2495500000000002</v>
      </c>
    </row>
    <row r="182" spans="1:17">
      <c r="A182" s="3">
        <v>45833</v>
      </c>
      <c r="B182" t="s">
        <v>29</v>
      </c>
      <c r="C182" t="s">
        <v>48</v>
      </c>
      <c r="D182" t="s">
        <v>49</v>
      </c>
      <c r="E182" t="s">
        <v>37</v>
      </c>
      <c r="F182">
        <v>18</v>
      </c>
      <c r="G182" s="4">
        <v>1263.46</v>
      </c>
      <c r="H182" s="4">
        <v>932.94</v>
      </c>
      <c r="I182" t="s">
        <v>42</v>
      </c>
      <c r="J182" t="str">
        <f>VLOOKUP(C182,'Lookup Tables'!$A$2:$D$11,3,FALSE)</f>
        <v>Travel</v>
      </c>
      <c r="K182" t="str">
        <f>VLOOKUP(B182,'Lookup Tables'!$F$2:$H$5,2,FALSE)</f>
        <v>Priya Shah</v>
      </c>
      <c r="L182" s="5">
        <f>VLOOKUP(B182,'Lookup Tables'!$F$2:$H$5,3,FALSE)</f>
        <v>4.4999999999999998E-2</v>
      </c>
      <c r="M182" s="4">
        <f t="shared" si="10"/>
        <v>330.52</v>
      </c>
      <c r="N182" t="str">
        <f t="shared" si="11"/>
        <v>High Value</v>
      </c>
      <c r="O182" t="str">
        <f t="shared" si="12"/>
        <v>Strong Margin</v>
      </c>
      <c r="P182" t="str">
        <f t="shared" si="13"/>
        <v>Jun</v>
      </c>
      <c r="Q182" s="4">
        <f t="shared" si="14"/>
        <v>56.855699999999999</v>
      </c>
    </row>
    <row r="183" spans="1:17">
      <c r="A183" s="3">
        <v>45834</v>
      </c>
      <c r="B183" t="s">
        <v>29</v>
      </c>
      <c r="C183" t="s">
        <v>46</v>
      </c>
      <c r="D183" t="s">
        <v>47</v>
      </c>
      <c r="E183" t="s">
        <v>40</v>
      </c>
      <c r="F183">
        <v>1</v>
      </c>
      <c r="G183" s="4">
        <v>159.99</v>
      </c>
      <c r="H183" s="4">
        <v>94.2</v>
      </c>
      <c r="I183" t="s">
        <v>21</v>
      </c>
      <c r="J183" t="str">
        <f>VLOOKUP(C183,'Lookup Tables'!$A$2:$D$11,3,FALSE)</f>
        <v>Home Goods</v>
      </c>
      <c r="K183" t="str">
        <f>VLOOKUP(B183,'Lookup Tables'!$F$2:$H$5,2,FALSE)</f>
        <v>Priya Shah</v>
      </c>
      <c r="L183" s="5">
        <f>VLOOKUP(B183,'Lookup Tables'!$F$2:$H$5,3,FALSE)</f>
        <v>4.4999999999999998E-2</v>
      </c>
      <c r="M183" s="4">
        <f t="shared" si="10"/>
        <v>65.790000000000006</v>
      </c>
      <c r="N183" t="str">
        <f t="shared" si="11"/>
        <v>Standard</v>
      </c>
      <c r="O183" t="str">
        <f t="shared" si="12"/>
        <v>Strong Margin</v>
      </c>
      <c r="P183" t="str">
        <f t="shared" si="13"/>
        <v>Jun</v>
      </c>
      <c r="Q183" s="4">
        <f t="shared" si="14"/>
        <v>7.1995500000000003</v>
      </c>
    </row>
    <row r="184" spans="1:17">
      <c r="A184" s="3">
        <v>45834</v>
      </c>
      <c r="B184" t="s">
        <v>29</v>
      </c>
      <c r="C184" t="s">
        <v>38</v>
      </c>
      <c r="D184" t="s">
        <v>39</v>
      </c>
      <c r="E184" t="s">
        <v>41</v>
      </c>
      <c r="F184">
        <v>11</v>
      </c>
      <c r="G184" s="4">
        <v>2089.89</v>
      </c>
      <c r="H184" s="4">
        <v>1212.75</v>
      </c>
      <c r="I184" t="s">
        <v>21</v>
      </c>
      <c r="J184" t="str">
        <f>VLOOKUP(C184,'Lookup Tables'!$A$2:$D$11,3,FALSE)</f>
        <v>Office Furniture</v>
      </c>
      <c r="K184" t="str">
        <f>VLOOKUP(B184,'Lookup Tables'!$F$2:$H$5,2,FALSE)</f>
        <v>Priya Shah</v>
      </c>
      <c r="L184" s="5">
        <f>VLOOKUP(B184,'Lookup Tables'!$F$2:$H$5,3,FALSE)</f>
        <v>4.4999999999999998E-2</v>
      </c>
      <c r="M184" s="4">
        <f t="shared" si="10"/>
        <v>877.13999999999987</v>
      </c>
      <c r="N184" t="str">
        <f t="shared" si="11"/>
        <v>High Value</v>
      </c>
      <c r="O184" t="str">
        <f t="shared" si="12"/>
        <v>Strong Margin</v>
      </c>
      <c r="P184" t="str">
        <f t="shared" si="13"/>
        <v>Jun</v>
      </c>
      <c r="Q184" s="4">
        <f t="shared" si="14"/>
        <v>94.045049999999989</v>
      </c>
    </row>
    <row r="185" spans="1:17">
      <c r="A185" s="3">
        <v>45835</v>
      </c>
      <c r="B185" t="s">
        <v>25</v>
      </c>
      <c r="C185" t="s">
        <v>35</v>
      </c>
      <c r="D185" t="s">
        <v>36</v>
      </c>
      <c r="E185" t="s">
        <v>45</v>
      </c>
      <c r="F185">
        <v>1</v>
      </c>
      <c r="G185" s="4">
        <v>139.99</v>
      </c>
      <c r="H185" s="4">
        <v>76.47</v>
      </c>
      <c r="I185" t="s">
        <v>21</v>
      </c>
      <c r="J185" t="str">
        <f>VLOOKUP(C185,'Lookup Tables'!$A$2:$D$11,3,FALSE)</f>
        <v>Home Goods</v>
      </c>
      <c r="K185" t="str">
        <f>VLOOKUP(B185,'Lookup Tables'!$F$2:$H$5,2,FALSE)</f>
        <v>Carlos Rivera</v>
      </c>
      <c r="L185" s="5">
        <f>VLOOKUP(B185,'Lookup Tables'!$F$2:$H$5,3,FALSE)</f>
        <v>5.5E-2</v>
      </c>
      <c r="M185" s="4">
        <f t="shared" si="10"/>
        <v>63.52000000000001</v>
      </c>
      <c r="N185" t="str">
        <f t="shared" si="11"/>
        <v>Standard</v>
      </c>
      <c r="O185" t="str">
        <f t="shared" si="12"/>
        <v>Strong Margin</v>
      </c>
      <c r="P185" t="str">
        <f t="shared" si="13"/>
        <v>Jun</v>
      </c>
      <c r="Q185" s="4">
        <f t="shared" si="14"/>
        <v>7.6994500000000006</v>
      </c>
    </row>
    <row r="186" spans="1:17">
      <c r="A186" s="3">
        <v>45835</v>
      </c>
      <c r="B186" t="s">
        <v>25</v>
      </c>
      <c r="C186" t="s">
        <v>43</v>
      </c>
      <c r="D186" t="s">
        <v>44</v>
      </c>
      <c r="E186" t="s">
        <v>34</v>
      </c>
      <c r="F186">
        <v>10</v>
      </c>
      <c r="G186" s="4">
        <v>389.92</v>
      </c>
      <c r="H186" s="4">
        <v>249.5</v>
      </c>
      <c r="I186" t="s">
        <v>42</v>
      </c>
      <c r="J186" t="str">
        <f>VLOOKUP(C186,'Lookup Tables'!$A$2:$D$11,3,FALSE)</f>
        <v>Fitness</v>
      </c>
      <c r="K186" t="str">
        <f>VLOOKUP(B186,'Lookup Tables'!$F$2:$H$5,2,FALSE)</f>
        <v>Carlos Rivera</v>
      </c>
      <c r="L186" s="5">
        <f>VLOOKUP(B186,'Lookup Tables'!$F$2:$H$5,3,FALSE)</f>
        <v>5.5E-2</v>
      </c>
      <c r="M186" s="4">
        <f t="shared" si="10"/>
        <v>140.42000000000002</v>
      </c>
      <c r="N186" t="str">
        <f t="shared" si="11"/>
        <v>Standard</v>
      </c>
      <c r="O186" t="str">
        <f t="shared" si="12"/>
        <v>Strong Margin</v>
      </c>
      <c r="P186" t="str">
        <f t="shared" si="13"/>
        <v>Jun</v>
      </c>
      <c r="Q186" s="4">
        <f t="shared" si="14"/>
        <v>21.445600000000002</v>
      </c>
    </row>
    <row r="187" spans="1:17">
      <c r="A187" s="3">
        <v>45838</v>
      </c>
      <c r="B187" t="s">
        <v>50</v>
      </c>
      <c r="C187" t="s">
        <v>48</v>
      </c>
      <c r="D187" t="s">
        <v>49</v>
      </c>
      <c r="E187" t="s">
        <v>45</v>
      </c>
      <c r="F187">
        <v>4</v>
      </c>
      <c r="G187" s="4">
        <v>359.96</v>
      </c>
      <c r="H187" s="4">
        <v>207.32</v>
      </c>
      <c r="I187" t="s">
        <v>21</v>
      </c>
      <c r="J187" t="str">
        <f>VLOOKUP(C187,'Lookup Tables'!$A$2:$D$11,3,FALSE)</f>
        <v>Travel</v>
      </c>
      <c r="K187" t="str">
        <f>VLOOKUP(B187,'Lookup Tables'!$F$2:$H$5,2,FALSE)</f>
        <v>Marcus Green</v>
      </c>
      <c r="L187" s="5">
        <f>VLOOKUP(B187,'Lookup Tables'!$F$2:$H$5,3,FALSE)</f>
        <v>0.05</v>
      </c>
      <c r="M187" s="4">
        <f t="shared" si="10"/>
        <v>152.63999999999999</v>
      </c>
      <c r="N187" t="str">
        <f t="shared" si="11"/>
        <v>Standard</v>
      </c>
      <c r="O187" t="str">
        <f t="shared" si="12"/>
        <v>Strong Margin</v>
      </c>
      <c r="P187" t="str">
        <f t="shared" si="13"/>
        <v>Jun</v>
      </c>
      <c r="Q187" s="4">
        <f t="shared" si="14"/>
        <v>17.998000000000001</v>
      </c>
    </row>
    <row r="188" spans="1:17">
      <c r="A188" s="3">
        <v>45841</v>
      </c>
      <c r="B188" t="s">
        <v>50</v>
      </c>
      <c r="C188" t="s">
        <v>32</v>
      </c>
      <c r="D188" t="s">
        <v>33</v>
      </c>
      <c r="E188" t="s">
        <v>28</v>
      </c>
      <c r="F188">
        <v>3</v>
      </c>
      <c r="G188" s="4">
        <v>359.97</v>
      </c>
      <c r="H188" s="4">
        <v>205.5</v>
      </c>
      <c r="I188" t="s">
        <v>21</v>
      </c>
      <c r="J188" t="str">
        <f>VLOOKUP(C188,'Lookup Tables'!$A$2:$D$11,3,FALSE)</f>
        <v>Electronics</v>
      </c>
      <c r="K188" t="str">
        <f>VLOOKUP(B188,'Lookup Tables'!$F$2:$H$5,2,FALSE)</f>
        <v>Marcus Green</v>
      </c>
      <c r="L188" s="5">
        <f>VLOOKUP(B188,'Lookup Tables'!$F$2:$H$5,3,FALSE)</f>
        <v>0.05</v>
      </c>
      <c r="M188" s="4">
        <f t="shared" si="10"/>
        <v>154.47000000000003</v>
      </c>
      <c r="N188" t="str">
        <f t="shared" si="11"/>
        <v>Standard</v>
      </c>
      <c r="O188" t="str">
        <f t="shared" si="12"/>
        <v>Strong Margin</v>
      </c>
      <c r="P188" t="str">
        <f t="shared" si="13"/>
        <v>Jul</v>
      </c>
      <c r="Q188" s="4">
        <f t="shared" si="14"/>
        <v>17.998500000000003</v>
      </c>
    </row>
    <row r="189" spans="1:17">
      <c r="A189" s="3">
        <v>45843</v>
      </c>
      <c r="B189" t="s">
        <v>25</v>
      </c>
      <c r="C189" t="s">
        <v>26</v>
      </c>
      <c r="D189" t="s">
        <v>27</v>
      </c>
      <c r="E189" t="s">
        <v>52</v>
      </c>
      <c r="F189">
        <v>1</v>
      </c>
      <c r="G189" s="4">
        <v>29.99</v>
      </c>
      <c r="H189" s="4">
        <v>12.75</v>
      </c>
      <c r="I189" t="s">
        <v>21</v>
      </c>
      <c r="J189" t="str">
        <f>VLOOKUP(C189,'Lookup Tables'!$A$2:$D$11,3,FALSE)</f>
        <v>Travel</v>
      </c>
      <c r="K189" t="str">
        <f>VLOOKUP(B189,'Lookup Tables'!$F$2:$H$5,2,FALSE)</f>
        <v>Carlos Rivera</v>
      </c>
      <c r="L189" s="5">
        <f>VLOOKUP(B189,'Lookup Tables'!$F$2:$H$5,3,FALSE)</f>
        <v>5.5E-2</v>
      </c>
      <c r="M189" s="4">
        <f t="shared" si="10"/>
        <v>17.239999999999998</v>
      </c>
      <c r="N189" t="str">
        <f t="shared" si="11"/>
        <v>Standard</v>
      </c>
      <c r="O189" t="str">
        <f t="shared" si="12"/>
        <v>Strong Margin</v>
      </c>
      <c r="P189" t="str">
        <f t="shared" si="13"/>
        <v>Jul</v>
      </c>
      <c r="Q189" s="4">
        <f t="shared" si="14"/>
        <v>1.6494499999999999</v>
      </c>
    </row>
    <row r="190" spans="1:17">
      <c r="A190" s="3">
        <v>45844</v>
      </c>
      <c r="B190" t="s">
        <v>25</v>
      </c>
      <c r="C190" t="s">
        <v>26</v>
      </c>
      <c r="D190" t="s">
        <v>27</v>
      </c>
      <c r="E190" t="s">
        <v>52</v>
      </c>
      <c r="F190">
        <v>23</v>
      </c>
      <c r="G190" s="4">
        <v>538.02</v>
      </c>
      <c r="H190" s="4">
        <v>293.25</v>
      </c>
      <c r="I190" t="s">
        <v>42</v>
      </c>
      <c r="J190" t="str">
        <f>VLOOKUP(C190,'Lookup Tables'!$A$2:$D$11,3,FALSE)</f>
        <v>Travel</v>
      </c>
      <c r="K190" t="str">
        <f>VLOOKUP(B190,'Lookup Tables'!$F$2:$H$5,2,FALSE)</f>
        <v>Carlos Rivera</v>
      </c>
      <c r="L190" s="5">
        <f>VLOOKUP(B190,'Lookup Tables'!$F$2:$H$5,3,FALSE)</f>
        <v>5.5E-2</v>
      </c>
      <c r="M190" s="4">
        <f t="shared" si="10"/>
        <v>244.76999999999998</v>
      </c>
      <c r="N190" t="str">
        <f t="shared" si="11"/>
        <v>Standard</v>
      </c>
      <c r="O190" t="str">
        <f t="shared" si="12"/>
        <v>Strong Margin</v>
      </c>
      <c r="P190" t="str">
        <f t="shared" si="13"/>
        <v>Jul</v>
      </c>
      <c r="Q190" s="4">
        <f t="shared" si="14"/>
        <v>29.591100000000001</v>
      </c>
    </row>
    <row r="191" spans="1:17">
      <c r="A191" s="3">
        <v>45845</v>
      </c>
      <c r="B191" t="s">
        <v>17</v>
      </c>
      <c r="C191" t="s">
        <v>43</v>
      </c>
      <c r="D191" t="s">
        <v>44</v>
      </c>
      <c r="E191" t="s">
        <v>51</v>
      </c>
      <c r="F191">
        <v>11</v>
      </c>
      <c r="G191" s="4">
        <v>549.89</v>
      </c>
      <c r="H191" s="4">
        <v>274.45</v>
      </c>
      <c r="I191" t="s">
        <v>21</v>
      </c>
      <c r="J191" t="str">
        <f>VLOOKUP(C191,'Lookup Tables'!$A$2:$D$11,3,FALSE)</f>
        <v>Fitness</v>
      </c>
      <c r="K191" t="str">
        <f>VLOOKUP(B191,'Lookup Tables'!$F$2:$H$5,2,FALSE)</f>
        <v>Amanda Lee</v>
      </c>
      <c r="L191" s="5">
        <f>VLOOKUP(B191,'Lookup Tables'!$F$2:$H$5,3,FALSE)</f>
        <v>0.05</v>
      </c>
      <c r="M191" s="4">
        <f t="shared" si="10"/>
        <v>275.44</v>
      </c>
      <c r="N191" t="str">
        <f t="shared" si="11"/>
        <v>Standard</v>
      </c>
      <c r="O191" t="str">
        <f t="shared" si="12"/>
        <v>Strong Margin</v>
      </c>
      <c r="P191" t="str">
        <f t="shared" si="13"/>
        <v>Jul</v>
      </c>
      <c r="Q191" s="4">
        <f t="shared" si="14"/>
        <v>27.494500000000002</v>
      </c>
    </row>
    <row r="192" spans="1:17">
      <c r="A192" s="3">
        <v>45850</v>
      </c>
      <c r="B192" t="s">
        <v>50</v>
      </c>
      <c r="C192" t="s">
        <v>32</v>
      </c>
      <c r="D192" t="s">
        <v>33</v>
      </c>
      <c r="E192" t="s">
        <v>37</v>
      </c>
      <c r="F192">
        <v>21</v>
      </c>
      <c r="G192" s="4">
        <v>1965.44</v>
      </c>
      <c r="H192" s="4">
        <v>1438.5</v>
      </c>
      <c r="I192" t="s">
        <v>42</v>
      </c>
      <c r="J192" t="str">
        <f>VLOOKUP(C192,'Lookup Tables'!$A$2:$D$11,3,FALSE)</f>
        <v>Electronics</v>
      </c>
      <c r="K192" t="str">
        <f>VLOOKUP(B192,'Lookup Tables'!$F$2:$H$5,2,FALSE)</f>
        <v>Marcus Green</v>
      </c>
      <c r="L192" s="5">
        <f>VLOOKUP(B192,'Lookup Tables'!$F$2:$H$5,3,FALSE)</f>
        <v>0.05</v>
      </c>
      <c r="M192" s="4">
        <f t="shared" si="10"/>
        <v>526.94000000000005</v>
      </c>
      <c r="N192" t="str">
        <f t="shared" si="11"/>
        <v>High Value</v>
      </c>
      <c r="O192" t="str">
        <f t="shared" si="12"/>
        <v>Strong Margin</v>
      </c>
      <c r="P192" t="str">
        <f t="shared" si="13"/>
        <v>Jul</v>
      </c>
      <c r="Q192" s="4">
        <f t="shared" si="14"/>
        <v>98.272000000000006</v>
      </c>
    </row>
    <row r="193" spans="1:17">
      <c r="A193" s="3">
        <v>45852</v>
      </c>
      <c r="B193" t="s">
        <v>29</v>
      </c>
      <c r="C193" t="s">
        <v>38</v>
      </c>
      <c r="D193" t="s">
        <v>39</v>
      </c>
      <c r="E193" t="s">
        <v>37</v>
      </c>
      <c r="F193">
        <v>11</v>
      </c>
      <c r="G193" s="4">
        <v>2089.89</v>
      </c>
      <c r="H193" s="4">
        <v>1212.75</v>
      </c>
      <c r="I193" t="s">
        <v>21</v>
      </c>
      <c r="J193" t="str">
        <f>VLOOKUP(C193,'Lookup Tables'!$A$2:$D$11,3,FALSE)</f>
        <v>Office Furniture</v>
      </c>
      <c r="K193" t="str">
        <f>VLOOKUP(B193,'Lookup Tables'!$F$2:$H$5,2,FALSE)</f>
        <v>Priya Shah</v>
      </c>
      <c r="L193" s="5">
        <f>VLOOKUP(B193,'Lookup Tables'!$F$2:$H$5,3,FALSE)</f>
        <v>4.4999999999999998E-2</v>
      </c>
      <c r="M193" s="4">
        <f t="shared" si="10"/>
        <v>877.13999999999987</v>
      </c>
      <c r="N193" t="str">
        <f t="shared" si="11"/>
        <v>High Value</v>
      </c>
      <c r="O193" t="str">
        <f t="shared" si="12"/>
        <v>Strong Margin</v>
      </c>
      <c r="P193" t="str">
        <f t="shared" si="13"/>
        <v>Jul</v>
      </c>
      <c r="Q193" s="4">
        <f t="shared" si="14"/>
        <v>94.045049999999989</v>
      </c>
    </row>
    <row r="194" spans="1:17">
      <c r="A194" s="3">
        <v>45854</v>
      </c>
      <c r="B194" t="s">
        <v>17</v>
      </c>
      <c r="C194" t="s">
        <v>48</v>
      </c>
      <c r="D194" t="s">
        <v>49</v>
      </c>
      <c r="E194" t="s">
        <v>45</v>
      </c>
      <c r="F194">
        <v>8</v>
      </c>
      <c r="G194" s="4">
        <v>719.92</v>
      </c>
      <c r="H194" s="4">
        <v>414.64</v>
      </c>
      <c r="I194" t="s">
        <v>21</v>
      </c>
      <c r="J194" t="str">
        <f>VLOOKUP(C194,'Lookup Tables'!$A$2:$D$11,3,FALSE)</f>
        <v>Travel</v>
      </c>
      <c r="K194" t="str">
        <f>VLOOKUP(B194,'Lookup Tables'!$F$2:$H$5,2,FALSE)</f>
        <v>Amanda Lee</v>
      </c>
      <c r="L194" s="5">
        <f>VLOOKUP(B194,'Lookup Tables'!$F$2:$H$5,3,FALSE)</f>
        <v>0.05</v>
      </c>
      <c r="M194" s="4">
        <f t="shared" ref="M194:M241" si="15">G194-H194</f>
        <v>305.27999999999997</v>
      </c>
      <c r="N194" t="str">
        <f t="shared" ref="N194:N241" si="16">IF(G194&gt;1000,"High Value","Standard")</f>
        <v>Standard</v>
      </c>
      <c r="O194" t="str">
        <f t="shared" ref="O194:O241" si="17">IF(M194/G194&lt;0.25,"Review Margin","Strong Margin")</f>
        <v>Strong Margin</v>
      </c>
      <c r="P194" t="str">
        <f t="shared" ref="P194:P241" si="18">TEXT(A194,"mmm")</f>
        <v>Jul</v>
      </c>
      <c r="Q194" s="4">
        <f t="shared" ref="Q194:Q241" si="19">G194*L194</f>
        <v>35.996000000000002</v>
      </c>
    </row>
    <row r="195" spans="1:17">
      <c r="A195" s="3">
        <v>45854</v>
      </c>
      <c r="B195" t="s">
        <v>25</v>
      </c>
      <c r="C195" t="s">
        <v>43</v>
      </c>
      <c r="D195" t="s">
        <v>44</v>
      </c>
      <c r="E195" t="s">
        <v>41</v>
      </c>
      <c r="F195">
        <v>30</v>
      </c>
      <c r="G195" s="4">
        <v>1169.77</v>
      </c>
      <c r="H195" s="4">
        <v>748.5</v>
      </c>
      <c r="I195" t="s">
        <v>42</v>
      </c>
      <c r="J195" t="str">
        <f>VLOOKUP(C195,'Lookup Tables'!$A$2:$D$11,3,FALSE)</f>
        <v>Fitness</v>
      </c>
      <c r="K195" t="str">
        <f>VLOOKUP(B195,'Lookup Tables'!$F$2:$H$5,2,FALSE)</f>
        <v>Carlos Rivera</v>
      </c>
      <c r="L195" s="5">
        <f>VLOOKUP(B195,'Lookup Tables'!$F$2:$H$5,3,FALSE)</f>
        <v>5.5E-2</v>
      </c>
      <c r="M195" s="4">
        <f t="shared" si="15"/>
        <v>421.27</v>
      </c>
      <c r="N195" t="str">
        <f t="shared" si="16"/>
        <v>High Value</v>
      </c>
      <c r="O195" t="str">
        <f t="shared" si="17"/>
        <v>Strong Margin</v>
      </c>
      <c r="P195" t="str">
        <f t="shared" si="18"/>
        <v>Jul</v>
      </c>
      <c r="Q195" s="4">
        <f t="shared" si="19"/>
        <v>64.337350000000001</v>
      </c>
    </row>
    <row r="196" spans="1:17">
      <c r="A196" s="3">
        <v>45855</v>
      </c>
      <c r="B196" t="s">
        <v>29</v>
      </c>
      <c r="C196" t="s">
        <v>18</v>
      </c>
      <c r="D196" t="s">
        <v>19</v>
      </c>
      <c r="E196" t="s">
        <v>28</v>
      </c>
      <c r="F196">
        <v>28</v>
      </c>
      <c r="G196" s="4">
        <v>5459.78</v>
      </c>
      <c r="H196" s="4">
        <v>4060</v>
      </c>
      <c r="I196" t="s">
        <v>42</v>
      </c>
      <c r="J196" t="str">
        <f>VLOOKUP(C196,'Lookup Tables'!$A$2:$D$11,3,FALSE)</f>
        <v>Office Furniture</v>
      </c>
      <c r="K196" t="str">
        <f>VLOOKUP(B196,'Lookup Tables'!$F$2:$H$5,2,FALSE)</f>
        <v>Priya Shah</v>
      </c>
      <c r="L196" s="5">
        <f>VLOOKUP(B196,'Lookup Tables'!$F$2:$H$5,3,FALSE)</f>
        <v>4.4999999999999998E-2</v>
      </c>
      <c r="M196" s="4">
        <f t="shared" si="15"/>
        <v>1399.7799999999997</v>
      </c>
      <c r="N196" t="str">
        <f t="shared" si="16"/>
        <v>High Value</v>
      </c>
      <c r="O196" t="str">
        <f t="shared" si="17"/>
        <v>Strong Margin</v>
      </c>
      <c r="P196" t="str">
        <f t="shared" si="18"/>
        <v>Jul</v>
      </c>
      <c r="Q196" s="4">
        <f t="shared" si="19"/>
        <v>245.69009999999997</v>
      </c>
    </row>
    <row r="197" spans="1:17">
      <c r="A197" s="3">
        <v>45857</v>
      </c>
      <c r="B197" t="s">
        <v>25</v>
      </c>
      <c r="C197" t="s">
        <v>30</v>
      </c>
      <c r="D197" t="s">
        <v>31</v>
      </c>
      <c r="E197" t="s">
        <v>52</v>
      </c>
      <c r="F197">
        <v>4</v>
      </c>
      <c r="G197" s="4">
        <v>239.96</v>
      </c>
      <c r="H197" s="4">
        <v>122.96</v>
      </c>
      <c r="I197" t="s">
        <v>21</v>
      </c>
      <c r="J197" t="str">
        <f>VLOOKUP(C197,'Lookup Tables'!$A$2:$D$11,3,FALSE)</f>
        <v>Fitness</v>
      </c>
      <c r="K197" t="str">
        <f>VLOOKUP(B197,'Lookup Tables'!$F$2:$H$5,2,FALSE)</f>
        <v>Carlos Rivera</v>
      </c>
      <c r="L197" s="5">
        <f>VLOOKUP(B197,'Lookup Tables'!$F$2:$H$5,3,FALSE)</f>
        <v>5.5E-2</v>
      </c>
      <c r="M197" s="4">
        <f t="shared" si="15"/>
        <v>117.00000000000001</v>
      </c>
      <c r="N197" t="str">
        <f t="shared" si="16"/>
        <v>Standard</v>
      </c>
      <c r="O197" t="str">
        <f t="shared" si="17"/>
        <v>Strong Margin</v>
      </c>
      <c r="P197" t="str">
        <f t="shared" si="18"/>
        <v>Jul</v>
      </c>
      <c r="Q197" s="4">
        <f t="shared" si="19"/>
        <v>13.197800000000001</v>
      </c>
    </row>
    <row r="198" spans="1:17">
      <c r="A198" s="3">
        <v>45858</v>
      </c>
      <c r="B198" t="s">
        <v>25</v>
      </c>
      <c r="C198" t="s">
        <v>18</v>
      </c>
      <c r="D198" t="s">
        <v>19</v>
      </c>
      <c r="E198" t="s">
        <v>40</v>
      </c>
      <c r="F198">
        <v>9</v>
      </c>
      <c r="G198" s="4">
        <v>2249.91</v>
      </c>
      <c r="H198" s="4">
        <v>1305</v>
      </c>
      <c r="I198" t="s">
        <v>21</v>
      </c>
      <c r="J198" t="str">
        <f>VLOOKUP(C198,'Lookup Tables'!$A$2:$D$11,3,FALSE)</f>
        <v>Office Furniture</v>
      </c>
      <c r="K198" t="str">
        <f>VLOOKUP(B198,'Lookup Tables'!$F$2:$H$5,2,FALSE)</f>
        <v>Carlos Rivera</v>
      </c>
      <c r="L198" s="5">
        <f>VLOOKUP(B198,'Lookup Tables'!$F$2:$H$5,3,FALSE)</f>
        <v>5.5E-2</v>
      </c>
      <c r="M198" s="4">
        <f t="shared" si="15"/>
        <v>944.90999999999985</v>
      </c>
      <c r="N198" t="str">
        <f t="shared" si="16"/>
        <v>High Value</v>
      </c>
      <c r="O198" t="str">
        <f t="shared" si="17"/>
        <v>Strong Margin</v>
      </c>
      <c r="P198" t="str">
        <f t="shared" si="18"/>
        <v>Jul</v>
      </c>
      <c r="Q198" s="4">
        <f t="shared" si="19"/>
        <v>123.74504999999999</v>
      </c>
    </row>
    <row r="199" spans="1:17">
      <c r="A199" s="3">
        <v>45859</v>
      </c>
      <c r="B199" t="s">
        <v>25</v>
      </c>
      <c r="C199" t="s">
        <v>43</v>
      </c>
      <c r="D199" t="s">
        <v>44</v>
      </c>
      <c r="E199" t="s">
        <v>20</v>
      </c>
      <c r="F199">
        <v>4</v>
      </c>
      <c r="G199" s="4">
        <v>199.96</v>
      </c>
      <c r="H199" s="4">
        <v>99.8</v>
      </c>
      <c r="I199" t="s">
        <v>21</v>
      </c>
      <c r="J199" t="str">
        <f>VLOOKUP(C199,'Lookup Tables'!$A$2:$D$11,3,FALSE)</f>
        <v>Fitness</v>
      </c>
      <c r="K199" t="str">
        <f>VLOOKUP(B199,'Lookup Tables'!$F$2:$H$5,2,FALSE)</f>
        <v>Carlos Rivera</v>
      </c>
      <c r="L199" s="5">
        <f>VLOOKUP(B199,'Lookup Tables'!$F$2:$H$5,3,FALSE)</f>
        <v>5.5E-2</v>
      </c>
      <c r="M199" s="4">
        <f t="shared" si="15"/>
        <v>100.16000000000001</v>
      </c>
      <c r="N199" t="str">
        <f t="shared" si="16"/>
        <v>Standard</v>
      </c>
      <c r="O199" t="str">
        <f t="shared" si="17"/>
        <v>Strong Margin</v>
      </c>
      <c r="P199" t="str">
        <f t="shared" si="18"/>
        <v>Jul</v>
      </c>
      <c r="Q199" s="4">
        <f t="shared" si="19"/>
        <v>10.9978</v>
      </c>
    </row>
    <row r="200" spans="1:17">
      <c r="A200" s="3">
        <v>45859</v>
      </c>
      <c r="B200" t="s">
        <v>17</v>
      </c>
      <c r="C200" t="s">
        <v>48</v>
      </c>
      <c r="D200" t="s">
        <v>49</v>
      </c>
      <c r="E200" t="s">
        <v>51</v>
      </c>
      <c r="F200">
        <v>2</v>
      </c>
      <c r="G200" s="4">
        <v>179.98</v>
      </c>
      <c r="H200" s="4">
        <v>103.66</v>
      </c>
      <c r="I200" t="s">
        <v>21</v>
      </c>
      <c r="J200" t="str">
        <f>VLOOKUP(C200,'Lookup Tables'!$A$2:$D$11,3,FALSE)</f>
        <v>Travel</v>
      </c>
      <c r="K200" t="str">
        <f>VLOOKUP(B200,'Lookup Tables'!$F$2:$H$5,2,FALSE)</f>
        <v>Amanda Lee</v>
      </c>
      <c r="L200" s="5">
        <f>VLOOKUP(B200,'Lookup Tables'!$F$2:$H$5,3,FALSE)</f>
        <v>0.05</v>
      </c>
      <c r="M200" s="4">
        <f t="shared" si="15"/>
        <v>76.319999999999993</v>
      </c>
      <c r="N200" t="str">
        <f t="shared" si="16"/>
        <v>Standard</v>
      </c>
      <c r="O200" t="str">
        <f t="shared" si="17"/>
        <v>Strong Margin</v>
      </c>
      <c r="P200" t="str">
        <f t="shared" si="18"/>
        <v>Jul</v>
      </c>
      <c r="Q200" s="4">
        <f t="shared" si="19"/>
        <v>8.9990000000000006</v>
      </c>
    </row>
    <row r="201" spans="1:17">
      <c r="A201" s="3">
        <v>45863</v>
      </c>
      <c r="B201" t="s">
        <v>29</v>
      </c>
      <c r="C201" t="s">
        <v>38</v>
      </c>
      <c r="D201" t="s">
        <v>39</v>
      </c>
      <c r="E201" t="s">
        <v>34</v>
      </c>
      <c r="F201">
        <v>7</v>
      </c>
      <c r="G201" s="4">
        <v>1329.93</v>
      </c>
      <c r="H201" s="4">
        <v>771.75</v>
      </c>
      <c r="I201" t="s">
        <v>21</v>
      </c>
      <c r="J201" t="str">
        <f>VLOOKUP(C201,'Lookup Tables'!$A$2:$D$11,3,FALSE)</f>
        <v>Office Furniture</v>
      </c>
      <c r="K201" t="str">
        <f>VLOOKUP(B201,'Lookup Tables'!$F$2:$H$5,2,FALSE)</f>
        <v>Priya Shah</v>
      </c>
      <c r="L201" s="5">
        <f>VLOOKUP(B201,'Lookup Tables'!$F$2:$H$5,3,FALSE)</f>
        <v>4.4999999999999998E-2</v>
      </c>
      <c r="M201" s="4">
        <f t="shared" si="15"/>
        <v>558.18000000000006</v>
      </c>
      <c r="N201" t="str">
        <f t="shared" si="16"/>
        <v>High Value</v>
      </c>
      <c r="O201" t="str">
        <f t="shared" si="17"/>
        <v>Strong Margin</v>
      </c>
      <c r="P201" t="str">
        <f t="shared" si="18"/>
        <v>Jul</v>
      </c>
      <c r="Q201" s="4">
        <f t="shared" si="19"/>
        <v>59.846850000000003</v>
      </c>
    </row>
    <row r="202" spans="1:17">
      <c r="A202" s="3">
        <v>45864</v>
      </c>
      <c r="B202" t="s">
        <v>17</v>
      </c>
      <c r="C202" t="s">
        <v>32</v>
      </c>
      <c r="D202" t="s">
        <v>33</v>
      </c>
      <c r="E202" t="s">
        <v>20</v>
      </c>
      <c r="F202">
        <v>15</v>
      </c>
      <c r="G202" s="4">
        <v>1403.88</v>
      </c>
      <c r="H202" s="4">
        <v>1027.5</v>
      </c>
      <c r="I202" t="s">
        <v>42</v>
      </c>
      <c r="J202" t="str">
        <f>VLOOKUP(C202,'Lookup Tables'!$A$2:$D$11,3,FALSE)</f>
        <v>Electronics</v>
      </c>
      <c r="K202" t="str">
        <f>VLOOKUP(B202,'Lookup Tables'!$F$2:$H$5,2,FALSE)</f>
        <v>Amanda Lee</v>
      </c>
      <c r="L202" s="5">
        <f>VLOOKUP(B202,'Lookup Tables'!$F$2:$H$5,3,FALSE)</f>
        <v>0.05</v>
      </c>
      <c r="M202" s="4">
        <f t="shared" si="15"/>
        <v>376.38000000000011</v>
      </c>
      <c r="N202" t="str">
        <f t="shared" si="16"/>
        <v>High Value</v>
      </c>
      <c r="O202" t="str">
        <f t="shared" si="17"/>
        <v>Strong Margin</v>
      </c>
      <c r="P202" t="str">
        <f t="shared" si="18"/>
        <v>Jul</v>
      </c>
      <c r="Q202" s="4">
        <f t="shared" si="19"/>
        <v>70.194000000000003</v>
      </c>
    </row>
    <row r="203" spans="1:17">
      <c r="A203" s="3">
        <v>45865</v>
      </c>
      <c r="B203" t="s">
        <v>25</v>
      </c>
      <c r="C203" t="s">
        <v>46</v>
      </c>
      <c r="D203" t="s">
        <v>47</v>
      </c>
      <c r="E203" t="s">
        <v>28</v>
      </c>
      <c r="F203">
        <v>10</v>
      </c>
      <c r="G203" s="4">
        <v>1599.9</v>
      </c>
      <c r="H203" s="4">
        <v>942</v>
      </c>
      <c r="I203" t="s">
        <v>21</v>
      </c>
      <c r="J203" t="str">
        <f>VLOOKUP(C203,'Lookup Tables'!$A$2:$D$11,3,FALSE)</f>
        <v>Home Goods</v>
      </c>
      <c r="K203" t="str">
        <f>VLOOKUP(B203,'Lookup Tables'!$F$2:$H$5,2,FALSE)</f>
        <v>Carlos Rivera</v>
      </c>
      <c r="L203" s="5">
        <f>VLOOKUP(B203,'Lookup Tables'!$F$2:$H$5,3,FALSE)</f>
        <v>5.5E-2</v>
      </c>
      <c r="M203" s="4">
        <f t="shared" si="15"/>
        <v>657.90000000000009</v>
      </c>
      <c r="N203" t="str">
        <f t="shared" si="16"/>
        <v>High Value</v>
      </c>
      <c r="O203" t="str">
        <f t="shared" si="17"/>
        <v>Strong Margin</v>
      </c>
      <c r="P203" t="str">
        <f t="shared" si="18"/>
        <v>Jul</v>
      </c>
      <c r="Q203" s="4">
        <f t="shared" si="19"/>
        <v>87.994500000000002</v>
      </c>
    </row>
    <row r="204" spans="1:17">
      <c r="A204" s="3">
        <v>45865</v>
      </c>
      <c r="B204" t="s">
        <v>25</v>
      </c>
      <c r="C204" t="s">
        <v>32</v>
      </c>
      <c r="D204" t="s">
        <v>33</v>
      </c>
      <c r="E204" t="s">
        <v>28</v>
      </c>
      <c r="F204">
        <v>6</v>
      </c>
      <c r="G204" s="4">
        <v>719.94</v>
      </c>
      <c r="H204" s="4">
        <v>411</v>
      </c>
      <c r="I204" t="s">
        <v>21</v>
      </c>
      <c r="J204" t="str">
        <f>VLOOKUP(C204,'Lookup Tables'!$A$2:$D$11,3,FALSE)</f>
        <v>Electronics</v>
      </c>
      <c r="K204" t="str">
        <f>VLOOKUP(B204,'Lookup Tables'!$F$2:$H$5,2,FALSE)</f>
        <v>Carlos Rivera</v>
      </c>
      <c r="L204" s="5">
        <f>VLOOKUP(B204,'Lookup Tables'!$F$2:$H$5,3,FALSE)</f>
        <v>5.5E-2</v>
      </c>
      <c r="M204" s="4">
        <f t="shared" si="15"/>
        <v>308.94000000000005</v>
      </c>
      <c r="N204" t="str">
        <f t="shared" si="16"/>
        <v>Standard</v>
      </c>
      <c r="O204" t="str">
        <f t="shared" si="17"/>
        <v>Strong Margin</v>
      </c>
      <c r="P204" t="str">
        <f t="shared" si="18"/>
        <v>Jul</v>
      </c>
      <c r="Q204" s="4">
        <f t="shared" si="19"/>
        <v>39.596700000000006</v>
      </c>
    </row>
    <row r="205" spans="1:17">
      <c r="A205" s="3">
        <v>45869</v>
      </c>
      <c r="B205" t="s">
        <v>17</v>
      </c>
      <c r="C205" t="s">
        <v>22</v>
      </c>
      <c r="D205" t="s">
        <v>23</v>
      </c>
      <c r="E205" t="s">
        <v>20</v>
      </c>
      <c r="F205">
        <v>11</v>
      </c>
      <c r="G205" s="4">
        <v>879.89</v>
      </c>
      <c r="H205" s="4">
        <v>462</v>
      </c>
      <c r="I205" t="s">
        <v>21</v>
      </c>
      <c r="J205" t="str">
        <f>VLOOKUP(C205,'Lookup Tables'!$A$2:$D$11,3,FALSE)</f>
        <v>Electronics</v>
      </c>
      <c r="K205" t="str">
        <f>VLOOKUP(B205,'Lookup Tables'!$F$2:$H$5,2,FALSE)</f>
        <v>Amanda Lee</v>
      </c>
      <c r="L205" s="5">
        <f>VLOOKUP(B205,'Lookup Tables'!$F$2:$H$5,3,FALSE)</f>
        <v>0.05</v>
      </c>
      <c r="M205" s="4">
        <f t="shared" si="15"/>
        <v>417.89</v>
      </c>
      <c r="N205" t="str">
        <f t="shared" si="16"/>
        <v>Standard</v>
      </c>
      <c r="O205" t="str">
        <f t="shared" si="17"/>
        <v>Strong Margin</v>
      </c>
      <c r="P205" t="str">
        <f t="shared" si="18"/>
        <v>Jul</v>
      </c>
      <c r="Q205" s="4">
        <f t="shared" si="19"/>
        <v>43.994500000000002</v>
      </c>
    </row>
    <row r="206" spans="1:17">
      <c r="A206" s="3">
        <v>45871</v>
      </c>
      <c r="B206" t="s">
        <v>50</v>
      </c>
      <c r="C206" t="s">
        <v>46</v>
      </c>
      <c r="D206" t="s">
        <v>47</v>
      </c>
      <c r="E206" t="s">
        <v>34</v>
      </c>
      <c r="F206">
        <v>8</v>
      </c>
      <c r="G206" s="4">
        <v>1279.92</v>
      </c>
      <c r="H206" s="4">
        <v>753.6</v>
      </c>
      <c r="I206" t="s">
        <v>21</v>
      </c>
      <c r="J206" t="str">
        <f>VLOOKUP(C206,'Lookup Tables'!$A$2:$D$11,3,FALSE)</f>
        <v>Home Goods</v>
      </c>
      <c r="K206" t="str">
        <f>VLOOKUP(B206,'Lookup Tables'!$F$2:$H$5,2,FALSE)</f>
        <v>Marcus Green</v>
      </c>
      <c r="L206" s="5">
        <f>VLOOKUP(B206,'Lookup Tables'!$F$2:$H$5,3,FALSE)</f>
        <v>0.05</v>
      </c>
      <c r="M206" s="4">
        <f t="shared" si="15"/>
        <v>526.32000000000005</v>
      </c>
      <c r="N206" t="str">
        <f t="shared" si="16"/>
        <v>High Value</v>
      </c>
      <c r="O206" t="str">
        <f t="shared" si="17"/>
        <v>Strong Margin</v>
      </c>
      <c r="P206" t="str">
        <f t="shared" si="18"/>
        <v>Aug</v>
      </c>
      <c r="Q206" s="4">
        <f t="shared" si="19"/>
        <v>63.996000000000009</v>
      </c>
    </row>
    <row r="207" spans="1:17">
      <c r="A207" s="3">
        <v>45871</v>
      </c>
      <c r="B207" t="s">
        <v>17</v>
      </c>
      <c r="C207" t="s">
        <v>43</v>
      </c>
      <c r="D207" t="s">
        <v>44</v>
      </c>
      <c r="E207" t="s">
        <v>37</v>
      </c>
      <c r="F207">
        <v>18</v>
      </c>
      <c r="G207" s="4">
        <v>701.86</v>
      </c>
      <c r="H207" s="4">
        <v>449.1</v>
      </c>
      <c r="I207" t="s">
        <v>42</v>
      </c>
      <c r="J207" t="str">
        <f>VLOOKUP(C207,'Lookup Tables'!$A$2:$D$11,3,FALSE)</f>
        <v>Fitness</v>
      </c>
      <c r="K207" t="str">
        <f>VLOOKUP(B207,'Lookup Tables'!$F$2:$H$5,2,FALSE)</f>
        <v>Amanda Lee</v>
      </c>
      <c r="L207" s="5">
        <f>VLOOKUP(B207,'Lookup Tables'!$F$2:$H$5,3,FALSE)</f>
        <v>0.05</v>
      </c>
      <c r="M207" s="4">
        <f t="shared" si="15"/>
        <v>252.76</v>
      </c>
      <c r="N207" t="str">
        <f t="shared" si="16"/>
        <v>Standard</v>
      </c>
      <c r="O207" t="str">
        <f t="shared" si="17"/>
        <v>Strong Margin</v>
      </c>
      <c r="P207" t="str">
        <f t="shared" si="18"/>
        <v>Aug</v>
      </c>
      <c r="Q207" s="4">
        <f t="shared" si="19"/>
        <v>35.093000000000004</v>
      </c>
    </row>
    <row r="208" spans="1:17">
      <c r="A208" s="3">
        <v>45871</v>
      </c>
      <c r="B208" t="s">
        <v>29</v>
      </c>
      <c r="C208" t="s">
        <v>22</v>
      </c>
      <c r="D208" t="s">
        <v>23</v>
      </c>
      <c r="E208" t="s">
        <v>20</v>
      </c>
      <c r="F208">
        <v>5</v>
      </c>
      <c r="G208" s="4">
        <v>399.95</v>
      </c>
      <c r="H208" s="4">
        <v>210</v>
      </c>
      <c r="I208" t="s">
        <v>21</v>
      </c>
      <c r="J208" t="str">
        <f>VLOOKUP(C208,'Lookup Tables'!$A$2:$D$11,3,FALSE)</f>
        <v>Electronics</v>
      </c>
      <c r="K208" t="str">
        <f>VLOOKUP(B208,'Lookup Tables'!$F$2:$H$5,2,FALSE)</f>
        <v>Priya Shah</v>
      </c>
      <c r="L208" s="5">
        <f>VLOOKUP(B208,'Lookup Tables'!$F$2:$H$5,3,FALSE)</f>
        <v>4.4999999999999998E-2</v>
      </c>
      <c r="M208" s="4">
        <f t="shared" si="15"/>
        <v>189.95</v>
      </c>
      <c r="N208" t="str">
        <f t="shared" si="16"/>
        <v>Standard</v>
      </c>
      <c r="O208" t="str">
        <f t="shared" si="17"/>
        <v>Strong Margin</v>
      </c>
      <c r="P208" t="str">
        <f t="shared" si="18"/>
        <v>Aug</v>
      </c>
      <c r="Q208" s="4">
        <f t="shared" si="19"/>
        <v>17.99775</v>
      </c>
    </row>
    <row r="209" spans="1:17">
      <c r="A209" s="3">
        <v>45872</v>
      </c>
      <c r="B209" t="s">
        <v>50</v>
      </c>
      <c r="C209" t="s">
        <v>46</v>
      </c>
      <c r="D209" t="s">
        <v>47</v>
      </c>
      <c r="E209" t="s">
        <v>24</v>
      </c>
      <c r="F209">
        <v>6</v>
      </c>
      <c r="G209" s="4">
        <v>959.94</v>
      </c>
      <c r="H209" s="4">
        <v>565.20000000000005</v>
      </c>
      <c r="I209" t="s">
        <v>21</v>
      </c>
      <c r="J209" t="str">
        <f>VLOOKUP(C209,'Lookup Tables'!$A$2:$D$11,3,FALSE)</f>
        <v>Home Goods</v>
      </c>
      <c r="K209" t="str">
        <f>VLOOKUP(B209,'Lookup Tables'!$F$2:$H$5,2,FALSE)</f>
        <v>Marcus Green</v>
      </c>
      <c r="L209" s="5">
        <f>VLOOKUP(B209,'Lookup Tables'!$F$2:$H$5,3,FALSE)</f>
        <v>0.05</v>
      </c>
      <c r="M209" s="4">
        <f t="shared" si="15"/>
        <v>394.74</v>
      </c>
      <c r="N209" t="str">
        <f t="shared" si="16"/>
        <v>Standard</v>
      </c>
      <c r="O209" t="str">
        <f t="shared" si="17"/>
        <v>Strong Margin</v>
      </c>
      <c r="P209" t="str">
        <f t="shared" si="18"/>
        <v>Aug</v>
      </c>
      <c r="Q209" s="4">
        <f t="shared" si="19"/>
        <v>47.997000000000007</v>
      </c>
    </row>
    <row r="210" spans="1:17">
      <c r="A210" s="3">
        <v>45873</v>
      </c>
      <c r="B210" t="s">
        <v>17</v>
      </c>
      <c r="C210" t="s">
        <v>32</v>
      </c>
      <c r="D210" t="s">
        <v>33</v>
      </c>
      <c r="E210" t="s">
        <v>24</v>
      </c>
      <c r="F210">
        <v>8</v>
      </c>
      <c r="G210" s="4">
        <v>959.92</v>
      </c>
      <c r="H210" s="4">
        <v>548</v>
      </c>
      <c r="I210" t="s">
        <v>21</v>
      </c>
      <c r="J210" t="str">
        <f>VLOOKUP(C210,'Lookup Tables'!$A$2:$D$11,3,FALSE)</f>
        <v>Electronics</v>
      </c>
      <c r="K210" t="str">
        <f>VLOOKUP(B210,'Lookup Tables'!$F$2:$H$5,2,FALSE)</f>
        <v>Amanda Lee</v>
      </c>
      <c r="L210" s="5">
        <f>VLOOKUP(B210,'Lookup Tables'!$F$2:$H$5,3,FALSE)</f>
        <v>0.05</v>
      </c>
      <c r="M210" s="4">
        <f t="shared" si="15"/>
        <v>411.91999999999996</v>
      </c>
      <c r="N210" t="str">
        <f t="shared" si="16"/>
        <v>Standard</v>
      </c>
      <c r="O210" t="str">
        <f t="shared" si="17"/>
        <v>Strong Margin</v>
      </c>
      <c r="P210" t="str">
        <f t="shared" si="18"/>
        <v>Aug</v>
      </c>
      <c r="Q210" s="4">
        <f t="shared" si="19"/>
        <v>47.996000000000002</v>
      </c>
    </row>
    <row r="211" spans="1:17">
      <c r="A211" s="3">
        <v>45874</v>
      </c>
      <c r="B211" t="s">
        <v>29</v>
      </c>
      <c r="C211" t="s">
        <v>48</v>
      </c>
      <c r="D211" t="s">
        <v>49</v>
      </c>
      <c r="E211" t="s">
        <v>34</v>
      </c>
      <c r="F211">
        <v>5</v>
      </c>
      <c r="G211" s="4">
        <v>449.95</v>
      </c>
      <c r="H211" s="4">
        <v>259.14999999999998</v>
      </c>
      <c r="I211" t="s">
        <v>21</v>
      </c>
      <c r="J211" t="str">
        <f>VLOOKUP(C211,'Lookup Tables'!$A$2:$D$11,3,FALSE)</f>
        <v>Travel</v>
      </c>
      <c r="K211" t="str">
        <f>VLOOKUP(B211,'Lookup Tables'!$F$2:$H$5,2,FALSE)</f>
        <v>Priya Shah</v>
      </c>
      <c r="L211" s="5">
        <f>VLOOKUP(B211,'Lookup Tables'!$F$2:$H$5,3,FALSE)</f>
        <v>4.4999999999999998E-2</v>
      </c>
      <c r="M211" s="4">
        <f t="shared" si="15"/>
        <v>190.8</v>
      </c>
      <c r="N211" t="str">
        <f t="shared" si="16"/>
        <v>Standard</v>
      </c>
      <c r="O211" t="str">
        <f t="shared" si="17"/>
        <v>Strong Margin</v>
      </c>
      <c r="P211" t="str">
        <f t="shared" si="18"/>
        <v>Aug</v>
      </c>
      <c r="Q211" s="4">
        <f t="shared" si="19"/>
        <v>20.24775</v>
      </c>
    </row>
    <row r="212" spans="1:17">
      <c r="A212" s="3">
        <v>45875</v>
      </c>
      <c r="B212" t="s">
        <v>17</v>
      </c>
      <c r="C212" t="s">
        <v>48</v>
      </c>
      <c r="D212" t="s">
        <v>49</v>
      </c>
      <c r="E212" t="s">
        <v>41</v>
      </c>
      <c r="F212">
        <v>5</v>
      </c>
      <c r="G212" s="4">
        <v>449.95</v>
      </c>
      <c r="H212" s="4">
        <v>259.14999999999998</v>
      </c>
      <c r="I212" t="s">
        <v>21</v>
      </c>
      <c r="J212" t="str">
        <f>VLOOKUP(C212,'Lookup Tables'!$A$2:$D$11,3,FALSE)</f>
        <v>Travel</v>
      </c>
      <c r="K212" t="str">
        <f>VLOOKUP(B212,'Lookup Tables'!$F$2:$H$5,2,FALSE)</f>
        <v>Amanda Lee</v>
      </c>
      <c r="L212" s="5">
        <f>VLOOKUP(B212,'Lookup Tables'!$F$2:$H$5,3,FALSE)</f>
        <v>0.05</v>
      </c>
      <c r="M212" s="4">
        <f t="shared" si="15"/>
        <v>190.8</v>
      </c>
      <c r="N212" t="str">
        <f t="shared" si="16"/>
        <v>Standard</v>
      </c>
      <c r="O212" t="str">
        <f t="shared" si="17"/>
        <v>Strong Margin</v>
      </c>
      <c r="P212" t="str">
        <f t="shared" si="18"/>
        <v>Aug</v>
      </c>
      <c r="Q212" s="4">
        <f t="shared" si="19"/>
        <v>22.497500000000002</v>
      </c>
    </row>
    <row r="213" spans="1:17">
      <c r="A213" s="3">
        <v>45877</v>
      </c>
      <c r="B213" t="s">
        <v>25</v>
      </c>
      <c r="C213" t="s">
        <v>35</v>
      </c>
      <c r="D213" t="s">
        <v>36</v>
      </c>
      <c r="E213" t="s">
        <v>40</v>
      </c>
      <c r="F213">
        <v>28</v>
      </c>
      <c r="G213" s="4">
        <v>3057.38</v>
      </c>
      <c r="H213" s="4">
        <v>2141.16</v>
      </c>
      <c r="I213" t="s">
        <v>42</v>
      </c>
      <c r="J213" t="str">
        <f>VLOOKUP(C213,'Lookup Tables'!$A$2:$D$11,3,FALSE)</f>
        <v>Home Goods</v>
      </c>
      <c r="K213" t="str">
        <f>VLOOKUP(B213,'Lookup Tables'!$F$2:$H$5,2,FALSE)</f>
        <v>Carlos Rivera</v>
      </c>
      <c r="L213" s="5">
        <f>VLOOKUP(B213,'Lookup Tables'!$F$2:$H$5,3,FALSE)</f>
        <v>5.5E-2</v>
      </c>
      <c r="M213" s="4">
        <f t="shared" si="15"/>
        <v>916.22000000000025</v>
      </c>
      <c r="N213" t="str">
        <f t="shared" si="16"/>
        <v>High Value</v>
      </c>
      <c r="O213" t="str">
        <f t="shared" si="17"/>
        <v>Strong Margin</v>
      </c>
      <c r="P213" t="str">
        <f t="shared" si="18"/>
        <v>Aug</v>
      </c>
      <c r="Q213" s="4">
        <f t="shared" si="19"/>
        <v>168.1559</v>
      </c>
    </row>
    <row r="214" spans="1:17">
      <c r="A214" s="3">
        <v>45878</v>
      </c>
      <c r="B214" t="s">
        <v>25</v>
      </c>
      <c r="C214" t="s">
        <v>35</v>
      </c>
      <c r="D214" t="s">
        <v>36</v>
      </c>
      <c r="E214" t="s">
        <v>34</v>
      </c>
      <c r="F214">
        <v>9</v>
      </c>
      <c r="G214" s="4">
        <v>982.73</v>
      </c>
      <c r="H214" s="4">
        <v>688.23</v>
      </c>
      <c r="I214" t="s">
        <v>42</v>
      </c>
      <c r="J214" t="str">
        <f>VLOOKUP(C214,'Lookup Tables'!$A$2:$D$11,3,FALSE)</f>
        <v>Home Goods</v>
      </c>
      <c r="K214" t="str">
        <f>VLOOKUP(B214,'Lookup Tables'!$F$2:$H$5,2,FALSE)</f>
        <v>Carlos Rivera</v>
      </c>
      <c r="L214" s="5">
        <f>VLOOKUP(B214,'Lookup Tables'!$F$2:$H$5,3,FALSE)</f>
        <v>5.5E-2</v>
      </c>
      <c r="M214" s="4">
        <f t="shared" si="15"/>
        <v>294.5</v>
      </c>
      <c r="N214" t="str">
        <f t="shared" si="16"/>
        <v>Standard</v>
      </c>
      <c r="O214" t="str">
        <f t="shared" si="17"/>
        <v>Strong Margin</v>
      </c>
      <c r="P214" t="str">
        <f t="shared" si="18"/>
        <v>Aug</v>
      </c>
      <c r="Q214" s="4">
        <f t="shared" si="19"/>
        <v>54.050150000000002</v>
      </c>
    </row>
    <row r="215" spans="1:17">
      <c r="A215" s="3">
        <v>45879</v>
      </c>
      <c r="B215" t="s">
        <v>25</v>
      </c>
      <c r="C215" t="s">
        <v>48</v>
      </c>
      <c r="D215" t="s">
        <v>49</v>
      </c>
      <c r="E215" t="s">
        <v>24</v>
      </c>
      <c r="F215">
        <v>8</v>
      </c>
      <c r="G215" s="4">
        <v>719.92</v>
      </c>
      <c r="H215" s="4">
        <v>414.64</v>
      </c>
      <c r="I215" t="s">
        <v>21</v>
      </c>
      <c r="J215" t="str">
        <f>VLOOKUP(C215,'Lookup Tables'!$A$2:$D$11,3,FALSE)</f>
        <v>Travel</v>
      </c>
      <c r="K215" t="str">
        <f>VLOOKUP(B215,'Lookup Tables'!$F$2:$H$5,2,FALSE)</f>
        <v>Carlos Rivera</v>
      </c>
      <c r="L215" s="5">
        <f>VLOOKUP(B215,'Lookup Tables'!$F$2:$H$5,3,FALSE)</f>
        <v>5.5E-2</v>
      </c>
      <c r="M215" s="4">
        <f t="shared" si="15"/>
        <v>305.27999999999997</v>
      </c>
      <c r="N215" t="str">
        <f t="shared" si="16"/>
        <v>Standard</v>
      </c>
      <c r="O215" t="str">
        <f t="shared" si="17"/>
        <v>Strong Margin</v>
      </c>
      <c r="P215" t="str">
        <f t="shared" si="18"/>
        <v>Aug</v>
      </c>
      <c r="Q215" s="4">
        <f t="shared" si="19"/>
        <v>39.595599999999997</v>
      </c>
    </row>
    <row r="216" spans="1:17">
      <c r="A216" s="3">
        <v>45879</v>
      </c>
      <c r="B216" t="s">
        <v>29</v>
      </c>
      <c r="C216" t="s">
        <v>30</v>
      </c>
      <c r="D216" t="s">
        <v>31</v>
      </c>
      <c r="E216" t="s">
        <v>40</v>
      </c>
      <c r="F216">
        <v>7</v>
      </c>
      <c r="G216" s="4">
        <v>419.93</v>
      </c>
      <c r="H216" s="4">
        <v>215.18</v>
      </c>
      <c r="I216" t="s">
        <v>21</v>
      </c>
      <c r="J216" t="str">
        <f>VLOOKUP(C216,'Lookup Tables'!$A$2:$D$11,3,FALSE)</f>
        <v>Fitness</v>
      </c>
      <c r="K216" t="str">
        <f>VLOOKUP(B216,'Lookup Tables'!$F$2:$H$5,2,FALSE)</f>
        <v>Priya Shah</v>
      </c>
      <c r="L216" s="5">
        <f>VLOOKUP(B216,'Lookup Tables'!$F$2:$H$5,3,FALSE)</f>
        <v>4.4999999999999998E-2</v>
      </c>
      <c r="M216" s="4">
        <f t="shared" si="15"/>
        <v>204.75</v>
      </c>
      <c r="N216" t="str">
        <f t="shared" si="16"/>
        <v>Standard</v>
      </c>
      <c r="O216" t="str">
        <f t="shared" si="17"/>
        <v>Strong Margin</v>
      </c>
      <c r="P216" t="str">
        <f t="shared" si="18"/>
        <v>Aug</v>
      </c>
      <c r="Q216" s="4">
        <f t="shared" si="19"/>
        <v>18.896850000000001</v>
      </c>
    </row>
    <row r="217" spans="1:17">
      <c r="A217" s="3">
        <v>45880</v>
      </c>
      <c r="B217" t="s">
        <v>25</v>
      </c>
      <c r="C217" t="s">
        <v>22</v>
      </c>
      <c r="D217" t="s">
        <v>23</v>
      </c>
      <c r="E217" t="s">
        <v>37</v>
      </c>
      <c r="F217">
        <v>4</v>
      </c>
      <c r="G217" s="4">
        <v>319.95999999999998</v>
      </c>
      <c r="H217" s="4">
        <v>168</v>
      </c>
      <c r="I217" t="s">
        <v>21</v>
      </c>
      <c r="J217" t="str">
        <f>VLOOKUP(C217,'Lookup Tables'!$A$2:$D$11,3,FALSE)</f>
        <v>Electronics</v>
      </c>
      <c r="K217" t="str">
        <f>VLOOKUP(B217,'Lookup Tables'!$F$2:$H$5,2,FALSE)</f>
        <v>Carlos Rivera</v>
      </c>
      <c r="L217" s="5">
        <f>VLOOKUP(B217,'Lookup Tables'!$F$2:$H$5,3,FALSE)</f>
        <v>5.5E-2</v>
      </c>
      <c r="M217" s="4">
        <f t="shared" si="15"/>
        <v>151.95999999999998</v>
      </c>
      <c r="N217" t="str">
        <f t="shared" si="16"/>
        <v>Standard</v>
      </c>
      <c r="O217" t="str">
        <f t="shared" si="17"/>
        <v>Strong Margin</v>
      </c>
      <c r="P217" t="str">
        <f t="shared" si="18"/>
        <v>Aug</v>
      </c>
      <c r="Q217" s="4">
        <f t="shared" si="19"/>
        <v>17.597799999999999</v>
      </c>
    </row>
    <row r="218" spans="1:17">
      <c r="A218" s="3">
        <v>45880</v>
      </c>
      <c r="B218" t="s">
        <v>17</v>
      </c>
      <c r="C218" t="s">
        <v>48</v>
      </c>
      <c r="D218" t="s">
        <v>49</v>
      </c>
      <c r="E218" t="s">
        <v>34</v>
      </c>
      <c r="F218">
        <v>9</v>
      </c>
      <c r="G218" s="4">
        <v>809.91</v>
      </c>
      <c r="H218" s="4">
        <v>466.47</v>
      </c>
      <c r="I218" t="s">
        <v>21</v>
      </c>
      <c r="J218" t="str">
        <f>VLOOKUP(C218,'Lookup Tables'!$A$2:$D$11,3,FALSE)</f>
        <v>Travel</v>
      </c>
      <c r="K218" t="str">
        <f>VLOOKUP(B218,'Lookup Tables'!$F$2:$H$5,2,FALSE)</f>
        <v>Amanda Lee</v>
      </c>
      <c r="L218" s="5">
        <f>VLOOKUP(B218,'Lookup Tables'!$F$2:$H$5,3,FALSE)</f>
        <v>0.05</v>
      </c>
      <c r="M218" s="4">
        <f t="shared" si="15"/>
        <v>343.43999999999994</v>
      </c>
      <c r="N218" t="str">
        <f t="shared" si="16"/>
        <v>Standard</v>
      </c>
      <c r="O218" t="str">
        <f t="shared" si="17"/>
        <v>Strong Margin</v>
      </c>
      <c r="P218" t="str">
        <f t="shared" si="18"/>
        <v>Aug</v>
      </c>
      <c r="Q218" s="4">
        <f t="shared" si="19"/>
        <v>40.4955</v>
      </c>
    </row>
    <row r="219" spans="1:17">
      <c r="A219" s="3">
        <v>45881</v>
      </c>
      <c r="B219" t="s">
        <v>29</v>
      </c>
      <c r="C219" t="s">
        <v>48</v>
      </c>
      <c r="D219" t="s">
        <v>49</v>
      </c>
      <c r="E219" t="s">
        <v>52</v>
      </c>
      <c r="F219">
        <v>6</v>
      </c>
      <c r="G219" s="4">
        <v>539.94000000000005</v>
      </c>
      <c r="H219" s="4">
        <v>310.98</v>
      </c>
      <c r="I219" t="s">
        <v>21</v>
      </c>
      <c r="J219" t="str">
        <f>VLOOKUP(C219,'Lookup Tables'!$A$2:$D$11,3,FALSE)</f>
        <v>Travel</v>
      </c>
      <c r="K219" t="str">
        <f>VLOOKUP(B219,'Lookup Tables'!$F$2:$H$5,2,FALSE)</f>
        <v>Priya Shah</v>
      </c>
      <c r="L219" s="5">
        <f>VLOOKUP(B219,'Lookup Tables'!$F$2:$H$5,3,FALSE)</f>
        <v>4.4999999999999998E-2</v>
      </c>
      <c r="M219" s="4">
        <f t="shared" si="15"/>
        <v>228.96000000000004</v>
      </c>
      <c r="N219" t="str">
        <f t="shared" si="16"/>
        <v>Standard</v>
      </c>
      <c r="O219" t="str">
        <f t="shared" si="17"/>
        <v>Strong Margin</v>
      </c>
      <c r="P219" t="str">
        <f t="shared" si="18"/>
        <v>Aug</v>
      </c>
      <c r="Q219" s="4">
        <f t="shared" si="19"/>
        <v>24.2973</v>
      </c>
    </row>
    <row r="220" spans="1:17">
      <c r="A220" s="3">
        <v>45883</v>
      </c>
      <c r="B220" t="s">
        <v>29</v>
      </c>
      <c r="C220" t="s">
        <v>38</v>
      </c>
      <c r="D220" t="s">
        <v>39</v>
      </c>
      <c r="E220" t="s">
        <v>34</v>
      </c>
      <c r="F220">
        <v>11</v>
      </c>
      <c r="G220" s="4">
        <v>2089.89</v>
      </c>
      <c r="H220" s="4">
        <v>1212.75</v>
      </c>
      <c r="I220" t="s">
        <v>21</v>
      </c>
      <c r="J220" t="str">
        <f>VLOOKUP(C220,'Lookup Tables'!$A$2:$D$11,3,FALSE)</f>
        <v>Office Furniture</v>
      </c>
      <c r="K220" t="str">
        <f>VLOOKUP(B220,'Lookup Tables'!$F$2:$H$5,2,FALSE)</f>
        <v>Priya Shah</v>
      </c>
      <c r="L220" s="5">
        <f>VLOOKUP(B220,'Lookup Tables'!$F$2:$H$5,3,FALSE)</f>
        <v>4.4999999999999998E-2</v>
      </c>
      <c r="M220" s="4">
        <f t="shared" si="15"/>
        <v>877.13999999999987</v>
      </c>
      <c r="N220" t="str">
        <f t="shared" si="16"/>
        <v>High Value</v>
      </c>
      <c r="O220" t="str">
        <f t="shared" si="17"/>
        <v>Strong Margin</v>
      </c>
      <c r="P220" t="str">
        <f t="shared" si="18"/>
        <v>Aug</v>
      </c>
      <c r="Q220" s="4">
        <f t="shared" si="19"/>
        <v>94.045049999999989</v>
      </c>
    </row>
    <row r="221" spans="1:17">
      <c r="A221" s="3">
        <v>45883</v>
      </c>
      <c r="B221" t="s">
        <v>29</v>
      </c>
      <c r="C221" t="s">
        <v>48</v>
      </c>
      <c r="D221" t="s">
        <v>49</v>
      </c>
      <c r="E221" t="s">
        <v>20</v>
      </c>
      <c r="F221">
        <v>2</v>
      </c>
      <c r="G221" s="4">
        <v>179.98</v>
      </c>
      <c r="H221" s="4">
        <v>103.66</v>
      </c>
      <c r="I221" t="s">
        <v>21</v>
      </c>
      <c r="J221" t="str">
        <f>VLOOKUP(C221,'Lookup Tables'!$A$2:$D$11,3,FALSE)</f>
        <v>Travel</v>
      </c>
      <c r="K221" t="str">
        <f>VLOOKUP(B221,'Lookup Tables'!$F$2:$H$5,2,FALSE)</f>
        <v>Priya Shah</v>
      </c>
      <c r="L221" s="5">
        <f>VLOOKUP(B221,'Lookup Tables'!$F$2:$H$5,3,FALSE)</f>
        <v>4.4999999999999998E-2</v>
      </c>
      <c r="M221" s="4">
        <f t="shared" si="15"/>
        <v>76.319999999999993</v>
      </c>
      <c r="N221" t="str">
        <f t="shared" si="16"/>
        <v>Standard</v>
      </c>
      <c r="O221" t="str">
        <f t="shared" si="17"/>
        <v>Strong Margin</v>
      </c>
      <c r="P221" t="str">
        <f t="shared" si="18"/>
        <v>Aug</v>
      </c>
      <c r="Q221" s="4">
        <f t="shared" si="19"/>
        <v>8.0991</v>
      </c>
    </row>
    <row r="222" spans="1:17">
      <c r="A222" s="3">
        <v>45883</v>
      </c>
      <c r="B222" t="s">
        <v>25</v>
      </c>
      <c r="C222" t="s">
        <v>32</v>
      </c>
      <c r="D222" t="s">
        <v>33</v>
      </c>
      <c r="E222" t="s">
        <v>28</v>
      </c>
      <c r="F222">
        <v>10</v>
      </c>
      <c r="G222" s="4">
        <v>935.92</v>
      </c>
      <c r="H222" s="4">
        <v>685</v>
      </c>
      <c r="I222" t="s">
        <v>42</v>
      </c>
      <c r="J222" t="str">
        <f>VLOOKUP(C222,'Lookup Tables'!$A$2:$D$11,3,FALSE)</f>
        <v>Electronics</v>
      </c>
      <c r="K222" t="str">
        <f>VLOOKUP(B222,'Lookup Tables'!$F$2:$H$5,2,FALSE)</f>
        <v>Carlos Rivera</v>
      </c>
      <c r="L222" s="5">
        <f>VLOOKUP(B222,'Lookup Tables'!$F$2:$H$5,3,FALSE)</f>
        <v>5.5E-2</v>
      </c>
      <c r="M222" s="4">
        <f t="shared" si="15"/>
        <v>250.91999999999996</v>
      </c>
      <c r="N222" t="str">
        <f t="shared" si="16"/>
        <v>Standard</v>
      </c>
      <c r="O222" t="str">
        <f t="shared" si="17"/>
        <v>Strong Margin</v>
      </c>
      <c r="P222" t="str">
        <f t="shared" si="18"/>
        <v>Aug</v>
      </c>
      <c r="Q222" s="4">
        <f t="shared" si="19"/>
        <v>51.4756</v>
      </c>
    </row>
    <row r="223" spans="1:17">
      <c r="A223" s="3">
        <v>45887</v>
      </c>
      <c r="B223" t="s">
        <v>25</v>
      </c>
      <c r="C223" t="s">
        <v>18</v>
      </c>
      <c r="D223" t="s">
        <v>19</v>
      </c>
      <c r="E223" t="s">
        <v>20</v>
      </c>
      <c r="F223">
        <v>12</v>
      </c>
      <c r="G223" s="4">
        <v>2999.88</v>
      </c>
      <c r="H223" s="4">
        <v>1740</v>
      </c>
      <c r="I223" t="s">
        <v>21</v>
      </c>
      <c r="J223" t="str">
        <f>VLOOKUP(C223,'Lookup Tables'!$A$2:$D$11,3,FALSE)</f>
        <v>Office Furniture</v>
      </c>
      <c r="K223" t="str">
        <f>VLOOKUP(B223,'Lookup Tables'!$F$2:$H$5,2,FALSE)</f>
        <v>Carlos Rivera</v>
      </c>
      <c r="L223" s="5">
        <f>VLOOKUP(B223,'Lookup Tables'!$F$2:$H$5,3,FALSE)</f>
        <v>5.5E-2</v>
      </c>
      <c r="M223" s="4">
        <f t="shared" si="15"/>
        <v>1259.8800000000001</v>
      </c>
      <c r="N223" t="str">
        <f t="shared" si="16"/>
        <v>High Value</v>
      </c>
      <c r="O223" t="str">
        <f t="shared" si="17"/>
        <v>Strong Margin</v>
      </c>
      <c r="P223" t="str">
        <f t="shared" si="18"/>
        <v>Aug</v>
      </c>
      <c r="Q223" s="4">
        <f t="shared" si="19"/>
        <v>164.99340000000001</v>
      </c>
    </row>
    <row r="224" spans="1:17">
      <c r="A224" s="3">
        <v>45889</v>
      </c>
      <c r="B224" t="s">
        <v>50</v>
      </c>
      <c r="C224" t="s">
        <v>22</v>
      </c>
      <c r="D224" t="s">
        <v>23</v>
      </c>
      <c r="E224" t="s">
        <v>41</v>
      </c>
      <c r="F224">
        <v>4</v>
      </c>
      <c r="G224" s="4">
        <v>319.95999999999998</v>
      </c>
      <c r="H224" s="4">
        <v>168</v>
      </c>
      <c r="I224" t="s">
        <v>21</v>
      </c>
      <c r="J224" t="str">
        <f>VLOOKUP(C224,'Lookup Tables'!$A$2:$D$11,3,FALSE)</f>
        <v>Electronics</v>
      </c>
      <c r="K224" t="str">
        <f>VLOOKUP(B224,'Lookup Tables'!$F$2:$H$5,2,FALSE)</f>
        <v>Marcus Green</v>
      </c>
      <c r="L224" s="5">
        <f>VLOOKUP(B224,'Lookup Tables'!$F$2:$H$5,3,FALSE)</f>
        <v>0.05</v>
      </c>
      <c r="M224" s="4">
        <f t="shared" si="15"/>
        <v>151.95999999999998</v>
      </c>
      <c r="N224" t="str">
        <f t="shared" si="16"/>
        <v>Standard</v>
      </c>
      <c r="O224" t="str">
        <f t="shared" si="17"/>
        <v>Strong Margin</v>
      </c>
      <c r="P224" t="str">
        <f t="shared" si="18"/>
        <v>Aug</v>
      </c>
      <c r="Q224" s="4">
        <f t="shared" si="19"/>
        <v>15.997999999999999</v>
      </c>
    </row>
    <row r="225" spans="1:17">
      <c r="A225" s="3">
        <v>45890</v>
      </c>
      <c r="B225" t="s">
        <v>17</v>
      </c>
      <c r="C225" t="s">
        <v>35</v>
      </c>
      <c r="D225" t="s">
        <v>36</v>
      </c>
      <c r="E225" t="s">
        <v>45</v>
      </c>
      <c r="F225">
        <v>6</v>
      </c>
      <c r="G225" s="4">
        <v>839.94</v>
      </c>
      <c r="H225" s="4">
        <v>458.82</v>
      </c>
      <c r="I225" t="s">
        <v>21</v>
      </c>
      <c r="J225" t="str">
        <f>VLOOKUP(C225,'Lookup Tables'!$A$2:$D$11,3,FALSE)</f>
        <v>Home Goods</v>
      </c>
      <c r="K225" t="str">
        <f>VLOOKUP(B225,'Lookup Tables'!$F$2:$H$5,2,FALSE)</f>
        <v>Amanda Lee</v>
      </c>
      <c r="L225" s="5">
        <f>VLOOKUP(B225,'Lookup Tables'!$F$2:$H$5,3,FALSE)</f>
        <v>0.05</v>
      </c>
      <c r="M225" s="4">
        <f t="shared" si="15"/>
        <v>381.12000000000006</v>
      </c>
      <c r="N225" t="str">
        <f t="shared" si="16"/>
        <v>Standard</v>
      </c>
      <c r="O225" t="str">
        <f t="shared" si="17"/>
        <v>Strong Margin</v>
      </c>
      <c r="P225" t="str">
        <f t="shared" si="18"/>
        <v>Aug</v>
      </c>
      <c r="Q225" s="4">
        <f t="shared" si="19"/>
        <v>41.997000000000007</v>
      </c>
    </row>
    <row r="226" spans="1:17">
      <c r="A226" s="3">
        <v>45894</v>
      </c>
      <c r="B226" t="s">
        <v>25</v>
      </c>
      <c r="C226" t="s">
        <v>35</v>
      </c>
      <c r="D226" t="s">
        <v>36</v>
      </c>
      <c r="E226" t="s">
        <v>28</v>
      </c>
      <c r="F226">
        <v>5</v>
      </c>
      <c r="G226" s="4">
        <v>699.95</v>
      </c>
      <c r="H226" s="4">
        <v>382.35</v>
      </c>
      <c r="I226" t="s">
        <v>21</v>
      </c>
      <c r="J226" t="str">
        <f>VLOOKUP(C226,'Lookup Tables'!$A$2:$D$11,3,FALSE)</f>
        <v>Home Goods</v>
      </c>
      <c r="K226" t="str">
        <f>VLOOKUP(B226,'Lookup Tables'!$F$2:$H$5,2,FALSE)</f>
        <v>Carlos Rivera</v>
      </c>
      <c r="L226" s="5">
        <f>VLOOKUP(B226,'Lookup Tables'!$F$2:$H$5,3,FALSE)</f>
        <v>5.5E-2</v>
      </c>
      <c r="M226" s="4">
        <f t="shared" si="15"/>
        <v>317.60000000000002</v>
      </c>
      <c r="N226" t="str">
        <f t="shared" si="16"/>
        <v>Standard</v>
      </c>
      <c r="O226" t="str">
        <f t="shared" si="17"/>
        <v>Strong Margin</v>
      </c>
      <c r="P226" t="str">
        <f t="shared" si="18"/>
        <v>Aug</v>
      </c>
      <c r="Q226" s="4">
        <f t="shared" si="19"/>
        <v>38.497250000000001</v>
      </c>
    </row>
    <row r="227" spans="1:17">
      <c r="A227" s="3">
        <v>45894</v>
      </c>
      <c r="B227" t="s">
        <v>17</v>
      </c>
      <c r="C227" t="s">
        <v>26</v>
      </c>
      <c r="D227" t="s">
        <v>27</v>
      </c>
      <c r="E227" t="s">
        <v>40</v>
      </c>
      <c r="F227">
        <v>7</v>
      </c>
      <c r="G227" s="4">
        <v>209.93</v>
      </c>
      <c r="H227" s="4">
        <v>89.25</v>
      </c>
      <c r="I227" t="s">
        <v>21</v>
      </c>
      <c r="J227" t="str">
        <f>VLOOKUP(C227,'Lookup Tables'!$A$2:$D$11,3,FALSE)</f>
        <v>Travel</v>
      </c>
      <c r="K227" t="str">
        <f>VLOOKUP(B227,'Lookup Tables'!$F$2:$H$5,2,FALSE)</f>
        <v>Amanda Lee</v>
      </c>
      <c r="L227" s="5">
        <f>VLOOKUP(B227,'Lookup Tables'!$F$2:$H$5,3,FALSE)</f>
        <v>0.05</v>
      </c>
      <c r="M227" s="4">
        <f t="shared" si="15"/>
        <v>120.68</v>
      </c>
      <c r="N227" t="str">
        <f t="shared" si="16"/>
        <v>Standard</v>
      </c>
      <c r="O227" t="str">
        <f t="shared" si="17"/>
        <v>Strong Margin</v>
      </c>
      <c r="P227" t="str">
        <f t="shared" si="18"/>
        <v>Aug</v>
      </c>
      <c r="Q227" s="4">
        <f t="shared" si="19"/>
        <v>10.496500000000001</v>
      </c>
    </row>
    <row r="228" spans="1:17">
      <c r="A228" s="3">
        <v>45894</v>
      </c>
      <c r="B228" t="s">
        <v>25</v>
      </c>
      <c r="C228" t="s">
        <v>32</v>
      </c>
      <c r="D228" t="s">
        <v>33</v>
      </c>
      <c r="E228" t="s">
        <v>34</v>
      </c>
      <c r="F228">
        <v>12</v>
      </c>
      <c r="G228" s="4">
        <v>1439.88</v>
      </c>
      <c r="H228" s="4">
        <v>822</v>
      </c>
      <c r="I228" t="s">
        <v>21</v>
      </c>
      <c r="J228" t="str">
        <f>VLOOKUP(C228,'Lookup Tables'!$A$2:$D$11,3,FALSE)</f>
        <v>Electronics</v>
      </c>
      <c r="K228" t="str">
        <f>VLOOKUP(B228,'Lookup Tables'!$F$2:$H$5,2,FALSE)</f>
        <v>Carlos Rivera</v>
      </c>
      <c r="L228" s="5">
        <f>VLOOKUP(B228,'Lookup Tables'!$F$2:$H$5,3,FALSE)</f>
        <v>5.5E-2</v>
      </c>
      <c r="M228" s="4">
        <f t="shared" si="15"/>
        <v>617.88000000000011</v>
      </c>
      <c r="N228" t="str">
        <f t="shared" si="16"/>
        <v>High Value</v>
      </c>
      <c r="O228" t="str">
        <f t="shared" si="17"/>
        <v>Strong Margin</v>
      </c>
      <c r="P228" t="str">
        <f t="shared" si="18"/>
        <v>Aug</v>
      </c>
      <c r="Q228" s="4">
        <f t="shared" si="19"/>
        <v>79.193400000000011</v>
      </c>
    </row>
    <row r="229" spans="1:17">
      <c r="A229" s="3">
        <v>45894</v>
      </c>
      <c r="B229" t="s">
        <v>25</v>
      </c>
      <c r="C229" t="s">
        <v>22</v>
      </c>
      <c r="D229" t="s">
        <v>23</v>
      </c>
      <c r="E229" t="s">
        <v>20</v>
      </c>
      <c r="F229">
        <v>26</v>
      </c>
      <c r="G229" s="4">
        <v>1622.2</v>
      </c>
      <c r="H229" s="4">
        <v>1092</v>
      </c>
      <c r="I229" t="s">
        <v>42</v>
      </c>
      <c r="J229" t="str">
        <f>VLOOKUP(C229,'Lookup Tables'!$A$2:$D$11,3,FALSE)</f>
        <v>Electronics</v>
      </c>
      <c r="K229" t="str">
        <f>VLOOKUP(B229,'Lookup Tables'!$F$2:$H$5,2,FALSE)</f>
        <v>Carlos Rivera</v>
      </c>
      <c r="L229" s="5">
        <f>VLOOKUP(B229,'Lookup Tables'!$F$2:$H$5,3,FALSE)</f>
        <v>5.5E-2</v>
      </c>
      <c r="M229" s="4">
        <f t="shared" si="15"/>
        <v>530.20000000000005</v>
      </c>
      <c r="N229" t="str">
        <f t="shared" si="16"/>
        <v>High Value</v>
      </c>
      <c r="O229" t="str">
        <f t="shared" si="17"/>
        <v>Strong Margin</v>
      </c>
      <c r="P229" t="str">
        <f t="shared" si="18"/>
        <v>Aug</v>
      </c>
      <c r="Q229" s="4">
        <f t="shared" si="19"/>
        <v>89.221000000000004</v>
      </c>
    </row>
    <row r="230" spans="1:17">
      <c r="A230" s="3">
        <v>45895</v>
      </c>
      <c r="B230" t="s">
        <v>50</v>
      </c>
      <c r="C230" t="s">
        <v>18</v>
      </c>
      <c r="D230" t="s">
        <v>19</v>
      </c>
      <c r="E230" t="s">
        <v>20</v>
      </c>
      <c r="F230">
        <v>8</v>
      </c>
      <c r="G230" s="4">
        <v>1559.94</v>
      </c>
      <c r="H230" s="4">
        <v>1160</v>
      </c>
      <c r="I230" t="s">
        <v>42</v>
      </c>
      <c r="J230" t="str">
        <f>VLOOKUP(C230,'Lookup Tables'!$A$2:$D$11,3,FALSE)</f>
        <v>Office Furniture</v>
      </c>
      <c r="K230" t="str">
        <f>VLOOKUP(B230,'Lookup Tables'!$F$2:$H$5,2,FALSE)</f>
        <v>Marcus Green</v>
      </c>
      <c r="L230" s="5">
        <f>VLOOKUP(B230,'Lookup Tables'!$F$2:$H$5,3,FALSE)</f>
        <v>0.05</v>
      </c>
      <c r="M230" s="4">
        <f t="shared" si="15"/>
        <v>399.94000000000005</v>
      </c>
      <c r="N230" t="str">
        <f t="shared" si="16"/>
        <v>High Value</v>
      </c>
      <c r="O230" t="str">
        <f t="shared" si="17"/>
        <v>Strong Margin</v>
      </c>
      <c r="P230" t="str">
        <f t="shared" si="18"/>
        <v>Aug</v>
      </c>
      <c r="Q230" s="4">
        <f t="shared" si="19"/>
        <v>77.997000000000014</v>
      </c>
    </row>
    <row r="231" spans="1:17">
      <c r="A231" s="3">
        <v>45899</v>
      </c>
      <c r="B231" t="s">
        <v>50</v>
      </c>
      <c r="C231" t="s">
        <v>46</v>
      </c>
      <c r="D231" t="s">
        <v>47</v>
      </c>
      <c r="E231" t="s">
        <v>28</v>
      </c>
      <c r="F231">
        <v>25</v>
      </c>
      <c r="G231" s="4">
        <v>3119.81</v>
      </c>
      <c r="H231" s="4">
        <v>2355</v>
      </c>
      <c r="I231" t="s">
        <v>42</v>
      </c>
      <c r="J231" t="str">
        <f>VLOOKUP(C231,'Lookup Tables'!$A$2:$D$11,3,FALSE)</f>
        <v>Home Goods</v>
      </c>
      <c r="K231" t="str">
        <f>VLOOKUP(B231,'Lookup Tables'!$F$2:$H$5,2,FALSE)</f>
        <v>Marcus Green</v>
      </c>
      <c r="L231" s="5">
        <f>VLOOKUP(B231,'Lookup Tables'!$F$2:$H$5,3,FALSE)</f>
        <v>0.05</v>
      </c>
      <c r="M231" s="4">
        <f t="shared" si="15"/>
        <v>764.81</v>
      </c>
      <c r="N231" t="str">
        <f t="shared" si="16"/>
        <v>High Value</v>
      </c>
      <c r="O231" t="str">
        <f t="shared" si="17"/>
        <v>Review Margin</v>
      </c>
      <c r="P231" t="str">
        <f t="shared" si="18"/>
        <v>Aug</v>
      </c>
      <c r="Q231" s="4">
        <f t="shared" si="19"/>
        <v>155.9905</v>
      </c>
    </row>
    <row r="232" spans="1:17">
      <c r="A232" s="3">
        <v>45899</v>
      </c>
      <c r="B232" t="s">
        <v>29</v>
      </c>
      <c r="C232" t="s">
        <v>22</v>
      </c>
      <c r="D232" t="s">
        <v>23</v>
      </c>
      <c r="E232" t="s">
        <v>37</v>
      </c>
      <c r="F232">
        <v>6</v>
      </c>
      <c r="G232" s="4">
        <v>479.94</v>
      </c>
      <c r="H232" s="4">
        <v>252</v>
      </c>
      <c r="I232" t="s">
        <v>21</v>
      </c>
      <c r="J232" t="str">
        <f>VLOOKUP(C232,'Lookup Tables'!$A$2:$D$11,3,FALSE)</f>
        <v>Electronics</v>
      </c>
      <c r="K232" t="str">
        <f>VLOOKUP(B232,'Lookup Tables'!$F$2:$H$5,2,FALSE)</f>
        <v>Priya Shah</v>
      </c>
      <c r="L232" s="5">
        <f>VLOOKUP(B232,'Lookup Tables'!$F$2:$H$5,3,FALSE)</f>
        <v>4.4999999999999998E-2</v>
      </c>
      <c r="M232" s="4">
        <f t="shared" si="15"/>
        <v>227.94</v>
      </c>
      <c r="N232" t="str">
        <f t="shared" si="16"/>
        <v>Standard</v>
      </c>
      <c r="O232" t="str">
        <f t="shared" si="17"/>
        <v>Strong Margin</v>
      </c>
      <c r="P232" t="str">
        <f t="shared" si="18"/>
        <v>Aug</v>
      </c>
      <c r="Q232" s="4">
        <f t="shared" si="19"/>
        <v>21.597300000000001</v>
      </c>
    </row>
    <row r="233" spans="1:17">
      <c r="A233" s="3">
        <v>45901</v>
      </c>
      <c r="B233" t="s">
        <v>29</v>
      </c>
      <c r="C233" t="s">
        <v>26</v>
      </c>
      <c r="D233" t="s">
        <v>27</v>
      </c>
      <c r="E233" t="s">
        <v>51</v>
      </c>
      <c r="F233">
        <v>6</v>
      </c>
      <c r="G233" s="4">
        <v>179.94</v>
      </c>
      <c r="H233" s="4">
        <v>76.5</v>
      </c>
      <c r="I233" t="s">
        <v>21</v>
      </c>
      <c r="J233" t="str">
        <f>VLOOKUP(C233,'Lookup Tables'!$A$2:$D$11,3,FALSE)</f>
        <v>Travel</v>
      </c>
      <c r="K233" t="str">
        <f>VLOOKUP(B233,'Lookup Tables'!$F$2:$H$5,2,FALSE)</f>
        <v>Priya Shah</v>
      </c>
      <c r="L233" s="5">
        <f>VLOOKUP(B233,'Lookup Tables'!$F$2:$H$5,3,FALSE)</f>
        <v>4.4999999999999998E-2</v>
      </c>
      <c r="M233" s="4">
        <f t="shared" si="15"/>
        <v>103.44</v>
      </c>
      <c r="N233" t="str">
        <f t="shared" si="16"/>
        <v>Standard</v>
      </c>
      <c r="O233" t="str">
        <f t="shared" si="17"/>
        <v>Strong Margin</v>
      </c>
      <c r="P233" t="str">
        <f t="shared" si="18"/>
        <v>Sep</v>
      </c>
      <c r="Q233" s="4">
        <f t="shared" si="19"/>
        <v>8.0972999999999988</v>
      </c>
    </row>
    <row r="234" spans="1:17">
      <c r="A234" s="3">
        <v>45901</v>
      </c>
      <c r="B234" t="s">
        <v>25</v>
      </c>
      <c r="C234" t="s">
        <v>38</v>
      </c>
      <c r="D234" t="s">
        <v>39</v>
      </c>
      <c r="E234" t="s">
        <v>28</v>
      </c>
      <c r="F234">
        <v>7</v>
      </c>
      <c r="G234" s="4">
        <v>1329.93</v>
      </c>
      <c r="H234" s="4">
        <v>771.75</v>
      </c>
      <c r="I234" t="s">
        <v>21</v>
      </c>
      <c r="J234" t="str">
        <f>VLOOKUP(C234,'Lookup Tables'!$A$2:$D$11,3,FALSE)</f>
        <v>Office Furniture</v>
      </c>
      <c r="K234" t="str">
        <f>VLOOKUP(B234,'Lookup Tables'!$F$2:$H$5,2,FALSE)</f>
        <v>Carlos Rivera</v>
      </c>
      <c r="L234" s="5">
        <f>VLOOKUP(B234,'Lookup Tables'!$F$2:$H$5,3,FALSE)</f>
        <v>5.5E-2</v>
      </c>
      <c r="M234" s="4">
        <f t="shared" si="15"/>
        <v>558.18000000000006</v>
      </c>
      <c r="N234" t="str">
        <f t="shared" si="16"/>
        <v>High Value</v>
      </c>
      <c r="O234" t="str">
        <f t="shared" si="17"/>
        <v>Strong Margin</v>
      </c>
      <c r="P234" t="str">
        <f t="shared" si="18"/>
        <v>Sep</v>
      </c>
      <c r="Q234" s="4">
        <f t="shared" si="19"/>
        <v>73.146150000000006</v>
      </c>
    </row>
    <row r="235" spans="1:17">
      <c r="A235" s="3">
        <v>45902</v>
      </c>
      <c r="B235" t="s">
        <v>25</v>
      </c>
      <c r="C235" t="s">
        <v>32</v>
      </c>
      <c r="D235" t="s">
        <v>33</v>
      </c>
      <c r="E235" t="s">
        <v>45</v>
      </c>
      <c r="F235">
        <v>15</v>
      </c>
      <c r="G235" s="4">
        <v>1403.88</v>
      </c>
      <c r="H235" s="4">
        <v>1027.5</v>
      </c>
      <c r="I235" t="s">
        <v>42</v>
      </c>
      <c r="J235" t="str">
        <f>VLOOKUP(C235,'Lookup Tables'!$A$2:$D$11,3,FALSE)</f>
        <v>Electronics</v>
      </c>
      <c r="K235" t="str">
        <f>VLOOKUP(B235,'Lookup Tables'!$F$2:$H$5,2,FALSE)</f>
        <v>Carlos Rivera</v>
      </c>
      <c r="L235" s="5">
        <f>VLOOKUP(B235,'Lookup Tables'!$F$2:$H$5,3,FALSE)</f>
        <v>5.5E-2</v>
      </c>
      <c r="M235" s="4">
        <f t="shared" si="15"/>
        <v>376.38000000000011</v>
      </c>
      <c r="N235" t="str">
        <f t="shared" si="16"/>
        <v>High Value</v>
      </c>
      <c r="O235" t="str">
        <f t="shared" si="17"/>
        <v>Strong Margin</v>
      </c>
      <c r="P235" t="str">
        <f t="shared" si="18"/>
        <v>Sep</v>
      </c>
      <c r="Q235" s="4">
        <f t="shared" si="19"/>
        <v>77.213400000000007</v>
      </c>
    </row>
    <row r="236" spans="1:17">
      <c r="A236" s="3">
        <v>45903</v>
      </c>
      <c r="B236" t="s">
        <v>25</v>
      </c>
      <c r="C236" t="s">
        <v>35</v>
      </c>
      <c r="D236" t="s">
        <v>36</v>
      </c>
      <c r="E236" t="s">
        <v>28</v>
      </c>
      <c r="F236">
        <v>11</v>
      </c>
      <c r="G236" s="4">
        <v>1539.89</v>
      </c>
      <c r="H236" s="4">
        <v>841.17</v>
      </c>
      <c r="I236" t="s">
        <v>21</v>
      </c>
      <c r="J236" t="str">
        <f>VLOOKUP(C236,'Lookup Tables'!$A$2:$D$11,3,FALSE)</f>
        <v>Home Goods</v>
      </c>
      <c r="K236" t="str">
        <f>VLOOKUP(B236,'Lookup Tables'!$F$2:$H$5,2,FALSE)</f>
        <v>Carlos Rivera</v>
      </c>
      <c r="L236" s="5">
        <f>VLOOKUP(B236,'Lookup Tables'!$F$2:$H$5,3,FALSE)</f>
        <v>5.5E-2</v>
      </c>
      <c r="M236" s="4">
        <f t="shared" si="15"/>
        <v>698.72000000000014</v>
      </c>
      <c r="N236" t="str">
        <f t="shared" si="16"/>
        <v>High Value</v>
      </c>
      <c r="O236" t="str">
        <f t="shared" si="17"/>
        <v>Strong Margin</v>
      </c>
      <c r="P236" t="str">
        <f t="shared" si="18"/>
        <v>Sep</v>
      </c>
      <c r="Q236" s="4">
        <f t="shared" si="19"/>
        <v>84.693950000000001</v>
      </c>
    </row>
    <row r="237" spans="1:17">
      <c r="A237" s="3">
        <v>45906</v>
      </c>
      <c r="B237" t="s">
        <v>17</v>
      </c>
      <c r="C237" t="s">
        <v>48</v>
      </c>
      <c r="D237" t="s">
        <v>49</v>
      </c>
      <c r="E237" t="s">
        <v>45</v>
      </c>
      <c r="F237">
        <v>9</v>
      </c>
      <c r="G237" s="4">
        <v>631.73</v>
      </c>
      <c r="H237" s="4">
        <v>466.47</v>
      </c>
      <c r="I237" t="s">
        <v>42</v>
      </c>
      <c r="J237" t="str">
        <f>VLOOKUP(C237,'Lookup Tables'!$A$2:$D$11,3,FALSE)</f>
        <v>Travel</v>
      </c>
      <c r="K237" t="str">
        <f>VLOOKUP(B237,'Lookup Tables'!$F$2:$H$5,2,FALSE)</f>
        <v>Amanda Lee</v>
      </c>
      <c r="L237" s="5">
        <f>VLOOKUP(B237,'Lookup Tables'!$F$2:$H$5,3,FALSE)</f>
        <v>0.05</v>
      </c>
      <c r="M237" s="4">
        <f t="shared" si="15"/>
        <v>165.26</v>
      </c>
      <c r="N237" t="str">
        <f t="shared" si="16"/>
        <v>Standard</v>
      </c>
      <c r="O237" t="str">
        <f t="shared" si="17"/>
        <v>Strong Margin</v>
      </c>
      <c r="P237" t="str">
        <f t="shared" si="18"/>
        <v>Sep</v>
      </c>
      <c r="Q237" s="4">
        <f t="shared" si="19"/>
        <v>31.586500000000001</v>
      </c>
    </row>
    <row r="238" spans="1:17">
      <c r="A238" s="3">
        <v>45906</v>
      </c>
      <c r="B238" t="s">
        <v>29</v>
      </c>
      <c r="C238" t="s">
        <v>35</v>
      </c>
      <c r="D238" t="s">
        <v>36</v>
      </c>
      <c r="E238" t="s">
        <v>40</v>
      </c>
      <c r="F238">
        <v>9</v>
      </c>
      <c r="G238" s="4">
        <v>1259.9100000000001</v>
      </c>
      <c r="H238" s="4">
        <v>688.23</v>
      </c>
      <c r="I238" t="s">
        <v>21</v>
      </c>
      <c r="J238" t="str">
        <f>VLOOKUP(C238,'Lookup Tables'!$A$2:$D$11,3,FALSE)</f>
        <v>Home Goods</v>
      </c>
      <c r="K238" t="str">
        <f>VLOOKUP(B238,'Lookup Tables'!$F$2:$H$5,2,FALSE)</f>
        <v>Priya Shah</v>
      </c>
      <c r="L238" s="5">
        <f>VLOOKUP(B238,'Lookup Tables'!$F$2:$H$5,3,FALSE)</f>
        <v>4.4999999999999998E-2</v>
      </c>
      <c r="M238" s="4">
        <f t="shared" si="15"/>
        <v>571.68000000000006</v>
      </c>
      <c r="N238" t="str">
        <f t="shared" si="16"/>
        <v>High Value</v>
      </c>
      <c r="O238" t="str">
        <f t="shared" si="17"/>
        <v>Strong Margin</v>
      </c>
      <c r="P238" t="str">
        <f t="shared" si="18"/>
        <v>Sep</v>
      </c>
      <c r="Q238" s="4">
        <f t="shared" si="19"/>
        <v>56.695950000000003</v>
      </c>
    </row>
    <row r="239" spans="1:17">
      <c r="A239" s="3">
        <v>45907</v>
      </c>
      <c r="B239" t="s">
        <v>17</v>
      </c>
      <c r="C239" t="s">
        <v>35</v>
      </c>
      <c r="D239" t="s">
        <v>36</v>
      </c>
      <c r="E239" t="s">
        <v>51</v>
      </c>
      <c r="F239">
        <v>11</v>
      </c>
      <c r="G239" s="4">
        <v>1539.89</v>
      </c>
      <c r="H239" s="4">
        <v>841.17</v>
      </c>
      <c r="I239" t="s">
        <v>21</v>
      </c>
      <c r="J239" t="str">
        <f>VLOOKUP(C239,'Lookup Tables'!$A$2:$D$11,3,FALSE)</f>
        <v>Home Goods</v>
      </c>
      <c r="K239" t="str">
        <f>VLOOKUP(B239,'Lookup Tables'!$F$2:$H$5,2,FALSE)</f>
        <v>Amanda Lee</v>
      </c>
      <c r="L239" s="5">
        <f>VLOOKUP(B239,'Lookup Tables'!$F$2:$H$5,3,FALSE)</f>
        <v>0.05</v>
      </c>
      <c r="M239" s="4">
        <f t="shared" si="15"/>
        <v>698.72000000000014</v>
      </c>
      <c r="N239" t="str">
        <f t="shared" si="16"/>
        <v>High Value</v>
      </c>
      <c r="O239" t="str">
        <f t="shared" si="17"/>
        <v>Strong Margin</v>
      </c>
      <c r="P239" t="str">
        <f t="shared" si="18"/>
        <v>Sep</v>
      </c>
      <c r="Q239" s="4">
        <f t="shared" si="19"/>
        <v>76.994500000000016</v>
      </c>
    </row>
    <row r="240" spans="1:17">
      <c r="A240" s="3">
        <v>45909</v>
      </c>
      <c r="B240" t="s">
        <v>29</v>
      </c>
      <c r="C240" t="s">
        <v>18</v>
      </c>
      <c r="D240" t="s">
        <v>19</v>
      </c>
      <c r="E240" t="s">
        <v>20</v>
      </c>
      <c r="F240">
        <v>9</v>
      </c>
      <c r="G240" s="4">
        <v>2249.91</v>
      </c>
      <c r="H240" s="4">
        <v>1305</v>
      </c>
      <c r="I240" t="s">
        <v>21</v>
      </c>
      <c r="J240" t="str">
        <f>VLOOKUP(C240,'Lookup Tables'!$A$2:$D$11,3,FALSE)</f>
        <v>Office Furniture</v>
      </c>
      <c r="K240" t="str">
        <f>VLOOKUP(B240,'Lookup Tables'!$F$2:$H$5,2,FALSE)</f>
        <v>Priya Shah</v>
      </c>
      <c r="L240" s="5">
        <f>VLOOKUP(B240,'Lookup Tables'!$F$2:$H$5,3,FALSE)</f>
        <v>4.4999999999999998E-2</v>
      </c>
      <c r="M240" s="4">
        <f t="shared" si="15"/>
        <v>944.90999999999985</v>
      </c>
      <c r="N240" t="str">
        <f t="shared" si="16"/>
        <v>High Value</v>
      </c>
      <c r="O240" t="str">
        <f t="shared" si="17"/>
        <v>Strong Margin</v>
      </c>
      <c r="P240" t="str">
        <f t="shared" si="18"/>
        <v>Sep</v>
      </c>
      <c r="Q240" s="4">
        <f t="shared" si="19"/>
        <v>101.24594999999999</v>
      </c>
    </row>
    <row r="241" spans="1:17">
      <c r="A241" s="3">
        <v>45909</v>
      </c>
      <c r="B241" t="s">
        <v>17</v>
      </c>
      <c r="C241" t="s">
        <v>32</v>
      </c>
      <c r="D241" t="s">
        <v>33</v>
      </c>
      <c r="E241" t="s">
        <v>34</v>
      </c>
      <c r="F241">
        <v>5</v>
      </c>
      <c r="G241" s="4">
        <v>599.95000000000005</v>
      </c>
      <c r="H241" s="4">
        <v>342.5</v>
      </c>
      <c r="I241" t="s">
        <v>21</v>
      </c>
      <c r="J241" t="str">
        <f>VLOOKUP(C241,'Lookup Tables'!$A$2:$D$11,3,FALSE)</f>
        <v>Electronics</v>
      </c>
      <c r="K241" t="str">
        <f>VLOOKUP(B241,'Lookup Tables'!$F$2:$H$5,2,FALSE)</f>
        <v>Amanda Lee</v>
      </c>
      <c r="L241" s="5">
        <f>VLOOKUP(B241,'Lookup Tables'!$F$2:$H$5,3,FALSE)</f>
        <v>0.05</v>
      </c>
      <c r="M241" s="4">
        <f t="shared" si="15"/>
        <v>257.45000000000005</v>
      </c>
      <c r="N241" t="str">
        <f t="shared" si="16"/>
        <v>Standard</v>
      </c>
      <c r="O241" t="str">
        <f t="shared" si="17"/>
        <v>Strong Margin</v>
      </c>
      <c r="P241" t="str">
        <f t="shared" si="18"/>
        <v>Sep</v>
      </c>
      <c r="Q241" s="4">
        <f t="shared" si="19"/>
        <v>29.997500000000002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baseColWidth="10" defaultColWidth="8.83203125" defaultRowHeight="14"/>
  <cols>
    <col min="1" max="8" width="20" customWidth="1"/>
  </cols>
  <sheetData>
    <row r="1" spans="1:8" ht="15">
      <c r="A1" s="1" t="s">
        <v>2</v>
      </c>
      <c r="B1" s="1" t="s">
        <v>3</v>
      </c>
      <c r="C1" s="1" t="s">
        <v>53</v>
      </c>
      <c r="D1" s="1" t="s">
        <v>54</v>
      </c>
      <c r="F1" s="1" t="s">
        <v>1</v>
      </c>
      <c r="G1" s="1" t="s">
        <v>10</v>
      </c>
      <c r="H1" s="1" t="s">
        <v>11</v>
      </c>
    </row>
    <row r="2" spans="1:8">
      <c r="A2" t="s">
        <v>22</v>
      </c>
      <c r="B2" t="s">
        <v>23</v>
      </c>
      <c r="C2" t="s">
        <v>55</v>
      </c>
      <c r="D2">
        <v>79.989999999999995</v>
      </c>
      <c r="F2" t="s">
        <v>17</v>
      </c>
      <c r="G2" t="s">
        <v>56</v>
      </c>
      <c r="H2">
        <v>0.05</v>
      </c>
    </row>
    <row r="3" spans="1:8">
      <c r="A3" t="s">
        <v>32</v>
      </c>
      <c r="B3" t="s">
        <v>33</v>
      </c>
      <c r="C3" t="s">
        <v>55</v>
      </c>
      <c r="D3">
        <v>119.99</v>
      </c>
      <c r="F3" t="s">
        <v>25</v>
      </c>
      <c r="G3" t="s">
        <v>57</v>
      </c>
      <c r="H3">
        <v>5.5E-2</v>
      </c>
    </row>
    <row r="4" spans="1:8">
      <c r="A4" t="s">
        <v>18</v>
      </c>
      <c r="B4" t="s">
        <v>19</v>
      </c>
      <c r="C4" t="s">
        <v>58</v>
      </c>
      <c r="D4">
        <v>249.99</v>
      </c>
      <c r="F4" t="s">
        <v>29</v>
      </c>
      <c r="G4" t="s">
        <v>59</v>
      </c>
      <c r="H4">
        <v>4.4999999999999998E-2</v>
      </c>
    </row>
    <row r="5" spans="1:8">
      <c r="A5" t="s">
        <v>38</v>
      </c>
      <c r="B5" t="s">
        <v>39</v>
      </c>
      <c r="C5" t="s">
        <v>58</v>
      </c>
      <c r="D5">
        <v>189.99</v>
      </c>
      <c r="F5" t="s">
        <v>50</v>
      </c>
      <c r="G5" t="s">
        <v>60</v>
      </c>
      <c r="H5">
        <v>0.05</v>
      </c>
    </row>
    <row r="6" spans="1:8">
      <c r="A6" t="s">
        <v>46</v>
      </c>
      <c r="B6" t="s">
        <v>47</v>
      </c>
      <c r="C6" t="s">
        <v>61</v>
      </c>
      <c r="D6">
        <v>159.99</v>
      </c>
    </row>
    <row r="7" spans="1:8">
      <c r="A7" t="s">
        <v>35</v>
      </c>
      <c r="B7" t="s">
        <v>36</v>
      </c>
      <c r="C7" t="s">
        <v>61</v>
      </c>
      <c r="D7">
        <v>139.99</v>
      </c>
    </row>
    <row r="8" spans="1:8">
      <c r="A8" t="s">
        <v>30</v>
      </c>
      <c r="B8" t="s">
        <v>31</v>
      </c>
      <c r="C8" t="s">
        <v>62</v>
      </c>
      <c r="D8">
        <v>59.99</v>
      </c>
    </row>
    <row r="9" spans="1:8">
      <c r="A9" t="s">
        <v>43</v>
      </c>
      <c r="B9" t="s">
        <v>44</v>
      </c>
      <c r="C9" t="s">
        <v>62</v>
      </c>
      <c r="D9">
        <v>49.99</v>
      </c>
    </row>
    <row r="10" spans="1:8">
      <c r="A10" t="s">
        <v>48</v>
      </c>
      <c r="B10" t="s">
        <v>49</v>
      </c>
      <c r="C10" t="s">
        <v>63</v>
      </c>
      <c r="D10">
        <v>89.99</v>
      </c>
    </row>
    <row r="11" spans="1:8">
      <c r="A11" t="s">
        <v>26</v>
      </c>
      <c r="B11" t="s">
        <v>27</v>
      </c>
      <c r="C11" t="s">
        <v>63</v>
      </c>
      <c r="D11">
        <v>29.99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baseColWidth="10" defaultColWidth="8.83203125" defaultRowHeight="14"/>
  <cols>
    <col min="1" max="16" width="18" customWidth="1"/>
  </cols>
  <sheetData>
    <row r="1" spans="1:16">
      <c r="A1" t="s">
        <v>64</v>
      </c>
    </row>
    <row r="2" spans="1:16">
      <c r="A2" t="s">
        <v>65</v>
      </c>
    </row>
    <row r="3" spans="1:16">
      <c r="A3" t="s">
        <v>66</v>
      </c>
    </row>
    <row r="5" spans="1:16" ht="15">
      <c r="A5" s="2" t="s">
        <v>67</v>
      </c>
      <c r="B5" s="2"/>
      <c r="D5" s="2" t="s">
        <v>68</v>
      </c>
      <c r="E5" s="2"/>
      <c r="G5" s="2" t="s">
        <v>69</v>
      </c>
      <c r="H5" s="2"/>
      <c r="J5" s="2" t="s">
        <v>70</v>
      </c>
      <c r="K5" s="2"/>
      <c r="L5" s="2"/>
      <c r="N5" s="2" t="s">
        <v>71</v>
      </c>
      <c r="O5" s="2"/>
      <c r="P5" s="2"/>
    </row>
    <row r="6" spans="1:16" ht="15">
      <c r="A6" s="2" t="s">
        <v>1</v>
      </c>
      <c r="B6" s="2" t="s">
        <v>6</v>
      </c>
      <c r="D6" s="2" t="s">
        <v>3</v>
      </c>
      <c r="E6" s="2" t="s">
        <v>6</v>
      </c>
      <c r="G6" s="2" t="s">
        <v>4</v>
      </c>
      <c r="H6" s="2" t="s">
        <v>6</v>
      </c>
      <c r="J6" s="2" t="s">
        <v>15</v>
      </c>
      <c r="K6" s="2" t="s">
        <v>6</v>
      </c>
      <c r="L6" s="2" t="s">
        <v>5</v>
      </c>
      <c r="N6" s="2" t="s">
        <v>8</v>
      </c>
      <c r="O6" s="2" t="s">
        <v>6</v>
      </c>
      <c r="P6" s="2" t="s">
        <v>5</v>
      </c>
    </row>
    <row r="7" spans="1:16">
      <c r="A7" t="s">
        <v>17</v>
      </c>
      <c r="B7" s="4">
        <f>SUMIFS('Raw Data'!$G:$G,'Raw Data'!$B:$B,A7)</f>
        <v>75143.08</v>
      </c>
      <c r="D7" t="s">
        <v>23</v>
      </c>
      <c r="E7" s="4">
        <f>SUMIFS('Raw Data'!$G:$G,'Raw Data'!$D:$D,D7)</f>
        <v>10883.43</v>
      </c>
      <c r="G7" t="s">
        <v>45</v>
      </c>
      <c r="H7" s="4">
        <f>SUMIFS('Raw Data'!$G:$G,'Raw Data'!$E:$E,G7)</f>
        <v>17660.739999999998</v>
      </c>
      <c r="J7" t="s">
        <v>72</v>
      </c>
      <c r="K7" s="4">
        <f>SUMIFS('Raw Data'!$G:$G,'Raw Data'!$P:$P,J7)</f>
        <v>23446.41</v>
      </c>
      <c r="L7" s="6">
        <f>SUMIFS('Raw Data'!$F:$F,'Raw Data'!$P:$P,J7)</f>
        <v>237</v>
      </c>
      <c r="N7" t="s">
        <v>21</v>
      </c>
      <c r="O7" s="4">
        <f>SUMIFS('Raw Data'!$G:$G,'Raw Data'!$I:$I,N7)</f>
        <v>125069.17000000006</v>
      </c>
      <c r="P7">
        <f>SUMIFS('Raw Data'!$F:$F,'Raw Data'!$I:$I,N7)</f>
        <v>1083</v>
      </c>
    </row>
    <row r="8" spans="1:16">
      <c r="A8" t="s">
        <v>25</v>
      </c>
      <c r="B8" s="4">
        <f>SUMIFS('Raw Data'!$G:$G,'Raw Data'!$B:$B,A8)</f>
        <v>73820.269999999975</v>
      </c>
      <c r="D8" t="s">
        <v>33</v>
      </c>
      <c r="E8" s="4">
        <f>SUMIFS('Raw Data'!$G:$G,'Raw Data'!$D:$D,D8)</f>
        <v>28603.21</v>
      </c>
      <c r="G8" t="s">
        <v>28</v>
      </c>
      <c r="H8" s="4">
        <f>SUMIFS('Raw Data'!$G:$G,'Raw Data'!$E:$E,G8)</f>
        <v>31621.789999999997</v>
      </c>
      <c r="J8" t="s">
        <v>73</v>
      </c>
      <c r="K8" s="4">
        <f>SUMIFS('Raw Data'!$G:$G,'Raw Data'!$P:$P,J8)</f>
        <v>25965.329999999998</v>
      </c>
      <c r="L8" s="6">
        <f>SUMIFS('Raw Data'!$F:$F,'Raw Data'!$P:$P,J8)</f>
        <v>304</v>
      </c>
      <c r="N8" t="s">
        <v>42</v>
      </c>
      <c r="O8" s="4">
        <f>SUMIFS('Raw Data'!$G:$G,'Raw Data'!$I:$I,N8)</f>
        <v>114438.79999999999</v>
      </c>
      <c r="P8">
        <f>SUMIFS('Raw Data'!$F:$F,'Raw Data'!$I:$I,N8)</f>
        <v>1361</v>
      </c>
    </row>
    <row r="9" spans="1:16">
      <c r="A9" t="s">
        <v>29</v>
      </c>
      <c r="B9" s="4">
        <f>SUMIFS('Raw Data'!$G:$G,'Raw Data'!$B:$B,A9)</f>
        <v>48392.960000000006</v>
      </c>
      <c r="D9" t="s">
        <v>19</v>
      </c>
      <c r="E9" s="4">
        <f>SUMIFS('Raw Data'!$G:$G,'Raw Data'!$D:$D,D9)</f>
        <v>40103.399999999994</v>
      </c>
      <c r="G9" t="s">
        <v>20</v>
      </c>
      <c r="H9" s="4">
        <f>SUMIFS('Raw Data'!$G:$G,'Raw Data'!$E:$E,G9)</f>
        <v>24102.37</v>
      </c>
      <c r="J9" t="s">
        <v>74</v>
      </c>
      <c r="K9" s="4">
        <f>SUMIFS('Raw Data'!$G:$G,'Raw Data'!$P:$P,J9)</f>
        <v>25191.539999999997</v>
      </c>
      <c r="L9" s="6">
        <f>SUMIFS('Raw Data'!$F:$F,'Raw Data'!$P:$P,J9)</f>
        <v>286</v>
      </c>
    </row>
    <row r="10" spans="1:16">
      <c r="A10" t="s">
        <v>50</v>
      </c>
      <c r="B10" s="4">
        <f>SUMIFS('Raw Data'!$G:$G,'Raw Data'!$B:$B,A10)</f>
        <v>42151.66</v>
      </c>
      <c r="D10" t="s">
        <v>39</v>
      </c>
      <c r="E10" s="4">
        <f>SUMIFS('Raw Data'!$G:$G,'Raw Data'!$D:$D,D10)</f>
        <v>31808.13</v>
      </c>
      <c r="G10" t="s">
        <v>24</v>
      </c>
      <c r="H10" s="4">
        <f>SUMIFS('Raw Data'!$G:$G,'Raw Data'!$E:$E,G10)</f>
        <v>22400.77</v>
      </c>
      <c r="J10" t="s">
        <v>75</v>
      </c>
      <c r="K10" s="4">
        <f>SUMIFS('Raw Data'!$G:$G,'Raw Data'!$P:$P,J10)</f>
        <v>40237.130000000005</v>
      </c>
      <c r="L10" s="6">
        <f>SUMIFS('Raw Data'!$F:$F,'Raw Data'!$P:$P,J10)</f>
        <v>401</v>
      </c>
    </row>
    <row r="11" spans="1:16">
      <c r="D11" t="s">
        <v>47</v>
      </c>
      <c r="E11" s="4">
        <f>SUMIFS('Raw Data'!$G:$G,'Raw Data'!$D:$D,D11)</f>
        <v>43446.899999999994</v>
      </c>
      <c r="G11" t="s">
        <v>37</v>
      </c>
      <c r="H11" s="4">
        <f>SUMIFS('Raw Data'!$G:$G,'Raw Data'!$E:$E,G11)</f>
        <v>24945.829999999994</v>
      </c>
      <c r="J11" t="s">
        <v>76</v>
      </c>
      <c r="K11" s="4">
        <f>SUMIFS('Raw Data'!$G:$G,'Raw Data'!$P:$P,J11)</f>
        <v>31496.650000000005</v>
      </c>
      <c r="L11" s="6">
        <f>SUMIFS('Raw Data'!$F:$F,'Raw Data'!$P:$P,J11)</f>
        <v>353</v>
      </c>
    </row>
    <row r="12" spans="1:16">
      <c r="D12" t="s">
        <v>36</v>
      </c>
      <c r="E12" s="4">
        <f>SUMIFS('Raw Data'!$G:$G,'Raw Data'!$D:$D,D12)</f>
        <v>27779.62</v>
      </c>
      <c r="G12" t="s">
        <v>41</v>
      </c>
      <c r="H12" s="4">
        <f>SUMIFS('Raw Data'!$G:$G,'Raw Data'!$E:$E,G12)</f>
        <v>16380.529999999999</v>
      </c>
      <c r="J12" t="s">
        <v>77</v>
      </c>
      <c r="K12" s="4">
        <f>SUMIFS('Raw Data'!$G:$G,'Raw Data'!$P:$P,J12)</f>
        <v>32201.379999999994</v>
      </c>
      <c r="L12" s="6">
        <f>SUMIFS('Raw Data'!$F:$F,'Raw Data'!$P:$P,J12)</f>
        <v>317</v>
      </c>
    </row>
    <row r="13" spans="1:16">
      <c r="D13" t="s">
        <v>31</v>
      </c>
      <c r="E13" s="4">
        <f>SUMIFS('Raw Data'!$G:$G,'Raw Data'!$D:$D,D13)</f>
        <v>15618.999999999998</v>
      </c>
      <c r="G13" t="s">
        <v>51</v>
      </c>
      <c r="H13" s="4">
        <f>SUMIFS('Raw Data'!$G:$G,'Raw Data'!$E:$E,G13)</f>
        <v>27889.710000000003</v>
      </c>
      <c r="J13" t="s">
        <v>78</v>
      </c>
      <c r="K13" s="4">
        <f>SUMIFS('Raw Data'!$G:$G,'Raw Data'!$P:$P,J13)</f>
        <v>21686.019999999997</v>
      </c>
      <c r="L13" s="6">
        <f>SUMIFS('Raw Data'!$F:$F,'Raw Data'!$P:$P,J13)</f>
        <v>204</v>
      </c>
    </row>
    <row r="14" spans="1:16">
      <c r="D14" t="s">
        <v>44</v>
      </c>
      <c r="E14" s="4">
        <f>SUMIFS('Raw Data'!$G:$G,'Raw Data'!$D:$D,D14)</f>
        <v>11125.769999999999</v>
      </c>
      <c r="G14" t="s">
        <v>34</v>
      </c>
      <c r="H14" s="4">
        <f>SUMIFS('Raw Data'!$G:$G,'Raw Data'!$E:$E,G14)</f>
        <v>33190.539999999994</v>
      </c>
      <c r="J14" t="s">
        <v>79</v>
      </c>
      <c r="K14" s="4">
        <f>SUMIFS('Raw Data'!$G:$G,'Raw Data'!$P:$P,J14)</f>
        <v>28548.479999999996</v>
      </c>
      <c r="L14" s="6">
        <f>SUMIFS('Raw Data'!$F:$F,'Raw Data'!$P:$P,J14)</f>
        <v>260</v>
      </c>
    </row>
    <row r="15" spans="1:16">
      <c r="D15" t="s">
        <v>49</v>
      </c>
      <c r="E15" s="4">
        <f>SUMIFS('Raw Data'!$G:$G,'Raw Data'!$D:$D,D15)</f>
        <v>23190.429999999993</v>
      </c>
      <c r="G15" t="s">
        <v>40</v>
      </c>
      <c r="H15" s="4">
        <f>SUMIFS('Raw Data'!$G:$G,'Raw Data'!$E:$E,G15)</f>
        <v>19519.78</v>
      </c>
      <c r="J15" t="s">
        <v>80</v>
      </c>
      <c r="K15" s="4">
        <f>SUMIFS('Raw Data'!$G:$G,'Raw Data'!$P:$P,J15)</f>
        <v>10735.030000000002</v>
      </c>
      <c r="L15" s="6">
        <f>SUMIFS('Raw Data'!$F:$F,'Raw Data'!$P:$P,J15)</f>
        <v>82</v>
      </c>
    </row>
    <row r="16" spans="1:16">
      <c r="D16" t="s">
        <v>27</v>
      </c>
      <c r="E16" s="4">
        <f>SUMIFS('Raw Data'!$G:$G,'Raw Data'!$D:$D,D16)</f>
        <v>6948.079999999999</v>
      </c>
      <c r="G16" t="s">
        <v>52</v>
      </c>
      <c r="H16" s="4">
        <f>SUMIFS('Raw Data'!$G:$G,'Raw Data'!$E:$E,G16)</f>
        <v>21795.91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abSelected="1" workbookViewId="0">
      <selection activeCell="H45" sqref="H45"/>
    </sheetView>
  </sheetViews>
  <sheetFormatPr baseColWidth="10" defaultColWidth="8.83203125" defaultRowHeight="14"/>
  <cols>
    <col min="1" max="8" width="20" customWidth="1"/>
  </cols>
  <sheetData>
    <row r="1" spans="1:8" ht="21">
      <c r="A1" s="11" t="s">
        <v>81</v>
      </c>
      <c r="B1" s="11"/>
      <c r="C1" s="11"/>
      <c r="D1" s="11"/>
      <c r="E1" s="11"/>
      <c r="F1" s="11"/>
      <c r="G1" s="11"/>
      <c r="H1" s="11"/>
    </row>
    <row r="2" spans="1:8" ht="15">
      <c r="A2" s="12" t="s">
        <v>82</v>
      </c>
      <c r="B2" s="12"/>
      <c r="C2" s="12"/>
      <c r="D2" s="12"/>
      <c r="E2" s="12"/>
      <c r="F2" s="12"/>
      <c r="G2" s="12"/>
      <c r="H2" s="12"/>
    </row>
    <row r="3" spans="1:8">
      <c r="A3" s="7"/>
      <c r="B3" s="7"/>
      <c r="C3" s="7"/>
      <c r="D3" s="7"/>
      <c r="E3" s="7"/>
      <c r="F3" s="7"/>
      <c r="G3" s="7"/>
      <c r="H3" s="7"/>
    </row>
    <row r="4" spans="1:8" ht="32">
      <c r="A4" s="8" t="s">
        <v>83</v>
      </c>
      <c r="B4" s="8" t="s">
        <v>84</v>
      </c>
      <c r="C4" s="7"/>
      <c r="D4" s="8" t="s">
        <v>67</v>
      </c>
      <c r="E4" s="8" t="s">
        <v>6</v>
      </c>
      <c r="F4" s="7"/>
      <c r="G4" s="8" t="s">
        <v>85</v>
      </c>
      <c r="H4" s="8" t="s">
        <v>6</v>
      </c>
    </row>
    <row r="5" spans="1:8" ht="15">
      <c r="A5" s="7" t="s">
        <v>86</v>
      </c>
      <c r="B5" s="9">
        <f>SUM('Raw Data'!$G:$G)</f>
        <v>239507.97000000023</v>
      </c>
      <c r="C5" s="7"/>
      <c r="D5" s="7" t="str">
        <f>Calculations!A7</f>
        <v>East</v>
      </c>
      <c r="E5" s="9">
        <f>Calculations!B7</f>
        <v>75143.08</v>
      </c>
      <c r="F5" s="7"/>
      <c r="G5" s="7" t="str">
        <f>Calculations!G7</f>
        <v>Ava Davis</v>
      </c>
      <c r="H5" s="9">
        <f>Calculations!H7</f>
        <v>17660.739999999998</v>
      </c>
    </row>
    <row r="6" spans="1:8" ht="15">
      <c r="A6" s="7" t="s">
        <v>87</v>
      </c>
      <c r="B6" s="10">
        <f>SUM('Raw Data'!$F:$F)</f>
        <v>2444</v>
      </c>
      <c r="C6" s="7"/>
      <c r="D6" s="7" t="str">
        <f>Calculations!A8</f>
        <v>West</v>
      </c>
      <c r="E6" s="9">
        <f>Calculations!B8</f>
        <v>73820.269999999975</v>
      </c>
      <c r="F6" s="7"/>
      <c r="G6" s="7" t="str">
        <f>Calculations!G8</f>
        <v>Noah Brown</v>
      </c>
      <c r="H6" s="9">
        <f>Calculations!H8</f>
        <v>31621.789999999997</v>
      </c>
    </row>
    <row r="7" spans="1:8" ht="15">
      <c r="A7" s="7" t="s">
        <v>88</v>
      </c>
      <c r="B7" s="9">
        <f>AVERAGE('Raw Data'!$G:$G)</f>
        <v>997.94987500000093</v>
      </c>
      <c r="C7" s="7"/>
      <c r="D7" s="7" t="str">
        <f>Calculations!A9</f>
        <v>Midwest</v>
      </c>
      <c r="E7" s="9">
        <f>Calculations!B9</f>
        <v>48392.960000000006</v>
      </c>
      <c r="F7" s="7"/>
      <c r="G7" s="7" t="str">
        <f>Calculations!G9</f>
        <v>Sophia Martinez</v>
      </c>
      <c r="H7" s="9">
        <f>Calculations!H9</f>
        <v>24102.37</v>
      </c>
    </row>
    <row r="8" spans="1:8" ht="15">
      <c r="A8" s="7" t="s">
        <v>89</v>
      </c>
      <c r="B8" s="7" t="str">
        <f>INDEX(Calculations!$A$7:$A$10,MATCH(MAX(Calculations!$B$7:$B$10),Calculations!$B$7:$B$10,0))</f>
        <v>East</v>
      </c>
      <c r="C8" s="7"/>
      <c r="D8" s="7" t="str">
        <f>Calculations!A10</f>
        <v>South</v>
      </c>
      <c r="E8" s="9">
        <f>Calculations!B10</f>
        <v>42151.66</v>
      </c>
      <c r="F8" s="7"/>
      <c r="G8" s="7" t="str">
        <f>Calculations!G10</f>
        <v>Liam Wilson</v>
      </c>
      <c r="H8" s="9">
        <f>Calculations!H10</f>
        <v>22400.77</v>
      </c>
    </row>
    <row r="9" spans="1:8" ht="15">
      <c r="A9" s="7" t="s">
        <v>90</v>
      </c>
      <c r="B9" s="7" t="str">
        <f>INDEX(Calculations!$D$7:$D$16,MATCH(MAX(Calculations!$E$7:$E$16),Calculations!$E$7:$E$16,0))</f>
        <v>Stainless Cookware Set</v>
      </c>
      <c r="C9" s="7"/>
      <c r="D9" s="7"/>
      <c r="E9" s="7"/>
      <c r="F9" s="7"/>
      <c r="G9" s="7" t="str">
        <f>Calculations!G11</f>
        <v>Mia Thomas</v>
      </c>
      <c r="H9" s="9">
        <f>Calculations!H11</f>
        <v>24945.829999999994</v>
      </c>
    </row>
    <row r="10" spans="1:8" ht="15">
      <c r="A10" s="7" t="s">
        <v>91</v>
      </c>
      <c r="B10" s="7" t="str">
        <f>INDEX(Calculations!$G$7:$G$16,MATCH(MAX(Calculations!$H$7:$H$16),Calculations!$H$7:$H$16,0))</f>
        <v>Benjamin Moore</v>
      </c>
      <c r="C10" s="7"/>
      <c r="D10" s="7"/>
      <c r="E10" s="7"/>
      <c r="F10" s="7"/>
      <c r="G10" s="7" t="str">
        <f>Calculations!G12</f>
        <v>Ethan Smith</v>
      </c>
      <c r="H10" s="9">
        <f>Calculations!H12</f>
        <v>16380.529999999999</v>
      </c>
    </row>
    <row r="11" spans="1:8">
      <c r="A11" s="7"/>
      <c r="B11" s="7"/>
      <c r="C11" s="7"/>
      <c r="D11" s="7"/>
      <c r="E11" s="7"/>
      <c r="F11" s="7"/>
      <c r="G11" s="7" t="str">
        <f>Calculations!G13</f>
        <v>Olivia Garcia</v>
      </c>
      <c r="H11" s="9">
        <f>Calculations!H13</f>
        <v>27889.710000000003</v>
      </c>
    </row>
    <row r="12" spans="1:8">
      <c r="A12" s="7"/>
      <c r="B12" s="7"/>
      <c r="C12" s="7"/>
      <c r="D12" s="7"/>
      <c r="E12" s="7"/>
      <c r="F12" s="7"/>
      <c r="G12" s="7" t="str">
        <f>Calculations!G14</f>
        <v>Benjamin Moore</v>
      </c>
      <c r="H12" s="9">
        <f>Calculations!H14</f>
        <v>33190.539999999994</v>
      </c>
    </row>
    <row r="13" spans="1:8" ht="16">
      <c r="A13" s="8" t="s">
        <v>70</v>
      </c>
      <c r="B13" s="8" t="s">
        <v>6</v>
      </c>
      <c r="C13" s="7"/>
      <c r="D13" s="8" t="s">
        <v>92</v>
      </c>
      <c r="E13" s="8" t="s">
        <v>6</v>
      </c>
      <c r="F13" s="7"/>
      <c r="G13" s="7" t="str">
        <f>Calculations!G15</f>
        <v>Maya Johnson</v>
      </c>
      <c r="H13" s="9">
        <f>Calculations!H15</f>
        <v>19519.78</v>
      </c>
    </row>
    <row r="14" spans="1:8" ht="15">
      <c r="A14" s="7" t="str">
        <f>Calculations!J7</f>
        <v>Jan</v>
      </c>
      <c r="B14" s="9">
        <f>Calculations!K7</f>
        <v>23446.41</v>
      </c>
      <c r="C14" s="7"/>
      <c r="D14" s="7" t="str">
        <f>Calculations!D7</f>
        <v>Wireless Headphones</v>
      </c>
      <c r="E14" s="9">
        <f>Calculations!E7</f>
        <v>10883.43</v>
      </c>
      <c r="F14" s="7"/>
      <c r="G14" s="7" t="str">
        <f>Calculations!G16</f>
        <v>James Anderson</v>
      </c>
      <c r="H14" s="9">
        <f>Calculations!H16</f>
        <v>21795.91</v>
      </c>
    </row>
    <row r="15" spans="1:8" ht="15">
      <c r="A15" s="7" t="str">
        <f>Calculations!J8</f>
        <v>Feb</v>
      </c>
      <c r="B15" s="9">
        <f>Calculations!K8</f>
        <v>25965.329999999998</v>
      </c>
      <c r="C15" s="7"/>
      <c r="D15" s="7" t="str">
        <f>Calculations!D8</f>
        <v>Smart Home Hub</v>
      </c>
      <c r="E15" s="9">
        <f>Calculations!E8</f>
        <v>28603.21</v>
      </c>
      <c r="F15" s="7"/>
      <c r="G15" s="7"/>
      <c r="H15" s="7"/>
    </row>
    <row r="16" spans="1:8" ht="15">
      <c r="A16" s="7" t="str">
        <f>Calculations!J9</f>
        <v>Mar</v>
      </c>
      <c r="B16" s="9">
        <f>Calculations!K9</f>
        <v>25191.539999999997</v>
      </c>
      <c r="C16" s="7"/>
      <c r="D16" s="7" t="str">
        <f>Calculations!D9</f>
        <v>Ergonomic Office Chair</v>
      </c>
      <c r="E16" s="9">
        <f>Calculations!E9</f>
        <v>40103.399999999994</v>
      </c>
      <c r="F16" s="7"/>
      <c r="G16" s="7"/>
      <c r="H16" s="7"/>
    </row>
    <row r="17" spans="1:8" ht="30">
      <c r="A17" s="7" t="str">
        <f>Calculations!J10</f>
        <v>Apr</v>
      </c>
      <c r="B17" s="9">
        <f>Calculations!K10</f>
        <v>40237.130000000005</v>
      </c>
      <c r="C17" s="7"/>
      <c r="D17" s="7" t="str">
        <f>Calculations!D10</f>
        <v>Standing Desk Converter</v>
      </c>
      <c r="E17" s="9">
        <f>Calculations!E10</f>
        <v>31808.13</v>
      </c>
      <c r="F17" s="7"/>
      <c r="G17" s="8" t="s">
        <v>8</v>
      </c>
      <c r="H17" s="8" t="s">
        <v>6</v>
      </c>
    </row>
    <row r="18" spans="1:8" ht="15">
      <c r="A18" s="7" t="str">
        <f>Calculations!J11</f>
        <v>May</v>
      </c>
      <c r="B18" s="9">
        <f>Calculations!K11</f>
        <v>31496.650000000005</v>
      </c>
      <c r="C18" s="7"/>
      <c r="D18" s="7" t="str">
        <f>Calculations!D11</f>
        <v>Stainless Cookware Set</v>
      </c>
      <c r="E18" s="9">
        <f>Calculations!E11</f>
        <v>43446.899999999994</v>
      </c>
      <c r="F18" s="7"/>
      <c r="G18" s="7" t="str">
        <f>Calculations!N7</f>
        <v>Retail</v>
      </c>
      <c r="H18" s="9">
        <f>Calculations!O7</f>
        <v>125069.17000000006</v>
      </c>
    </row>
    <row r="19" spans="1:8" ht="15">
      <c r="A19" s="7" t="str">
        <f>Calculations!J12</f>
        <v>Jun</v>
      </c>
      <c r="B19" s="9">
        <f>Calculations!K12</f>
        <v>32201.379999999994</v>
      </c>
      <c r="C19" s="7"/>
      <c r="D19" s="7" t="str">
        <f>Calculations!D12</f>
        <v>Air Fryer XL</v>
      </c>
      <c r="E19" s="9">
        <f>Calculations!E12</f>
        <v>27779.62</v>
      </c>
      <c r="F19" s="7"/>
      <c r="G19" s="7" t="str">
        <f>Calculations!N8</f>
        <v>Wholesale</v>
      </c>
      <c r="H19" s="9">
        <f>Calculations!O8</f>
        <v>114438.79999999999</v>
      </c>
    </row>
    <row r="20" spans="1:8" ht="15">
      <c r="A20" s="7" t="str">
        <f>Calculations!J13</f>
        <v>Jul</v>
      </c>
      <c r="B20" s="9">
        <f>Calculations!K13</f>
        <v>21686.019999999997</v>
      </c>
      <c r="C20" s="7"/>
      <c r="D20" s="7" t="str">
        <f>Calculations!D13</f>
        <v>Fitness Tracker</v>
      </c>
      <c r="E20" s="9">
        <f>Calculations!E13</f>
        <v>15618.999999999998</v>
      </c>
      <c r="F20" s="7"/>
      <c r="G20" s="7"/>
      <c r="H20" s="7"/>
    </row>
    <row r="21" spans="1:8" ht="15">
      <c r="A21" s="7" t="str">
        <f>Calculations!J14</f>
        <v>Aug</v>
      </c>
      <c r="B21" s="9">
        <f>Calculations!K14</f>
        <v>28548.479999999996</v>
      </c>
      <c r="C21" s="7"/>
      <c r="D21" s="7" t="str">
        <f>Calculations!D14</f>
        <v>Yoga Starter Kit</v>
      </c>
      <c r="E21" s="9">
        <f>Calculations!E14</f>
        <v>11125.769999999999</v>
      </c>
      <c r="F21" s="7"/>
      <c r="G21" s="7"/>
      <c r="H21" s="7"/>
    </row>
    <row r="22" spans="1:8" ht="15">
      <c r="A22" s="7" t="str">
        <f>Calculations!J15</f>
        <v>Sep</v>
      </c>
      <c r="B22" s="9">
        <f>Calculations!K15</f>
        <v>10735.030000000002</v>
      </c>
      <c r="C22" s="7"/>
      <c r="D22" s="7" t="str">
        <f>Calculations!D15</f>
        <v>Travel Backpack</v>
      </c>
      <c r="E22" s="9">
        <f>Calculations!E15</f>
        <v>23190.429999999993</v>
      </c>
      <c r="F22" s="7"/>
      <c r="G22" s="7"/>
      <c r="H22" s="7"/>
    </row>
    <row r="23" spans="1:8">
      <c r="A23" s="7"/>
      <c r="B23" s="7"/>
      <c r="C23" s="7"/>
      <c r="D23" s="7" t="str">
        <f>Calculations!D16</f>
        <v>Insulated Water Bottle</v>
      </c>
      <c r="E23" s="9">
        <f>Calculations!E16</f>
        <v>6948.079999999999</v>
      </c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 ht="15">
      <c r="A25" s="13" t="s">
        <v>93</v>
      </c>
      <c r="B25" s="13"/>
      <c r="C25" s="13"/>
      <c r="D25" s="13"/>
      <c r="E25" s="13"/>
      <c r="F25" s="13"/>
      <c r="G25" s="13"/>
      <c r="H25" s="13"/>
    </row>
    <row r="26" spans="1:8">
      <c r="A26" s="14" t="s">
        <v>94</v>
      </c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7"/>
      <c r="B30" s="7"/>
      <c r="C30" s="7"/>
      <c r="D30" s="7"/>
      <c r="E30" s="7"/>
      <c r="F30" s="7"/>
      <c r="G30" s="7"/>
      <c r="H30" s="7"/>
    </row>
  </sheetData>
  <mergeCells count="4">
    <mergeCell ref="A1:H1"/>
    <mergeCell ref="A2:H2"/>
    <mergeCell ref="A25:H25"/>
    <mergeCell ref="A26:H29"/>
  </mergeCells>
  <conditionalFormatting sqref="B14:B22">
    <cfRule type="dataBar" priority="7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  <cfRule type="dataBar" priority="2">
      <dataBar>
        <cfvo type="min"/>
        <cfvo type="max"/>
        <color rgb="FF70AD47"/>
      </dataBar>
    </cfRule>
  </conditionalFormatting>
  <conditionalFormatting sqref="E5:E8"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  <cfRule type="dataBar" priority="1">
      <dataBar>
        <cfvo type="min"/>
        <cfvo type="max"/>
        <color rgb="FF5B9BD5"/>
      </dataBar>
    </cfRule>
  </conditionalFormatting>
  <conditionalFormatting sqref="E14:E23">
    <cfRule type="dataBar" priority="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{C5593AA7-0028-5BEA-E3E0-8178783C1A47}</x14:id>
        </ext>
      </extLst>
    </cfRule>
    <cfRule type="dataBar" priority="3">
      <dataBar>
        <cfvo type="min"/>
        <cfvo type="max"/>
        <color rgb="FFFFC000"/>
      </dataBar>
    </cfRule>
  </conditionalFormatting>
  <conditionalFormatting sqref="H5:H14">
    <cfRule type="dataBar" priority="4">
      <dataBar>
        <cfvo type="min"/>
        <cfvo type="max"/>
        <color rgb="FFED7D31"/>
      </dataBar>
    </cfRule>
    <cfRule type="dataBar" priority="9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{9FB71B9A-F398-1C5C-AB63-4C1EA09CC5DA}</x14:id>
        </ext>
      </extLst>
    </cfRule>
  </conditionalFormatting>
  <conditionalFormatting sqref="H18:H19">
    <cfRule type="dataBar" priority="5">
      <dataBar>
        <cfvo type="min"/>
        <cfvo type="max"/>
        <color rgb="FFA5A5A5"/>
      </dataBar>
    </cfRule>
    <cfRule type="dataBar" priority="10">
      <dataBar>
        <cfvo type="min"/>
        <cfvo type="max"/>
        <color rgb="FFA5A5A5"/>
      </dataBar>
      <extLst>
        <ext xmlns:x14="http://schemas.microsoft.com/office/spreadsheetml/2009/9/main" uri="{B025F937-C7B1-47D3-B67F-A62EFF666E3E}">
          <x14:id>{A2C5F989-CA60-2928-DF8F-0A7C5049F2CB}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 gradient="0">
              <x14:cfvo type="min"/>
              <x14:cfvo type="max"/>
              <x14:negativeFillColor auto="1"/>
              <x14:axisColor auto="1"/>
            </x14:dataBar>
          </x14:cfRule>
          <xm:sqref>B14:B22</xm:sqref>
        </x14:conditionalFormatting>
        <x14:conditionalFormatting xmlns:xm="http://schemas.microsoft.com/office/excel/2006/main">
          <x14:cfRule type="dataBar" id="{E5D2A047-4238-8741-E2B3-85669B88D1C8}">
            <x14:dataBar gradient="0">
              <x14:cfvo type="min"/>
              <x14:cfvo type="max"/>
              <x14:negativeFillColor auto="1"/>
              <x14:axisColor auto="1"/>
            </x14:dataBar>
          </x14:cfRule>
          <xm:sqref>E5:E8</xm:sqref>
        </x14:conditionalFormatting>
        <x14:conditionalFormatting xmlns:xm="http://schemas.microsoft.com/office/excel/2006/main">
          <x14:cfRule type="dataBar" id="{C5593AA7-0028-5BEA-E3E0-8178783C1A47}">
            <x14:dataBar gradient="0">
              <x14:cfvo type="min"/>
              <x14:cfvo type="max"/>
              <x14:negativeFillColor auto="1"/>
              <x14:axisColor auto="1"/>
            </x14:dataBar>
          </x14:cfRule>
          <xm:sqref>E14:E23</xm:sqref>
        </x14:conditionalFormatting>
        <x14:conditionalFormatting xmlns:xm="http://schemas.microsoft.com/office/excel/2006/main">
          <x14:cfRule type="dataBar" id="{9FB71B9A-F398-1C5C-AB63-4C1EA09CC5DA}">
            <x14:dataBar gradient="0">
              <x14:cfvo type="min"/>
              <x14:cfvo type="max"/>
              <x14:negativeFillColor auto="1"/>
              <x14:axisColor auto="1"/>
            </x14:dataBar>
          </x14:cfRule>
          <xm:sqref>H5:H14</xm:sqref>
        </x14:conditionalFormatting>
        <x14:conditionalFormatting xmlns:xm="http://schemas.microsoft.com/office/excel/2006/main">
          <x14:cfRule type="dataBar" id="{A2C5F989-CA60-2928-DF8F-0A7C5049F2CB}">
            <x14:dataBar gradient="0">
              <x14:cfvo type="min"/>
              <x14:cfvo type="max"/>
              <x14:negativeFillColor auto="1"/>
              <x14:axisColor auto="1"/>
            </x14:dataBar>
          </x14:cfRule>
          <xm:sqref>H18:H19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Lookup Tables</vt:lpstr>
      <vt:lpstr>Calculations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Barrera</dc:creator>
  <cp:keywords/>
  <dc:description/>
  <cp:lastModifiedBy>Barrera, Juan J</cp:lastModifiedBy>
  <dcterms:modified xsi:type="dcterms:W3CDTF">2026-06-01T23:41:38Z</dcterms:modified>
  <cp:category/>
</cp:coreProperties>
</file>