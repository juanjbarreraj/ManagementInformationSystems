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uanbarrera/Documents/2026/SummerSemester/ManagementInformationSystems/Week5/"/>
    </mc:Choice>
  </mc:AlternateContent>
  <xr:revisionPtr revIDLastSave="0" documentId="8_{A339F62E-879C-E34F-8EF7-22DF35484EEC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Raw Data" sheetId="1" r:id="rId1"/>
    <sheet name="Data Cleaning" sheetId="2" r:id="rId2"/>
    <sheet name="Pivot Tables" sheetId="3" r:id="rId3"/>
    <sheet name="Calculations" sheetId="4" r:id="rId4"/>
    <sheet name="Dashboard" sheetId="5" r:id="rId5"/>
    <sheet name="Recommenda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01" i="2" l="1"/>
  <c r="K1801" i="2"/>
  <c r="I1801" i="2"/>
  <c r="J1801" i="2" s="1"/>
  <c r="H1801" i="2"/>
  <c r="G1801" i="2"/>
  <c r="N1801" i="2" s="1"/>
  <c r="F1801" i="2"/>
  <c r="D1801" i="2"/>
  <c r="E1801" i="2" s="1"/>
  <c r="C1801" i="2"/>
  <c r="B1801" i="2"/>
  <c r="A1801" i="2"/>
  <c r="L1800" i="2"/>
  <c r="K1800" i="2"/>
  <c r="I1800" i="2"/>
  <c r="J1800" i="2" s="1"/>
  <c r="H1800" i="2"/>
  <c r="G1800" i="2"/>
  <c r="N1800" i="2" s="1"/>
  <c r="F1800" i="2"/>
  <c r="E1800" i="2"/>
  <c r="D1800" i="2"/>
  <c r="C1800" i="2"/>
  <c r="B1800" i="2"/>
  <c r="A1800" i="2"/>
  <c r="L1799" i="2"/>
  <c r="K1799" i="2"/>
  <c r="I1799" i="2"/>
  <c r="J1799" i="2" s="1"/>
  <c r="H1799" i="2"/>
  <c r="G1799" i="2"/>
  <c r="N1799" i="2" s="1"/>
  <c r="F1799" i="2"/>
  <c r="D1799" i="2"/>
  <c r="E1799" i="2" s="1"/>
  <c r="C1799" i="2"/>
  <c r="B1799" i="2"/>
  <c r="A1799" i="2"/>
  <c r="N1798" i="2"/>
  <c r="L1798" i="2"/>
  <c r="K1798" i="2"/>
  <c r="H1798" i="2"/>
  <c r="I1798" i="2" s="1"/>
  <c r="J1798" i="2" s="1"/>
  <c r="G1798" i="2"/>
  <c r="F1798" i="2"/>
  <c r="O1798" i="2" s="1"/>
  <c r="E1798" i="2"/>
  <c r="D1798" i="2"/>
  <c r="C1798" i="2"/>
  <c r="B1798" i="2"/>
  <c r="A1798" i="2"/>
  <c r="L1797" i="2"/>
  <c r="K1797" i="2"/>
  <c r="H1797" i="2"/>
  <c r="G1797" i="2"/>
  <c r="F1797" i="2"/>
  <c r="D1797" i="2"/>
  <c r="E1797" i="2" s="1"/>
  <c r="C1797" i="2"/>
  <c r="B1797" i="2"/>
  <c r="A1797" i="2"/>
  <c r="O1796" i="2"/>
  <c r="L1796" i="2"/>
  <c r="K1796" i="2"/>
  <c r="I1796" i="2"/>
  <c r="J1796" i="2" s="1"/>
  <c r="H1796" i="2"/>
  <c r="G1796" i="2"/>
  <c r="N1796" i="2" s="1"/>
  <c r="F1796" i="2"/>
  <c r="E1796" i="2"/>
  <c r="D1796" i="2"/>
  <c r="C1796" i="2"/>
  <c r="B1796" i="2"/>
  <c r="A1796" i="2"/>
  <c r="L1795" i="2"/>
  <c r="N1795" i="2" s="1"/>
  <c r="K1795" i="2"/>
  <c r="H1795" i="2"/>
  <c r="I1795" i="2" s="1"/>
  <c r="J1795" i="2" s="1"/>
  <c r="G1795" i="2"/>
  <c r="F1795" i="2"/>
  <c r="E1795" i="2"/>
  <c r="D1795" i="2"/>
  <c r="C1795" i="2"/>
  <c r="B1795" i="2"/>
  <c r="A1795" i="2"/>
  <c r="L1794" i="2"/>
  <c r="K1794" i="2"/>
  <c r="I1794" i="2"/>
  <c r="J1794" i="2" s="1"/>
  <c r="H1794" i="2"/>
  <c r="G1794" i="2"/>
  <c r="N1794" i="2" s="1"/>
  <c r="F1794" i="2"/>
  <c r="E1794" i="2"/>
  <c r="D1794" i="2"/>
  <c r="C1794" i="2"/>
  <c r="B1794" i="2"/>
  <c r="A1794" i="2"/>
  <c r="L1793" i="2"/>
  <c r="K1793" i="2"/>
  <c r="H1793" i="2"/>
  <c r="G1793" i="2"/>
  <c r="F1793" i="2"/>
  <c r="D1793" i="2"/>
  <c r="E1793" i="2" s="1"/>
  <c r="C1793" i="2"/>
  <c r="B1793" i="2"/>
  <c r="O1793" i="2" s="1"/>
  <c r="A1793" i="2"/>
  <c r="L1792" i="2"/>
  <c r="K1792" i="2"/>
  <c r="I1792" i="2"/>
  <c r="J1792" i="2" s="1"/>
  <c r="H1792" i="2"/>
  <c r="G1792" i="2"/>
  <c r="N1792" i="2" s="1"/>
  <c r="F1792" i="2"/>
  <c r="E1792" i="2"/>
  <c r="D1792" i="2"/>
  <c r="C1792" i="2"/>
  <c r="B1792" i="2"/>
  <c r="A1792" i="2"/>
  <c r="O1792" i="2" s="1"/>
  <c r="N1791" i="2"/>
  <c r="L1791" i="2"/>
  <c r="K1791" i="2"/>
  <c r="I1791" i="2"/>
  <c r="J1791" i="2" s="1"/>
  <c r="H1791" i="2"/>
  <c r="G1791" i="2"/>
  <c r="F1791" i="2"/>
  <c r="E1791" i="2"/>
  <c r="D1791" i="2"/>
  <c r="C1791" i="2"/>
  <c r="B1791" i="2"/>
  <c r="A1791" i="2"/>
  <c r="L1790" i="2"/>
  <c r="K1790" i="2"/>
  <c r="H1790" i="2"/>
  <c r="G1790" i="2"/>
  <c r="F1790" i="2"/>
  <c r="D1790" i="2"/>
  <c r="C1790" i="2"/>
  <c r="B1790" i="2"/>
  <c r="A1790" i="2"/>
  <c r="N1789" i="2"/>
  <c r="L1789" i="2"/>
  <c r="K1789" i="2"/>
  <c r="H1789" i="2"/>
  <c r="G1789" i="2"/>
  <c r="F1789" i="2"/>
  <c r="D1789" i="2"/>
  <c r="E1789" i="2" s="1"/>
  <c r="C1789" i="2"/>
  <c r="B1789" i="2"/>
  <c r="A1789" i="2"/>
  <c r="O1788" i="2"/>
  <c r="L1788" i="2"/>
  <c r="K1788" i="2"/>
  <c r="H1788" i="2"/>
  <c r="G1788" i="2"/>
  <c r="F1788" i="2"/>
  <c r="D1788" i="2"/>
  <c r="C1788" i="2"/>
  <c r="B1788" i="2"/>
  <c r="A1788" i="2"/>
  <c r="N1787" i="2"/>
  <c r="L1787" i="2"/>
  <c r="K1787" i="2"/>
  <c r="J1787" i="2"/>
  <c r="I1787" i="2"/>
  <c r="H1787" i="2"/>
  <c r="G1787" i="2"/>
  <c r="F1787" i="2"/>
  <c r="E1787" i="2"/>
  <c r="D1787" i="2"/>
  <c r="C1787" i="2"/>
  <c r="B1787" i="2"/>
  <c r="A1787" i="2"/>
  <c r="L1786" i="2"/>
  <c r="K1786" i="2"/>
  <c r="H1786" i="2"/>
  <c r="G1786" i="2"/>
  <c r="F1786" i="2"/>
  <c r="E1786" i="2"/>
  <c r="D1786" i="2"/>
  <c r="C1786" i="2"/>
  <c r="B1786" i="2"/>
  <c r="A1786" i="2"/>
  <c r="L1785" i="2"/>
  <c r="K1785" i="2"/>
  <c r="H1785" i="2"/>
  <c r="G1785" i="2"/>
  <c r="F1785" i="2"/>
  <c r="D1785" i="2"/>
  <c r="E1785" i="2" s="1"/>
  <c r="C1785" i="2"/>
  <c r="B1785" i="2"/>
  <c r="A1785" i="2"/>
  <c r="L1784" i="2"/>
  <c r="K1784" i="2"/>
  <c r="H1784" i="2"/>
  <c r="I1784" i="2" s="1"/>
  <c r="J1784" i="2" s="1"/>
  <c r="G1784" i="2"/>
  <c r="N1784" i="2" s="1"/>
  <c r="F1784" i="2"/>
  <c r="E1784" i="2"/>
  <c r="D1784" i="2"/>
  <c r="C1784" i="2"/>
  <c r="O1784" i="2" s="1"/>
  <c r="B1784" i="2"/>
  <c r="A1784" i="2"/>
  <c r="L1783" i="2"/>
  <c r="K1783" i="2"/>
  <c r="H1783" i="2"/>
  <c r="O1783" i="2" s="1"/>
  <c r="G1783" i="2"/>
  <c r="F1783" i="2"/>
  <c r="D1783" i="2"/>
  <c r="C1783" i="2"/>
  <c r="B1783" i="2"/>
  <c r="A1783" i="2"/>
  <c r="O1782" i="2"/>
  <c r="N1782" i="2"/>
  <c r="L1782" i="2"/>
  <c r="K1782" i="2"/>
  <c r="I1782" i="2"/>
  <c r="J1782" i="2" s="1"/>
  <c r="H1782" i="2"/>
  <c r="G1782" i="2"/>
  <c r="F1782" i="2"/>
  <c r="E1782" i="2"/>
  <c r="D1782" i="2"/>
  <c r="C1782" i="2"/>
  <c r="B1782" i="2"/>
  <c r="A1782" i="2"/>
  <c r="L1781" i="2"/>
  <c r="K1781" i="2"/>
  <c r="H1781" i="2"/>
  <c r="G1781" i="2"/>
  <c r="F1781" i="2"/>
  <c r="D1781" i="2"/>
  <c r="E1781" i="2" s="1"/>
  <c r="C1781" i="2"/>
  <c r="B1781" i="2"/>
  <c r="A1781" i="2"/>
  <c r="L1780" i="2"/>
  <c r="K1780" i="2"/>
  <c r="H1780" i="2"/>
  <c r="G1780" i="2"/>
  <c r="F1780" i="2"/>
  <c r="E1780" i="2"/>
  <c r="D1780" i="2"/>
  <c r="C1780" i="2"/>
  <c r="B1780" i="2"/>
  <c r="A1780" i="2"/>
  <c r="L1779" i="2"/>
  <c r="N1779" i="2" s="1"/>
  <c r="K1779" i="2"/>
  <c r="H1779" i="2"/>
  <c r="I1779" i="2" s="1"/>
  <c r="J1779" i="2" s="1"/>
  <c r="G1779" i="2"/>
  <c r="F1779" i="2"/>
  <c r="D1779" i="2"/>
  <c r="E1779" i="2" s="1"/>
  <c r="C1779" i="2"/>
  <c r="B1779" i="2"/>
  <c r="A1779" i="2"/>
  <c r="L1778" i="2"/>
  <c r="K1778" i="2"/>
  <c r="H1778" i="2"/>
  <c r="G1778" i="2"/>
  <c r="F1778" i="2"/>
  <c r="E1778" i="2"/>
  <c r="D1778" i="2"/>
  <c r="C1778" i="2"/>
  <c r="B1778" i="2"/>
  <c r="A1778" i="2"/>
  <c r="L1777" i="2"/>
  <c r="K1777" i="2"/>
  <c r="H1777" i="2"/>
  <c r="G1777" i="2"/>
  <c r="F1777" i="2"/>
  <c r="D1777" i="2"/>
  <c r="E1777" i="2" s="1"/>
  <c r="C1777" i="2"/>
  <c r="B1777" i="2"/>
  <c r="A1777" i="2"/>
  <c r="L1776" i="2"/>
  <c r="K1776" i="2"/>
  <c r="I1776" i="2"/>
  <c r="J1776" i="2" s="1"/>
  <c r="H1776" i="2"/>
  <c r="G1776" i="2"/>
  <c r="N1776" i="2" s="1"/>
  <c r="F1776" i="2"/>
  <c r="E1776" i="2"/>
  <c r="D1776" i="2"/>
  <c r="C1776" i="2"/>
  <c r="B1776" i="2"/>
  <c r="A1776" i="2"/>
  <c r="N1775" i="2"/>
  <c r="L1775" i="2"/>
  <c r="K1775" i="2"/>
  <c r="I1775" i="2"/>
  <c r="J1775" i="2" s="1"/>
  <c r="H1775" i="2"/>
  <c r="G1775" i="2"/>
  <c r="F1775" i="2"/>
  <c r="E1775" i="2"/>
  <c r="D1775" i="2"/>
  <c r="C1775" i="2"/>
  <c r="B1775" i="2"/>
  <c r="A1775" i="2"/>
  <c r="L1774" i="2"/>
  <c r="K1774" i="2"/>
  <c r="H1774" i="2"/>
  <c r="G1774" i="2"/>
  <c r="F1774" i="2"/>
  <c r="D1774" i="2"/>
  <c r="E1774" i="2" s="1"/>
  <c r="C1774" i="2"/>
  <c r="O1774" i="2" s="1"/>
  <c r="B1774" i="2"/>
  <c r="A1774" i="2"/>
  <c r="N1773" i="2"/>
  <c r="L1773" i="2"/>
  <c r="K1773" i="2"/>
  <c r="H1773" i="2"/>
  <c r="G1773" i="2"/>
  <c r="F1773" i="2"/>
  <c r="D1773" i="2"/>
  <c r="C1773" i="2"/>
  <c r="B1773" i="2"/>
  <c r="A1773" i="2"/>
  <c r="L1772" i="2"/>
  <c r="K1772" i="2"/>
  <c r="I1772" i="2"/>
  <c r="J1772" i="2" s="1"/>
  <c r="H1772" i="2"/>
  <c r="G1772" i="2"/>
  <c r="N1772" i="2" s="1"/>
  <c r="F1772" i="2"/>
  <c r="D1772" i="2"/>
  <c r="E1772" i="2" s="1"/>
  <c r="C1772" i="2"/>
  <c r="B1772" i="2"/>
  <c r="A1772" i="2"/>
  <c r="N1771" i="2"/>
  <c r="L1771" i="2"/>
  <c r="K1771" i="2"/>
  <c r="J1771" i="2"/>
  <c r="I1771" i="2"/>
  <c r="H1771" i="2"/>
  <c r="G1771" i="2"/>
  <c r="F1771" i="2"/>
  <c r="E1771" i="2"/>
  <c r="D1771" i="2"/>
  <c r="C1771" i="2"/>
  <c r="B1771" i="2"/>
  <c r="A1771" i="2"/>
  <c r="L1770" i="2"/>
  <c r="K1770" i="2"/>
  <c r="I1770" i="2"/>
  <c r="J1770" i="2" s="1"/>
  <c r="H1770" i="2"/>
  <c r="G1770" i="2"/>
  <c r="F1770" i="2"/>
  <c r="E1770" i="2"/>
  <c r="D1770" i="2"/>
  <c r="C1770" i="2"/>
  <c r="B1770" i="2"/>
  <c r="A1770" i="2"/>
  <c r="L1769" i="2"/>
  <c r="K1769" i="2"/>
  <c r="H1769" i="2"/>
  <c r="G1769" i="2"/>
  <c r="F1769" i="2"/>
  <c r="O1769" i="2" s="1"/>
  <c r="D1769" i="2"/>
  <c r="E1769" i="2" s="1"/>
  <c r="C1769" i="2"/>
  <c r="B1769" i="2"/>
  <c r="A1769" i="2"/>
  <c r="L1768" i="2"/>
  <c r="K1768" i="2"/>
  <c r="I1768" i="2"/>
  <c r="J1768" i="2" s="1"/>
  <c r="H1768" i="2"/>
  <c r="G1768" i="2"/>
  <c r="N1768" i="2" s="1"/>
  <c r="F1768" i="2"/>
  <c r="E1768" i="2"/>
  <c r="D1768" i="2"/>
  <c r="C1768" i="2"/>
  <c r="B1768" i="2"/>
  <c r="A1768" i="2"/>
  <c r="L1767" i="2"/>
  <c r="K1767" i="2"/>
  <c r="H1767" i="2"/>
  <c r="G1767" i="2"/>
  <c r="F1767" i="2"/>
  <c r="D1767" i="2"/>
  <c r="E1767" i="2" s="1"/>
  <c r="C1767" i="2"/>
  <c r="B1767" i="2"/>
  <c r="A1767" i="2"/>
  <c r="N1766" i="2"/>
  <c r="L1766" i="2"/>
  <c r="K1766" i="2"/>
  <c r="O1766" i="2" s="1"/>
  <c r="I1766" i="2"/>
  <c r="J1766" i="2" s="1"/>
  <c r="H1766" i="2"/>
  <c r="G1766" i="2"/>
  <c r="F1766" i="2"/>
  <c r="E1766" i="2"/>
  <c r="D1766" i="2"/>
  <c r="C1766" i="2"/>
  <c r="B1766" i="2"/>
  <c r="A1766" i="2"/>
  <c r="L1765" i="2"/>
  <c r="K1765" i="2"/>
  <c r="H1765" i="2"/>
  <c r="G1765" i="2"/>
  <c r="F1765" i="2"/>
  <c r="D1765" i="2"/>
  <c r="E1765" i="2" s="1"/>
  <c r="C1765" i="2"/>
  <c r="B1765" i="2"/>
  <c r="A1765" i="2"/>
  <c r="L1764" i="2"/>
  <c r="K1764" i="2"/>
  <c r="I1764" i="2"/>
  <c r="J1764" i="2" s="1"/>
  <c r="H1764" i="2"/>
  <c r="G1764" i="2"/>
  <c r="N1764" i="2" s="1"/>
  <c r="F1764" i="2"/>
  <c r="E1764" i="2"/>
  <c r="D1764" i="2"/>
  <c r="C1764" i="2"/>
  <c r="B1764" i="2"/>
  <c r="A1764" i="2"/>
  <c r="L1763" i="2"/>
  <c r="N1763" i="2" s="1"/>
  <c r="K1763" i="2"/>
  <c r="H1763" i="2"/>
  <c r="I1763" i="2" s="1"/>
  <c r="J1763" i="2" s="1"/>
  <c r="G1763" i="2"/>
  <c r="F1763" i="2"/>
  <c r="E1763" i="2"/>
  <c r="D1763" i="2"/>
  <c r="C1763" i="2"/>
  <c r="B1763" i="2"/>
  <c r="A1763" i="2"/>
  <c r="L1762" i="2"/>
  <c r="K1762" i="2"/>
  <c r="I1762" i="2"/>
  <c r="J1762" i="2" s="1"/>
  <c r="H1762" i="2"/>
  <c r="G1762" i="2"/>
  <c r="N1762" i="2" s="1"/>
  <c r="F1762" i="2"/>
  <c r="E1762" i="2"/>
  <c r="D1762" i="2"/>
  <c r="C1762" i="2"/>
  <c r="B1762" i="2"/>
  <c r="A1762" i="2"/>
  <c r="L1761" i="2"/>
  <c r="K1761" i="2"/>
  <c r="H1761" i="2"/>
  <c r="G1761" i="2"/>
  <c r="F1761" i="2"/>
  <c r="D1761" i="2"/>
  <c r="E1761" i="2" s="1"/>
  <c r="C1761" i="2"/>
  <c r="B1761" i="2"/>
  <c r="O1761" i="2" s="1"/>
  <c r="A1761" i="2"/>
  <c r="L1760" i="2"/>
  <c r="K1760" i="2"/>
  <c r="I1760" i="2"/>
  <c r="J1760" i="2" s="1"/>
  <c r="H1760" i="2"/>
  <c r="G1760" i="2"/>
  <c r="N1760" i="2" s="1"/>
  <c r="F1760" i="2"/>
  <c r="E1760" i="2"/>
  <c r="D1760" i="2"/>
  <c r="C1760" i="2"/>
  <c r="B1760" i="2"/>
  <c r="A1760" i="2"/>
  <c r="N1759" i="2"/>
  <c r="L1759" i="2"/>
  <c r="K1759" i="2"/>
  <c r="J1759" i="2"/>
  <c r="I1759" i="2"/>
  <c r="H1759" i="2"/>
  <c r="G1759" i="2"/>
  <c r="F1759" i="2"/>
  <c r="E1759" i="2"/>
  <c r="D1759" i="2"/>
  <c r="C1759" i="2"/>
  <c r="B1759" i="2"/>
  <c r="A1759" i="2"/>
  <c r="L1758" i="2"/>
  <c r="K1758" i="2"/>
  <c r="H1758" i="2"/>
  <c r="G1758" i="2"/>
  <c r="F1758" i="2"/>
  <c r="D1758" i="2"/>
  <c r="C1758" i="2"/>
  <c r="B1758" i="2"/>
  <c r="A1758" i="2"/>
  <c r="N1757" i="2"/>
  <c r="L1757" i="2"/>
  <c r="K1757" i="2"/>
  <c r="H1757" i="2"/>
  <c r="G1757" i="2"/>
  <c r="F1757" i="2"/>
  <c r="D1757" i="2"/>
  <c r="E1757" i="2" s="1"/>
  <c r="C1757" i="2"/>
  <c r="B1757" i="2"/>
  <c r="O1757" i="2" s="1"/>
  <c r="A1757" i="2"/>
  <c r="L1756" i="2"/>
  <c r="K1756" i="2"/>
  <c r="H1756" i="2"/>
  <c r="G1756" i="2"/>
  <c r="F1756" i="2"/>
  <c r="D1756" i="2"/>
  <c r="E1756" i="2" s="1"/>
  <c r="C1756" i="2"/>
  <c r="B1756" i="2"/>
  <c r="A1756" i="2"/>
  <c r="N1755" i="2"/>
  <c r="L1755" i="2"/>
  <c r="K1755" i="2"/>
  <c r="J1755" i="2"/>
  <c r="I1755" i="2"/>
  <c r="H1755" i="2"/>
  <c r="G1755" i="2"/>
  <c r="F1755" i="2"/>
  <c r="E1755" i="2"/>
  <c r="D1755" i="2"/>
  <c r="C1755" i="2"/>
  <c r="B1755" i="2"/>
  <c r="A1755" i="2"/>
  <c r="L1754" i="2"/>
  <c r="K1754" i="2"/>
  <c r="H1754" i="2"/>
  <c r="G1754" i="2"/>
  <c r="F1754" i="2"/>
  <c r="E1754" i="2"/>
  <c r="D1754" i="2"/>
  <c r="C1754" i="2"/>
  <c r="B1754" i="2"/>
  <c r="A1754" i="2"/>
  <c r="N1753" i="2"/>
  <c r="L1753" i="2"/>
  <c r="K1753" i="2"/>
  <c r="I1753" i="2"/>
  <c r="J1753" i="2" s="1"/>
  <c r="H1753" i="2"/>
  <c r="G1753" i="2"/>
  <c r="F1753" i="2"/>
  <c r="D1753" i="2"/>
  <c r="E1753" i="2" s="1"/>
  <c r="C1753" i="2"/>
  <c r="B1753" i="2"/>
  <c r="A1753" i="2"/>
  <c r="O1752" i="2"/>
  <c r="L1752" i="2"/>
  <c r="K1752" i="2"/>
  <c r="H1752" i="2"/>
  <c r="I1752" i="2" s="1"/>
  <c r="J1752" i="2" s="1"/>
  <c r="G1752" i="2"/>
  <c r="N1752" i="2" s="1"/>
  <c r="F1752" i="2"/>
  <c r="E1752" i="2"/>
  <c r="D1752" i="2"/>
  <c r="C1752" i="2"/>
  <c r="B1752" i="2"/>
  <c r="A1752" i="2"/>
  <c r="L1751" i="2"/>
  <c r="K1751" i="2"/>
  <c r="H1751" i="2"/>
  <c r="G1751" i="2"/>
  <c r="F1751" i="2"/>
  <c r="O1751" i="2" s="1"/>
  <c r="D1751" i="2"/>
  <c r="C1751" i="2"/>
  <c r="B1751" i="2"/>
  <c r="A1751" i="2"/>
  <c r="O1750" i="2"/>
  <c r="N1750" i="2"/>
  <c r="L1750" i="2"/>
  <c r="K1750" i="2"/>
  <c r="I1750" i="2"/>
  <c r="J1750" i="2" s="1"/>
  <c r="H1750" i="2"/>
  <c r="G1750" i="2"/>
  <c r="F1750" i="2"/>
  <c r="E1750" i="2"/>
  <c r="D1750" i="2"/>
  <c r="C1750" i="2"/>
  <c r="B1750" i="2"/>
  <c r="A1750" i="2"/>
  <c r="L1749" i="2"/>
  <c r="K1749" i="2"/>
  <c r="H1749" i="2"/>
  <c r="G1749" i="2"/>
  <c r="F1749" i="2"/>
  <c r="D1749" i="2"/>
  <c r="E1749" i="2" s="1"/>
  <c r="C1749" i="2"/>
  <c r="B1749" i="2"/>
  <c r="A1749" i="2"/>
  <c r="O1748" i="2"/>
  <c r="L1748" i="2"/>
  <c r="K1748" i="2"/>
  <c r="I1748" i="2"/>
  <c r="J1748" i="2" s="1"/>
  <c r="H1748" i="2"/>
  <c r="G1748" i="2"/>
  <c r="N1748" i="2" s="1"/>
  <c r="F1748" i="2"/>
  <c r="E1748" i="2"/>
  <c r="D1748" i="2"/>
  <c r="C1748" i="2"/>
  <c r="B1748" i="2"/>
  <c r="A1748" i="2"/>
  <c r="L1747" i="2"/>
  <c r="N1747" i="2" s="1"/>
  <c r="K1747" i="2"/>
  <c r="H1747" i="2"/>
  <c r="I1747" i="2" s="1"/>
  <c r="J1747" i="2" s="1"/>
  <c r="G1747" i="2"/>
  <c r="F1747" i="2"/>
  <c r="E1747" i="2"/>
  <c r="D1747" i="2"/>
  <c r="C1747" i="2"/>
  <c r="B1747" i="2"/>
  <c r="A1747" i="2"/>
  <c r="O1746" i="2"/>
  <c r="L1746" i="2"/>
  <c r="K1746" i="2"/>
  <c r="H1746" i="2"/>
  <c r="G1746" i="2"/>
  <c r="F1746" i="2"/>
  <c r="E1746" i="2"/>
  <c r="D1746" i="2"/>
  <c r="C1746" i="2"/>
  <c r="B1746" i="2"/>
  <c r="A1746" i="2"/>
  <c r="L1745" i="2"/>
  <c r="K1745" i="2"/>
  <c r="H1745" i="2"/>
  <c r="G1745" i="2"/>
  <c r="F1745" i="2"/>
  <c r="D1745" i="2"/>
  <c r="E1745" i="2" s="1"/>
  <c r="C1745" i="2"/>
  <c r="B1745" i="2"/>
  <c r="A1745" i="2"/>
  <c r="L1744" i="2"/>
  <c r="K1744" i="2"/>
  <c r="H1744" i="2"/>
  <c r="I1744" i="2" s="1"/>
  <c r="J1744" i="2" s="1"/>
  <c r="G1744" i="2"/>
  <c r="N1744" i="2" s="1"/>
  <c r="F1744" i="2"/>
  <c r="E1744" i="2"/>
  <c r="D1744" i="2"/>
  <c r="C1744" i="2"/>
  <c r="B1744" i="2"/>
  <c r="A1744" i="2"/>
  <c r="O1743" i="2"/>
  <c r="L1743" i="2"/>
  <c r="K1743" i="2"/>
  <c r="H1743" i="2"/>
  <c r="G1743" i="2"/>
  <c r="F1743" i="2"/>
  <c r="D1743" i="2"/>
  <c r="E1743" i="2" s="1"/>
  <c r="C1743" i="2"/>
  <c r="B1743" i="2"/>
  <c r="A1743" i="2"/>
  <c r="L1742" i="2"/>
  <c r="K1742" i="2"/>
  <c r="H1742" i="2"/>
  <c r="G1742" i="2"/>
  <c r="F1742" i="2"/>
  <c r="E1742" i="2"/>
  <c r="D1742" i="2"/>
  <c r="C1742" i="2"/>
  <c r="B1742" i="2"/>
  <c r="A1742" i="2"/>
  <c r="N1741" i="2"/>
  <c r="L1741" i="2"/>
  <c r="K1741" i="2"/>
  <c r="H1741" i="2"/>
  <c r="G1741" i="2"/>
  <c r="F1741" i="2"/>
  <c r="E1741" i="2"/>
  <c r="D1741" i="2"/>
  <c r="C1741" i="2"/>
  <c r="B1741" i="2"/>
  <c r="A1741" i="2"/>
  <c r="L1740" i="2"/>
  <c r="K1740" i="2"/>
  <c r="I1740" i="2"/>
  <c r="J1740" i="2" s="1"/>
  <c r="H1740" i="2"/>
  <c r="G1740" i="2"/>
  <c r="F1740" i="2"/>
  <c r="D1740" i="2"/>
  <c r="E1740" i="2" s="1"/>
  <c r="C1740" i="2"/>
  <c r="B1740" i="2"/>
  <c r="A1740" i="2"/>
  <c r="N1739" i="2"/>
  <c r="L1739" i="2"/>
  <c r="K1739" i="2"/>
  <c r="I1739" i="2"/>
  <c r="J1739" i="2" s="1"/>
  <c r="H1739" i="2"/>
  <c r="G1739" i="2"/>
  <c r="F1739" i="2"/>
  <c r="E1739" i="2"/>
  <c r="D1739" i="2"/>
  <c r="C1739" i="2"/>
  <c r="B1739" i="2"/>
  <c r="A1739" i="2"/>
  <c r="L1738" i="2"/>
  <c r="K1738" i="2"/>
  <c r="H1738" i="2"/>
  <c r="G1738" i="2"/>
  <c r="F1738" i="2"/>
  <c r="D1738" i="2"/>
  <c r="E1738" i="2" s="1"/>
  <c r="C1738" i="2"/>
  <c r="B1738" i="2"/>
  <c r="A1738" i="2"/>
  <c r="L1737" i="2"/>
  <c r="N1737" i="2" s="1"/>
  <c r="K1737" i="2"/>
  <c r="J1737" i="2"/>
  <c r="I1737" i="2"/>
  <c r="H1737" i="2"/>
  <c r="G1737" i="2"/>
  <c r="F1737" i="2"/>
  <c r="D1737" i="2"/>
  <c r="E1737" i="2" s="1"/>
  <c r="C1737" i="2"/>
  <c r="B1737" i="2"/>
  <c r="A1737" i="2"/>
  <c r="L1736" i="2"/>
  <c r="K1736" i="2"/>
  <c r="H1736" i="2"/>
  <c r="G1736" i="2"/>
  <c r="F1736" i="2"/>
  <c r="E1736" i="2"/>
  <c r="D1736" i="2"/>
  <c r="C1736" i="2"/>
  <c r="B1736" i="2"/>
  <c r="A1736" i="2"/>
  <c r="L1735" i="2"/>
  <c r="K1735" i="2"/>
  <c r="H1735" i="2"/>
  <c r="G1735" i="2"/>
  <c r="F1735" i="2"/>
  <c r="D1735" i="2"/>
  <c r="E1735" i="2" s="1"/>
  <c r="C1735" i="2"/>
  <c r="B1735" i="2"/>
  <c r="A1735" i="2"/>
  <c r="N1734" i="2"/>
  <c r="L1734" i="2"/>
  <c r="K1734" i="2"/>
  <c r="I1734" i="2"/>
  <c r="J1734" i="2" s="1"/>
  <c r="H1734" i="2"/>
  <c r="G1734" i="2"/>
  <c r="F1734" i="2"/>
  <c r="O1734" i="2" s="1"/>
  <c r="D1734" i="2"/>
  <c r="E1734" i="2" s="1"/>
  <c r="C1734" i="2"/>
  <c r="B1734" i="2"/>
  <c r="A1734" i="2"/>
  <c r="L1733" i="2"/>
  <c r="K1733" i="2"/>
  <c r="H1733" i="2"/>
  <c r="G1733" i="2"/>
  <c r="F1733" i="2"/>
  <c r="E1733" i="2"/>
  <c r="D1733" i="2"/>
  <c r="C1733" i="2"/>
  <c r="B1733" i="2"/>
  <c r="A1733" i="2"/>
  <c r="N1732" i="2"/>
  <c r="L1732" i="2"/>
  <c r="K1732" i="2"/>
  <c r="I1732" i="2"/>
  <c r="J1732" i="2" s="1"/>
  <c r="H1732" i="2"/>
  <c r="G1732" i="2"/>
  <c r="F1732" i="2"/>
  <c r="E1732" i="2"/>
  <c r="D1732" i="2"/>
  <c r="C1732" i="2"/>
  <c r="B1732" i="2"/>
  <c r="A1732" i="2"/>
  <c r="O1732" i="2" s="1"/>
  <c r="L1731" i="2"/>
  <c r="N1731" i="2" s="1"/>
  <c r="K1731" i="2"/>
  <c r="J1731" i="2"/>
  <c r="I1731" i="2"/>
  <c r="H1731" i="2"/>
  <c r="G1731" i="2"/>
  <c r="F1731" i="2"/>
  <c r="E1731" i="2"/>
  <c r="D1731" i="2"/>
  <c r="C1731" i="2"/>
  <c r="B1731" i="2"/>
  <c r="A1731" i="2"/>
  <c r="L1730" i="2"/>
  <c r="K1730" i="2"/>
  <c r="I1730" i="2"/>
  <c r="J1730" i="2" s="1"/>
  <c r="H1730" i="2"/>
  <c r="G1730" i="2"/>
  <c r="N1730" i="2" s="1"/>
  <c r="F1730" i="2"/>
  <c r="E1730" i="2"/>
  <c r="D1730" i="2"/>
  <c r="C1730" i="2"/>
  <c r="B1730" i="2"/>
  <c r="A1730" i="2"/>
  <c r="O1729" i="2"/>
  <c r="L1729" i="2"/>
  <c r="K1729" i="2"/>
  <c r="I1729" i="2"/>
  <c r="J1729" i="2" s="1"/>
  <c r="H1729" i="2"/>
  <c r="G1729" i="2"/>
  <c r="N1729" i="2" s="1"/>
  <c r="F1729" i="2"/>
  <c r="D1729" i="2"/>
  <c r="E1729" i="2" s="1"/>
  <c r="C1729" i="2"/>
  <c r="B1729" i="2"/>
  <c r="A1729" i="2"/>
  <c r="O1728" i="2"/>
  <c r="L1728" i="2"/>
  <c r="K1728" i="2"/>
  <c r="H1728" i="2"/>
  <c r="G1728" i="2"/>
  <c r="F1728" i="2"/>
  <c r="E1728" i="2"/>
  <c r="D1728" i="2"/>
  <c r="C1728" i="2"/>
  <c r="B1728" i="2"/>
  <c r="A1728" i="2"/>
  <c r="L1727" i="2"/>
  <c r="N1727" i="2" s="1"/>
  <c r="K1727" i="2"/>
  <c r="J1727" i="2"/>
  <c r="I1727" i="2"/>
  <c r="H1727" i="2"/>
  <c r="G1727" i="2"/>
  <c r="F1727" i="2"/>
  <c r="E1727" i="2"/>
  <c r="D1727" i="2"/>
  <c r="C1727" i="2"/>
  <c r="B1727" i="2"/>
  <c r="A1727" i="2"/>
  <c r="L1726" i="2"/>
  <c r="K1726" i="2"/>
  <c r="H1726" i="2"/>
  <c r="G1726" i="2"/>
  <c r="F1726" i="2"/>
  <c r="D1726" i="2"/>
  <c r="E1726" i="2" s="1"/>
  <c r="C1726" i="2"/>
  <c r="B1726" i="2"/>
  <c r="A1726" i="2"/>
  <c r="O1725" i="2"/>
  <c r="L1725" i="2"/>
  <c r="K1725" i="2"/>
  <c r="H1725" i="2"/>
  <c r="G1725" i="2"/>
  <c r="F1725" i="2"/>
  <c r="D1725" i="2"/>
  <c r="E1725" i="2" s="1"/>
  <c r="C1725" i="2"/>
  <c r="B1725" i="2"/>
  <c r="A1725" i="2"/>
  <c r="N1724" i="2"/>
  <c r="L1724" i="2"/>
  <c r="K1724" i="2"/>
  <c r="I1724" i="2"/>
  <c r="J1724" i="2" s="1"/>
  <c r="H1724" i="2"/>
  <c r="G1724" i="2"/>
  <c r="F1724" i="2"/>
  <c r="O1724" i="2" s="1"/>
  <c r="E1724" i="2"/>
  <c r="D1724" i="2"/>
  <c r="C1724" i="2"/>
  <c r="B1724" i="2"/>
  <c r="A1724" i="2"/>
  <c r="L1723" i="2"/>
  <c r="N1723" i="2" s="1"/>
  <c r="K1723" i="2"/>
  <c r="J1723" i="2"/>
  <c r="I1723" i="2"/>
  <c r="H1723" i="2"/>
  <c r="G1723" i="2"/>
  <c r="F1723" i="2"/>
  <c r="D1723" i="2"/>
  <c r="E1723" i="2" s="1"/>
  <c r="C1723" i="2"/>
  <c r="B1723" i="2"/>
  <c r="A1723" i="2"/>
  <c r="L1722" i="2"/>
  <c r="K1722" i="2"/>
  <c r="H1722" i="2"/>
  <c r="G1722" i="2"/>
  <c r="F1722" i="2"/>
  <c r="D1722" i="2"/>
  <c r="C1722" i="2"/>
  <c r="B1722" i="2"/>
  <c r="A1722" i="2"/>
  <c r="N1721" i="2"/>
  <c r="L1721" i="2"/>
  <c r="K1721" i="2"/>
  <c r="J1721" i="2"/>
  <c r="H1721" i="2"/>
  <c r="G1721" i="2"/>
  <c r="I1721" i="2" s="1"/>
  <c r="F1721" i="2"/>
  <c r="D1721" i="2"/>
  <c r="E1721" i="2" s="1"/>
  <c r="C1721" i="2"/>
  <c r="B1721" i="2"/>
  <c r="A1721" i="2"/>
  <c r="L1720" i="2"/>
  <c r="K1720" i="2"/>
  <c r="H1720" i="2"/>
  <c r="G1720" i="2"/>
  <c r="F1720" i="2"/>
  <c r="E1720" i="2"/>
  <c r="D1720" i="2"/>
  <c r="C1720" i="2"/>
  <c r="B1720" i="2"/>
  <c r="A1720" i="2"/>
  <c r="N1719" i="2"/>
  <c r="L1719" i="2"/>
  <c r="K1719" i="2"/>
  <c r="H1719" i="2"/>
  <c r="G1719" i="2"/>
  <c r="F1719" i="2"/>
  <c r="E1719" i="2"/>
  <c r="D1719" i="2"/>
  <c r="C1719" i="2"/>
  <c r="B1719" i="2"/>
  <c r="A1719" i="2"/>
  <c r="L1718" i="2"/>
  <c r="N1718" i="2" s="1"/>
  <c r="K1718" i="2"/>
  <c r="H1718" i="2"/>
  <c r="I1718" i="2" s="1"/>
  <c r="J1718" i="2" s="1"/>
  <c r="G1718" i="2"/>
  <c r="F1718" i="2"/>
  <c r="O1718" i="2" s="1"/>
  <c r="D1718" i="2"/>
  <c r="C1718" i="2"/>
  <c r="B1718" i="2"/>
  <c r="A1718" i="2"/>
  <c r="L1717" i="2"/>
  <c r="K1717" i="2"/>
  <c r="H1717" i="2"/>
  <c r="O1717" i="2" s="1"/>
  <c r="G1717" i="2"/>
  <c r="F1717" i="2"/>
  <c r="D1717" i="2"/>
  <c r="C1717" i="2"/>
  <c r="B1717" i="2"/>
  <c r="A1717" i="2"/>
  <c r="O1716" i="2"/>
  <c r="N1716" i="2"/>
  <c r="L1716" i="2"/>
  <c r="K1716" i="2"/>
  <c r="J1716" i="2"/>
  <c r="H1716" i="2"/>
  <c r="G1716" i="2"/>
  <c r="I1716" i="2" s="1"/>
  <c r="F1716" i="2"/>
  <c r="E1716" i="2"/>
  <c r="D1716" i="2"/>
  <c r="C1716" i="2"/>
  <c r="B1716" i="2"/>
  <c r="A1716" i="2"/>
  <c r="L1715" i="2"/>
  <c r="N1715" i="2" s="1"/>
  <c r="K1715" i="2"/>
  <c r="H1715" i="2"/>
  <c r="I1715" i="2" s="1"/>
  <c r="J1715" i="2" s="1"/>
  <c r="G1715" i="2"/>
  <c r="F1715" i="2"/>
  <c r="D1715" i="2"/>
  <c r="C1715" i="2"/>
  <c r="B1715" i="2"/>
  <c r="A1715" i="2"/>
  <c r="O1714" i="2"/>
  <c r="L1714" i="2"/>
  <c r="K1714" i="2"/>
  <c r="J1714" i="2"/>
  <c r="I1714" i="2"/>
  <c r="H1714" i="2"/>
  <c r="G1714" i="2"/>
  <c r="F1714" i="2"/>
  <c r="E1714" i="2"/>
  <c r="D1714" i="2"/>
  <c r="C1714" i="2"/>
  <c r="B1714" i="2"/>
  <c r="A1714" i="2"/>
  <c r="L1713" i="2"/>
  <c r="K1713" i="2"/>
  <c r="I1713" i="2"/>
  <c r="J1713" i="2" s="1"/>
  <c r="H1713" i="2"/>
  <c r="G1713" i="2"/>
  <c r="N1713" i="2" s="1"/>
  <c r="F1713" i="2"/>
  <c r="D1713" i="2"/>
  <c r="E1713" i="2" s="1"/>
  <c r="C1713" i="2"/>
  <c r="B1713" i="2"/>
  <c r="A1713" i="2"/>
  <c r="O1712" i="2"/>
  <c r="L1712" i="2"/>
  <c r="K1712" i="2"/>
  <c r="I1712" i="2"/>
  <c r="J1712" i="2" s="1"/>
  <c r="H1712" i="2"/>
  <c r="G1712" i="2"/>
  <c r="N1712" i="2" s="1"/>
  <c r="F1712" i="2"/>
  <c r="E1712" i="2"/>
  <c r="D1712" i="2"/>
  <c r="C1712" i="2"/>
  <c r="B1712" i="2"/>
  <c r="A1712" i="2"/>
  <c r="L1711" i="2"/>
  <c r="K1711" i="2"/>
  <c r="H1711" i="2"/>
  <c r="G1711" i="2"/>
  <c r="F1711" i="2"/>
  <c r="D1711" i="2"/>
  <c r="C1711" i="2"/>
  <c r="B1711" i="2"/>
  <c r="A1711" i="2"/>
  <c r="N1710" i="2"/>
  <c r="L1710" i="2"/>
  <c r="K1710" i="2"/>
  <c r="O1710" i="2" s="1"/>
  <c r="H1710" i="2"/>
  <c r="G1710" i="2"/>
  <c r="F1710" i="2"/>
  <c r="E1710" i="2"/>
  <c r="D1710" i="2"/>
  <c r="C1710" i="2"/>
  <c r="B1710" i="2"/>
  <c r="A1710" i="2"/>
  <c r="L1709" i="2"/>
  <c r="N1709" i="2" s="1"/>
  <c r="K1709" i="2"/>
  <c r="H1709" i="2"/>
  <c r="G1709" i="2"/>
  <c r="F1709" i="2"/>
  <c r="E1709" i="2"/>
  <c r="D1709" i="2"/>
  <c r="C1709" i="2"/>
  <c r="B1709" i="2"/>
  <c r="O1709" i="2" s="1"/>
  <c r="A1709" i="2"/>
  <c r="L1708" i="2"/>
  <c r="K1708" i="2"/>
  <c r="H1708" i="2"/>
  <c r="G1708" i="2"/>
  <c r="F1708" i="2"/>
  <c r="E1708" i="2"/>
  <c r="D1708" i="2"/>
  <c r="C1708" i="2"/>
  <c r="B1708" i="2"/>
  <c r="A1708" i="2"/>
  <c r="N1707" i="2"/>
  <c r="L1707" i="2"/>
  <c r="K1707" i="2"/>
  <c r="J1707" i="2"/>
  <c r="I1707" i="2"/>
  <c r="H1707" i="2"/>
  <c r="G1707" i="2"/>
  <c r="F1707" i="2"/>
  <c r="E1707" i="2"/>
  <c r="D1707" i="2"/>
  <c r="C1707" i="2"/>
  <c r="B1707" i="2"/>
  <c r="A1707" i="2"/>
  <c r="L1706" i="2"/>
  <c r="K1706" i="2"/>
  <c r="H1706" i="2"/>
  <c r="G1706" i="2"/>
  <c r="F1706" i="2"/>
  <c r="D1706" i="2"/>
  <c r="E1706" i="2" s="1"/>
  <c r="C1706" i="2"/>
  <c r="B1706" i="2"/>
  <c r="A1706" i="2"/>
  <c r="O1705" i="2"/>
  <c r="N1705" i="2"/>
  <c r="L1705" i="2"/>
  <c r="K1705" i="2"/>
  <c r="I1705" i="2"/>
  <c r="J1705" i="2" s="1"/>
  <c r="H1705" i="2"/>
  <c r="G1705" i="2"/>
  <c r="F1705" i="2"/>
  <c r="D1705" i="2"/>
  <c r="E1705" i="2" s="1"/>
  <c r="C1705" i="2"/>
  <c r="B1705" i="2"/>
  <c r="A1705" i="2"/>
  <c r="O1704" i="2"/>
  <c r="L1704" i="2"/>
  <c r="K1704" i="2"/>
  <c r="H1704" i="2"/>
  <c r="G1704" i="2"/>
  <c r="F1704" i="2"/>
  <c r="E1704" i="2"/>
  <c r="D1704" i="2"/>
  <c r="C1704" i="2"/>
  <c r="B1704" i="2"/>
  <c r="A1704" i="2"/>
  <c r="L1703" i="2"/>
  <c r="N1703" i="2" s="1"/>
  <c r="K1703" i="2"/>
  <c r="I1703" i="2"/>
  <c r="J1703" i="2" s="1"/>
  <c r="H1703" i="2"/>
  <c r="G1703" i="2"/>
  <c r="F1703" i="2"/>
  <c r="D1703" i="2"/>
  <c r="E1703" i="2" s="1"/>
  <c r="C1703" i="2"/>
  <c r="B1703" i="2"/>
  <c r="A1703" i="2"/>
  <c r="N1702" i="2"/>
  <c r="L1702" i="2"/>
  <c r="K1702" i="2"/>
  <c r="I1702" i="2"/>
  <c r="J1702" i="2" s="1"/>
  <c r="H1702" i="2"/>
  <c r="G1702" i="2"/>
  <c r="F1702" i="2"/>
  <c r="E1702" i="2"/>
  <c r="D1702" i="2"/>
  <c r="C1702" i="2"/>
  <c r="B1702" i="2"/>
  <c r="A1702" i="2"/>
  <c r="L1701" i="2"/>
  <c r="K1701" i="2"/>
  <c r="H1701" i="2"/>
  <c r="G1701" i="2"/>
  <c r="F1701" i="2"/>
  <c r="E1701" i="2"/>
  <c r="D1701" i="2"/>
  <c r="C1701" i="2"/>
  <c r="O1701" i="2" s="1"/>
  <c r="B1701" i="2"/>
  <c r="A1701" i="2"/>
  <c r="N1700" i="2"/>
  <c r="L1700" i="2"/>
  <c r="K1700" i="2"/>
  <c r="I1700" i="2"/>
  <c r="J1700" i="2" s="1"/>
  <c r="H1700" i="2"/>
  <c r="G1700" i="2"/>
  <c r="F1700" i="2"/>
  <c r="E1700" i="2"/>
  <c r="D1700" i="2"/>
  <c r="C1700" i="2"/>
  <c r="B1700" i="2"/>
  <c r="A1700" i="2"/>
  <c r="L1699" i="2"/>
  <c r="N1699" i="2" s="1"/>
  <c r="K1699" i="2"/>
  <c r="I1699" i="2"/>
  <c r="J1699" i="2" s="1"/>
  <c r="H1699" i="2"/>
  <c r="G1699" i="2"/>
  <c r="F1699" i="2"/>
  <c r="E1699" i="2"/>
  <c r="D1699" i="2"/>
  <c r="C1699" i="2"/>
  <c r="B1699" i="2"/>
  <c r="A1699" i="2"/>
  <c r="L1698" i="2"/>
  <c r="K1698" i="2"/>
  <c r="H1698" i="2"/>
  <c r="G1698" i="2"/>
  <c r="F1698" i="2"/>
  <c r="E1698" i="2"/>
  <c r="D1698" i="2"/>
  <c r="C1698" i="2"/>
  <c r="B1698" i="2"/>
  <c r="A1698" i="2"/>
  <c r="N1697" i="2"/>
  <c r="L1697" i="2"/>
  <c r="K1697" i="2"/>
  <c r="I1697" i="2"/>
  <c r="J1697" i="2" s="1"/>
  <c r="H1697" i="2"/>
  <c r="G1697" i="2"/>
  <c r="F1697" i="2"/>
  <c r="D1697" i="2"/>
  <c r="E1697" i="2" s="1"/>
  <c r="C1697" i="2"/>
  <c r="B1697" i="2"/>
  <c r="A1697" i="2"/>
  <c r="O1696" i="2"/>
  <c r="L1696" i="2"/>
  <c r="K1696" i="2"/>
  <c r="H1696" i="2"/>
  <c r="G1696" i="2"/>
  <c r="F1696" i="2"/>
  <c r="E1696" i="2"/>
  <c r="D1696" i="2"/>
  <c r="C1696" i="2"/>
  <c r="B1696" i="2"/>
  <c r="A1696" i="2"/>
  <c r="N1695" i="2"/>
  <c r="L1695" i="2"/>
  <c r="K1695" i="2"/>
  <c r="H1695" i="2"/>
  <c r="I1695" i="2" s="1"/>
  <c r="J1695" i="2" s="1"/>
  <c r="G1695" i="2"/>
  <c r="F1695" i="2"/>
  <c r="E1695" i="2"/>
  <c r="D1695" i="2"/>
  <c r="C1695" i="2"/>
  <c r="B1695" i="2"/>
  <c r="A1695" i="2"/>
  <c r="O1694" i="2"/>
  <c r="L1694" i="2"/>
  <c r="K1694" i="2"/>
  <c r="H1694" i="2"/>
  <c r="G1694" i="2"/>
  <c r="F1694" i="2"/>
  <c r="D1694" i="2"/>
  <c r="E1694" i="2" s="1"/>
  <c r="C1694" i="2"/>
  <c r="B1694" i="2"/>
  <c r="A1694" i="2"/>
  <c r="L1693" i="2"/>
  <c r="K1693" i="2"/>
  <c r="H1693" i="2"/>
  <c r="G1693" i="2"/>
  <c r="F1693" i="2"/>
  <c r="D1693" i="2"/>
  <c r="C1693" i="2"/>
  <c r="B1693" i="2"/>
  <c r="A1693" i="2"/>
  <c r="O1692" i="2"/>
  <c r="N1692" i="2"/>
  <c r="L1692" i="2"/>
  <c r="K1692" i="2"/>
  <c r="I1692" i="2"/>
  <c r="J1692" i="2" s="1"/>
  <c r="H1692" i="2"/>
  <c r="G1692" i="2"/>
  <c r="F1692" i="2"/>
  <c r="E1692" i="2"/>
  <c r="D1692" i="2"/>
  <c r="C1692" i="2"/>
  <c r="B1692" i="2"/>
  <c r="A1692" i="2"/>
  <c r="N1691" i="2"/>
  <c r="L1691" i="2"/>
  <c r="K1691" i="2"/>
  <c r="J1691" i="2"/>
  <c r="I1691" i="2"/>
  <c r="H1691" i="2"/>
  <c r="G1691" i="2"/>
  <c r="F1691" i="2"/>
  <c r="D1691" i="2"/>
  <c r="C1691" i="2"/>
  <c r="B1691" i="2"/>
  <c r="A1691" i="2"/>
  <c r="L1690" i="2"/>
  <c r="K1690" i="2"/>
  <c r="H1690" i="2"/>
  <c r="I1690" i="2" s="1"/>
  <c r="J1690" i="2" s="1"/>
  <c r="G1690" i="2"/>
  <c r="F1690" i="2"/>
  <c r="E1690" i="2"/>
  <c r="D1690" i="2"/>
  <c r="C1690" i="2"/>
  <c r="B1690" i="2"/>
  <c r="A1690" i="2"/>
  <c r="O1689" i="2"/>
  <c r="L1689" i="2"/>
  <c r="K1689" i="2"/>
  <c r="H1689" i="2"/>
  <c r="G1689" i="2"/>
  <c r="N1689" i="2" s="1"/>
  <c r="F1689" i="2"/>
  <c r="D1689" i="2"/>
  <c r="E1689" i="2" s="1"/>
  <c r="C1689" i="2"/>
  <c r="B1689" i="2"/>
  <c r="A1689" i="2"/>
  <c r="L1688" i="2"/>
  <c r="K1688" i="2"/>
  <c r="I1688" i="2"/>
  <c r="J1688" i="2" s="1"/>
  <c r="H1688" i="2"/>
  <c r="G1688" i="2"/>
  <c r="N1688" i="2" s="1"/>
  <c r="F1688" i="2"/>
  <c r="E1688" i="2"/>
  <c r="D1688" i="2"/>
  <c r="C1688" i="2"/>
  <c r="B1688" i="2"/>
  <c r="A1688" i="2"/>
  <c r="O1688" i="2" s="1"/>
  <c r="L1687" i="2"/>
  <c r="K1687" i="2"/>
  <c r="H1687" i="2"/>
  <c r="G1687" i="2"/>
  <c r="F1687" i="2"/>
  <c r="O1687" i="2" s="1"/>
  <c r="D1687" i="2"/>
  <c r="C1687" i="2"/>
  <c r="B1687" i="2"/>
  <c r="A1687" i="2"/>
  <c r="N1686" i="2"/>
  <c r="L1686" i="2"/>
  <c r="K1686" i="2"/>
  <c r="I1686" i="2"/>
  <c r="J1686" i="2" s="1"/>
  <c r="H1686" i="2"/>
  <c r="G1686" i="2"/>
  <c r="F1686" i="2"/>
  <c r="O1686" i="2" s="1"/>
  <c r="E1686" i="2"/>
  <c r="D1686" i="2"/>
  <c r="C1686" i="2"/>
  <c r="B1686" i="2"/>
  <c r="A1686" i="2"/>
  <c r="L1685" i="2"/>
  <c r="K1685" i="2"/>
  <c r="H1685" i="2"/>
  <c r="G1685" i="2"/>
  <c r="F1685" i="2"/>
  <c r="D1685" i="2"/>
  <c r="E1685" i="2" s="1"/>
  <c r="C1685" i="2"/>
  <c r="B1685" i="2"/>
  <c r="A1685" i="2"/>
  <c r="N1684" i="2"/>
  <c r="L1684" i="2"/>
  <c r="K1684" i="2"/>
  <c r="H1684" i="2"/>
  <c r="G1684" i="2"/>
  <c r="I1684" i="2" s="1"/>
  <c r="J1684" i="2" s="1"/>
  <c r="F1684" i="2"/>
  <c r="E1684" i="2"/>
  <c r="D1684" i="2"/>
  <c r="C1684" i="2"/>
  <c r="B1684" i="2"/>
  <c r="O1684" i="2" s="1"/>
  <c r="A1684" i="2"/>
  <c r="L1683" i="2"/>
  <c r="N1683" i="2" s="1"/>
  <c r="K1683" i="2"/>
  <c r="H1683" i="2"/>
  <c r="I1683" i="2" s="1"/>
  <c r="J1683" i="2" s="1"/>
  <c r="G1683" i="2"/>
  <c r="F1683" i="2"/>
  <c r="D1683" i="2"/>
  <c r="E1683" i="2" s="1"/>
  <c r="C1683" i="2"/>
  <c r="B1683" i="2"/>
  <c r="A1683" i="2"/>
  <c r="L1682" i="2"/>
  <c r="K1682" i="2"/>
  <c r="H1682" i="2"/>
  <c r="G1682" i="2"/>
  <c r="F1682" i="2"/>
  <c r="E1682" i="2"/>
  <c r="D1682" i="2"/>
  <c r="C1682" i="2"/>
  <c r="O1682" i="2" s="1"/>
  <c r="B1682" i="2"/>
  <c r="A1682" i="2"/>
  <c r="N1681" i="2"/>
  <c r="L1681" i="2"/>
  <c r="K1681" i="2"/>
  <c r="H1681" i="2"/>
  <c r="I1681" i="2" s="1"/>
  <c r="J1681" i="2" s="1"/>
  <c r="G1681" i="2"/>
  <c r="F1681" i="2"/>
  <c r="D1681" i="2"/>
  <c r="E1681" i="2" s="1"/>
  <c r="C1681" i="2"/>
  <c r="B1681" i="2"/>
  <c r="A1681" i="2"/>
  <c r="N1680" i="2"/>
  <c r="L1680" i="2"/>
  <c r="K1680" i="2"/>
  <c r="I1680" i="2"/>
  <c r="J1680" i="2" s="1"/>
  <c r="H1680" i="2"/>
  <c r="G1680" i="2"/>
  <c r="F1680" i="2"/>
  <c r="E1680" i="2"/>
  <c r="D1680" i="2"/>
  <c r="C1680" i="2"/>
  <c r="B1680" i="2"/>
  <c r="A1680" i="2"/>
  <c r="N1679" i="2"/>
  <c r="L1679" i="2"/>
  <c r="K1679" i="2"/>
  <c r="H1679" i="2"/>
  <c r="I1679" i="2" s="1"/>
  <c r="J1679" i="2" s="1"/>
  <c r="G1679" i="2"/>
  <c r="F1679" i="2"/>
  <c r="E1679" i="2"/>
  <c r="D1679" i="2"/>
  <c r="C1679" i="2"/>
  <c r="B1679" i="2"/>
  <c r="A1679" i="2"/>
  <c r="L1678" i="2"/>
  <c r="K1678" i="2"/>
  <c r="H1678" i="2"/>
  <c r="G1678" i="2"/>
  <c r="F1678" i="2"/>
  <c r="O1678" i="2" s="1"/>
  <c r="D1678" i="2"/>
  <c r="E1678" i="2" s="1"/>
  <c r="C1678" i="2"/>
  <c r="B1678" i="2"/>
  <c r="A1678" i="2"/>
  <c r="L1677" i="2"/>
  <c r="K1677" i="2"/>
  <c r="H1677" i="2"/>
  <c r="G1677" i="2"/>
  <c r="F1677" i="2"/>
  <c r="E1677" i="2"/>
  <c r="D1677" i="2"/>
  <c r="C1677" i="2"/>
  <c r="O1677" i="2" s="1"/>
  <c r="B1677" i="2"/>
  <c r="A1677" i="2"/>
  <c r="L1676" i="2"/>
  <c r="N1676" i="2" s="1"/>
  <c r="K1676" i="2"/>
  <c r="I1676" i="2"/>
  <c r="J1676" i="2" s="1"/>
  <c r="H1676" i="2"/>
  <c r="G1676" i="2"/>
  <c r="F1676" i="2"/>
  <c r="E1676" i="2"/>
  <c r="D1676" i="2"/>
  <c r="C1676" i="2"/>
  <c r="B1676" i="2"/>
  <c r="A1676" i="2"/>
  <c r="L1675" i="2"/>
  <c r="K1675" i="2"/>
  <c r="H1675" i="2"/>
  <c r="I1675" i="2" s="1"/>
  <c r="J1675" i="2" s="1"/>
  <c r="G1675" i="2"/>
  <c r="F1675" i="2"/>
  <c r="E1675" i="2"/>
  <c r="D1675" i="2"/>
  <c r="C1675" i="2"/>
  <c r="B1675" i="2"/>
  <c r="A1675" i="2"/>
  <c r="L1674" i="2"/>
  <c r="K1674" i="2"/>
  <c r="H1674" i="2"/>
  <c r="G1674" i="2"/>
  <c r="F1674" i="2"/>
  <c r="D1674" i="2"/>
  <c r="E1674" i="2" s="1"/>
  <c r="C1674" i="2"/>
  <c r="O1674" i="2" s="1"/>
  <c r="B1674" i="2"/>
  <c r="A1674" i="2"/>
  <c r="O1673" i="2"/>
  <c r="L1673" i="2"/>
  <c r="K1673" i="2"/>
  <c r="H1673" i="2"/>
  <c r="G1673" i="2"/>
  <c r="N1673" i="2" s="1"/>
  <c r="F1673" i="2"/>
  <c r="E1673" i="2"/>
  <c r="D1673" i="2"/>
  <c r="C1673" i="2"/>
  <c r="B1673" i="2"/>
  <c r="A1673" i="2"/>
  <c r="N1672" i="2"/>
  <c r="L1672" i="2"/>
  <c r="K1672" i="2"/>
  <c r="I1672" i="2"/>
  <c r="J1672" i="2" s="1"/>
  <c r="H1672" i="2"/>
  <c r="G1672" i="2"/>
  <c r="F1672" i="2"/>
  <c r="E1672" i="2"/>
  <c r="D1672" i="2"/>
  <c r="C1672" i="2"/>
  <c r="B1672" i="2"/>
  <c r="A1672" i="2"/>
  <c r="L1671" i="2"/>
  <c r="K1671" i="2"/>
  <c r="I1671" i="2"/>
  <c r="J1671" i="2" s="1"/>
  <c r="H1671" i="2"/>
  <c r="G1671" i="2"/>
  <c r="F1671" i="2"/>
  <c r="E1671" i="2"/>
  <c r="D1671" i="2"/>
  <c r="C1671" i="2"/>
  <c r="B1671" i="2"/>
  <c r="A1671" i="2"/>
  <c r="N1670" i="2"/>
  <c r="L1670" i="2"/>
  <c r="K1670" i="2"/>
  <c r="H1670" i="2"/>
  <c r="G1670" i="2"/>
  <c r="F1670" i="2"/>
  <c r="D1670" i="2"/>
  <c r="C1670" i="2"/>
  <c r="O1670" i="2" s="1"/>
  <c r="B1670" i="2"/>
  <c r="A1670" i="2"/>
  <c r="N1669" i="2"/>
  <c r="L1669" i="2"/>
  <c r="K1669" i="2"/>
  <c r="H1669" i="2"/>
  <c r="G1669" i="2"/>
  <c r="F1669" i="2"/>
  <c r="E1669" i="2"/>
  <c r="D1669" i="2"/>
  <c r="C1669" i="2"/>
  <c r="B1669" i="2"/>
  <c r="A1669" i="2"/>
  <c r="L1668" i="2"/>
  <c r="N1668" i="2" s="1"/>
  <c r="K1668" i="2"/>
  <c r="J1668" i="2"/>
  <c r="I1668" i="2"/>
  <c r="H1668" i="2"/>
  <c r="G1668" i="2"/>
  <c r="F1668" i="2"/>
  <c r="E1668" i="2"/>
  <c r="D1668" i="2"/>
  <c r="C1668" i="2"/>
  <c r="B1668" i="2"/>
  <c r="A1668" i="2"/>
  <c r="L1667" i="2"/>
  <c r="K1667" i="2"/>
  <c r="H1667" i="2"/>
  <c r="I1667" i="2" s="1"/>
  <c r="J1667" i="2" s="1"/>
  <c r="G1667" i="2"/>
  <c r="N1667" i="2" s="1"/>
  <c r="F1667" i="2"/>
  <c r="D1667" i="2"/>
  <c r="E1667" i="2" s="1"/>
  <c r="C1667" i="2"/>
  <c r="B1667" i="2"/>
  <c r="A1667" i="2"/>
  <c r="L1666" i="2"/>
  <c r="K1666" i="2"/>
  <c r="H1666" i="2"/>
  <c r="G1666" i="2"/>
  <c r="F1666" i="2"/>
  <c r="D1666" i="2"/>
  <c r="E1666" i="2" s="1"/>
  <c r="C1666" i="2"/>
  <c r="B1666" i="2"/>
  <c r="O1666" i="2" s="1"/>
  <c r="A1666" i="2"/>
  <c r="L1665" i="2"/>
  <c r="K1665" i="2"/>
  <c r="H1665" i="2"/>
  <c r="G1665" i="2"/>
  <c r="F1665" i="2"/>
  <c r="E1665" i="2"/>
  <c r="D1665" i="2"/>
  <c r="C1665" i="2"/>
  <c r="B1665" i="2"/>
  <c r="A1665" i="2"/>
  <c r="N1664" i="2"/>
  <c r="L1664" i="2"/>
  <c r="K1664" i="2"/>
  <c r="H1664" i="2"/>
  <c r="I1664" i="2" s="1"/>
  <c r="J1664" i="2" s="1"/>
  <c r="G1664" i="2"/>
  <c r="F1664" i="2"/>
  <c r="E1664" i="2"/>
  <c r="D1664" i="2"/>
  <c r="C1664" i="2"/>
  <c r="B1664" i="2"/>
  <c r="A1664" i="2"/>
  <c r="O1663" i="2"/>
  <c r="L1663" i="2"/>
  <c r="K1663" i="2"/>
  <c r="I1663" i="2"/>
  <c r="J1663" i="2" s="1"/>
  <c r="H1663" i="2"/>
  <c r="G1663" i="2"/>
  <c r="F1663" i="2"/>
  <c r="E1663" i="2"/>
  <c r="D1663" i="2"/>
  <c r="C1663" i="2"/>
  <c r="B1663" i="2"/>
  <c r="A1663" i="2"/>
  <c r="L1662" i="2"/>
  <c r="K1662" i="2"/>
  <c r="H1662" i="2"/>
  <c r="G1662" i="2"/>
  <c r="F1662" i="2"/>
  <c r="D1662" i="2"/>
  <c r="C1662" i="2"/>
  <c r="B1662" i="2"/>
  <c r="A1662" i="2"/>
  <c r="L1661" i="2"/>
  <c r="K1661" i="2"/>
  <c r="H1661" i="2"/>
  <c r="G1661" i="2"/>
  <c r="I1661" i="2" s="1"/>
  <c r="J1661" i="2" s="1"/>
  <c r="F1661" i="2"/>
  <c r="E1661" i="2"/>
  <c r="D1661" i="2"/>
  <c r="C1661" i="2"/>
  <c r="B1661" i="2"/>
  <c r="A1661" i="2"/>
  <c r="L1660" i="2"/>
  <c r="N1660" i="2" s="1"/>
  <c r="K1660" i="2"/>
  <c r="I1660" i="2"/>
  <c r="J1660" i="2" s="1"/>
  <c r="H1660" i="2"/>
  <c r="G1660" i="2"/>
  <c r="F1660" i="2"/>
  <c r="D1660" i="2"/>
  <c r="E1660" i="2" s="1"/>
  <c r="C1660" i="2"/>
  <c r="B1660" i="2"/>
  <c r="A1660" i="2"/>
  <c r="L1659" i="2"/>
  <c r="K1659" i="2"/>
  <c r="H1659" i="2"/>
  <c r="I1659" i="2" s="1"/>
  <c r="J1659" i="2" s="1"/>
  <c r="G1659" i="2"/>
  <c r="F1659" i="2"/>
  <c r="D1659" i="2"/>
  <c r="E1659" i="2" s="1"/>
  <c r="C1659" i="2"/>
  <c r="B1659" i="2"/>
  <c r="A1659" i="2"/>
  <c r="L1658" i="2"/>
  <c r="K1658" i="2"/>
  <c r="H1658" i="2"/>
  <c r="G1658" i="2"/>
  <c r="F1658" i="2"/>
  <c r="D1658" i="2"/>
  <c r="E1658" i="2" s="1"/>
  <c r="C1658" i="2"/>
  <c r="B1658" i="2"/>
  <c r="A1658" i="2"/>
  <c r="O1657" i="2"/>
  <c r="N1657" i="2"/>
  <c r="L1657" i="2"/>
  <c r="K1657" i="2"/>
  <c r="I1657" i="2"/>
  <c r="J1657" i="2" s="1"/>
  <c r="H1657" i="2"/>
  <c r="G1657" i="2"/>
  <c r="F1657" i="2"/>
  <c r="E1657" i="2"/>
  <c r="D1657" i="2"/>
  <c r="C1657" i="2"/>
  <c r="B1657" i="2"/>
  <c r="A1657" i="2"/>
  <c r="N1656" i="2"/>
  <c r="L1656" i="2"/>
  <c r="K1656" i="2"/>
  <c r="I1656" i="2"/>
  <c r="J1656" i="2" s="1"/>
  <c r="H1656" i="2"/>
  <c r="G1656" i="2"/>
  <c r="F1656" i="2"/>
  <c r="E1656" i="2"/>
  <c r="D1656" i="2"/>
  <c r="C1656" i="2"/>
  <c r="B1656" i="2"/>
  <c r="A1656" i="2"/>
  <c r="L1655" i="2"/>
  <c r="K1655" i="2"/>
  <c r="H1655" i="2"/>
  <c r="G1655" i="2"/>
  <c r="F1655" i="2"/>
  <c r="E1655" i="2"/>
  <c r="D1655" i="2"/>
  <c r="C1655" i="2"/>
  <c r="B1655" i="2"/>
  <c r="A1655" i="2"/>
  <c r="N1654" i="2"/>
  <c r="L1654" i="2"/>
  <c r="K1654" i="2"/>
  <c r="H1654" i="2"/>
  <c r="G1654" i="2"/>
  <c r="I1654" i="2" s="1"/>
  <c r="J1654" i="2" s="1"/>
  <c r="F1654" i="2"/>
  <c r="D1654" i="2"/>
  <c r="E1654" i="2" s="1"/>
  <c r="C1654" i="2"/>
  <c r="B1654" i="2"/>
  <c r="A1654" i="2"/>
  <c r="N1653" i="2"/>
  <c r="L1653" i="2"/>
  <c r="K1653" i="2"/>
  <c r="J1653" i="2"/>
  <c r="H1653" i="2"/>
  <c r="G1653" i="2"/>
  <c r="I1653" i="2" s="1"/>
  <c r="F1653" i="2"/>
  <c r="D1653" i="2"/>
  <c r="C1653" i="2"/>
  <c r="B1653" i="2"/>
  <c r="A1653" i="2"/>
  <c r="L1652" i="2"/>
  <c r="N1652" i="2" s="1"/>
  <c r="K1652" i="2"/>
  <c r="J1652" i="2"/>
  <c r="I1652" i="2"/>
  <c r="H1652" i="2"/>
  <c r="G1652" i="2"/>
  <c r="F1652" i="2"/>
  <c r="D1652" i="2"/>
  <c r="C1652" i="2"/>
  <c r="B1652" i="2"/>
  <c r="A1652" i="2"/>
  <c r="L1651" i="2"/>
  <c r="K1651" i="2"/>
  <c r="I1651" i="2"/>
  <c r="J1651" i="2" s="1"/>
  <c r="H1651" i="2"/>
  <c r="G1651" i="2"/>
  <c r="N1651" i="2" s="1"/>
  <c r="F1651" i="2"/>
  <c r="E1651" i="2"/>
  <c r="D1651" i="2"/>
  <c r="C1651" i="2"/>
  <c r="B1651" i="2"/>
  <c r="A1651" i="2"/>
  <c r="L1650" i="2"/>
  <c r="K1650" i="2"/>
  <c r="I1650" i="2"/>
  <c r="J1650" i="2" s="1"/>
  <c r="H1650" i="2"/>
  <c r="G1650" i="2"/>
  <c r="F1650" i="2"/>
  <c r="D1650" i="2"/>
  <c r="E1650" i="2" s="1"/>
  <c r="C1650" i="2"/>
  <c r="B1650" i="2"/>
  <c r="A1650" i="2"/>
  <c r="O1649" i="2"/>
  <c r="N1649" i="2"/>
  <c r="L1649" i="2"/>
  <c r="K1649" i="2"/>
  <c r="I1649" i="2"/>
  <c r="J1649" i="2" s="1"/>
  <c r="H1649" i="2"/>
  <c r="G1649" i="2"/>
  <c r="F1649" i="2"/>
  <c r="E1649" i="2"/>
  <c r="D1649" i="2"/>
  <c r="C1649" i="2"/>
  <c r="B1649" i="2"/>
  <c r="A1649" i="2"/>
  <c r="N1648" i="2"/>
  <c r="L1648" i="2"/>
  <c r="K1648" i="2"/>
  <c r="I1648" i="2"/>
  <c r="J1648" i="2" s="1"/>
  <c r="H1648" i="2"/>
  <c r="G1648" i="2"/>
  <c r="F1648" i="2"/>
  <c r="E1648" i="2"/>
  <c r="D1648" i="2"/>
  <c r="C1648" i="2"/>
  <c r="B1648" i="2"/>
  <c r="A1648" i="2"/>
  <c r="L1647" i="2"/>
  <c r="K1647" i="2"/>
  <c r="H1647" i="2"/>
  <c r="I1647" i="2" s="1"/>
  <c r="J1647" i="2" s="1"/>
  <c r="G1647" i="2"/>
  <c r="F1647" i="2"/>
  <c r="D1647" i="2"/>
  <c r="E1647" i="2" s="1"/>
  <c r="C1647" i="2"/>
  <c r="B1647" i="2"/>
  <c r="A1647" i="2"/>
  <c r="N1646" i="2"/>
  <c r="L1646" i="2"/>
  <c r="K1646" i="2"/>
  <c r="H1646" i="2"/>
  <c r="G1646" i="2"/>
  <c r="F1646" i="2"/>
  <c r="O1646" i="2" s="1"/>
  <c r="E1646" i="2"/>
  <c r="D1646" i="2"/>
  <c r="C1646" i="2"/>
  <c r="B1646" i="2"/>
  <c r="A1646" i="2"/>
  <c r="L1645" i="2"/>
  <c r="N1645" i="2" s="1"/>
  <c r="K1645" i="2"/>
  <c r="H1645" i="2"/>
  <c r="G1645" i="2"/>
  <c r="I1645" i="2" s="1"/>
  <c r="J1645" i="2" s="1"/>
  <c r="F1645" i="2"/>
  <c r="E1645" i="2"/>
  <c r="D1645" i="2"/>
  <c r="C1645" i="2"/>
  <c r="B1645" i="2"/>
  <c r="A1645" i="2"/>
  <c r="L1644" i="2"/>
  <c r="N1644" i="2" s="1"/>
  <c r="K1644" i="2"/>
  <c r="J1644" i="2"/>
  <c r="I1644" i="2"/>
  <c r="H1644" i="2"/>
  <c r="G1644" i="2"/>
  <c r="F1644" i="2"/>
  <c r="E1644" i="2"/>
  <c r="D1644" i="2"/>
  <c r="C1644" i="2"/>
  <c r="B1644" i="2"/>
  <c r="A1644" i="2"/>
  <c r="L1643" i="2"/>
  <c r="K1643" i="2"/>
  <c r="H1643" i="2"/>
  <c r="I1643" i="2" s="1"/>
  <c r="J1643" i="2" s="1"/>
  <c r="G1643" i="2"/>
  <c r="F1643" i="2"/>
  <c r="D1643" i="2"/>
  <c r="E1643" i="2" s="1"/>
  <c r="C1643" i="2"/>
  <c r="B1643" i="2"/>
  <c r="A1643" i="2"/>
  <c r="L1642" i="2"/>
  <c r="K1642" i="2"/>
  <c r="I1642" i="2"/>
  <c r="J1642" i="2" s="1"/>
  <c r="H1642" i="2"/>
  <c r="G1642" i="2"/>
  <c r="F1642" i="2"/>
  <c r="D1642" i="2"/>
  <c r="E1642" i="2" s="1"/>
  <c r="C1642" i="2"/>
  <c r="B1642" i="2"/>
  <c r="A1642" i="2"/>
  <c r="L1641" i="2"/>
  <c r="K1641" i="2"/>
  <c r="I1641" i="2"/>
  <c r="J1641" i="2" s="1"/>
  <c r="H1641" i="2"/>
  <c r="G1641" i="2"/>
  <c r="N1641" i="2" s="1"/>
  <c r="F1641" i="2"/>
  <c r="E1641" i="2"/>
  <c r="D1641" i="2"/>
  <c r="C1641" i="2"/>
  <c r="B1641" i="2"/>
  <c r="A1641" i="2"/>
  <c r="L1640" i="2"/>
  <c r="K1640" i="2"/>
  <c r="H1640" i="2"/>
  <c r="G1640" i="2"/>
  <c r="F1640" i="2"/>
  <c r="E1640" i="2"/>
  <c r="D1640" i="2"/>
  <c r="C1640" i="2"/>
  <c r="B1640" i="2"/>
  <c r="O1640" i="2" s="1"/>
  <c r="A1640" i="2"/>
  <c r="L1639" i="2"/>
  <c r="N1639" i="2" s="1"/>
  <c r="K1639" i="2"/>
  <c r="H1639" i="2"/>
  <c r="G1639" i="2"/>
  <c r="I1639" i="2" s="1"/>
  <c r="J1639" i="2" s="1"/>
  <c r="F1639" i="2"/>
  <c r="D1639" i="2"/>
  <c r="E1639" i="2" s="1"/>
  <c r="C1639" i="2"/>
  <c r="B1639" i="2"/>
  <c r="A1639" i="2"/>
  <c r="L1638" i="2"/>
  <c r="N1638" i="2" s="1"/>
  <c r="K1638" i="2"/>
  <c r="J1638" i="2"/>
  <c r="H1638" i="2"/>
  <c r="G1638" i="2"/>
  <c r="I1638" i="2" s="1"/>
  <c r="F1638" i="2"/>
  <c r="D1638" i="2"/>
  <c r="E1638" i="2" s="1"/>
  <c r="C1638" i="2"/>
  <c r="B1638" i="2"/>
  <c r="A1638" i="2"/>
  <c r="N1637" i="2"/>
  <c r="L1637" i="2"/>
  <c r="K1637" i="2"/>
  <c r="J1637" i="2"/>
  <c r="I1637" i="2"/>
  <c r="H1637" i="2"/>
  <c r="G1637" i="2"/>
  <c r="F1637" i="2"/>
  <c r="D1637" i="2"/>
  <c r="E1637" i="2" s="1"/>
  <c r="C1637" i="2"/>
  <c r="B1637" i="2"/>
  <c r="A1637" i="2"/>
  <c r="L1636" i="2"/>
  <c r="N1636" i="2" s="1"/>
  <c r="K1636" i="2"/>
  <c r="I1636" i="2"/>
  <c r="J1636" i="2" s="1"/>
  <c r="H1636" i="2"/>
  <c r="G1636" i="2"/>
  <c r="F1636" i="2"/>
  <c r="D1636" i="2"/>
  <c r="E1636" i="2" s="1"/>
  <c r="C1636" i="2"/>
  <c r="B1636" i="2"/>
  <c r="A1636" i="2"/>
  <c r="L1635" i="2"/>
  <c r="K1635" i="2"/>
  <c r="J1635" i="2"/>
  <c r="I1635" i="2"/>
  <c r="H1635" i="2"/>
  <c r="G1635" i="2"/>
  <c r="F1635" i="2"/>
  <c r="D1635" i="2"/>
  <c r="E1635" i="2" s="1"/>
  <c r="C1635" i="2"/>
  <c r="B1635" i="2"/>
  <c r="A1635" i="2"/>
  <c r="L1634" i="2"/>
  <c r="K1634" i="2"/>
  <c r="H1634" i="2"/>
  <c r="G1634" i="2"/>
  <c r="F1634" i="2"/>
  <c r="O1634" i="2" s="1"/>
  <c r="D1634" i="2"/>
  <c r="E1634" i="2" s="1"/>
  <c r="C1634" i="2"/>
  <c r="B1634" i="2"/>
  <c r="A1634" i="2"/>
  <c r="N1633" i="2"/>
  <c r="L1633" i="2"/>
  <c r="K1633" i="2"/>
  <c r="J1633" i="2"/>
  <c r="H1633" i="2"/>
  <c r="I1633" i="2" s="1"/>
  <c r="G1633" i="2"/>
  <c r="F1633" i="2"/>
  <c r="E1633" i="2"/>
  <c r="D1633" i="2"/>
  <c r="C1633" i="2"/>
  <c r="B1633" i="2"/>
  <c r="A1633" i="2"/>
  <c r="O1632" i="2"/>
  <c r="L1632" i="2"/>
  <c r="K1632" i="2"/>
  <c r="J1632" i="2"/>
  <c r="H1632" i="2"/>
  <c r="I1632" i="2" s="1"/>
  <c r="G1632" i="2"/>
  <c r="F1632" i="2"/>
  <c r="D1632" i="2"/>
  <c r="E1632" i="2" s="1"/>
  <c r="C1632" i="2"/>
  <c r="B1632" i="2"/>
  <c r="A1632" i="2"/>
  <c r="L1631" i="2"/>
  <c r="K1631" i="2"/>
  <c r="H1631" i="2"/>
  <c r="I1631" i="2" s="1"/>
  <c r="J1631" i="2" s="1"/>
  <c r="G1631" i="2"/>
  <c r="F1631" i="2"/>
  <c r="E1631" i="2"/>
  <c r="D1631" i="2"/>
  <c r="C1631" i="2"/>
  <c r="B1631" i="2"/>
  <c r="A1631" i="2"/>
  <c r="L1630" i="2"/>
  <c r="K1630" i="2"/>
  <c r="H1630" i="2"/>
  <c r="G1630" i="2"/>
  <c r="F1630" i="2"/>
  <c r="D1630" i="2"/>
  <c r="E1630" i="2" s="1"/>
  <c r="C1630" i="2"/>
  <c r="O1630" i="2" s="1"/>
  <c r="B1630" i="2"/>
  <c r="A1630" i="2"/>
  <c r="L1629" i="2"/>
  <c r="N1629" i="2" s="1"/>
  <c r="K1629" i="2"/>
  <c r="J1629" i="2"/>
  <c r="H1629" i="2"/>
  <c r="G1629" i="2"/>
  <c r="I1629" i="2" s="1"/>
  <c r="F1629" i="2"/>
  <c r="D1629" i="2"/>
  <c r="E1629" i="2" s="1"/>
  <c r="C1629" i="2"/>
  <c r="B1629" i="2"/>
  <c r="A1629" i="2"/>
  <c r="L1628" i="2"/>
  <c r="N1628" i="2" s="1"/>
  <c r="K1628" i="2"/>
  <c r="I1628" i="2"/>
  <c r="J1628" i="2" s="1"/>
  <c r="H1628" i="2"/>
  <c r="G1628" i="2"/>
  <c r="F1628" i="2"/>
  <c r="E1628" i="2"/>
  <c r="D1628" i="2"/>
  <c r="C1628" i="2"/>
  <c r="B1628" i="2"/>
  <c r="A1628" i="2"/>
  <c r="L1627" i="2"/>
  <c r="K1627" i="2"/>
  <c r="H1627" i="2"/>
  <c r="G1627" i="2"/>
  <c r="F1627" i="2"/>
  <c r="D1627" i="2"/>
  <c r="E1627" i="2" s="1"/>
  <c r="C1627" i="2"/>
  <c r="B1627" i="2"/>
  <c r="A1627" i="2"/>
  <c r="N1626" i="2"/>
  <c r="L1626" i="2"/>
  <c r="K1626" i="2"/>
  <c r="I1626" i="2"/>
  <c r="J1626" i="2" s="1"/>
  <c r="H1626" i="2"/>
  <c r="G1626" i="2"/>
  <c r="F1626" i="2"/>
  <c r="D1626" i="2"/>
  <c r="E1626" i="2" s="1"/>
  <c r="C1626" i="2"/>
  <c r="B1626" i="2"/>
  <c r="A1626" i="2"/>
  <c r="O1625" i="2"/>
  <c r="L1625" i="2"/>
  <c r="K1625" i="2"/>
  <c r="H1625" i="2"/>
  <c r="G1625" i="2"/>
  <c r="F1625" i="2"/>
  <c r="E1625" i="2"/>
  <c r="D1625" i="2"/>
  <c r="C1625" i="2"/>
  <c r="B1625" i="2"/>
  <c r="A1625" i="2"/>
  <c r="N1624" i="2"/>
  <c r="L1624" i="2"/>
  <c r="K1624" i="2"/>
  <c r="H1624" i="2"/>
  <c r="G1624" i="2"/>
  <c r="I1624" i="2" s="1"/>
  <c r="J1624" i="2" s="1"/>
  <c r="F1624" i="2"/>
  <c r="O1624" i="2" s="1"/>
  <c r="E1624" i="2"/>
  <c r="D1624" i="2"/>
  <c r="C1624" i="2"/>
  <c r="B1624" i="2"/>
  <c r="A1624" i="2"/>
  <c r="N1623" i="2"/>
  <c r="L1623" i="2"/>
  <c r="K1623" i="2"/>
  <c r="H1623" i="2"/>
  <c r="G1623" i="2"/>
  <c r="F1623" i="2"/>
  <c r="D1623" i="2"/>
  <c r="C1623" i="2"/>
  <c r="B1623" i="2"/>
  <c r="A1623" i="2"/>
  <c r="L1622" i="2"/>
  <c r="K1622" i="2"/>
  <c r="H1622" i="2"/>
  <c r="G1622" i="2"/>
  <c r="F1622" i="2"/>
  <c r="E1622" i="2"/>
  <c r="D1622" i="2"/>
  <c r="C1622" i="2"/>
  <c r="B1622" i="2"/>
  <c r="O1622" i="2" s="1"/>
  <c r="A1622" i="2"/>
  <c r="N1621" i="2"/>
  <c r="L1621" i="2"/>
  <c r="K1621" i="2"/>
  <c r="I1621" i="2"/>
  <c r="J1621" i="2" s="1"/>
  <c r="H1621" i="2"/>
  <c r="G1621" i="2"/>
  <c r="F1621" i="2"/>
  <c r="D1621" i="2"/>
  <c r="E1621" i="2" s="1"/>
  <c r="C1621" i="2"/>
  <c r="B1621" i="2"/>
  <c r="A1621" i="2"/>
  <c r="N1620" i="2"/>
  <c r="L1620" i="2"/>
  <c r="K1620" i="2"/>
  <c r="J1620" i="2"/>
  <c r="H1620" i="2"/>
  <c r="I1620" i="2" s="1"/>
  <c r="G1620" i="2"/>
  <c r="F1620" i="2"/>
  <c r="D1620" i="2"/>
  <c r="E1620" i="2" s="1"/>
  <c r="C1620" i="2"/>
  <c r="B1620" i="2"/>
  <c r="A1620" i="2"/>
  <c r="L1619" i="2"/>
  <c r="K1619" i="2"/>
  <c r="I1619" i="2"/>
  <c r="J1619" i="2" s="1"/>
  <c r="H1619" i="2"/>
  <c r="G1619" i="2"/>
  <c r="F1619" i="2"/>
  <c r="D1619" i="2"/>
  <c r="E1619" i="2" s="1"/>
  <c r="C1619" i="2"/>
  <c r="B1619" i="2"/>
  <c r="A1619" i="2"/>
  <c r="L1618" i="2"/>
  <c r="K1618" i="2"/>
  <c r="H1618" i="2"/>
  <c r="G1618" i="2"/>
  <c r="F1618" i="2"/>
  <c r="D1618" i="2"/>
  <c r="E1618" i="2" s="1"/>
  <c r="C1618" i="2"/>
  <c r="B1618" i="2"/>
  <c r="A1618" i="2"/>
  <c r="L1617" i="2"/>
  <c r="K1617" i="2"/>
  <c r="H1617" i="2"/>
  <c r="G1617" i="2"/>
  <c r="I1617" i="2" s="1"/>
  <c r="J1617" i="2" s="1"/>
  <c r="F1617" i="2"/>
  <c r="E1617" i="2"/>
  <c r="D1617" i="2"/>
  <c r="C1617" i="2"/>
  <c r="B1617" i="2"/>
  <c r="O1617" i="2" s="1"/>
  <c r="A1617" i="2"/>
  <c r="O1616" i="2"/>
  <c r="L1616" i="2"/>
  <c r="N1616" i="2" s="1"/>
  <c r="K1616" i="2"/>
  <c r="H1616" i="2"/>
  <c r="G1616" i="2"/>
  <c r="F1616" i="2"/>
  <c r="D1616" i="2"/>
  <c r="C1616" i="2"/>
  <c r="B1616" i="2"/>
  <c r="A1616" i="2"/>
  <c r="L1615" i="2"/>
  <c r="N1615" i="2" s="1"/>
  <c r="K1615" i="2"/>
  <c r="I1615" i="2"/>
  <c r="J1615" i="2" s="1"/>
  <c r="H1615" i="2"/>
  <c r="G1615" i="2"/>
  <c r="F1615" i="2"/>
  <c r="D1615" i="2"/>
  <c r="E1615" i="2" s="1"/>
  <c r="C1615" i="2"/>
  <c r="B1615" i="2"/>
  <c r="A1615" i="2"/>
  <c r="N1614" i="2"/>
  <c r="L1614" i="2"/>
  <c r="K1614" i="2"/>
  <c r="H1614" i="2"/>
  <c r="G1614" i="2"/>
  <c r="F1614" i="2"/>
  <c r="E1614" i="2"/>
  <c r="D1614" i="2"/>
  <c r="C1614" i="2"/>
  <c r="B1614" i="2"/>
  <c r="A1614" i="2"/>
  <c r="L1613" i="2"/>
  <c r="K1613" i="2"/>
  <c r="I1613" i="2"/>
  <c r="J1613" i="2" s="1"/>
  <c r="H1613" i="2"/>
  <c r="G1613" i="2"/>
  <c r="N1613" i="2" s="1"/>
  <c r="F1613" i="2"/>
  <c r="O1613" i="2" s="1"/>
  <c r="D1613" i="2"/>
  <c r="E1613" i="2" s="1"/>
  <c r="C1613" i="2"/>
  <c r="B1613" i="2"/>
  <c r="A1613" i="2"/>
  <c r="N1612" i="2"/>
  <c r="L1612" i="2"/>
  <c r="K1612" i="2"/>
  <c r="J1612" i="2"/>
  <c r="I1612" i="2"/>
  <c r="H1612" i="2"/>
  <c r="G1612" i="2"/>
  <c r="F1612" i="2"/>
  <c r="D1612" i="2"/>
  <c r="E1612" i="2" s="1"/>
  <c r="C1612" i="2"/>
  <c r="B1612" i="2"/>
  <c r="A1612" i="2"/>
  <c r="L1611" i="2"/>
  <c r="K1611" i="2"/>
  <c r="H1611" i="2"/>
  <c r="O1611" i="2" s="1"/>
  <c r="G1611" i="2"/>
  <c r="F1611" i="2"/>
  <c r="E1611" i="2"/>
  <c r="D1611" i="2"/>
  <c r="C1611" i="2"/>
  <c r="B1611" i="2"/>
  <c r="A1611" i="2"/>
  <c r="O1610" i="2"/>
  <c r="L1610" i="2"/>
  <c r="N1610" i="2" s="1"/>
  <c r="K1610" i="2"/>
  <c r="I1610" i="2"/>
  <c r="J1610" i="2" s="1"/>
  <c r="H1610" i="2"/>
  <c r="G1610" i="2"/>
  <c r="F1610" i="2"/>
  <c r="D1610" i="2"/>
  <c r="E1610" i="2" s="1"/>
  <c r="C1610" i="2"/>
  <c r="B1610" i="2"/>
  <c r="A1610" i="2"/>
  <c r="N1609" i="2"/>
  <c r="L1609" i="2"/>
  <c r="K1609" i="2"/>
  <c r="H1609" i="2"/>
  <c r="I1609" i="2" s="1"/>
  <c r="J1609" i="2" s="1"/>
  <c r="G1609" i="2"/>
  <c r="F1609" i="2"/>
  <c r="O1609" i="2" s="1"/>
  <c r="E1609" i="2"/>
  <c r="D1609" i="2"/>
  <c r="C1609" i="2"/>
  <c r="B1609" i="2"/>
  <c r="A1609" i="2"/>
  <c r="O1608" i="2"/>
  <c r="L1608" i="2"/>
  <c r="K1608" i="2"/>
  <c r="I1608" i="2"/>
  <c r="J1608" i="2" s="1"/>
  <c r="H1608" i="2"/>
  <c r="G1608" i="2"/>
  <c r="N1608" i="2" s="1"/>
  <c r="F1608" i="2"/>
  <c r="E1608" i="2"/>
  <c r="D1608" i="2"/>
  <c r="C1608" i="2"/>
  <c r="B1608" i="2"/>
  <c r="A1608" i="2"/>
  <c r="L1607" i="2"/>
  <c r="N1607" i="2" s="1"/>
  <c r="K1607" i="2"/>
  <c r="H1607" i="2"/>
  <c r="I1607" i="2" s="1"/>
  <c r="J1607" i="2" s="1"/>
  <c r="G1607" i="2"/>
  <c r="F1607" i="2"/>
  <c r="E1607" i="2"/>
  <c r="D1607" i="2"/>
  <c r="C1607" i="2"/>
  <c r="B1607" i="2"/>
  <c r="A1607" i="2"/>
  <c r="L1606" i="2"/>
  <c r="K1606" i="2"/>
  <c r="H1606" i="2"/>
  <c r="G1606" i="2"/>
  <c r="F1606" i="2"/>
  <c r="D1606" i="2"/>
  <c r="E1606" i="2" s="1"/>
  <c r="C1606" i="2"/>
  <c r="O1606" i="2" s="1"/>
  <c r="B1606" i="2"/>
  <c r="A1606" i="2"/>
  <c r="L1605" i="2"/>
  <c r="N1605" i="2" s="1"/>
  <c r="K1605" i="2"/>
  <c r="I1605" i="2"/>
  <c r="J1605" i="2" s="1"/>
  <c r="H1605" i="2"/>
  <c r="G1605" i="2"/>
  <c r="F1605" i="2"/>
  <c r="E1605" i="2"/>
  <c r="D1605" i="2"/>
  <c r="C1605" i="2"/>
  <c r="B1605" i="2"/>
  <c r="A1605" i="2"/>
  <c r="L1604" i="2"/>
  <c r="N1604" i="2" s="1"/>
  <c r="K1604" i="2"/>
  <c r="J1604" i="2"/>
  <c r="I1604" i="2"/>
  <c r="H1604" i="2"/>
  <c r="G1604" i="2"/>
  <c r="F1604" i="2"/>
  <c r="D1604" i="2"/>
  <c r="E1604" i="2" s="1"/>
  <c r="C1604" i="2"/>
  <c r="B1604" i="2"/>
  <c r="A1604" i="2"/>
  <c r="L1603" i="2"/>
  <c r="K1603" i="2"/>
  <c r="I1603" i="2"/>
  <c r="J1603" i="2" s="1"/>
  <c r="H1603" i="2"/>
  <c r="G1603" i="2"/>
  <c r="F1603" i="2"/>
  <c r="E1603" i="2"/>
  <c r="D1603" i="2"/>
  <c r="C1603" i="2"/>
  <c r="B1603" i="2"/>
  <c r="A1603" i="2"/>
  <c r="N1602" i="2"/>
  <c r="L1602" i="2"/>
  <c r="K1602" i="2"/>
  <c r="H1602" i="2"/>
  <c r="G1602" i="2"/>
  <c r="F1602" i="2"/>
  <c r="D1602" i="2"/>
  <c r="E1602" i="2" s="1"/>
  <c r="C1602" i="2"/>
  <c r="B1602" i="2"/>
  <c r="A1602" i="2"/>
  <c r="N1601" i="2"/>
  <c r="L1601" i="2"/>
  <c r="K1601" i="2"/>
  <c r="H1601" i="2"/>
  <c r="I1601" i="2" s="1"/>
  <c r="J1601" i="2" s="1"/>
  <c r="G1601" i="2"/>
  <c r="F1601" i="2"/>
  <c r="E1601" i="2"/>
  <c r="D1601" i="2"/>
  <c r="C1601" i="2"/>
  <c r="B1601" i="2"/>
  <c r="A1601" i="2"/>
  <c r="O1600" i="2"/>
  <c r="L1600" i="2"/>
  <c r="K1600" i="2"/>
  <c r="I1600" i="2"/>
  <c r="J1600" i="2" s="1"/>
  <c r="H1600" i="2"/>
  <c r="G1600" i="2"/>
  <c r="F1600" i="2"/>
  <c r="E1600" i="2"/>
  <c r="D1600" i="2"/>
  <c r="C1600" i="2"/>
  <c r="B1600" i="2"/>
  <c r="A1600" i="2"/>
  <c r="N1599" i="2"/>
  <c r="L1599" i="2"/>
  <c r="K1599" i="2"/>
  <c r="I1599" i="2"/>
  <c r="J1599" i="2" s="1"/>
  <c r="H1599" i="2"/>
  <c r="G1599" i="2"/>
  <c r="F1599" i="2"/>
  <c r="D1599" i="2"/>
  <c r="E1599" i="2" s="1"/>
  <c r="C1599" i="2"/>
  <c r="B1599" i="2"/>
  <c r="A1599" i="2"/>
  <c r="L1598" i="2"/>
  <c r="K1598" i="2"/>
  <c r="H1598" i="2"/>
  <c r="G1598" i="2"/>
  <c r="F1598" i="2"/>
  <c r="D1598" i="2"/>
  <c r="C1598" i="2"/>
  <c r="B1598" i="2"/>
  <c r="O1598" i="2" s="1"/>
  <c r="A1598" i="2"/>
  <c r="L1597" i="2"/>
  <c r="K1597" i="2"/>
  <c r="H1597" i="2"/>
  <c r="G1597" i="2"/>
  <c r="F1597" i="2"/>
  <c r="O1597" i="2" s="1"/>
  <c r="E1597" i="2"/>
  <c r="D1597" i="2"/>
  <c r="C1597" i="2"/>
  <c r="B1597" i="2"/>
  <c r="A1597" i="2"/>
  <c r="L1596" i="2"/>
  <c r="N1596" i="2" s="1"/>
  <c r="K1596" i="2"/>
  <c r="I1596" i="2"/>
  <c r="J1596" i="2" s="1"/>
  <c r="H1596" i="2"/>
  <c r="G1596" i="2"/>
  <c r="F1596" i="2"/>
  <c r="D1596" i="2"/>
  <c r="E1596" i="2" s="1"/>
  <c r="C1596" i="2"/>
  <c r="B1596" i="2"/>
  <c r="A1596" i="2"/>
  <c r="L1595" i="2"/>
  <c r="K1595" i="2"/>
  <c r="I1595" i="2"/>
  <c r="J1595" i="2" s="1"/>
  <c r="H1595" i="2"/>
  <c r="G1595" i="2"/>
  <c r="N1595" i="2" s="1"/>
  <c r="F1595" i="2"/>
  <c r="E1595" i="2"/>
  <c r="D1595" i="2"/>
  <c r="C1595" i="2"/>
  <c r="B1595" i="2"/>
  <c r="A1595" i="2"/>
  <c r="N1594" i="2"/>
  <c r="L1594" i="2"/>
  <c r="K1594" i="2"/>
  <c r="H1594" i="2"/>
  <c r="G1594" i="2"/>
  <c r="I1594" i="2" s="1"/>
  <c r="J1594" i="2" s="1"/>
  <c r="F1594" i="2"/>
  <c r="D1594" i="2"/>
  <c r="E1594" i="2" s="1"/>
  <c r="C1594" i="2"/>
  <c r="B1594" i="2"/>
  <c r="A1594" i="2"/>
  <c r="L1593" i="2"/>
  <c r="K1593" i="2"/>
  <c r="I1593" i="2"/>
  <c r="J1593" i="2" s="1"/>
  <c r="H1593" i="2"/>
  <c r="G1593" i="2"/>
  <c r="N1593" i="2" s="1"/>
  <c r="F1593" i="2"/>
  <c r="E1593" i="2"/>
  <c r="D1593" i="2"/>
  <c r="C1593" i="2"/>
  <c r="B1593" i="2"/>
  <c r="A1593" i="2"/>
  <c r="N1592" i="2"/>
  <c r="L1592" i="2"/>
  <c r="K1592" i="2"/>
  <c r="H1592" i="2"/>
  <c r="G1592" i="2"/>
  <c r="I1592" i="2" s="1"/>
  <c r="J1592" i="2" s="1"/>
  <c r="F1592" i="2"/>
  <c r="E1592" i="2"/>
  <c r="D1592" i="2"/>
  <c r="C1592" i="2"/>
  <c r="B1592" i="2"/>
  <c r="A1592" i="2"/>
  <c r="L1591" i="2"/>
  <c r="N1591" i="2" s="1"/>
  <c r="K1591" i="2"/>
  <c r="O1591" i="2" s="1"/>
  <c r="H1591" i="2"/>
  <c r="G1591" i="2"/>
  <c r="I1591" i="2" s="1"/>
  <c r="J1591" i="2" s="1"/>
  <c r="F1591" i="2"/>
  <c r="E1591" i="2"/>
  <c r="D1591" i="2"/>
  <c r="C1591" i="2"/>
  <c r="B1591" i="2"/>
  <c r="A1591" i="2"/>
  <c r="L1590" i="2"/>
  <c r="N1590" i="2" s="1"/>
  <c r="K1590" i="2"/>
  <c r="H1590" i="2"/>
  <c r="G1590" i="2"/>
  <c r="F1590" i="2"/>
  <c r="D1590" i="2"/>
  <c r="E1590" i="2" s="1"/>
  <c r="C1590" i="2"/>
  <c r="B1590" i="2"/>
  <c r="A1590" i="2"/>
  <c r="L1589" i="2"/>
  <c r="K1589" i="2"/>
  <c r="I1589" i="2"/>
  <c r="J1589" i="2" s="1"/>
  <c r="H1589" i="2"/>
  <c r="G1589" i="2"/>
  <c r="N1589" i="2" s="1"/>
  <c r="F1589" i="2"/>
  <c r="E1589" i="2"/>
  <c r="D1589" i="2"/>
  <c r="C1589" i="2"/>
  <c r="B1589" i="2"/>
  <c r="A1589" i="2"/>
  <c r="N1588" i="2"/>
  <c r="L1588" i="2"/>
  <c r="K1588" i="2"/>
  <c r="I1588" i="2"/>
  <c r="J1588" i="2" s="1"/>
  <c r="H1588" i="2"/>
  <c r="G1588" i="2"/>
  <c r="F1588" i="2"/>
  <c r="E1588" i="2"/>
  <c r="D1588" i="2"/>
  <c r="C1588" i="2"/>
  <c r="B1588" i="2"/>
  <c r="A1588" i="2"/>
  <c r="L1587" i="2"/>
  <c r="K1587" i="2"/>
  <c r="I1587" i="2"/>
  <c r="J1587" i="2" s="1"/>
  <c r="H1587" i="2"/>
  <c r="G1587" i="2"/>
  <c r="F1587" i="2"/>
  <c r="E1587" i="2"/>
  <c r="D1587" i="2"/>
  <c r="C1587" i="2"/>
  <c r="B1587" i="2"/>
  <c r="A1587" i="2"/>
  <c r="N1586" i="2"/>
  <c r="L1586" i="2"/>
  <c r="K1586" i="2"/>
  <c r="J1586" i="2"/>
  <c r="H1586" i="2"/>
  <c r="G1586" i="2"/>
  <c r="I1586" i="2" s="1"/>
  <c r="F1586" i="2"/>
  <c r="E1586" i="2"/>
  <c r="D1586" i="2"/>
  <c r="C1586" i="2"/>
  <c r="B1586" i="2"/>
  <c r="A1586" i="2"/>
  <c r="L1585" i="2"/>
  <c r="N1585" i="2" s="1"/>
  <c r="K1585" i="2"/>
  <c r="H1585" i="2"/>
  <c r="I1585" i="2" s="1"/>
  <c r="J1585" i="2" s="1"/>
  <c r="G1585" i="2"/>
  <c r="F1585" i="2"/>
  <c r="D1585" i="2"/>
  <c r="E1585" i="2" s="1"/>
  <c r="C1585" i="2"/>
  <c r="B1585" i="2"/>
  <c r="A1585" i="2"/>
  <c r="L1584" i="2"/>
  <c r="K1584" i="2"/>
  <c r="I1584" i="2"/>
  <c r="J1584" i="2" s="1"/>
  <c r="H1584" i="2"/>
  <c r="G1584" i="2"/>
  <c r="N1584" i="2" s="1"/>
  <c r="F1584" i="2"/>
  <c r="E1584" i="2"/>
  <c r="D1584" i="2"/>
  <c r="C1584" i="2"/>
  <c r="B1584" i="2"/>
  <c r="A1584" i="2"/>
  <c r="N1583" i="2"/>
  <c r="L1583" i="2"/>
  <c r="K1583" i="2"/>
  <c r="H1583" i="2"/>
  <c r="G1583" i="2"/>
  <c r="F1583" i="2"/>
  <c r="D1583" i="2"/>
  <c r="E1583" i="2" s="1"/>
  <c r="C1583" i="2"/>
  <c r="B1583" i="2"/>
  <c r="A1583" i="2"/>
  <c r="L1582" i="2"/>
  <c r="K1582" i="2"/>
  <c r="H1582" i="2"/>
  <c r="G1582" i="2"/>
  <c r="F1582" i="2"/>
  <c r="E1582" i="2"/>
  <c r="D1582" i="2"/>
  <c r="C1582" i="2"/>
  <c r="B1582" i="2"/>
  <c r="A1582" i="2"/>
  <c r="N1581" i="2"/>
  <c r="L1581" i="2"/>
  <c r="K1581" i="2"/>
  <c r="J1581" i="2"/>
  <c r="H1581" i="2"/>
  <c r="G1581" i="2"/>
  <c r="I1581" i="2" s="1"/>
  <c r="F1581" i="2"/>
  <c r="D1581" i="2"/>
  <c r="E1581" i="2" s="1"/>
  <c r="C1581" i="2"/>
  <c r="B1581" i="2"/>
  <c r="A1581" i="2"/>
  <c r="L1580" i="2"/>
  <c r="K1580" i="2"/>
  <c r="H1580" i="2"/>
  <c r="G1580" i="2"/>
  <c r="F1580" i="2"/>
  <c r="E1580" i="2"/>
  <c r="D1580" i="2"/>
  <c r="C1580" i="2"/>
  <c r="B1580" i="2"/>
  <c r="A1580" i="2"/>
  <c r="L1579" i="2"/>
  <c r="N1579" i="2" s="1"/>
  <c r="K1579" i="2"/>
  <c r="H1579" i="2"/>
  <c r="G1579" i="2"/>
  <c r="I1579" i="2" s="1"/>
  <c r="J1579" i="2" s="1"/>
  <c r="F1579" i="2"/>
  <c r="E1579" i="2"/>
  <c r="D1579" i="2"/>
  <c r="C1579" i="2"/>
  <c r="B1579" i="2"/>
  <c r="O1579" i="2" s="1"/>
  <c r="A1579" i="2"/>
  <c r="L1578" i="2"/>
  <c r="N1578" i="2" s="1"/>
  <c r="K1578" i="2"/>
  <c r="I1578" i="2"/>
  <c r="J1578" i="2" s="1"/>
  <c r="H1578" i="2"/>
  <c r="G1578" i="2"/>
  <c r="F1578" i="2"/>
  <c r="D1578" i="2"/>
  <c r="E1578" i="2" s="1"/>
  <c r="C1578" i="2"/>
  <c r="B1578" i="2"/>
  <c r="A1578" i="2"/>
  <c r="L1577" i="2"/>
  <c r="N1577" i="2" s="1"/>
  <c r="K1577" i="2"/>
  <c r="H1577" i="2"/>
  <c r="I1577" i="2" s="1"/>
  <c r="J1577" i="2" s="1"/>
  <c r="G1577" i="2"/>
  <c r="F1577" i="2"/>
  <c r="E1577" i="2"/>
  <c r="D1577" i="2"/>
  <c r="C1577" i="2"/>
  <c r="B1577" i="2"/>
  <c r="A1577" i="2"/>
  <c r="L1576" i="2"/>
  <c r="K1576" i="2"/>
  <c r="H1576" i="2"/>
  <c r="I1576" i="2" s="1"/>
  <c r="J1576" i="2" s="1"/>
  <c r="G1576" i="2"/>
  <c r="F1576" i="2"/>
  <c r="E1576" i="2"/>
  <c r="D1576" i="2"/>
  <c r="C1576" i="2"/>
  <c r="O1576" i="2" s="1"/>
  <c r="B1576" i="2"/>
  <c r="A1576" i="2"/>
  <c r="L1575" i="2"/>
  <c r="K1575" i="2"/>
  <c r="H1575" i="2"/>
  <c r="I1575" i="2" s="1"/>
  <c r="J1575" i="2" s="1"/>
  <c r="G1575" i="2"/>
  <c r="N1575" i="2" s="1"/>
  <c r="F1575" i="2"/>
  <c r="D1575" i="2"/>
  <c r="E1575" i="2" s="1"/>
  <c r="C1575" i="2"/>
  <c r="B1575" i="2"/>
  <c r="A1575" i="2"/>
  <c r="O1574" i="2"/>
  <c r="N1574" i="2"/>
  <c r="L1574" i="2"/>
  <c r="K1574" i="2"/>
  <c r="H1574" i="2"/>
  <c r="G1574" i="2"/>
  <c r="I1574" i="2" s="1"/>
  <c r="J1574" i="2" s="1"/>
  <c r="F1574" i="2"/>
  <c r="E1574" i="2"/>
  <c r="D1574" i="2"/>
  <c r="C1574" i="2"/>
  <c r="B1574" i="2"/>
  <c r="A1574" i="2"/>
  <c r="L1573" i="2"/>
  <c r="N1573" i="2" s="1"/>
  <c r="K1573" i="2"/>
  <c r="I1573" i="2"/>
  <c r="J1573" i="2" s="1"/>
  <c r="H1573" i="2"/>
  <c r="G1573" i="2"/>
  <c r="F1573" i="2"/>
  <c r="D1573" i="2"/>
  <c r="E1573" i="2" s="1"/>
  <c r="C1573" i="2"/>
  <c r="B1573" i="2"/>
  <c r="A1573" i="2"/>
  <c r="O1573" i="2" s="1"/>
  <c r="L1572" i="2"/>
  <c r="K1572" i="2"/>
  <c r="H1572" i="2"/>
  <c r="G1572" i="2"/>
  <c r="F1572" i="2"/>
  <c r="D1572" i="2"/>
  <c r="E1572" i="2" s="1"/>
  <c r="C1572" i="2"/>
  <c r="B1572" i="2"/>
  <c r="A1572" i="2"/>
  <c r="N1571" i="2"/>
  <c r="L1571" i="2"/>
  <c r="K1571" i="2"/>
  <c r="H1571" i="2"/>
  <c r="G1571" i="2"/>
  <c r="F1571" i="2"/>
  <c r="D1571" i="2"/>
  <c r="E1571" i="2" s="1"/>
  <c r="C1571" i="2"/>
  <c r="B1571" i="2"/>
  <c r="A1571" i="2"/>
  <c r="O1570" i="2"/>
  <c r="L1570" i="2"/>
  <c r="K1570" i="2"/>
  <c r="I1570" i="2"/>
  <c r="J1570" i="2" s="1"/>
  <c r="H1570" i="2"/>
  <c r="G1570" i="2"/>
  <c r="N1570" i="2" s="1"/>
  <c r="F1570" i="2"/>
  <c r="D1570" i="2"/>
  <c r="E1570" i="2" s="1"/>
  <c r="C1570" i="2"/>
  <c r="B1570" i="2"/>
  <c r="A1570" i="2"/>
  <c r="N1569" i="2"/>
  <c r="L1569" i="2"/>
  <c r="K1569" i="2"/>
  <c r="J1569" i="2"/>
  <c r="I1569" i="2"/>
  <c r="H1569" i="2"/>
  <c r="G1569" i="2"/>
  <c r="F1569" i="2"/>
  <c r="E1569" i="2"/>
  <c r="D1569" i="2"/>
  <c r="C1569" i="2"/>
  <c r="B1569" i="2"/>
  <c r="A1569" i="2"/>
  <c r="L1568" i="2"/>
  <c r="K1568" i="2"/>
  <c r="H1568" i="2"/>
  <c r="G1568" i="2"/>
  <c r="F1568" i="2"/>
  <c r="D1568" i="2"/>
  <c r="C1568" i="2"/>
  <c r="B1568" i="2"/>
  <c r="O1568" i="2" s="1"/>
  <c r="A1568" i="2"/>
  <c r="N1567" i="2"/>
  <c r="L1567" i="2"/>
  <c r="K1567" i="2"/>
  <c r="J1567" i="2"/>
  <c r="I1567" i="2"/>
  <c r="H1567" i="2"/>
  <c r="G1567" i="2"/>
  <c r="F1567" i="2"/>
  <c r="D1567" i="2"/>
  <c r="E1567" i="2" s="1"/>
  <c r="C1567" i="2"/>
  <c r="B1567" i="2"/>
  <c r="A1567" i="2"/>
  <c r="N1566" i="2"/>
  <c r="L1566" i="2"/>
  <c r="K1566" i="2"/>
  <c r="H1566" i="2"/>
  <c r="G1566" i="2"/>
  <c r="I1566" i="2" s="1"/>
  <c r="J1566" i="2" s="1"/>
  <c r="F1566" i="2"/>
  <c r="O1566" i="2" s="1"/>
  <c r="E1566" i="2"/>
  <c r="D1566" i="2"/>
  <c r="C1566" i="2"/>
  <c r="B1566" i="2"/>
  <c r="A1566" i="2"/>
  <c r="N1565" i="2"/>
  <c r="L1565" i="2"/>
  <c r="K1565" i="2"/>
  <c r="H1565" i="2"/>
  <c r="G1565" i="2"/>
  <c r="F1565" i="2"/>
  <c r="E1565" i="2"/>
  <c r="D1565" i="2"/>
  <c r="C1565" i="2"/>
  <c r="B1565" i="2"/>
  <c r="O1565" i="2" s="1"/>
  <c r="A1565" i="2"/>
  <c r="L1564" i="2"/>
  <c r="N1564" i="2" s="1"/>
  <c r="K1564" i="2"/>
  <c r="H1564" i="2"/>
  <c r="I1564" i="2" s="1"/>
  <c r="J1564" i="2" s="1"/>
  <c r="G1564" i="2"/>
  <c r="F1564" i="2"/>
  <c r="D1564" i="2"/>
  <c r="E1564" i="2" s="1"/>
  <c r="C1564" i="2"/>
  <c r="B1564" i="2"/>
  <c r="A1564" i="2"/>
  <c r="L1563" i="2"/>
  <c r="K1563" i="2"/>
  <c r="H1563" i="2"/>
  <c r="G1563" i="2"/>
  <c r="F1563" i="2"/>
  <c r="D1563" i="2"/>
  <c r="E1563" i="2" s="1"/>
  <c r="C1563" i="2"/>
  <c r="O1563" i="2" s="1"/>
  <c r="B1563" i="2"/>
  <c r="A1563" i="2"/>
  <c r="N1562" i="2"/>
  <c r="L1562" i="2"/>
  <c r="K1562" i="2"/>
  <c r="I1562" i="2"/>
  <c r="J1562" i="2" s="1"/>
  <c r="H1562" i="2"/>
  <c r="G1562" i="2"/>
  <c r="F1562" i="2"/>
  <c r="E1562" i="2"/>
  <c r="D1562" i="2"/>
  <c r="C1562" i="2"/>
  <c r="B1562" i="2"/>
  <c r="A1562" i="2"/>
  <c r="N1561" i="2"/>
  <c r="L1561" i="2"/>
  <c r="K1561" i="2"/>
  <c r="H1561" i="2"/>
  <c r="I1561" i="2" s="1"/>
  <c r="J1561" i="2" s="1"/>
  <c r="G1561" i="2"/>
  <c r="F1561" i="2"/>
  <c r="D1561" i="2"/>
  <c r="E1561" i="2" s="1"/>
  <c r="C1561" i="2"/>
  <c r="B1561" i="2"/>
  <c r="A1561" i="2"/>
  <c r="L1560" i="2"/>
  <c r="K1560" i="2"/>
  <c r="H1560" i="2"/>
  <c r="G1560" i="2"/>
  <c r="F1560" i="2"/>
  <c r="E1560" i="2"/>
  <c r="D1560" i="2"/>
  <c r="C1560" i="2"/>
  <c r="B1560" i="2"/>
  <c r="A1560" i="2"/>
  <c r="L1559" i="2"/>
  <c r="K1559" i="2"/>
  <c r="H1559" i="2"/>
  <c r="G1559" i="2"/>
  <c r="F1559" i="2"/>
  <c r="D1559" i="2"/>
  <c r="E1559" i="2" s="1"/>
  <c r="C1559" i="2"/>
  <c r="B1559" i="2"/>
  <c r="A1559" i="2"/>
  <c r="N1558" i="2"/>
  <c r="L1558" i="2"/>
  <c r="K1558" i="2"/>
  <c r="J1558" i="2"/>
  <c r="H1558" i="2"/>
  <c r="I1558" i="2" s="1"/>
  <c r="G1558" i="2"/>
  <c r="F1558" i="2"/>
  <c r="E1558" i="2"/>
  <c r="D1558" i="2"/>
  <c r="C1558" i="2"/>
  <c r="B1558" i="2"/>
  <c r="A1558" i="2"/>
  <c r="L1557" i="2"/>
  <c r="K1557" i="2"/>
  <c r="H1557" i="2"/>
  <c r="I1557" i="2" s="1"/>
  <c r="J1557" i="2" s="1"/>
  <c r="G1557" i="2"/>
  <c r="F1557" i="2"/>
  <c r="D1557" i="2"/>
  <c r="E1557" i="2" s="1"/>
  <c r="C1557" i="2"/>
  <c r="B1557" i="2"/>
  <c r="A1557" i="2"/>
  <c r="O1556" i="2"/>
  <c r="L1556" i="2"/>
  <c r="K1556" i="2"/>
  <c r="H1556" i="2"/>
  <c r="G1556" i="2"/>
  <c r="F1556" i="2"/>
  <c r="E1556" i="2"/>
  <c r="D1556" i="2"/>
  <c r="C1556" i="2"/>
  <c r="B1556" i="2"/>
  <c r="A1556" i="2"/>
  <c r="L1555" i="2"/>
  <c r="N1555" i="2" s="1"/>
  <c r="K1555" i="2"/>
  <c r="H1555" i="2"/>
  <c r="G1555" i="2"/>
  <c r="F1555" i="2"/>
  <c r="E1555" i="2"/>
  <c r="D1555" i="2"/>
  <c r="C1555" i="2"/>
  <c r="O1555" i="2" s="1"/>
  <c r="B1555" i="2"/>
  <c r="A1555" i="2"/>
  <c r="L1554" i="2"/>
  <c r="K1554" i="2"/>
  <c r="H1554" i="2"/>
  <c r="G1554" i="2"/>
  <c r="F1554" i="2"/>
  <c r="E1554" i="2"/>
  <c r="D1554" i="2"/>
  <c r="C1554" i="2"/>
  <c r="O1554" i="2" s="1"/>
  <c r="B1554" i="2"/>
  <c r="A1554" i="2"/>
  <c r="N1553" i="2"/>
  <c r="L1553" i="2"/>
  <c r="K1553" i="2"/>
  <c r="I1553" i="2"/>
  <c r="J1553" i="2" s="1"/>
  <c r="H1553" i="2"/>
  <c r="G1553" i="2"/>
  <c r="F1553" i="2"/>
  <c r="E1553" i="2"/>
  <c r="D1553" i="2"/>
  <c r="C1553" i="2"/>
  <c r="B1553" i="2"/>
  <c r="A1553" i="2"/>
  <c r="L1552" i="2"/>
  <c r="K1552" i="2"/>
  <c r="H1552" i="2"/>
  <c r="G1552" i="2"/>
  <c r="N1552" i="2" s="1"/>
  <c r="F1552" i="2"/>
  <c r="D1552" i="2"/>
  <c r="E1552" i="2" s="1"/>
  <c r="C1552" i="2"/>
  <c r="O1552" i="2" s="1"/>
  <c r="B1552" i="2"/>
  <c r="A1552" i="2"/>
  <c r="L1551" i="2"/>
  <c r="K1551" i="2"/>
  <c r="I1551" i="2"/>
  <c r="J1551" i="2" s="1"/>
  <c r="H1551" i="2"/>
  <c r="G1551" i="2"/>
  <c r="F1551" i="2"/>
  <c r="D1551" i="2"/>
  <c r="E1551" i="2" s="1"/>
  <c r="C1551" i="2"/>
  <c r="B1551" i="2"/>
  <c r="A1551" i="2"/>
  <c r="O1550" i="2"/>
  <c r="L1550" i="2"/>
  <c r="K1550" i="2"/>
  <c r="H1550" i="2"/>
  <c r="G1550" i="2"/>
  <c r="F1550" i="2"/>
  <c r="E1550" i="2"/>
  <c r="D1550" i="2"/>
  <c r="C1550" i="2"/>
  <c r="B1550" i="2"/>
  <c r="A1550" i="2"/>
  <c r="L1549" i="2"/>
  <c r="N1549" i="2" s="1"/>
  <c r="K1549" i="2"/>
  <c r="J1549" i="2"/>
  <c r="I1549" i="2"/>
  <c r="H1549" i="2"/>
  <c r="G1549" i="2"/>
  <c r="F1549" i="2"/>
  <c r="D1549" i="2"/>
  <c r="E1549" i="2" s="1"/>
  <c r="C1549" i="2"/>
  <c r="B1549" i="2"/>
  <c r="A1549" i="2"/>
  <c r="N1548" i="2"/>
  <c r="L1548" i="2"/>
  <c r="K1548" i="2"/>
  <c r="H1548" i="2"/>
  <c r="G1548" i="2"/>
  <c r="I1548" i="2" s="1"/>
  <c r="J1548" i="2" s="1"/>
  <c r="F1548" i="2"/>
  <c r="E1548" i="2"/>
  <c r="D1548" i="2"/>
  <c r="C1548" i="2"/>
  <c r="B1548" i="2"/>
  <c r="A1548" i="2"/>
  <c r="L1547" i="2"/>
  <c r="N1547" i="2" s="1"/>
  <c r="K1547" i="2"/>
  <c r="H1547" i="2"/>
  <c r="G1547" i="2"/>
  <c r="F1547" i="2"/>
  <c r="E1547" i="2"/>
  <c r="D1547" i="2"/>
  <c r="C1547" i="2"/>
  <c r="B1547" i="2"/>
  <c r="O1547" i="2" s="1"/>
  <c r="A1547" i="2"/>
  <c r="L1546" i="2"/>
  <c r="K1546" i="2"/>
  <c r="H1546" i="2"/>
  <c r="G1546" i="2"/>
  <c r="F1546" i="2"/>
  <c r="E1546" i="2"/>
  <c r="D1546" i="2"/>
  <c r="C1546" i="2"/>
  <c r="B1546" i="2"/>
  <c r="A1546" i="2"/>
  <c r="L1545" i="2"/>
  <c r="N1545" i="2" s="1"/>
  <c r="K1545" i="2"/>
  <c r="J1545" i="2"/>
  <c r="H1545" i="2"/>
  <c r="I1545" i="2" s="1"/>
  <c r="G1545" i="2"/>
  <c r="F1545" i="2"/>
  <c r="D1545" i="2"/>
  <c r="E1545" i="2" s="1"/>
  <c r="C1545" i="2"/>
  <c r="B1545" i="2"/>
  <c r="A1545" i="2"/>
  <c r="L1544" i="2"/>
  <c r="K1544" i="2"/>
  <c r="I1544" i="2"/>
  <c r="J1544" i="2" s="1"/>
  <c r="H1544" i="2"/>
  <c r="G1544" i="2"/>
  <c r="F1544" i="2"/>
  <c r="E1544" i="2"/>
  <c r="D1544" i="2"/>
  <c r="C1544" i="2"/>
  <c r="B1544" i="2"/>
  <c r="A1544" i="2"/>
  <c r="O1544" i="2" s="1"/>
  <c r="L1543" i="2"/>
  <c r="K1543" i="2"/>
  <c r="I1543" i="2"/>
  <c r="J1543" i="2" s="1"/>
  <c r="H1543" i="2"/>
  <c r="G1543" i="2"/>
  <c r="F1543" i="2"/>
  <c r="D1543" i="2"/>
  <c r="E1543" i="2" s="1"/>
  <c r="C1543" i="2"/>
  <c r="B1543" i="2"/>
  <c r="O1543" i="2" s="1"/>
  <c r="A1543" i="2"/>
  <c r="O1542" i="2"/>
  <c r="L1542" i="2"/>
  <c r="K1542" i="2"/>
  <c r="H1542" i="2"/>
  <c r="G1542" i="2"/>
  <c r="F1542" i="2"/>
  <c r="E1542" i="2"/>
  <c r="D1542" i="2"/>
  <c r="C1542" i="2"/>
  <c r="B1542" i="2"/>
  <c r="A1542" i="2"/>
  <c r="L1541" i="2"/>
  <c r="N1541" i="2" s="1"/>
  <c r="K1541" i="2"/>
  <c r="H1541" i="2"/>
  <c r="I1541" i="2" s="1"/>
  <c r="J1541" i="2" s="1"/>
  <c r="G1541" i="2"/>
  <c r="F1541" i="2"/>
  <c r="D1541" i="2"/>
  <c r="E1541" i="2" s="1"/>
  <c r="C1541" i="2"/>
  <c r="B1541" i="2"/>
  <c r="A1541" i="2"/>
  <c r="O1541" i="2" s="1"/>
  <c r="L1540" i="2"/>
  <c r="K1540" i="2"/>
  <c r="H1540" i="2"/>
  <c r="G1540" i="2"/>
  <c r="F1540" i="2"/>
  <c r="D1540" i="2"/>
  <c r="E1540" i="2" s="1"/>
  <c r="C1540" i="2"/>
  <c r="B1540" i="2"/>
  <c r="A1540" i="2"/>
  <c r="L1539" i="2"/>
  <c r="N1539" i="2" s="1"/>
  <c r="K1539" i="2"/>
  <c r="J1539" i="2"/>
  <c r="H1539" i="2"/>
  <c r="G1539" i="2"/>
  <c r="I1539" i="2" s="1"/>
  <c r="F1539" i="2"/>
  <c r="D1539" i="2"/>
  <c r="E1539" i="2" s="1"/>
  <c r="C1539" i="2"/>
  <c r="B1539" i="2"/>
  <c r="A1539" i="2"/>
  <c r="L1538" i="2"/>
  <c r="K1538" i="2"/>
  <c r="I1538" i="2"/>
  <c r="J1538" i="2" s="1"/>
  <c r="H1538" i="2"/>
  <c r="G1538" i="2"/>
  <c r="N1538" i="2" s="1"/>
  <c r="F1538" i="2"/>
  <c r="D1538" i="2"/>
  <c r="E1538" i="2" s="1"/>
  <c r="C1538" i="2"/>
  <c r="B1538" i="2"/>
  <c r="A1538" i="2"/>
  <c r="N1537" i="2"/>
  <c r="L1537" i="2"/>
  <c r="K1537" i="2"/>
  <c r="I1537" i="2"/>
  <c r="J1537" i="2" s="1"/>
  <c r="H1537" i="2"/>
  <c r="G1537" i="2"/>
  <c r="F1537" i="2"/>
  <c r="D1537" i="2"/>
  <c r="E1537" i="2" s="1"/>
  <c r="C1537" i="2"/>
  <c r="B1537" i="2"/>
  <c r="A1537" i="2"/>
  <c r="L1536" i="2"/>
  <c r="K1536" i="2"/>
  <c r="H1536" i="2"/>
  <c r="G1536" i="2"/>
  <c r="F1536" i="2"/>
  <c r="E1536" i="2"/>
  <c r="D1536" i="2"/>
  <c r="C1536" i="2"/>
  <c r="O1536" i="2" s="1"/>
  <c r="B1536" i="2"/>
  <c r="A1536" i="2"/>
  <c r="L1535" i="2"/>
  <c r="N1535" i="2" s="1"/>
  <c r="K1535" i="2"/>
  <c r="J1535" i="2"/>
  <c r="I1535" i="2"/>
  <c r="H1535" i="2"/>
  <c r="G1535" i="2"/>
  <c r="F1535" i="2"/>
  <c r="D1535" i="2"/>
  <c r="E1535" i="2" s="1"/>
  <c r="C1535" i="2"/>
  <c r="B1535" i="2"/>
  <c r="A1535" i="2"/>
  <c r="L1534" i="2"/>
  <c r="K1534" i="2"/>
  <c r="I1534" i="2"/>
  <c r="J1534" i="2" s="1"/>
  <c r="H1534" i="2"/>
  <c r="G1534" i="2"/>
  <c r="N1534" i="2" s="1"/>
  <c r="F1534" i="2"/>
  <c r="E1534" i="2"/>
  <c r="D1534" i="2"/>
  <c r="C1534" i="2"/>
  <c r="B1534" i="2"/>
  <c r="A1534" i="2"/>
  <c r="L1533" i="2"/>
  <c r="K1533" i="2"/>
  <c r="H1533" i="2"/>
  <c r="G1533" i="2"/>
  <c r="F1533" i="2"/>
  <c r="O1533" i="2" s="1"/>
  <c r="E1533" i="2"/>
  <c r="D1533" i="2"/>
  <c r="C1533" i="2"/>
  <c r="B1533" i="2"/>
  <c r="A1533" i="2"/>
  <c r="N1532" i="2"/>
  <c r="L1532" i="2"/>
  <c r="K1532" i="2"/>
  <c r="H1532" i="2"/>
  <c r="G1532" i="2"/>
  <c r="I1532" i="2" s="1"/>
  <c r="J1532" i="2" s="1"/>
  <c r="F1532" i="2"/>
  <c r="O1532" i="2" s="1"/>
  <c r="D1532" i="2"/>
  <c r="E1532" i="2" s="1"/>
  <c r="C1532" i="2"/>
  <c r="B1532" i="2"/>
  <c r="A1532" i="2"/>
  <c r="L1531" i="2"/>
  <c r="K1531" i="2"/>
  <c r="J1531" i="2"/>
  <c r="H1531" i="2"/>
  <c r="G1531" i="2"/>
  <c r="I1531" i="2" s="1"/>
  <c r="F1531" i="2"/>
  <c r="D1531" i="2"/>
  <c r="E1531" i="2" s="1"/>
  <c r="C1531" i="2"/>
  <c r="B1531" i="2"/>
  <c r="A1531" i="2"/>
  <c r="L1530" i="2"/>
  <c r="N1530" i="2" s="1"/>
  <c r="K1530" i="2"/>
  <c r="I1530" i="2"/>
  <c r="J1530" i="2" s="1"/>
  <c r="H1530" i="2"/>
  <c r="G1530" i="2"/>
  <c r="F1530" i="2"/>
  <c r="E1530" i="2"/>
  <c r="D1530" i="2"/>
  <c r="C1530" i="2"/>
  <c r="B1530" i="2"/>
  <c r="A1530" i="2"/>
  <c r="O1530" i="2" s="1"/>
  <c r="N1529" i="2"/>
  <c r="L1529" i="2"/>
  <c r="K1529" i="2"/>
  <c r="H1529" i="2"/>
  <c r="I1529" i="2" s="1"/>
  <c r="J1529" i="2" s="1"/>
  <c r="G1529" i="2"/>
  <c r="F1529" i="2"/>
  <c r="D1529" i="2"/>
  <c r="E1529" i="2" s="1"/>
  <c r="C1529" i="2"/>
  <c r="B1529" i="2"/>
  <c r="A1529" i="2"/>
  <c r="L1528" i="2"/>
  <c r="K1528" i="2"/>
  <c r="H1528" i="2"/>
  <c r="G1528" i="2"/>
  <c r="F1528" i="2"/>
  <c r="D1528" i="2"/>
  <c r="E1528" i="2" s="1"/>
  <c r="C1528" i="2"/>
  <c r="B1528" i="2"/>
  <c r="A1528" i="2"/>
  <c r="N1527" i="2"/>
  <c r="L1527" i="2"/>
  <c r="K1527" i="2"/>
  <c r="H1527" i="2"/>
  <c r="G1527" i="2"/>
  <c r="F1527" i="2"/>
  <c r="D1527" i="2"/>
  <c r="E1527" i="2" s="1"/>
  <c r="C1527" i="2"/>
  <c r="B1527" i="2"/>
  <c r="A1527" i="2"/>
  <c r="N1526" i="2"/>
  <c r="L1526" i="2"/>
  <c r="K1526" i="2"/>
  <c r="I1526" i="2"/>
  <c r="J1526" i="2" s="1"/>
  <c r="H1526" i="2"/>
  <c r="G1526" i="2"/>
  <c r="F1526" i="2"/>
  <c r="E1526" i="2"/>
  <c r="D1526" i="2"/>
  <c r="C1526" i="2"/>
  <c r="B1526" i="2"/>
  <c r="A1526" i="2"/>
  <c r="L1525" i="2"/>
  <c r="K1525" i="2"/>
  <c r="I1525" i="2"/>
  <c r="J1525" i="2" s="1"/>
  <c r="H1525" i="2"/>
  <c r="G1525" i="2"/>
  <c r="F1525" i="2"/>
  <c r="E1525" i="2"/>
  <c r="D1525" i="2"/>
  <c r="C1525" i="2"/>
  <c r="B1525" i="2"/>
  <c r="A1525" i="2"/>
  <c r="O1525" i="2" s="1"/>
  <c r="L1524" i="2"/>
  <c r="K1524" i="2"/>
  <c r="H1524" i="2"/>
  <c r="I1524" i="2" s="1"/>
  <c r="J1524" i="2" s="1"/>
  <c r="G1524" i="2"/>
  <c r="N1524" i="2" s="1"/>
  <c r="F1524" i="2"/>
  <c r="E1524" i="2"/>
  <c r="D1524" i="2"/>
  <c r="C1524" i="2"/>
  <c r="B1524" i="2"/>
  <c r="A1524" i="2"/>
  <c r="O1523" i="2"/>
  <c r="N1523" i="2"/>
  <c r="L1523" i="2"/>
  <c r="K1523" i="2"/>
  <c r="H1523" i="2"/>
  <c r="G1523" i="2"/>
  <c r="I1523" i="2" s="1"/>
  <c r="J1523" i="2" s="1"/>
  <c r="F1523" i="2"/>
  <c r="E1523" i="2"/>
  <c r="D1523" i="2"/>
  <c r="C1523" i="2"/>
  <c r="B1523" i="2"/>
  <c r="A1523" i="2"/>
  <c r="L1522" i="2"/>
  <c r="N1522" i="2" s="1"/>
  <c r="K1522" i="2"/>
  <c r="J1522" i="2"/>
  <c r="H1522" i="2"/>
  <c r="G1522" i="2"/>
  <c r="I1522" i="2" s="1"/>
  <c r="F1522" i="2"/>
  <c r="D1522" i="2"/>
  <c r="E1522" i="2" s="1"/>
  <c r="C1522" i="2"/>
  <c r="B1522" i="2"/>
  <c r="O1522" i="2" s="1"/>
  <c r="A1522" i="2"/>
  <c r="N1521" i="2"/>
  <c r="L1521" i="2"/>
  <c r="K1521" i="2"/>
  <c r="I1521" i="2"/>
  <c r="J1521" i="2" s="1"/>
  <c r="H1521" i="2"/>
  <c r="G1521" i="2"/>
  <c r="F1521" i="2"/>
  <c r="D1521" i="2"/>
  <c r="E1521" i="2" s="1"/>
  <c r="C1521" i="2"/>
  <c r="B1521" i="2"/>
  <c r="A1521" i="2"/>
  <c r="L1520" i="2"/>
  <c r="K1520" i="2"/>
  <c r="H1520" i="2"/>
  <c r="I1520" i="2" s="1"/>
  <c r="J1520" i="2" s="1"/>
  <c r="G1520" i="2"/>
  <c r="N1520" i="2" s="1"/>
  <c r="F1520" i="2"/>
  <c r="D1520" i="2"/>
  <c r="E1520" i="2" s="1"/>
  <c r="C1520" i="2"/>
  <c r="B1520" i="2"/>
  <c r="O1520" i="2" s="1"/>
  <c r="A1520" i="2"/>
  <c r="N1519" i="2"/>
  <c r="L1519" i="2"/>
  <c r="K1519" i="2"/>
  <c r="H1519" i="2"/>
  <c r="I1519" i="2" s="1"/>
  <c r="J1519" i="2" s="1"/>
  <c r="G1519" i="2"/>
  <c r="F1519" i="2"/>
  <c r="D1519" i="2"/>
  <c r="E1519" i="2" s="1"/>
  <c r="C1519" i="2"/>
  <c r="B1519" i="2"/>
  <c r="A1519" i="2"/>
  <c r="L1518" i="2"/>
  <c r="K1518" i="2"/>
  <c r="J1518" i="2"/>
  <c r="H1518" i="2"/>
  <c r="G1518" i="2"/>
  <c r="I1518" i="2" s="1"/>
  <c r="F1518" i="2"/>
  <c r="E1518" i="2"/>
  <c r="D1518" i="2"/>
  <c r="C1518" i="2"/>
  <c r="B1518" i="2"/>
  <c r="O1518" i="2" s="1"/>
  <c r="A1518" i="2"/>
  <c r="L1517" i="2"/>
  <c r="K1517" i="2"/>
  <c r="H1517" i="2"/>
  <c r="G1517" i="2"/>
  <c r="F1517" i="2"/>
  <c r="D1517" i="2"/>
  <c r="E1517" i="2" s="1"/>
  <c r="C1517" i="2"/>
  <c r="B1517" i="2"/>
  <c r="A1517" i="2"/>
  <c r="L1516" i="2"/>
  <c r="N1516" i="2" s="1"/>
  <c r="K1516" i="2"/>
  <c r="H1516" i="2"/>
  <c r="G1516" i="2"/>
  <c r="I1516" i="2" s="1"/>
  <c r="J1516" i="2" s="1"/>
  <c r="F1516" i="2"/>
  <c r="E1516" i="2"/>
  <c r="D1516" i="2"/>
  <c r="C1516" i="2"/>
  <c r="B1516" i="2"/>
  <c r="A1516" i="2"/>
  <c r="L1515" i="2"/>
  <c r="N1515" i="2" s="1"/>
  <c r="K1515" i="2"/>
  <c r="H1515" i="2"/>
  <c r="G1515" i="2"/>
  <c r="F1515" i="2"/>
  <c r="E1515" i="2"/>
  <c r="D1515" i="2"/>
  <c r="C1515" i="2"/>
  <c r="B1515" i="2"/>
  <c r="A1515" i="2"/>
  <c r="O1514" i="2"/>
  <c r="L1514" i="2"/>
  <c r="K1514" i="2"/>
  <c r="H1514" i="2"/>
  <c r="G1514" i="2"/>
  <c r="F1514" i="2"/>
  <c r="E1514" i="2"/>
  <c r="D1514" i="2"/>
  <c r="C1514" i="2"/>
  <c r="B1514" i="2"/>
  <c r="A1514" i="2"/>
  <c r="N1513" i="2"/>
  <c r="L1513" i="2"/>
  <c r="K1513" i="2"/>
  <c r="H1513" i="2"/>
  <c r="I1513" i="2" s="1"/>
  <c r="J1513" i="2" s="1"/>
  <c r="G1513" i="2"/>
  <c r="F1513" i="2"/>
  <c r="E1513" i="2"/>
  <c r="D1513" i="2"/>
  <c r="C1513" i="2"/>
  <c r="B1513" i="2"/>
  <c r="A1513" i="2"/>
  <c r="L1512" i="2"/>
  <c r="K1512" i="2"/>
  <c r="H1512" i="2"/>
  <c r="I1512" i="2" s="1"/>
  <c r="J1512" i="2" s="1"/>
  <c r="G1512" i="2"/>
  <c r="F1512" i="2"/>
  <c r="D1512" i="2"/>
  <c r="E1512" i="2" s="1"/>
  <c r="C1512" i="2"/>
  <c r="B1512" i="2"/>
  <c r="A1512" i="2"/>
  <c r="L1511" i="2"/>
  <c r="K1511" i="2"/>
  <c r="H1511" i="2"/>
  <c r="G1511" i="2"/>
  <c r="N1511" i="2" s="1"/>
  <c r="F1511" i="2"/>
  <c r="D1511" i="2"/>
  <c r="E1511" i="2" s="1"/>
  <c r="C1511" i="2"/>
  <c r="B1511" i="2"/>
  <c r="A1511" i="2"/>
  <c r="L1510" i="2"/>
  <c r="K1510" i="2"/>
  <c r="I1510" i="2"/>
  <c r="J1510" i="2" s="1"/>
  <c r="H1510" i="2"/>
  <c r="G1510" i="2"/>
  <c r="N1510" i="2" s="1"/>
  <c r="F1510" i="2"/>
  <c r="E1510" i="2"/>
  <c r="D1510" i="2"/>
  <c r="C1510" i="2"/>
  <c r="B1510" i="2"/>
  <c r="A1510" i="2"/>
  <c r="L1509" i="2"/>
  <c r="K1509" i="2"/>
  <c r="H1509" i="2"/>
  <c r="G1509" i="2"/>
  <c r="F1509" i="2"/>
  <c r="O1509" i="2" s="1"/>
  <c r="D1509" i="2"/>
  <c r="E1509" i="2" s="1"/>
  <c r="C1509" i="2"/>
  <c r="B1509" i="2"/>
  <c r="A1509" i="2"/>
  <c r="L1508" i="2"/>
  <c r="N1508" i="2" s="1"/>
  <c r="K1508" i="2"/>
  <c r="H1508" i="2"/>
  <c r="G1508" i="2"/>
  <c r="I1508" i="2" s="1"/>
  <c r="J1508" i="2" s="1"/>
  <c r="F1508" i="2"/>
  <c r="D1508" i="2"/>
  <c r="C1508" i="2"/>
  <c r="B1508" i="2"/>
  <c r="A1508" i="2"/>
  <c r="L1507" i="2"/>
  <c r="K1507" i="2"/>
  <c r="H1507" i="2"/>
  <c r="G1507" i="2"/>
  <c r="F1507" i="2"/>
  <c r="D1507" i="2"/>
  <c r="E1507" i="2" s="1"/>
  <c r="C1507" i="2"/>
  <c r="B1507" i="2"/>
  <c r="A1507" i="2"/>
  <c r="L1506" i="2"/>
  <c r="N1506" i="2" s="1"/>
  <c r="K1506" i="2"/>
  <c r="H1506" i="2"/>
  <c r="G1506" i="2"/>
  <c r="I1506" i="2" s="1"/>
  <c r="J1506" i="2" s="1"/>
  <c r="F1506" i="2"/>
  <c r="D1506" i="2"/>
  <c r="E1506" i="2" s="1"/>
  <c r="C1506" i="2"/>
  <c r="O1506" i="2" s="1"/>
  <c r="B1506" i="2"/>
  <c r="A1506" i="2"/>
  <c r="L1505" i="2"/>
  <c r="N1505" i="2" s="1"/>
  <c r="K1505" i="2"/>
  <c r="I1505" i="2"/>
  <c r="J1505" i="2" s="1"/>
  <c r="H1505" i="2"/>
  <c r="G1505" i="2"/>
  <c r="F1505" i="2"/>
  <c r="E1505" i="2"/>
  <c r="D1505" i="2"/>
  <c r="C1505" i="2"/>
  <c r="B1505" i="2"/>
  <c r="A1505" i="2"/>
  <c r="L1504" i="2"/>
  <c r="K1504" i="2"/>
  <c r="H1504" i="2"/>
  <c r="G1504" i="2"/>
  <c r="F1504" i="2"/>
  <c r="D1504" i="2"/>
  <c r="C1504" i="2"/>
  <c r="B1504" i="2"/>
  <c r="O1504" i="2" s="1"/>
  <c r="A1504" i="2"/>
  <c r="L1503" i="2"/>
  <c r="N1503" i="2" s="1"/>
  <c r="K1503" i="2"/>
  <c r="H1503" i="2"/>
  <c r="G1503" i="2"/>
  <c r="F1503" i="2"/>
  <c r="D1503" i="2"/>
  <c r="E1503" i="2" s="1"/>
  <c r="C1503" i="2"/>
  <c r="B1503" i="2"/>
  <c r="A1503" i="2"/>
  <c r="N1502" i="2"/>
  <c r="L1502" i="2"/>
  <c r="K1502" i="2"/>
  <c r="I1502" i="2"/>
  <c r="J1502" i="2" s="1"/>
  <c r="H1502" i="2"/>
  <c r="G1502" i="2"/>
  <c r="F1502" i="2"/>
  <c r="E1502" i="2"/>
  <c r="D1502" i="2"/>
  <c r="C1502" i="2"/>
  <c r="B1502" i="2"/>
  <c r="A1502" i="2"/>
  <c r="N1501" i="2"/>
  <c r="L1501" i="2"/>
  <c r="K1501" i="2"/>
  <c r="I1501" i="2"/>
  <c r="J1501" i="2" s="1"/>
  <c r="H1501" i="2"/>
  <c r="G1501" i="2"/>
  <c r="F1501" i="2"/>
  <c r="E1501" i="2"/>
  <c r="D1501" i="2"/>
  <c r="C1501" i="2"/>
  <c r="B1501" i="2"/>
  <c r="A1501" i="2"/>
  <c r="L1500" i="2"/>
  <c r="K1500" i="2"/>
  <c r="H1500" i="2"/>
  <c r="G1500" i="2"/>
  <c r="F1500" i="2"/>
  <c r="O1500" i="2" s="1"/>
  <c r="D1500" i="2"/>
  <c r="C1500" i="2"/>
  <c r="B1500" i="2"/>
  <c r="A1500" i="2"/>
  <c r="L1499" i="2"/>
  <c r="K1499" i="2"/>
  <c r="H1499" i="2"/>
  <c r="G1499" i="2"/>
  <c r="I1499" i="2" s="1"/>
  <c r="J1499" i="2" s="1"/>
  <c r="F1499" i="2"/>
  <c r="E1499" i="2"/>
  <c r="D1499" i="2"/>
  <c r="C1499" i="2"/>
  <c r="B1499" i="2"/>
  <c r="A1499" i="2"/>
  <c r="L1498" i="2"/>
  <c r="K1498" i="2"/>
  <c r="I1498" i="2"/>
  <c r="J1498" i="2" s="1"/>
  <c r="H1498" i="2"/>
  <c r="G1498" i="2"/>
  <c r="N1498" i="2" s="1"/>
  <c r="F1498" i="2"/>
  <c r="E1498" i="2"/>
  <c r="D1498" i="2"/>
  <c r="C1498" i="2"/>
  <c r="B1498" i="2"/>
  <c r="A1498" i="2"/>
  <c r="L1497" i="2"/>
  <c r="N1497" i="2" s="1"/>
  <c r="K1497" i="2"/>
  <c r="J1497" i="2"/>
  <c r="I1497" i="2"/>
  <c r="H1497" i="2"/>
  <c r="G1497" i="2"/>
  <c r="F1497" i="2"/>
  <c r="D1497" i="2"/>
  <c r="C1497" i="2"/>
  <c r="B1497" i="2"/>
  <c r="A1497" i="2"/>
  <c r="L1496" i="2"/>
  <c r="K1496" i="2"/>
  <c r="J1496" i="2"/>
  <c r="I1496" i="2"/>
  <c r="H1496" i="2"/>
  <c r="G1496" i="2"/>
  <c r="N1496" i="2" s="1"/>
  <c r="F1496" i="2"/>
  <c r="E1496" i="2"/>
  <c r="D1496" i="2"/>
  <c r="C1496" i="2"/>
  <c r="B1496" i="2"/>
  <c r="A1496" i="2"/>
  <c r="L1495" i="2"/>
  <c r="K1495" i="2"/>
  <c r="H1495" i="2"/>
  <c r="G1495" i="2"/>
  <c r="F1495" i="2"/>
  <c r="D1495" i="2"/>
  <c r="E1495" i="2" s="1"/>
  <c r="C1495" i="2"/>
  <c r="B1495" i="2"/>
  <c r="A1495" i="2"/>
  <c r="N1494" i="2"/>
  <c r="L1494" i="2"/>
  <c r="K1494" i="2"/>
  <c r="I1494" i="2"/>
  <c r="J1494" i="2" s="1"/>
  <c r="H1494" i="2"/>
  <c r="G1494" i="2"/>
  <c r="F1494" i="2"/>
  <c r="E1494" i="2"/>
  <c r="D1494" i="2"/>
  <c r="C1494" i="2"/>
  <c r="B1494" i="2"/>
  <c r="A1494" i="2"/>
  <c r="L1493" i="2"/>
  <c r="N1493" i="2" s="1"/>
  <c r="K1493" i="2"/>
  <c r="H1493" i="2"/>
  <c r="I1493" i="2" s="1"/>
  <c r="J1493" i="2" s="1"/>
  <c r="G1493" i="2"/>
  <c r="F1493" i="2"/>
  <c r="D1493" i="2"/>
  <c r="E1493" i="2" s="1"/>
  <c r="C1493" i="2"/>
  <c r="B1493" i="2"/>
  <c r="A1493" i="2"/>
  <c r="O1492" i="2"/>
  <c r="L1492" i="2"/>
  <c r="K1492" i="2"/>
  <c r="I1492" i="2"/>
  <c r="J1492" i="2" s="1"/>
  <c r="H1492" i="2"/>
  <c r="G1492" i="2"/>
  <c r="N1492" i="2" s="1"/>
  <c r="F1492" i="2"/>
  <c r="D1492" i="2"/>
  <c r="C1492" i="2"/>
  <c r="B1492" i="2"/>
  <c r="A1492" i="2"/>
  <c r="L1491" i="2"/>
  <c r="K1491" i="2"/>
  <c r="H1491" i="2"/>
  <c r="G1491" i="2"/>
  <c r="F1491" i="2"/>
  <c r="D1491" i="2"/>
  <c r="E1491" i="2" s="1"/>
  <c r="C1491" i="2"/>
  <c r="B1491" i="2"/>
  <c r="O1491" i="2" s="1"/>
  <c r="A1491" i="2"/>
  <c r="L1490" i="2"/>
  <c r="K1490" i="2"/>
  <c r="H1490" i="2"/>
  <c r="G1490" i="2"/>
  <c r="F1490" i="2"/>
  <c r="E1490" i="2"/>
  <c r="D1490" i="2"/>
  <c r="C1490" i="2"/>
  <c r="B1490" i="2"/>
  <c r="A1490" i="2"/>
  <c r="N1489" i="2"/>
  <c r="L1489" i="2"/>
  <c r="K1489" i="2"/>
  <c r="J1489" i="2"/>
  <c r="I1489" i="2"/>
  <c r="H1489" i="2"/>
  <c r="G1489" i="2"/>
  <c r="F1489" i="2"/>
  <c r="E1489" i="2"/>
  <c r="D1489" i="2"/>
  <c r="C1489" i="2"/>
  <c r="B1489" i="2"/>
  <c r="A1489" i="2"/>
  <c r="L1488" i="2"/>
  <c r="K1488" i="2"/>
  <c r="I1488" i="2"/>
  <c r="J1488" i="2" s="1"/>
  <c r="H1488" i="2"/>
  <c r="G1488" i="2"/>
  <c r="N1488" i="2" s="1"/>
  <c r="F1488" i="2"/>
  <c r="E1488" i="2"/>
  <c r="D1488" i="2"/>
  <c r="C1488" i="2"/>
  <c r="B1488" i="2"/>
  <c r="A1488" i="2"/>
  <c r="L1487" i="2"/>
  <c r="K1487" i="2"/>
  <c r="I1487" i="2"/>
  <c r="J1487" i="2" s="1"/>
  <c r="H1487" i="2"/>
  <c r="G1487" i="2"/>
  <c r="N1487" i="2" s="1"/>
  <c r="F1487" i="2"/>
  <c r="E1487" i="2"/>
  <c r="D1487" i="2"/>
  <c r="C1487" i="2"/>
  <c r="B1487" i="2"/>
  <c r="A1487" i="2"/>
  <c r="N1486" i="2"/>
  <c r="L1486" i="2"/>
  <c r="K1486" i="2"/>
  <c r="H1486" i="2"/>
  <c r="G1486" i="2"/>
  <c r="F1486" i="2"/>
  <c r="O1486" i="2" s="1"/>
  <c r="D1486" i="2"/>
  <c r="C1486" i="2"/>
  <c r="B1486" i="2"/>
  <c r="A1486" i="2"/>
  <c r="O1485" i="2"/>
  <c r="N1485" i="2"/>
  <c r="L1485" i="2"/>
  <c r="K1485" i="2"/>
  <c r="H1485" i="2"/>
  <c r="G1485" i="2"/>
  <c r="I1485" i="2" s="1"/>
  <c r="J1485" i="2" s="1"/>
  <c r="F1485" i="2"/>
  <c r="D1485" i="2"/>
  <c r="C1485" i="2"/>
  <c r="B1485" i="2"/>
  <c r="A1485" i="2"/>
  <c r="L1484" i="2"/>
  <c r="N1484" i="2" s="1"/>
  <c r="K1484" i="2"/>
  <c r="H1484" i="2"/>
  <c r="G1484" i="2"/>
  <c r="F1484" i="2"/>
  <c r="D1484" i="2"/>
  <c r="E1484" i="2" s="1"/>
  <c r="C1484" i="2"/>
  <c r="B1484" i="2"/>
  <c r="O1484" i="2" s="1"/>
  <c r="A1484" i="2"/>
  <c r="L1483" i="2"/>
  <c r="K1483" i="2"/>
  <c r="J1483" i="2"/>
  <c r="I1483" i="2"/>
  <c r="H1483" i="2"/>
  <c r="G1483" i="2"/>
  <c r="N1483" i="2" s="1"/>
  <c r="F1483" i="2"/>
  <c r="E1483" i="2"/>
  <c r="D1483" i="2"/>
  <c r="C1483" i="2"/>
  <c r="B1483" i="2"/>
  <c r="A1483" i="2"/>
  <c r="L1482" i="2"/>
  <c r="K1482" i="2"/>
  <c r="I1482" i="2"/>
  <c r="J1482" i="2" s="1"/>
  <c r="H1482" i="2"/>
  <c r="G1482" i="2"/>
  <c r="N1482" i="2" s="1"/>
  <c r="F1482" i="2"/>
  <c r="E1482" i="2"/>
  <c r="D1482" i="2"/>
  <c r="C1482" i="2"/>
  <c r="B1482" i="2"/>
  <c r="A1482" i="2"/>
  <c r="L1481" i="2"/>
  <c r="K1481" i="2"/>
  <c r="H1481" i="2"/>
  <c r="G1481" i="2"/>
  <c r="F1481" i="2"/>
  <c r="O1481" i="2" s="1"/>
  <c r="D1481" i="2"/>
  <c r="C1481" i="2"/>
  <c r="B1481" i="2"/>
  <c r="A1481" i="2"/>
  <c r="L1480" i="2"/>
  <c r="K1480" i="2"/>
  <c r="H1480" i="2"/>
  <c r="G1480" i="2"/>
  <c r="I1480" i="2" s="1"/>
  <c r="J1480" i="2" s="1"/>
  <c r="F1480" i="2"/>
  <c r="O1480" i="2" s="1"/>
  <c r="E1480" i="2"/>
  <c r="D1480" i="2"/>
  <c r="C1480" i="2"/>
  <c r="B1480" i="2"/>
  <c r="A1480" i="2"/>
  <c r="L1479" i="2"/>
  <c r="N1479" i="2" s="1"/>
  <c r="K1479" i="2"/>
  <c r="H1479" i="2"/>
  <c r="G1479" i="2"/>
  <c r="I1479" i="2" s="1"/>
  <c r="J1479" i="2" s="1"/>
  <c r="F1479" i="2"/>
  <c r="E1479" i="2"/>
  <c r="D1479" i="2"/>
  <c r="C1479" i="2"/>
  <c r="B1479" i="2"/>
  <c r="O1479" i="2" s="1"/>
  <c r="A1479" i="2"/>
  <c r="L1478" i="2"/>
  <c r="K1478" i="2"/>
  <c r="I1478" i="2"/>
  <c r="J1478" i="2" s="1"/>
  <c r="H1478" i="2"/>
  <c r="G1478" i="2"/>
  <c r="F1478" i="2"/>
  <c r="E1478" i="2"/>
  <c r="D1478" i="2"/>
  <c r="C1478" i="2"/>
  <c r="B1478" i="2"/>
  <c r="A1478" i="2"/>
  <c r="O1478" i="2" s="1"/>
  <c r="L1477" i="2"/>
  <c r="N1477" i="2" s="1"/>
  <c r="K1477" i="2"/>
  <c r="H1477" i="2"/>
  <c r="I1477" i="2" s="1"/>
  <c r="J1477" i="2" s="1"/>
  <c r="G1477" i="2"/>
  <c r="F1477" i="2"/>
  <c r="D1477" i="2"/>
  <c r="E1477" i="2" s="1"/>
  <c r="C1477" i="2"/>
  <c r="B1477" i="2"/>
  <c r="A1477" i="2"/>
  <c r="L1476" i="2"/>
  <c r="K1476" i="2"/>
  <c r="I1476" i="2"/>
  <c r="J1476" i="2" s="1"/>
  <c r="H1476" i="2"/>
  <c r="G1476" i="2"/>
  <c r="N1476" i="2" s="1"/>
  <c r="F1476" i="2"/>
  <c r="E1476" i="2"/>
  <c r="D1476" i="2"/>
  <c r="C1476" i="2"/>
  <c r="B1476" i="2"/>
  <c r="A1476" i="2"/>
  <c r="N1475" i="2"/>
  <c r="L1475" i="2"/>
  <c r="K1475" i="2"/>
  <c r="I1475" i="2"/>
  <c r="J1475" i="2" s="1"/>
  <c r="H1475" i="2"/>
  <c r="G1475" i="2"/>
  <c r="F1475" i="2"/>
  <c r="D1475" i="2"/>
  <c r="E1475" i="2" s="1"/>
  <c r="C1475" i="2"/>
  <c r="B1475" i="2"/>
  <c r="A1475" i="2"/>
  <c r="O1474" i="2"/>
  <c r="L1474" i="2"/>
  <c r="K1474" i="2"/>
  <c r="I1474" i="2"/>
  <c r="J1474" i="2" s="1"/>
  <c r="H1474" i="2"/>
  <c r="G1474" i="2"/>
  <c r="N1474" i="2" s="1"/>
  <c r="F1474" i="2"/>
  <c r="E1474" i="2"/>
  <c r="D1474" i="2"/>
  <c r="C1474" i="2"/>
  <c r="B1474" i="2"/>
  <c r="A1474" i="2"/>
  <c r="L1473" i="2"/>
  <c r="K1473" i="2"/>
  <c r="H1473" i="2"/>
  <c r="G1473" i="2"/>
  <c r="F1473" i="2"/>
  <c r="D1473" i="2"/>
  <c r="C1473" i="2"/>
  <c r="B1473" i="2"/>
  <c r="A1473" i="2"/>
  <c r="N1472" i="2"/>
  <c r="L1472" i="2"/>
  <c r="K1472" i="2"/>
  <c r="H1472" i="2"/>
  <c r="G1472" i="2"/>
  <c r="I1472" i="2" s="1"/>
  <c r="J1472" i="2" s="1"/>
  <c r="F1472" i="2"/>
  <c r="O1472" i="2" s="1"/>
  <c r="E1472" i="2"/>
  <c r="D1472" i="2"/>
  <c r="C1472" i="2"/>
  <c r="B1472" i="2"/>
  <c r="A1472" i="2"/>
  <c r="N1471" i="2"/>
  <c r="L1471" i="2"/>
  <c r="K1471" i="2"/>
  <c r="H1471" i="2"/>
  <c r="G1471" i="2"/>
  <c r="I1471" i="2" s="1"/>
  <c r="J1471" i="2" s="1"/>
  <c r="F1471" i="2"/>
  <c r="D1471" i="2"/>
  <c r="C1471" i="2"/>
  <c r="B1471" i="2"/>
  <c r="O1471" i="2" s="1"/>
  <c r="A1471" i="2"/>
  <c r="L1470" i="2"/>
  <c r="K1470" i="2"/>
  <c r="I1470" i="2"/>
  <c r="J1470" i="2" s="1"/>
  <c r="H1470" i="2"/>
  <c r="G1470" i="2"/>
  <c r="F1470" i="2"/>
  <c r="D1470" i="2"/>
  <c r="E1470" i="2" s="1"/>
  <c r="C1470" i="2"/>
  <c r="B1470" i="2"/>
  <c r="A1470" i="2"/>
  <c r="O1470" i="2" s="1"/>
  <c r="L1469" i="2"/>
  <c r="N1469" i="2" s="1"/>
  <c r="K1469" i="2"/>
  <c r="J1469" i="2"/>
  <c r="H1469" i="2"/>
  <c r="I1469" i="2" s="1"/>
  <c r="G1469" i="2"/>
  <c r="F1469" i="2"/>
  <c r="D1469" i="2"/>
  <c r="E1469" i="2" s="1"/>
  <c r="C1469" i="2"/>
  <c r="B1469" i="2"/>
  <c r="A1469" i="2"/>
  <c r="L1468" i="2"/>
  <c r="K1468" i="2"/>
  <c r="I1468" i="2"/>
  <c r="J1468" i="2" s="1"/>
  <c r="H1468" i="2"/>
  <c r="G1468" i="2"/>
  <c r="N1468" i="2" s="1"/>
  <c r="F1468" i="2"/>
  <c r="E1468" i="2"/>
  <c r="D1468" i="2"/>
  <c r="C1468" i="2"/>
  <c r="B1468" i="2"/>
  <c r="A1468" i="2"/>
  <c r="N1467" i="2"/>
  <c r="L1467" i="2"/>
  <c r="K1467" i="2"/>
  <c r="J1467" i="2"/>
  <c r="I1467" i="2"/>
  <c r="H1467" i="2"/>
  <c r="G1467" i="2"/>
  <c r="F1467" i="2"/>
  <c r="D1467" i="2"/>
  <c r="E1467" i="2" s="1"/>
  <c r="C1467" i="2"/>
  <c r="B1467" i="2"/>
  <c r="A1467" i="2"/>
  <c r="L1466" i="2"/>
  <c r="K1466" i="2"/>
  <c r="H1466" i="2"/>
  <c r="G1466" i="2"/>
  <c r="F1466" i="2"/>
  <c r="E1466" i="2"/>
  <c r="D1466" i="2"/>
  <c r="C1466" i="2"/>
  <c r="B1466" i="2"/>
  <c r="A1466" i="2"/>
  <c r="N1465" i="2"/>
  <c r="L1465" i="2"/>
  <c r="K1465" i="2"/>
  <c r="H1465" i="2"/>
  <c r="G1465" i="2"/>
  <c r="F1465" i="2"/>
  <c r="D1465" i="2"/>
  <c r="C1465" i="2"/>
  <c r="B1465" i="2"/>
  <c r="A1465" i="2"/>
  <c r="O1464" i="2"/>
  <c r="N1464" i="2"/>
  <c r="L1464" i="2"/>
  <c r="K1464" i="2"/>
  <c r="H1464" i="2"/>
  <c r="G1464" i="2"/>
  <c r="I1464" i="2" s="1"/>
  <c r="J1464" i="2" s="1"/>
  <c r="F1464" i="2"/>
  <c r="E1464" i="2"/>
  <c r="D1464" i="2"/>
  <c r="C1464" i="2"/>
  <c r="B1464" i="2"/>
  <c r="A1464" i="2"/>
  <c r="L1463" i="2"/>
  <c r="N1463" i="2" s="1"/>
  <c r="K1463" i="2"/>
  <c r="H1463" i="2"/>
  <c r="G1463" i="2"/>
  <c r="I1463" i="2" s="1"/>
  <c r="J1463" i="2" s="1"/>
  <c r="F1463" i="2"/>
  <c r="D1463" i="2"/>
  <c r="E1463" i="2" s="1"/>
  <c r="C1463" i="2"/>
  <c r="B1463" i="2"/>
  <c r="O1463" i="2" s="1"/>
  <c r="A1463" i="2"/>
  <c r="L1462" i="2"/>
  <c r="K1462" i="2"/>
  <c r="I1462" i="2"/>
  <c r="J1462" i="2" s="1"/>
  <c r="H1462" i="2"/>
  <c r="G1462" i="2"/>
  <c r="F1462" i="2"/>
  <c r="E1462" i="2"/>
  <c r="D1462" i="2"/>
  <c r="C1462" i="2"/>
  <c r="B1462" i="2"/>
  <c r="A1462" i="2"/>
  <c r="L1461" i="2"/>
  <c r="N1461" i="2" s="1"/>
  <c r="K1461" i="2"/>
  <c r="H1461" i="2"/>
  <c r="I1461" i="2" s="1"/>
  <c r="J1461" i="2" s="1"/>
  <c r="G1461" i="2"/>
  <c r="F1461" i="2"/>
  <c r="D1461" i="2"/>
  <c r="E1461" i="2" s="1"/>
  <c r="C1461" i="2"/>
  <c r="B1461" i="2"/>
  <c r="A1461" i="2"/>
  <c r="L1460" i="2"/>
  <c r="K1460" i="2"/>
  <c r="I1460" i="2"/>
  <c r="J1460" i="2" s="1"/>
  <c r="H1460" i="2"/>
  <c r="G1460" i="2"/>
  <c r="N1460" i="2" s="1"/>
  <c r="F1460" i="2"/>
  <c r="E1460" i="2"/>
  <c r="D1460" i="2"/>
  <c r="C1460" i="2"/>
  <c r="B1460" i="2"/>
  <c r="A1460" i="2"/>
  <c r="L1459" i="2"/>
  <c r="N1459" i="2" s="1"/>
  <c r="K1459" i="2"/>
  <c r="J1459" i="2"/>
  <c r="I1459" i="2"/>
  <c r="H1459" i="2"/>
  <c r="G1459" i="2"/>
  <c r="F1459" i="2"/>
  <c r="D1459" i="2"/>
  <c r="E1459" i="2" s="1"/>
  <c r="C1459" i="2"/>
  <c r="B1459" i="2"/>
  <c r="A1459" i="2"/>
  <c r="L1458" i="2"/>
  <c r="K1458" i="2"/>
  <c r="H1458" i="2"/>
  <c r="G1458" i="2"/>
  <c r="F1458" i="2"/>
  <c r="E1458" i="2"/>
  <c r="D1458" i="2"/>
  <c r="C1458" i="2"/>
  <c r="B1458" i="2"/>
  <c r="A1458" i="2"/>
  <c r="O1457" i="2"/>
  <c r="L1457" i="2"/>
  <c r="N1457" i="2" s="1"/>
  <c r="K1457" i="2"/>
  <c r="H1457" i="2"/>
  <c r="G1457" i="2"/>
  <c r="F1457" i="2"/>
  <c r="D1457" i="2"/>
  <c r="C1457" i="2"/>
  <c r="B1457" i="2"/>
  <c r="A1457" i="2"/>
  <c r="L1456" i="2"/>
  <c r="K1456" i="2"/>
  <c r="H1456" i="2"/>
  <c r="G1456" i="2"/>
  <c r="F1456" i="2"/>
  <c r="E1456" i="2"/>
  <c r="D1456" i="2"/>
  <c r="C1456" i="2"/>
  <c r="B1456" i="2"/>
  <c r="A1456" i="2"/>
  <c r="N1455" i="2"/>
  <c r="L1455" i="2"/>
  <c r="K1455" i="2"/>
  <c r="H1455" i="2"/>
  <c r="G1455" i="2"/>
  <c r="I1455" i="2" s="1"/>
  <c r="J1455" i="2" s="1"/>
  <c r="F1455" i="2"/>
  <c r="D1455" i="2"/>
  <c r="E1455" i="2" s="1"/>
  <c r="C1455" i="2"/>
  <c r="B1455" i="2"/>
  <c r="A1455" i="2"/>
  <c r="L1454" i="2"/>
  <c r="K1454" i="2"/>
  <c r="H1454" i="2"/>
  <c r="G1454" i="2"/>
  <c r="F1454" i="2"/>
  <c r="D1454" i="2"/>
  <c r="E1454" i="2" s="1"/>
  <c r="C1454" i="2"/>
  <c r="B1454" i="2"/>
  <c r="A1454" i="2"/>
  <c r="L1453" i="2"/>
  <c r="N1453" i="2" s="1"/>
  <c r="K1453" i="2"/>
  <c r="H1453" i="2"/>
  <c r="I1453" i="2" s="1"/>
  <c r="J1453" i="2" s="1"/>
  <c r="G1453" i="2"/>
  <c r="F1453" i="2"/>
  <c r="D1453" i="2"/>
  <c r="E1453" i="2" s="1"/>
  <c r="C1453" i="2"/>
  <c r="B1453" i="2"/>
  <c r="A1453" i="2"/>
  <c r="L1452" i="2"/>
  <c r="K1452" i="2"/>
  <c r="H1452" i="2"/>
  <c r="G1452" i="2"/>
  <c r="F1452" i="2"/>
  <c r="E1452" i="2"/>
  <c r="D1452" i="2"/>
  <c r="C1452" i="2"/>
  <c r="B1452" i="2"/>
  <c r="A1452" i="2"/>
  <c r="L1451" i="2"/>
  <c r="N1451" i="2" s="1"/>
  <c r="K1451" i="2"/>
  <c r="J1451" i="2"/>
  <c r="I1451" i="2"/>
  <c r="H1451" i="2"/>
  <c r="G1451" i="2"/>
  <c r="F1451" i="2"/>
  <c r="D1451" i="2"/>
  <c r="E1451" i="2" s="1"/>
  <c r="C1451" i="2"/>
  <c r="B1451" i="2"/>
  <c r="A1451" i="2"/>
  <c r="O1450" i="2"/>
  <c r="L1450" i="2"/>
  <c r="K1450" i="2"/>
  <c r="H1450" i="2"/>
  <c r="I1450" i="2" s="1"/>
  <c r="J1450" i="2" s="1"/>
  <c r="G1450" i="2"/>
  <c r="N1450" i="2" s="1"/>
  <c r="F1450" i="2"/>
  <c r="E1450" i="2"/>
  <c r="D1450" i="2"/>
  <c r="C1450" i="2"/>
  <c r="B1450" i="2"/>
  <c r="A1450" i="2"/>
  <c r="L1449" i="2"/>
  <c r="K1449" i="2"/>
  <c r="H1449" i="2"/>
  <c r="G1449" i="2"/>
  <c r="F1449" i="2"/>
  <c r="D1449" i="2"/>
  <c r="C1449" i="2"/>
  <c r="B1449" i="2"/>
  <c r="A1449" i="2"/>
  <c r="N1448" i="2"/>
  <c r="L1448" i="2"/>
  <c r="K1448" i="2"/>
  <c r="H1448" i="2"/>
  <c r="G1448" i="2"/>
  <c r="I1448" i="2" s="1"/>
  <c r="J1448" i="2" s="1"/>
  <c r="F1448" i="2"/>
  <c r="E1448" i="2"/>
  <c r="D1448" i="2"/>
  <c r="C1448" i="2"/>
  <c r="B1448" i="2"/>
  <c r="A1448" i="2"/>
  <c r="L1447" i="2"/>
  <c r="N1447" i="2" s="1"/>
  <c r="K1447" i="2"/>
  <c r="H1447" i="2"/>
  <c r="G1447" i="2"/>
  <c r="F1447" i="2"/>
  <c r="E1447" i="2"/>
  <c r="D1447" i="2"/>
  <c r="C1447" i="2"/>
  <c r="B1447" i="2"/>
  <c r="A1447" i="2"/>
  <c r="O1446" i="2"/>
  <c r="L1446" i="2"/>
  <c r="K1446" i="2"/>
  <c r="H1446" i="2"/>
  <c r="G1446" i="2"/>
  <c r="F1446" i="2"/>
  <c r="D1446" i="2"/>
  <c r="C1446" i="2"/>
  <c r="B1446" i="2"/>
  <c r="A1446" i="2"/>
  <c r="L1445" i="2"/>
  <c r="N1445" i="2" s="1"/>
  <c r="K1445" i="2"/>
  <c r="J1445" i="2"/>
  <c r="H1445" i="2"/>
  <c r="I1445" i="2" s="1"/>
  <c r="G1445" i="2"/>
  <c r="F1445" i="2"/>
  <c r="D1445" i="2"/>
  <c r="E1445" i="2" s="1"/>
  <c r="C1445" i="2"/>
  <c r="B1445" i="2"/>
  <c r="A1445" i="2"/>
  <c r="O1444" i="2"/>
  <c r="L1444" i="2"/>
  <c r="K1444" i="2"/>
  <c r="I1444" i="2"/>
  <c r="J1444" i="2" s="1"/>
  <c r="H1444" i="2"/>
  <c r="G1444" i="2"/>
  <c r="N1444" i="2" s="1"/>
  <c r="F1444" i="2"/>
  <c r="E1444" i="2"/>
  <c r="D1444" i="2"/>
  <c r="C1444" i="2"/>
  <c r="B1444" i="2"/>
  <c r="A1444" i="2"/>
  <c r="N1443" i="2"/>
  <c r="L1443" i="2"/>
  <c r="K1443" i="2"/>
  <c r="J1443" i="2"/>
  <c r="H1443" i="2"/>
  <c r="I1443" i="2" s="1"/>
  <c r="G1443" i="2"/>
  <c r="F1443" i="2"/>
  <c r="D1443" i="2"/>
  <c r="E1443" i="2" s="1"/>
  <c r="C1443" i="2"/>
  <c r="B1443" i="2"/>
  <c r="A1443" i="2"/>
  <c r="L1442" i="2"/>
  <c r="K1442" i="2"/>
  <c r="H1442" i="2"/>
  <c r="G1442" i="2"/>
  <c r="F1442" i="2"/>
  <c r="E1442" i="2"/>
  <c r="D1442" i="2"/>
  <c r="C1442" i="2"/>
  <c r="B1442" i="2"/>
  <c r="A1442" i="2"/>
  <c r="L1441" i="2"/>
  <c r="N1441" i="2" s="1"/>
  <c r="K1441" i="2"/>
  <c r="H1441" i="2"/>
  <c r="G1441" i="2"/>
  <c r="F1441" i="2"/>
  <c r="D1441" i="2"/>
  <c r="C1441" i="2"/>
  <c r="B1441" i="2"/>
  <c r="O1441" i="2" s="1"/>
  <c r="A1441" i="2"/>
  <c r="O1440" i="2"/>
  <c r="N1440" i="2"/>
  <c r="L1440" i="2"/>
  <c r="K1440" i="2"/>
  <c r="I1440" i="2"/>
  <c r="J1440" i="2" s="1"/>
  <c r="H1440" i="2"/>
  <c r="G1440" i="2"/>
  <c r="F1440" i="2"/>
  <c r="E1440" i="2"/>
  <c r="D1440" i="2"/>
  <c r="C1440" i="2"/>
  <c r="B1440" i="2"/>
  <c r="A1440" i="2"/>
  <c r="N1439" i="2"/>
  <c r="L1439" i="2"/>
  <c r="K1439" i="2"/>
  <c r="H1439" i="2"/>
  <c r="G1439" i="2"/>
  <c r="F1439" i="2"/>
  <c r="E1439" i="2"/>
  <c r="D1439" i="2"/>
  <c r="C1439" i="2"/>
  <c r="B1439" i="2"/>
  <c r="O1439" i="2" s="1"/>
  <c r="A1439" i="2"/>
  <c r="L1438" i="2"/>
  <c r="K1438" i="2"/>
  <c r="H1438" i="2"/>
  <c r="G1438" i="2"/>
  <c r="F1438" i="2"/>
  <c r="E1438" i="2"/>
  <c r="D1438" i="2"/>
  <c r="C1438" i="2"/>
  <c r="O1438" i="2" s="1"/>
  <c r="B1438" i="2"/>
  <c r="A1438" i="2"/>
  <c r="L1437" i="2"/>
  <c r="N1437" i="2" s="1"/>
  <c r="K1437" i="2"/>
  <c r="J1437" i="2"/>
  <c r="H1437" i="2"/>
  <c r="I1437" i="2" s="1"/>
  <c r="G1437" i="2"/>
  <c r="F1437" i="2"/>
  <c r="D1437" i="2"/>
  <c r="E1437" i="2" s="1"/>
  <c r="C1437" i="2"/>
  <c r="B1437" i="2"/>
  <c r="A1437" i="2"/>
  <c r="L1436" i="2"/>
  <c r="K1436" i="2"/>
  <c r="H1436" i="2"/>
  <c r="G1436" i="2"/>
  <c r="N1436" i="2" s="1"/>
  <c r="F1436" i="2"/>
  <c r="E1436" i="2"/>
  <c r="D1436" i="2"/>
  <c r="C1436" i="2"/>
  <c r="O1436" i="2" s="1"/>
  <c r="B1436" i="2"/>
  <c r="A1436" i="2"/>
  <c r="L1435" i="2"/>
  <c r="N1435" i="2" s="1"/>
  <c r="K1435" i="2"/>
  <c r="H1435" i="2"/>
  <c r="I1435" i="2" s="1"/>
  <c r="J1435" i="2" s="1"/>
  <c r="G1435" i="2"/>
  <c r="F1435" i="2"/>
  <c r="D1435" i="2"/>
  <c r="E1435" i="2" s="1"/>
  <c r="C1435" i="2"/>
  <c r="B1435" i="2"/>
  <c r="A1435" i="2"/>
  <c r="O1434" i="2"/>
  <c r="L1434" i="2"/>
  <c r="K1434" i="2"/>
  <c r="H1434" i="2"/>
  <c r="G1434" i="2"/>
  <c r="N1434" i="2" s="1"/>
  <c r="F1434" i="2"/>
  <c r="E1434" i="2"/>
  <c r="D1434" i="2"/>
  <c r="C1434" i="2"/>
  <c r="B1434" i="2"/>
  <c r="A1434" i="2"/>
  <c r="N1433" i="2"/>
  <c r="L1433" i="2"/>
  <c r="K1433" i="2"/>
  <c r="J1433" i="2"/>
  <c r="H1433" i="2"/>
  <c r="G1433" i="2"/>
  <c r="I1433" i="2" s="1"/>
  <c r="F1433" i="2"/>
  <c r="O1433" i="2" s="1"/>
  <c r="D1433" i="2"/>
  <c r="C1433" i="2"/>
  <c r="B1433" i="2"/>
  <c r="A1433" i="2"/>
  <c r="L1432" i="2"/>
  <c r="K1432" i="2"/>
  <c r="H1432" i="2"/>
  <c r="G1432" i="2"/>
  <c r="F1432" i="2"/>
  <c r="E1432" i="2"/>
  <c r="D1432" i="2"/>
  <c r="C1432" i="2"/>
  <c r="B1432" i="2"/>
  <c r="A1432" i="2"/>
  <c r="L1431" i="2"/>
  <c r="N1431" i="2" s="1"/>
  <c r="K1431" i="2"/>
  <c r="H1431" i="2"/>
  <c r="G1431" i="2"/>
  <c r="F1431" i="2"/>
  <c r="D1431" i="2"/>
  <c r="E1431" i="2" s="1"/>
  <c r="C1431" i="2"/>
  <c r="B1431" i="2"/>
  <c r="A1431" i="2"/>
  <c r="L1430" i="2"/>
  <c r="K1430" i="2"/>
  <c r="H1430" i="2"/>
  <c r="G1430" i="2"/>
  <c r="F1430" i="2"/>
  <c r="E1430" i="2"/>
  <c r="D1430" i="2"/>
  <c r="C1430" i="2"/>
  <c r="B1430" i="2"/>
  <c r="A1430" i="2"/>
  <c r="L1429" i="2"/>
  <c r="N1429" i="2" s="1"/>
  <c r="K1429" i="2"/>
  <c r="I1429" i="2"/>
  <c r="J1429" i="2" s="1"/>
  <c r="H1429" i="2"/>
  <c r="G1429" i="2"/>
  <c r="F1429" i="2"/>
  <c r="D1429" i="2"/>
  <c r="E1429" i="2" s="1"/>
  <c r="C1429" i="2"/>
  <c r="B1429" i="2"/>
  <c r="A1429" i="2"/>
  <c r="O1428" i="2"/>
  <c r="L1428" i="2"/>
  <c r="K1428" i="2"/>
  <c r="H1428" i="2"/>
  <c r="G1428" i="2"/>
  <c r="F1428" i="2"/>
  <c r="E1428" i="2"/>
  <c r="D1428" i="2"/>
  <c r="C1428" i="2"/>
  <c r="B1428" i="2"/>
  <c r="A1428" i="2"/>
  <c r="L1427" i="2"/>
  <c r="N1427" i="2" s="1"/>
  <c r="K1427" i="2"/>
  <c r="H1427" i="2"/>
  <c r="G1427" i="2"/>
  <c r="I1427" i="2" s="1"/>
  <c r="J1427" i="2" s="1"/>
  <c r="F1427" i="2"/>
  <c r="D1427" i="2"/>
  <c r="E1427" i="2" s="1"/>
  <c r="C1427" i="2"/>
  <c r="B1427" i="2"/>
  <c r="A1427" i="2"/>
  <c r="L1426" i="2"/>
  <c r="K1426" i="2"/>
  <c r="H1426" i="2"/>
  <c r="G1426" i="2"/>
  <c r="F1426" i="2"/>
  <c r="E1426" i="2"/>
  <c r="D1426" i="2"/>
  <c r="C1426" i="2"/>
  <c r="B1426" i="2"/>
  <c r="A1426" i="2"/>
  <c r="N1425" i="2"/>
  <c r="L1425" i="2"/>
  <c r="K1425" i="2"/>
  <c r="H1425" i="2"/>
  <c r="G1425" i="2"/>
  <c r="I1425" i="2" s="1"/>
  <c r="J1425" i="2" s="1"/>
  <c r="F1425" i="2"/>
  <c r="E1425" i="2"/>
  <c r="D1425" i="2"/>
  <c r="C1425" i="2"/>
  <c r="B1425" i="2"/>
  <c r="A1425" i="2"/>
  <c r="L1424" i="2"/>
  <c r="K1424" i="2"/>
  <c r="H1424" i="2"/>
  <c r="G1424" i="2"/>
  <c r="F1424" i="2"/>
  <c r="E1424" i="2"/>
  <c r="D1424" i="2"/>
  <c r="C1424" i="2"/>
  <c r="B1424" i="2"/>
  <c r="A1424" i="2"/>
  <c r="N1423" i="2"/>
  <c r="L1423" i="2"/>
  <c r="K1423" i="2"/>
  <c r="H1423" i="2"/>
  <c r="G1423" i="2"/>
  <c r="I1423" i="2" s="1"/>
  <c r="J1423" i="2" s="1"/>
  <c r="F1423" i="2"/>
  <c r="D1423" i="2"/>
  <c r="E1423" i="2" s="1"/>
  <c r="C1423" i="2"/>
  <c r="B1423" i="2"/>
  <c r="A1423" i="2"/>
  <c r="L1422" i="2"/>
  <c r="K1422" i="2"/>
  <c r="J1422" i="2"/>
  <c r="I1422" i="2"/>
  <c r="H1422" i="2"/>
  <c r="G1422" i="2"/>
  <c r="N1422" i="2" s="1"/>
  <c r="F1422" i="2"/>
  <c r="E1422" i="2"/>
  <c r="D1422" i="2"/>
  <c r="C1422" i="2"/>
  <c r="B1422" i="2"/>
  <c r="A1422" i="2"/>
  <c r="N1421" i="2"/>
  <c r="L1421" i="2"/>
  <c r="K1421" i="2"/>
  <c r="H1421" i="2"/>
  <c r="I1421" i="2" s="1"/>
  <c r="J1421" i="2" s="1"/>
  <c r="G1421" i="2"/>
  <c r="F1421" i="2"/>
  <c r="D1421" i="2"/>
  <c r="E1421" i="2" s="1"/>
  <c r="C1421" i="2"/>
  <c r="B1421" i="2"/>
  <c r="A1421" i="2"/>
  <c r="L1420" i="2"/>
  <c r="K1420" i="2"/>
  <c r="H1420" i="2"/>
  <c r="G1420" i="2"/>
  <c r="F1420" i="2"/>
  <c r="E1420" i="2"/>
  <c r="D1420" i="2"/>
  <c r="C1420" i="2"/>
  <c r="B1420" i="2"/>
  <c r="A1420" i="2"/>
  <c r="O1420" i="2" s="1"/>
  <c r="N1419" i="2"/>
  <c r="L1419" i="2"/>
  <c r="K1419" i="2"/>
  <c r="H1419" i="2"/>
  <c r="I1419" i="2" s="1"/>
  <c r="J1419" i="2" s="1"/>
  <c r="G1419" i="2"/>
  <c r="F1419" i="2"/>
  <c r="O1419" i="2" s="1"/>
  <c r="D1419" i="2"/>
  <c r="E1419" i="2" s="1"/>
  <c r="C1419" i="2"/>
  <c r="B1419" i="2"/>
  <c r="A1419" i="2"/>
  <c r="N1418" i="2"/>
  <c r="L1418" i="2"/>
  <c r="K1418" i="2"/>
  <c r="H1418" i="2"/>
  <c r="G1418" i="2"/>
  <c r="I1418" i="2" s="1"/>
  <c r="J1418" i="2" s="1"/>
  <c r="F1418" i="2"/>
  <c r="E1418" i="2"/>
  <c r="D1418" i="2"/>
  <c r="C1418" i="2"/>
  <c r="O1418" i="2" s="1"/>
  <c r="B1418" i="2"/>
  <c r="A1418" i="2"/>
  <c r="L1417" i="2"/>
  <c r="N1417" i="2" s="1"/>
  <c r="K1417" i="2"/>
  <c r="H1417" i="2"/>
  <c r="G1417" i="2"/>
  <c r="F1417" i="2"/>
  <c r="O1417" i="2" s="1"/>
  <c r="E1417" i="2"/>
  <c r="D1417" i="2"/>
  <c r="C1417" i="2"/>
  <c r="B1417" i="2"/>
  <c r="A1417" i="2"/>
  <c r="L1416" i="2"/>
  <c r="K1416" i="2"/>
  <c r="H1416" i="2"/>
  <c r="G1416" i="2"/>
  <c r="F1416" i="2"/>
  <c r="D1416" i="2"/>
  <c r="C1416" i="2"/>
  <c r="B1416" i="2"/>
  <c r="A1416" i="2"/>
  <c r="L1415" i="2"/>
  <c r="N1415" i="2" s="1"/>
  <c r="K1415" i="2"/>
  <c r="H1415" i="2"/>
  <c r="G1415" i="2"/>
  <c r="I1415" i="2" s="1"/>
  <c r="J1415" i="2" s="1"/>
  <c r="F1415" i="2"/>
  <c r="D1415" i="2"/>
  <c r="E1415" i="2" s="1"/>
  <c r="C1415" i="2"/>
  <c r="B1415" i="2"/>
  <c r="A1415" i="2"/>
  <c r="L1414" i="2"/>
  <c r="K1414" i="2"/>
  <c r="H1414" i="2"/>
  <c r="G1414" i="2"/>
  <c r="O1414" i="2" s="1"/>
  <c r="F1414" i="2"/>
  <c r="D1414" i="2"/>
  <c r="C1414" i="2"/>
  <c r="B1414" i="2"/>
  <c r="A1414" i="2"/>
  <c r="L1413" i="2"/>
  <c r="N1413" i="2" s="1"/>
  <c r="K1413" i="2"/>
  <c r="J1413" i="2"/>
  <c r="I1413" i="2"/>
  <c r="H1413" i="2"/>
  <c r="G1413" i="2"/>
  <c r="F1413" i="2"/>
  <c r="D1413" i="2"/>
  <c r="E1413" i="2" s="1"/>
  <c r="C1413" i="2"/>
  <c r="B1413" i="2"/>
  <c r="A1413" i="2"/>
  <c r="L1412" i="2"/>
  <c r="K1412" i="2"/>
  <c r="H1412" i="2"/>
  <c r="G1412" i="2"/>
  <c r="F1412" i="2"/>
  <c r="E1412" i="2"/>
  <c r="D1412" i="2"/>
  <c r="C1412" i="2"/>
  <c r="O1412" i="2" s="1"/>
  <c r="B1412" i="2"/>
  <c r="A1412" i="2"/>
  <c r="N1411" i="2"/>
  <c r="L1411" i="2"/>
  <c r="K1411" i="2"/>
  <c r="I1411" i="2"/>
  <c r="J1411" i="2" s="1"/>
  <c r="H1411" i="2"/>
  <c r="G1411" i="2"/>
  <c r="F1411" i="2"/>
  <c r="D1411" i="2"/>
  <c r="E1411" i="2" s="1"/>
  <c r="C1411" i="2"/>
  <c r="B1411" i="2"/>
  <c r="A1411" i="2"/>
  <c r="O1410" i="2"/>
  <c r="L1410" i="2"/>
  <c r="K1410" i="2"/>
  <c r="I1410" i="2"/>
  <c r="J1410" i="2" s="1"/>
  <c r="H1410" i="2"/>
  <c r="G1410" i="2"/>
  <c r="N1410" i="2" s="1"/>
  <c r="F1410" i="2"/>
  <c r="E1410" i="2"/>
  <c r="D1410" i="2"/>
  <c r="C1410" i="2"/>
  <c r="B1410" i="2"/>
  <c r="A1410" i="2"/>
  <c r="N1409" i="2"/>
  <c r="L1409" i="2"/>
  <c r="K1409" i="2"/>
  <c r="H1409" i="2"/>
  <c r="G1409" i="2"/>
  <c r="F1409" i="2"/>
  <c r="D1409" i="2"/>
  <c r="C1409" i="2"/>
  <c r="B1409" i="2"/>
  <c r="O1409" i="2" s="1"/>
  <c r="A1409" i="2"/>
  <c r="L1408" i="2"/>
  <c r="K1408" i="2"/>
  <c r="H1408" i="2"/>
  <c r="G1408" i="2"/>
  <c r="F1408" i="2"/>
  <c r="E1408" i="2"/>
  <c r="D1408" i="2"/>
  <c r="C1408" i="2"/>
  <c r="B1408" i="2"/>
  <c r="A1408" i="2"/>
  <c r="N1407" i="2"/>
  <c r="L1407" i="2"/>
  <c r="K1407" i="2"/>
  <c r="H1407" i="2"/>
  <c r="G1407" i="2"/>
  <c r="F1407" i="2"/>
  <c r="D1407" i="2"/>
  <c r="C1407" i="2"/>
  <c r="B1407" i="2"/>
  <c r="O1407" i="2" s="1"/>
  <c r="A1407" i="2"/>
  <c r="L1406" i="2"/>
  <c r="K1406" i="2"/>
  <c r="J1406" i="2"/>
  <c r="I1406" i="2"/>
  <c r="H1406" i="2"/>
  <c r="G1406" i="2"/>
  <c r="N1406" i="2" s="1"/>
  <c r="F1406" i="2"/>
  <c r="E1406" i="2"/>
  <c r="D1406" i="2"/>
  <c r="C1406" i="2"/>
  <c r="B1406" i="2"/>
  <c r="A1406" i="2"/>
  <c r="N1405" i="2"/>
  <c r="L1405" i="2"/>
  <c r="K1405" i="2"/>
  <c r="H1405" i="2"/>
  <c r="I1405" i="2" s="1"/>
  <c r="J1405" i="2" s="1"/>
  <c r="G1405" i="2"/>
  <c r="F1405" i="2"/>
  <c r="D1405" i="2"/>
  <c r="E1405" i="2" s="1"/>
  <c r="C1405" i="2"/>
  <c r="B1405" i="2"/>
  <c r="A1405" i="2"/>
  <c r="L1404" i="2"/>
  <c r="K1404" i="2"/>
  <c r="H1404" i="2"/>
  <c r="G1404" i="2"/>
  <c r="F1404" i="2"/>
  <c r="E1404" i="2"/>
  <c r="D1404" i="2"/>
  <c r="C1404" i="2"/>
  <c r="B1404" i="2"/>
  <c r="A1404" i="2"/>
  <c r="N1403" i="2"/>
  <c r="L1403" i="2"/>
  <c r="K1403" i="2"/>
  <c r="H1403" i="2"/>
  <c r="I1403" i="2" s="1"/>
  <c r="J1403" i="2" s="1"/>
  <c r="G1403" i="2"/>
  <c r="F1403" i="2"/>
  <c r="O1403" i="2" s="1"/>
  <c r="D1403" i="2"/>
  <c r="E1403" i="2" s="1"/>
  <c r="C1403" i="2"/>
  <c r="B1403" i="2"/>
  <c r="A1403" i="2"/>
  <c r="N1402" i="2"/>
  <c r="L1402" i="2"/>
  <c r="K1402" i="2"/>
  <c r="H1402" i="2"/>
  <c r="G1402" i="2"/>
  <c r="F1402" i="2"/>
  <c r="E1402" i="2"/>
  <c r="D1402" i="2"/>
  <c r="C1402" i="2"/>
  <c r="O1402" i="2" s="1"/>
  <c r="B1402" i="2"/>
  <c r="A1402" i="2"/>
  <c r="O1401" i="2"/>
  <c r="L1401" i="2"/>
  <c r="N1401" i="2" s="1"/>
  <c r="K1401" i="2"/>
  <c r="H1401" i="2"/>
  <c r="G1401" i="2"/>
  <c r="F1401" i="2"/>
  <c r="D1401" i="2"/>
  <c r="E1401" i="2" s="1"/>
  <c r="C1401" i="2"/>
  <c r="B1401" i="2"/>
  <c r="A1401" i="2"/>
  <c r="L1400" i="2"/>
  <c r="K1400" i="2"/>
  <c r="H1400" i="2"/>
  <c r="G1400" i="2"/>
  <c r="F1400" i="2"/>
  <c r="O1400" i="2" s="1"/>
  <c r="D1400" i="2"/>
  <c r="C1400" i="2"/>
  <c r="B1400" i="2"/>
  <c r="A1400" i="2"/>
  <c r="L1399" i="2"/>
  <c r="N1399" i="2" s="1"/>
  <c r="K1399" i="2"/>
  <c r="H1399" i="2"/>
  <c r="G1399" i="2"/>
  <c r="F1399" i="2"/>
  <c r="D1399" i="2"/>
  <c r="E1399" i="2" s="1"/>
  <c r="C1399" i="2"/>
  <c r="B1399" i="2"/>
  <c r="A1399" i="2"/>
  <c r="O1398" i="2"/>
  <c r="L1398" i="2"/>
  <c r="K1398" i="2"/>
  <c r="H1398" i="2"/>
  <c r="G1398" i="2"/>
  <c r="F1398" i="2"/>
  <c r="D1398" i="2"/>
  <c r="E1398" i="2" s="1"/>
  <c r="C1398" i="2"/>
  <c r="B1398" i="2"/>
  <c r="A1398" i="2"/>
  <c r="L1397" i="2"/>
  <c r="N1397" i="2" s="1"/>
  <c r="K1397" i="2"/>
  <c r="I1397" i="2"/>
  <c r="J1397" i="2" s="1"/>
  <c r="H1397" i="2"/>
  <c r="G1397" i="2"/>
  <c r="F1397" i="2"/>
  <c r="D1397" i="2"/>
  <c r="E1397" i="2" s="1"/>
  <c r="C1397" i="2"/>
  <c r="B1397" i="2"/>
  <c r="A1397" i="2"/>
  <c r="L1396" i="2"/>
  <c r="K1396" i="2"/>
  <c r="H1396" i="2"/>
  <c r="I1396" i="2" s="1"/>
  <c r="J1396" i="2" s="1"/>
  <c r="G1396" i="2"/>
  <c r="N1396" i="2" s="1"/>
  <c r="F1396" i="2"/>
  <c r="E1396" i="2"/>
  <c r="D1396" i="2"/>
  <c r="C1396" i="2"/>
  <c r="O1396" i="2" s="1"/>
  <c r="B1396" i="2"/>
  <c r="A1396" i="2"/>
  <c r="L1395" i="2"/>
  <c r="K1395" i="2"/>
  <c r="I1395" i="2"/>
  <c r="J1395" i="2" s="1"/>
  <c r="H1395" i="2"/>
  <c r="G1395" i="2"/>
  <c r="F1395" i="2"/>
  <c r="D1395" i="2"/>
  <c r="E1395" i="2" s="1"/>
  <c r="C1395" i="2"/>
  <c r="B1395" i="2"/>
  <c r="A1395" i="2"/>
  <c r="L1394" i="2"/>
  <c r="K1394" i="2"/>
  <c r="H1394" i="2"/>
  <c r="G1394" i="2"/>
  <c r="F1394" i="2"/>
  <c r="E1394" i="2"/>
  <c r="D1394" i="2"/>
  <c r="C1394" i="2"/>
  <c r="B1394" i="2"/>
  <c r="A1394" i="2"/>
  <c r="N1393" i="2"/>
  <c r="L1393" i="2"/>
  <c r="K1393" i="2"/>
  <c r="J1393" i="2"/>
  <c r="H1393" i="2"/>
  <c r="G1393" i="2"/>
  <c r="I1393" i="2" s="1"/>
  <c r="F1393" i="2"/>
  <c r="D1393" i="2"/>
  <c r="E1393" i="2" s="1"/>
  <c r="C1393" i="2"/>
  <c r="B1393" i="2"/>
  <c r="O1393" i="2" s="1"/>
  <c r="A1393" i="2"/>
  <c r="L1392" i="2"/>
  <c r="K1392" i="2"/>
  <c r="H1392" i="2"/>
  <c r="G1392" i="2"/>
  <c r="F1392" i="2"/>
  <c r="E1392" i="2"/>
  <c r="D1392" i="2"/>
  <c r="C1392" i="2"/>
  <c r="B1392" i="2"/>
  <c r="A1392" i="2"/>
  <c r="L1391" i="2"/>
  <c r="N1391" i="2" s="1"/>
  <c r="K1391" i="2"/>
  <c r="H1391" i="2"/>
  <c r="G1391" i="2"/>
  <c r="I1391" i="2" s="1"/>
  <c r="J1391" i="2" s="1"/>
  <c r="F1391" i="2"/>
  <c r="E1391" i="2"/>
  <c r="D1391" i="2"/>
  <c r="C1391" i="2"/>
  <c r="B1391" i="2"/>
  <c r="A1391" i="2"/>
  <c r="L1390" i="2"/>
  <c r="K1390" i="2"/>
  <c r="I1390" i="2"/>
  <c r="J1390" i="2" s="1"/>
  <c r="H1390" i="2"/>
  <c r="G1390" i="2"/>
  <c r="N1390" i="2" s="1"/>
  <c r="F1390" i="2"/>
  <c r="E1390" i="2"/>
  <c r="D1390" i="2"/>
  <c r="C1390" i="2"/>
  <c r="B1390" i="2"/>
  <c r="A1390" i="2"/>
  <c r="N1389" i="2"/>
  <c r="L1389" i="2"/>
  <c r="K1389" i="2"/>
  <c r="J1389" i="2"/>
  <c r="H1389" i="2"/>
  <c r="I1389" i="2" s="1"/>
  <c r="G1389" i="2"/>
  <c r="F1389" i="2"/>
  <c r="D1389" i="2"/>
  <c r="E1389" i="2" s="1"/>
  <c r="C1389" i="2"/>
  <c r="B1389" i="2"/>
  <c r="A1389" i="2"/>
  <c r="L1388" i="2"/>
  <c r="K1388" i="2"/>
  <c r="H1388" i="2"/>
  <c r="G1388" i="2"/>
  <c r="F1388" i="2"/>
  <c r="E1388" i="2"/>
  <c r="D1388" i="2"/>
  <c r="C1388" i="2"/>
  <c r="B1388" i="2"/>
  <c r="A1388" i="2"/>
  <c r="O1388" i="2" s="1"/>
  <c r="N1387" i="2"/>
  <c r="L1387" i="2"/>
  <c r="K1387" i="2"/>
  <c r="H1387" i="2"/>
  <c r="I1387" i="2" s="1"/>
  <c r="J1387" i="2" s="1"/>
  <c r="G1387" i="2"/>
  <c r="F1387" i="2"/>
  <c r="O1387" i="2" s="1"/>
  <c r="D1387" i="2"/>
  <c r="E1387" i="2" s="1"/>
  <c r="C1387" i="2"/>
  <c r="B1387" i="2"/>
  <c r="A1387" i="2"/>
  <c r="L1386" i="2"/>
  <c r="K1386" i="2"/>
  <c r="H1386" i="2"/>
  <c r="G1386" i="2"/>
  <c r="F1386" i="2"/>
  <c r="E1386" i="2"/>
  <c r="D1386" i="2"/>
  <c r="C1386" i="2"/>
  <c r="B1386" i="2"/>
  <c r="A1386" i="2"/>
  <c r="N1385" i="2"/>
  <c r="L1385" i="2"/>
  <c r="K1385" i="2"/>
  <c r="H1385" i="2"/>
  <c r="G1385" i="2"/>
  <c r="F1385" i="2"/>
  <c r="E1385" i="2"/>
  <c r="D1385" i="2"/>
  <c r="C1385" i="2"/>
  <c r="B1385" i="2"/>
  <c r="A1385" i="2"/>
  <c r="L1384" i="2"/>
  <c r="K1384" i="2"/>
  <c r="I1384" i="2"/>
  <c r="J1384" i="2" s="1"/>
  <c r="H1384" i="2"/>
  <c r="G1384" i="2"/>
  <c r="F1384" i="2"/>
  <c r="D1384" i="2"/>
  <c r="E1384" i="2" s="1"/>
  <c r="C1384" i="2"/>
  <c r="O1384" i="2" s="1"/>
  <c r="B1384" i="2"/>
  <c r="A1384" i="2"/>
  <c r="L1383" i="2"/>
  <c r="N1383" i="2" s="1"/>
  <c r="K1383" i="2"/>
  <c r="H1383" i="2"/>
  <c r="G1383" i="2"/>
  <c r="F1383" i="2"/>
  <c r="D1383" i="2"/>
  <c r="C1383" i="2"/>
  <c r="B1383" i="2"/>
  <c r="A1383" i="2"/>
  <c r="O1382" i="2"/>
  <c r="L1382" i="2"/>
  <c r="K1382" i="2"/>
  <c r="J1382" i="2"/>
  <c r="I1382" i="2"/>
  <c r="H1382" i="2"/>
  <c r="G1382" i="2"/>
  <c r="F1382" i="2"/>
  <c r="E1382" i="2"/>
  <c r="D1382" i="2"/>
  <c r="C1382" i="2"/>
  <c r="B1382" i="2"/>
  <c r="A1382" i="2"/>
  <c r="L1381" i="2"/>
  <c r="N1381" i="2" s="1"/>
  <c r="K1381" i="2"/>
  <c r="J1381" i="2"/>
  <c r="I1381" i="2"/>
  <c r="H1381" i="2"/>
  <c r="G1381" i="2"/>
  <c r="F1381" i="2"/>
  <c r="D1381" i="2"/>
  <c r="E1381" i="2" s="1"/>
  <c r="C1381" i="2"/>
  <c r="B1381" i="2"/>
  <c r="A1381" i="2"/>
  <c r="L1380" i="2"/>
  <c r="K1380" i="2"/>
  <c r="O1380" i="2" s="1"/>
  <c r="I1380" i="2"/>
  <c r="J1380" i="2" s="1"/>
  <c r="H1380" i="2"/>
  <c r="G1380" i="2"/>
  <c r="N1380" i="2" s="1"/>
  <c r="F1380" i="2"/>
  <c r="E1380" i="2"/>
  <c r="D1380" i="2"/>
  <c r="C1380" i="2"/>
  <c r="B1380" i="2"/>
  <c r="A1380" i="2"/>
  <c r="L1379" i="2"/>
  <c r="K1379" i="2"/>
  <c r="I1379" i="2"/>
  <c r="J1379" i="2" s="1"/>
  <c r="H1379" i="2"/>
  <c r="G1379" i="2"/>
  <c r="N1379" i="2" s="1"/>
  <c r="F1379" i="2"/>
  <c r="D1379" i="2"/>
  <c r="E1379" i="2" s="1"/>
  <c r="C1379" i="2"/>
  <c r="B1379" i="2"/>
  <c r="A1379" i="2"/>
  <c r="L1378" i="2"/>
  <c r="K1378" i="2"/>
  <c r="H1378" i="2"/>
  <c r="G1378" i="2"/>
  <c r="F1378" i="2"/>
  <c r="E1378" i="2"/>
  <c r="D1378" i="2"/>
  <c r="C1378" i="2"/>
  <c r="O1378" i="2" s="1"/>
  <c r="B1378" i="2"/>
  <c r="A1378" i="2"/>
  <c r="L1377" i="2"/>
  <c r="K1377" i="2"/>
  <c r="H1377" i="2"/>
  <c r="G1377" i="2"/>
  <c r="N1377" i="2" s="1"/>
  <c r="F1377" i="2"/>
  <c r="D1377" i="2"/>
  <c r="E1377" i="2" s="1"/>
  <c r="C1377" i="2"/>
  <c r="B1377" i="2"/>
  <c r="A1377" i="2"/>
  <c r="L1376" i="2"/>
  <c r="K1376" i="2"/>
  <c r="H1376" i="2"/>
  <c r="G1376" i="2"/>
  <c r="F1376" i="2"/>
  <c r="E1376" i="2"/>
  <c r="D1376" i="2"/>
  <c r="C1376" i="2"/>
  <c r="B1376" i="2"/>
  <c r="A1376" i="2"/>
  <c r="N1375" i="2"/>
  <c r="L1375" i="2"/>
  <c r="K1375" i="2"/>
  <c r="H1375" i="2"/>
  <c r="G1375" i="2"/>
  <c r="F1375" i="2"/>
  <c r="D1375" i="2"/>
  <c r="E1375" i="2" s="1"/>
  <c r="C1375" i="2"/>
  <c r="B1375" i="2"/>
  <c r="A1375" i="2"/>
  <c r="L1374" i="2"/>
  <c r="K1374" i="2"/>
  <c r="I1374" i="2"/>
  <c r="J1374" i="2" s="1"/>
  <c r="H1374" i="2"/>
  <c r="G1374" i="2"/>
  <c r="N1374" i="2" s="1"/>
  <c r="F1374" i="2"/>
  <c r="E1374" i="2"/>
  <c r="D1374" i="2"/>
  <c r="C1374" i="2"/>
  <c r="B1374" i="2"/>
  <c r="A1374" i="2"/>
  <c r="N1373" i="2"/>
  <c r="L1373" i="2"/>
  <c r="K1373" i="2"/>
  <c r="H1373" i="2"/>
  <c r="I1373" i="2" s="1"/>
  <c r="J1373" i="2" s="1"/>
  <c r="G1373" i="2"/>
  <c r="F1373" i="2"/>
  <c r="D1373" i="2"/>
  <c r="E1373" i="2" s="1"/>
  <c r="C1373" i="2"/>
  <c r="B1373" i="2"/>
  <c r="A1373" i="2"/>
  <c r="L1372" i="2"/>
  <c r="K1372" i="2"/>
  <c r="H1372" i="2"/>
  <c r="G1372" i="2"/>
  <c r="F1372" i="2"/>
  <c r="E1372" i="2"/>
  <c r="D1372" i="2"/>
  <c r="C1372" i="2"/>
  <c r="B1372" i="2"/>
  <c r="A1372" i="2"/>
  <c r="O1372" i="2" s="1"/>
  <c r="N1371" i="2"/>
  <c r="L1371" i="2"/>
  <c r="K1371" i="2"/>
  <c r="I1371" i="2"/>
  <c r="J1371" i="2" s="1"/>
  <c r="H1371" i="2"/>
  <c r="G1371" i="2"/>
  <c r="F1371" i="2"/>
  <c r="D1371" i="2"/>
  <c r="E1371" i="2" s="1"/>
  <c r="C1371" i="2"/>
  <c r="B1371" i="2"/>
  <c r="A1371" i="2"/>
  <c r="L1370" i="2"/>
  <c r="K1370" i="2"/>
  <c r="H1370" i="2"/>
  <c r="G1370" i="2"/>
  <c r="F1370" i="2"/>
  <c r="E1370" i="2"/>
  <c r="D1370" i="2"/>
  <c r="C1370" i="2"/>
  <c r="B1370" i="2"/>
  <c r="A1370" i="2"/>
  <c r="N1369" i="2"/>
  <c r="L1369" i="2"/>
  <c r="K1369" i="2"/>
  <c r="H1369" i="2"/>
  <c r="G1369" i="2"/>
  <c r="F1369" i="2"/>
  <c r="O1369" i="2" s="1"/>
  <c r="D1369" i="2"/>
  <c r="C1369" i="2"/>
  <c r="B1369" i="2"/>
  <c r="A1369" i="2"/>
  <c r="L1368" i="2"/>
  <c r="K1368" i="2"/>
  <c r="I1368" i="2"/>
  <c r="J1368" i="2" s="1"/>
  <c r="H1368" i="2"/>
  <c r="G1368" i="2"/>
  <c r="F1368" i="2"/>
  <c r="D1368" i="2"/>
  <c r="E1368" i="2" s="1"/>
  <c r="C1368" i="2"/>
  <c r="O1368" i="2" s="1"/>
  <c r="B1368" i="2"/>
  <c r="A1368" i="2"/>
  <c r="L1367" i="2"/>
  <c r="N1367" i="2" s="1"/>
  <c r="K1367" i="2"/>
  <c r="H1367" i="2"/>
  <c r="G1367" i="2"/>
  <c r="F1367" i="2"/>
  <c r="D1367" i="2"/>
  <c r="E1367" i="2" s="1"/>
  <c r="C1367" i="2"/>
  <c r="B1367" i="2"/>
  <c r="A1367" i="2"/>
  <c r="L1366" i="2"/>
  <c r="K1366" i="2"/>
  <c r="J1366" i="2"/>
  <c r="I1366" i="2"/>
  <c r="H1366" i="2"/>
  <c r="G1366" i="2"/>
  <c r="F1366" i="2"/>
  <c r="D1366" i="2"/>
  <c r="C1366" i="2"/>
  <c r="B1366" i="2"/>
  <c r="A1366" i="2"/>
  <c r="L1365" i="2"/>
  <c r="N1365" i="2" s="1"/>
  <c r="K1365" i="2"/>
  <c r="I1365" i="2"/>
  <c r="J1365" i="2" s="1"/>
  <c r="H1365" i="2"/>
  <c r="G1365" i="2"/>
  <c r="F1365" i="2"/>
  <c r="D1365" i="2"/>
  <c r="E1365" i="2" s="1"/>
  <c r="C1365" i="2"/>
  <c r="B1365" i="2"/>
  <c r="A1365" i="2"/>
  <c r="L1364" i="2"/>
  <c r="K1364" i="2"/>
  <c r="I1364" i="2"/>
  <c r="J1364" i="2" s="1"/>
  <c r="H1364" i="2"/>
  <c r="G1364" i="2"/>
  <c r="N1364" i="2" s="1"/>
  <c r="F1364" i="2"/>
  <c r="E1364" i="2"/>
  <c r="D1364" i="2"/>
  <c r="C1364" i="2"/>
  <c r="B1364" i="2"/>
  <c r="A1364" i="2"/>
  <c r="L1363" i="2"/>
  <c r="K1363" i="2"/>
  <c r="H1363" i="2"/>
  <c r="G1363" i="2"/>
  <c r="F1363" i="2"/>
  <c r="D1363" i="2"/>
  <c r="E1363" i="2" s="1"/>
  <c r="C1363" i="2"/>
  <c r="B1363" i="2"/>
  <c r="A1363" i="2"/>
  <c r="L1362" i="2"/>
  <c r="K1362" i="2"/>
  <c r="I1362" i="2"/>
  <c r="J1362" i="2" s="1"/>
  <c r="H1362" i="2"/>
  <c r="G1362" i="2"/>
  <c r="N1362" i="2" s="1"/>
  <c r="F1362" i="2"/>
  <c r="E1362" i="2"/>
  <c r="D1362" i="2"/>
  <c r="C1362" i="2"/>
  <c r="B1362" i="2"/>
  <c r="A1362" i="2"/>
  <c r="L1361" i="2"/>
  <c r="K1361" i="2"/>
  <c r="H1361" i="2"/>
  <c r="G1361" i="2"/>
  <c r="F1361" i="2"/>
  <c r="E1361" i="2"/>
  <c r="D1361" i="2"/>
  <c r="C1361" i="2"/>
  <c r="B1361" i="2"/>
  <c r="A1361" i="2"/>
  <c r="L1360" i="2"/>
  <c r="K1360" i="2"/>
  <c r="H1360" i="2"/>
  <c r="G1360" i="2"/>
  <c r="F1360" i="2"/>
  <c r="E1360" i="2"/>
  <c r="D1360" i="2"/>
  <c r="C1360" i="2"/>
  <c r="B1360" i="2"/>
  <c r="A1360" i="2"/>
  <c r="L1359" i="2"/>
  <c r="N1359" i="2" s="1"/>
  <c r="K1359" i="2"/>
  <c r="H1359" i="2"/>
  <c r="G1359" i="2"/>
  <c r="F1359" i="2"/>
  <c r="E1359" i="2"/>
  <c r="D1359" i="2"/>
  <c r="C1359" i="2"/>
  <c r="B1359" i="2"/>
  <c r="O1359" i="2" s="1"/>
  <c r="A1359" i="2"/>
  <c r="L1358" i="2"/>
  <c r="K1358" i="2"/>
  <c r="I1358" i="2"/>
  <c r="J1358" i="2" s="1"/>
  <c r="H1358" i="2"/>
  <c r="G1358" i="2"/>
  <c r="N1358" i="2" s="1"/>
  <c r="F1358" i="2"/>
  <c r="E1358" i="2"/>
  <c r="D1358" i="2"/>
  <c r="C1358" i="2"/>
  <c r="B1358" i="2"/>
  <c r="A1358" i="2"/>
  <c r="N1357" i="2"/>
  <c r="L1357" i="2"/>
  <c r="K1357" i="2"/>
  <c r="J1357" i="2"/>
  <c r="H1357" i="2"/>
  <c r="I1357" i="2" s="1"/>
  <c r="G1357" i="2"/>
  <c r="F1357" i="2"/>
  <c r="D1357" i="2"/>
  <c r="E1357" i="2" s="1"/>
  <c r="C1357" i="2"/>
  <c r="B1357" i="2"/>
  <c r="A1357" i="2"/>
  <c r="L1356" i="2"/>
  <c r="K1356" i="2"/>
  <c r="H1356" i="2"/>
  <c r="G1356" i="2"/>
  <c r="F1356" i="2"/>
  <c r="E1356" i="2"/>
  <c r="D1356" i="2"/>
  <c r="C1356" i="2"/>
  <c r="B1356" i="2"/>
  <c r="A1356" i="2"/>
  <c r="N1355" i="2"/>
  <c r="L1355" i="2"/>
  <c r="K1355" i="2"/>
  <c r="H1355" i="2"/>
  <c r="I1355" i="2" s="1"/>
  <c r="J1355" i="2" s="1"/>
  <c r="G1355" i="2"/>
  <c r="F1355" i="2"/>
  <c r="D1355" i="2"/>
  <c r="E1355" i="2" s="1"/>
  <c r="C1355" i="2"/>
  <c r="B1355" i="2"/>
  <c r="A1355" i="2"/>
  <c r="L1354" i="2"/>
  <c r="K1354" i="2"/>
  <c r="H1354" i="2"/>
  <c r="G1354" i="2"/>
  <c r="F1354" i="2"/>
  <c r="E1354" i="2"/>
  <c r="D1354" i="2"/>
  <c r="C1354" i="2"/>
  <c r="B1354" i="2"/>
  <c r="A1354" i="2"/>
  <c r="L1353" i="2"/>
  <c r="N1353" i="2" s="1"/>
  <c r="K1353" i="2"/>
  <c r="H1353" i="2"/>
  <c r="G1353" i="2"/>
  <c r="F1353" i="2"/>
  <c r="O1353" i="2" s="1"/>
  <c r="D1353" i="2"/>
  <c r="C1353" i="2"/>
  <c r="B1353" i="2"/>
  <c r="A1353" i="2"/>
  <c r="L1352" i="2"/>
  <c r="K1352" i="2"/>
  <c r="I1352" i="2"/>
  <c r="J1352" i="2" s="1"/>
  <c r="H1352" i="2"/>
  <c r="G1352" i="2"/>
  <c r="F1352" i="2"/>
  <c r="D1352" i="2"/>
  <c r="E1352" i="2" s="1"/>
  <c r="C1352" i="2"/>
  <c r="B1352" i="2"/>
  <c r="A1352" i="2"/>
  <c r="L1351" i="2"/>
  <c r="N1351" i="2" s="1"/>
  <c r="K1351" i="2"/>
  <c r="H1351" i="2"/>
  <c r="G1351" i="2"/>
  <c r="I1351" i="2" s="1"/>
  <c r="J1351" i="2" s="1"/>
  <c r="F1351" i="2"/>
  <c r="D1351" i="2"/>
  <c r="E1351" i="2" s="1"/>
  <c r="C1351" i="2"/>
  <c r="B1351" i="2"/>
  <c r="A1351" i="2"/>
  <c r="L1350" i="2"/>
  <c r="K1350" i="2"/>
  <c r="I1350" i="2"/>
  <c r="J1350" i="2" s="1"/>
  <c r="H1350" i="2"/>
  <c r="G1350" i="2"/>
  <c r="F1350" i="2"/>
  <c r="D1350" i="2"/>
  <c r="E1350" i="2" s="1"/>
  <c r="C1350" i="2"/>
  <c r="B1350" i="2"/>
  <c r="A1350" i="2"/>
  <c r="L1349" i="2"/>
  <c r="N1349" i="2" s="1"/>
  <c r="K1349" i="2"/>
  <c r="J1349" i="2"/>
  <c r="I1349" i="2"/>
  <c r="H1349" i="2"/>
  <c r="G1349" i="2"/>
  <c r="F1349" i="2"/>
  <c r="D1349" i="2"/>
  <c r="E1349" i="2" s="1"/>
  <c r="C1349" i="2"/>
  <c r="B1349" i="2"/>
  <c r="A1349" i="2"/>
  <c r="L1348" i="2"/>
  <c r="K1348" i="2"/>
  <c r="H1348" i="2"/>
  <c r="I1348" i="2" s="1"/>
  <c r="J1348" i="2" s="1"/>
  <c r="G1348" i="2"/>
  <c r="N1348" i="2" s="1"/>
  <c r="F1348" i="2"/>
  <c r="E1348" i="2"/>
  <c r="D1348" i="2"/>
  <c r="C1348" i="2"/>
  <c r="B1348" i="2"/>
  <c r="A1348" i="2"/>
  <c r="O1347" i="2"/>
  <c r="L1347" i="2"/>
  <c r="K1347" i="2"/>
  <c r="I1347" i="2"/>
  <c r="J1347" i="2" s="1"/>
  <c r="H1347" i="2"/>
  <c r="G1347" i="2"/>
  <c r="N1347" i="2" s="1"/>
  <c r="F1347" i="2"/>
  <c r="D1347" i="2"/>
  <c r="E1347" i="2" s="1"/>
  <c r="C1347" i="2"/>
  <c r="B1347" i="2"/>
  <c r="A1347" i="2"/>
  <c r="L1346" i="2"/>
  <c r="K1346" i="2"/>
  <c r="I1346" i="2"/>
  <c r="J1346" i="2" s="1"/>
  <c r="H1346" i="2"/>
  <c r="G1346" i="2"/>
  <c r="N1346" i="2" s="1"/>
  <c r="F1346" i="2"/>
  <c r="E1346" i="2"/>
  <c r="D1346" i="2"/>
  <c r="C1346" i="2"/>
  <c r="O1346" i="2" s="1"/>
  <c r="B1346" i="2"/>
  <c r="A1346" i="2"/>
  <c r="L1345" i="2"/>
  <c r="K1345" i="2"/>
  <c r="H1345" i="2"/>
  <c r="G1345" i="2"/>
  <c r="F1345" i="2"/>
  <c r="D1345" i="2"/>
  <c r="E1345" i="2" s="1"/>
  <c r="C1345" i="2"/>
  <c r="B1345" i="2"/>
  <c r="A1345" i="2"/>
  <c r="N1344" i="2"/>
  <c r="L1344" i="2"/>
  <c r="K1344" i="2"/>
  <c r="H1344" i="2"/>
  <c r="G1344" i="2"/>
  <c r="I1344" i="2" s="1"/>
  <c r="J1344" i="2" s="1"/>
  <c r="F1344" i="2"/>
  <c r="E1344" i="2"/>
  <c r="D1344" i="2"/>
  <c r="C1344" i="2"/>
  <c r="B1344" i="2"/>
  <c r="A1344" i="2"/>
  <c r="L1343" i="2"/>
  <c r="N1343" i="2" s="1"/>
  <c r="K1343" i="2"/>
  <c r="H1343" i="2"/>
  <c r="G1343" i="2"/>
  <c r="I1343" i="2" s="1"/>
  <c r="J1343" i="2" s="1"/>
  <c r="F1343" i="2"/>
  <c r="D1343" i="2"/>
  <c r="E1343" i="2" s="1"/>
  <c r="C1343" i="2"/>
  <c r="B1343" i="2"/>
  <c r="A1343" i="2"/>
  <c r="O1342" i="2"/>
  <c r="L1342" i="2"/>
  <c r="K1342" i="2"/>
  <c r="J1342" i="2"/>
  <c r="I1342" i="2"/>
  <c r="H1342" i="2"/>
  <c r="G1342" i="2"/>
  <c r="N1342" i="2" s="1"/>
  <c r="F1342" i="2"/>
  <c r="E1342" i="2"/>
  <c r="D1342" i="2"/>
  <c r="C1342" i="2"/>
  <c r="B1342" i="2"/>
  <c r="A1342" i="2"/>
  <c r="N1341" i="2"/>
  <c r="L1341" i="2"/>
  <c r="K1341" i="2"/>
  <c r="H1341" i="2"/>
  <c r="I1341" i="2" s="1"/>
  <c r="J1341" i="2" s="1"/>
  <c r="G1341" i="2"/>
  <c r="F1341" i="2"/>
  <c r="D1341" i="2"/>
  <c r="E1341" i="2" s="1"/>
  <c r="C1341" i="2"/>
  <c r="B1341" i="2"/>
  <c r="A1341" i="2"/>
  <c r="L1340" i="2"/>
  <c r="K1340" i="2"/>
  <c r="H1340" i="2"/>
  <c r="G1340" i="2"/>
  <c r="F1340" i="2"/>
  <c r="E1340" i="2"/>
  <c r="D1340" i="2"/>
  <c r="C1340" i="2"/>
  <c r="B1340" i="2"/>
  <c r="A1340" i="2"/>
  <c r="N1339" i="2"/>
  <c r="L1339" i="2"/>
  <c r="K1339" i="2"/>
  <c r="J1339" i="2"/>
  <c r="I1339" i="2"/>
  <c r="H1339" i="2"/>
  <c r="G1339" i="2"/>
  <c r="F1339" i="2"/>
  <c r="D1339" i="2"/>
  <c r="E1339" i="2" s="1"/>
  <c r="C1339" i="2"/>
  <c r="B1339" i="2"/>
  <c r="A1339" i="2"/>
  <c r="O1338" i="2"/>
  <c r="L1338" i="2"/>
  <c r="K1338" i="2"/>
  <c r="H1338" i="2"/>
  <c r="G1338" i="2"/>
  <c r="F1338" i="2"/>
  <c r="E1338" i="2"/>
  <c r="D1338" i="2"/>
  <c r="C1338" i="2"/>
  <c r="B1338" i="2"/>
  <c r="A1338" i="2"/>
  <c r="N1337" i="2"/>
  <c r="L1337" i="2"/>
  <c r="K1337" i="2"/>
  <c r="H1337" i="2"/>
  <c r="G1337" i="2"/>
  <c r="F1337" i="2"/>
  <c r="O1337" i="2" s="1"/>
  <c r="D1337" i="2"/>
  <c r="C1337" i="2"/>
  <c r="B1337" i="2"/>
  <c r="A1337" i="2"/>
  <c r="L1336" i="2"/>
  <c r="K1336" i="2"/>
  <c r="I1336" i="2"/>
  <c r="J1336" i="2" s="1"/>
  <c r="H1336" i="2"/>
  <c r="G1336" i="2"/>
  <c r="F1336" i="2"/>
  <c r="D1336" i="2"/>
  <c r="E1336" i="2" s="1"/>
  <c r="C1336" i="2"/>
  <c r="B1336" i="2"/>
  <c r="A1336" i="2"/>
  <c r="L1335" i="2"/>
  <c r="N1335" i="2" s="1"/>
  <c r="K1335" i="2"/>
  <c r="H1335" i="2"/>
  <c r="G1335" i="2"/>
  <c r="F1335" i="2"/>
  <c r="D1335" i="2"/>
  <c r="E1335" i="2" s="1"/>
  <c r="C1335" i="2"/>
  <c r="B1335" i="2"/>
  <c r="A1335" i="2"/>
  <c r="L1334" i="2"/>
  <c r="K1334" i="2"/>
  <c r="J1334" i="2"/>
  <c r="I1334" i="2"/>
  <c r="H1334" i="2"/>
  <c r="G1334" i="2"/>
  <c r="N1334" i="2" s="1"/>
  <c r="F1334" i="2"/>
  <c r="E1334" i="2"/>
  <c r="D1334" i="2"/>
  <c r="C1334" i="2"/>
  <c r="B1334" i="2"/>
  <c r="A1334" i="2"/>
  <c r="L1333" i="2"/>
  <c r="N1333" i="2" s="1"/>
  <c r="K1333" i="2"/>
  <c r="I1333" i="2"/>
  <c r="J1333" i="2" s="1"/>
  <c r="H1333" i="2"/>
  <c r="G1333" i="2"/>
  <c r="F1333" i="2"/>
  <c r="D1333" i="2"/>
  <c r="E1333" i="2" s="1"/>
  <c r="C1333" i="2"/>
  <c r="B1333" i="2"/>
  <c r="A1333" i="2"/>
  <c r="O1332" i="2"/>
  <c r="L1332" i="2"/>
  <c r="K1332" i="2"/>
  <c r="H1332" i="2"/>
  <c r="G1332" i="2"/>
  <c r="F1332" i="2"/>
  <c r="E1332" i="2"/>
  <c r="D1332" i="2"/>
  <c r="C1332" i="2"/>
  <c r="B1332" i="2"/>
  <c r="A1332" i="2"/>
  <c r="L1331" i="2"/>
  <c r="K1331" i="2"/>
  <c r="H1331" i="2"/>
  <c r="G1331" i="2"/>
  <c r="F1331" i="2"/>
  <c r="D1331" i="2"/>
  <c r="E1331" i="2" s="1"/>
  <c r="C1331" i="2"/>
  <c r="B1331" i="2"/>
  <c r="A1331" i="2"/>
  <c r="L1330" i="2"/>
  <c r="K1330" i="2"/>
  <c r="I1330" i="2"/>
  <c r="J1330" i="2" s="1"/>
  <c r="H1330" i="2"/>
  <c r="G1330" i="2"/>
  <c r="N1330" i="2" s="1"/>
  <c r="F1330" i="2"/>
  <c r="E1330" i="2"/>
  <c r="D1330" i="2"/>
  <c r="C1330" i="2"/>
  <c r="B1330" i="2"/>
  <c r="A1330" i="2"/>
  <c r="N1329" i="2"/>
  <c r="L1329" i="2"/>
  <c r="K1329" i="2"/>
  <c r="H1329" i="2"/>
  <c r="G1329" i="2"/>
  <c r="F1329" i="2"/>
  <c r="E1329" i="2"/>
  <c r="D1329" i="2"/>
  <c r="C1329" i="2"/>
  <c r="B1329" i="2"/>
  <c r="A1329" i="2"/>
  <c r="L1328" i="2"/>
  <c r="K1328" i="2"/>
  <c r="H1328" i="2"/>
  <c r="G1328" i="2"/>
  <c r="F1328" i="2"/>
  <c r="E1328" i="2"/>
  <c r="D1328" i="2"/>
  <c r="C1328" i="2"/>
  <c r="B1328" i="2"/>
  <c r="A1328" i="2"/>
  <c r="N1327" i="2"/>
  <c r="L1327" i="2"/>
  <c r="K1327" i="2"/>
  <c r="H1327" i="2"/>
  <c r="G1327" i="2"/>
  <c r="F1327" i="2"/>
  <c r="E1327" i="2"/>
  <c r="D1327" i="2"/>
  <c r="C1327" i="2"/>
  <c r="B1327" i="2"/>
  <c r="A1327" i="2"/>
  <c r="L1326" i="2"/>
  <c r="K1326" i="2"/>
  <c r="I1326" i="2"/>
  <c r="J1326" i="2" s="1"/>
  <c r="H1326" i="2"/>
  <c r="G1326" i="2"/>
  <c r="N1326" i="2" s="1"/>
  <c r="F1326" i="2"/>
  <c r="E1326" i="2"/>
  <c r="D1326" i="2"/>
  <c r="C1326" i="2"/>
  <c r="B1326" i="2"/>
  <c r="A1326" i="2"/>
  <c r="N1325" i="2"/>
  <c r="L1325" i="2"/>
  <c r="K1325" i="2"/>
  <c r="J1325" i="2"/>
  <c r="H1325" i="2"/>
  <c r="I1325" i="2" s="1"/>
  <c r="G1325" i="2"/>
  <c r="F1325" i="2"/>
  <c r="D1325" i="2"/>
  <c r="E1325" i="2" s="1"/>
  <c r="C1325" i="2"/>
  <c r="B1325" i="2"/>
  <c r="A1325" i="2"/>
  <c r="L1324" i="2"/>
  <c r="N1324" i="2" s="1"/>
  <c r="K1324" i="2"/>
  <c r="I1324" i="2"/>
  <c r="J1324" i="2" s="1"/>
  <c r="H1324" i="2"/>
  <c r="G1324" i="2"/>
  <c r="F1324" i="2"/>
  <c r="E1324" i="2"/>
  <c r="D1324" i="2"/>
  <c r="C1324" i="2"/>
  <c r="B1324" i="2"/>
  <c r="A1324" i="2"/>
  <c r="L1323" i="2"/>
  <c r="K1323" i="2"/>
  <c r="H1323" i="2"/>
  <c r="G1323" i="2"/>
  <c r="F1323" i="2"/>
  <c r="D1323" i="2"/>
  <c r="E1323" i="2" s="1"/>
  <c r="C1323" i="2"/>
  <c r="B1323" i="2"/>
  <c r="O1323" i="2" s="1"/>
  <c r="A1323" i="2"/>
  <c r="O1322" i="2"/>
  <c r="L1322" i="2"/>
  <c r="K1322" i="2"/>
  <c r="H1322" i="2"/>
  <c r="G1322" i="2"/>
  <c r="F1322" i="2"/>
  <c r="D1322" i="2"/>
  <c r="E1322" i="2" s="1"/>
  <c r="C1322" i="2"/>
  <c r="B1322" i="2"/>
  <c r="A1322" i="2"/>
  <c r="N1321" i="2"/>
  <c r="L1321" i="2"/>
  <c r="K1321" i="2"/>
  <c r="I1321" i="2"/>
  <c r="J1321" i="2" s="1"/>
  <c r="H1321" i="2"/>
  <c r="G1321" i="2"/>
  <c r="F1321" i="2"/>
  <c r="E1321" i="2"/>
  <c r="D1321" i="2"/>
  <c r="C1321" i="2"/>
  <c r="B1321" i="2"/>
  <c r="A1321" i="2"/>
  <c r="L1320" i="2"/>
  <c r="K1320" i="2"/>
  <c r="H1320" i="2"/>
  <c r="G1320" i="2"/>
  <c r="F1320" i="2"/>
  <c r="D1320" i="2"/>
  <c r="E1320" i="2" s="1"/>
  <c r="C1320" i="2"/>
  <c r="B1320" i="2"/>
  <c r="A1320" i="2"/>
  <c r="N1319" i="2"/>
  <c r="L1319" i="2"/>
  <c r="K1319" i="2"/>
  <c r="H1319" i="2"/>
  <c r="G1319" i="2"/>
  <c r="I1319" i="2" s="1"/>
  <c r="J1319" i="2" s="1"/>
  <c r="F1319" i="2"/>
  <c r="D1319" i="2"/>
  <c r="E1319" i="2" s="1"/>
  <c r="C1319" i="2"/>
  <c r="B1319" i="2"/>
  <c r="A1319" i="2"/>
  <c r="L1318" i="2"/>
  <c r="K1318" i="2"/>
  <c r="H1318" i="2"/>
  <c r="G1318" i="2"/>
  <c r="F1318" i="2"/>
  <c r="E1318" i="2"/>
  <c r="D1318" i="2"/>
  <c r="C1318" i="2"/>
  <c r="B1318" i="2"/>
  <c r="A1318" i="2"/>
  <c r="N1317" i="2"/>
  <c r="L1317" i="2"/>
  <c r="K1317" i="2"/>
  <c r="J1317" i="2"/>
  <c r="I1317" i="2"/>
  <c r="H1317" i="2"/>
  <c r="G1317" i="2"/>
  <c r="F1317" i="2"/>
  <c r="E1317" i="2"/>
  <c r="D1317" i="2"/>
  <c r="C1317" i="2"/>
  <c r="B1317" i="2"/>
  <c r="A1317" i="2"/>
  <c r="O1317" i="2" s="1"/>
  <c r="L1316" i="2"/>
  <c r="N1316" i="2" s="1"/>
  <c r="K1316" i="2"/>
  <c r="I1316" i="2"/>
  <c r="J1316" i="2" s="1"/>
  <c r="H1316" i="2"/>
  <c r="G1316" i="2"/>
  <c r="F1316" i="2"/>
  <c r="E1316" i="2"/>
  <c r="D1316" i="2"/>
  <c r="C1316" i="2"/>
  <c r="B1316" i="2"/>
  <c r="A1316" i="2"/>
  <c r="L1315" i="2"/>
  <c r="K1315" i="2"/>
  <c r="H1315" i="2"/>
  <c r="G1315" i="2"/>
  <c r="F1315" i="2"/>
  <c r="E1315" i="2"/>
  <c r="D1315" i="2"/>
  <c r="C1315" i="2"/>
  <c r="B1315" i="2"/>
  <c r="O1315" i="2" s="1"/>
  <c r="A1315" i="2"/>
  <c r="L1314" i="2"/>
  <c r="N1314" i="2" s="1"/>
  <c r="K1314" i="2"/>
  <c r="J1314" i="2"/>
  <c r="I1314" i="2"/>
  <c r="H1314" i="2"/>
  <c r="G1314" i="2"/>
  <c r="F1314" i="2"/>
  <c r="D1314" i="2"/>
  <c r="E1314" i="2" s="1"/>
  <c r="C1314" i="2"/>
  <c r="O1314" i="2" s="1"/>
  <c r="B1314" i="2"/>
  <c r="A1314" i="2"/>
  <c r="N1313" i="2"/>
  <c r="L1313" i="2"/>
  <c r="K1313" i="2"/>
  <c r="H1313" i="2"/>
  <c r="I1313" i="2" s="1"/>
  <c r="J1313" i="2" s="1"/>
  <c r="G1313" i="2"/>
  <c r="F1313" i="2"/>
  <c r="E1313" i="2"/>
  <c r="D1313" i="2"/>
  <c r="C1313" i="2"/>
  <c r="B1313" i="2"/>
  <c r="A1313" i="2"/>
  <c r="L1312" i="2"/>
  <c r="K1312" i="2"/>
  <c r="H1312" i="2"/>
  <c r="G1312" i="2"/>
  <c r="F1312" i="2"/>
  <c r="E1312" i="2"/>
  <c r="D1312" i="2"/>
  <c r="C1312" i="2"/>
  <c r="B1312" i="2"/>
  <c r="A1312" i="2"/>
  <c r="N1311" i="2"/>
  <c r="L1311" i="2"/>
  <c r="K1311" i="2"/>
  <c r="H1311" i="2"/>
  <c r="I1311" i="2" s="1"/>
  <c r="J1311" i="2" s="1"/>
  <c r="G1311" i="2"/>
  <c r="F1311" i="2"/>
  <c r="D1311" i="2"/>
  <c r="E1311" i="2" s="1"/>
  <c r="C1311" i="2"/>
  <c r="O1311" i="2" s="1"/>
  <c r="B1311" i="2"/>
  <c r="A1311" i="2"/>
  <c r="N1310" i="2"/>
  <c r="L1310" i="2"/>
  <c r="K1310" i="2"/>
  <c r="H1310" i="2"/>
  <c r="G1310" i="2"/>
  <c r="F1310" i="2"/>
  <c r="E1310" i="2"/>
  <c r="D1310" i="2"/>
  <c r="C1310" i="2"/>
  <c r="B1310" i="2"/>
  <c r="A1310" i="2"/>
  <c r="O1309" i="2"/>
  <c r="L1309" i="2"/>
  <c r="N1309" i="2" s="1"/>
  <c r="K1309" i="2"/>
  <c r="J1309" i="2"/>
  <c r="H1309" i="2"/>
  <c r="G1309" i="2"/>
  <c r="I1309" i="2" s="1"/>
  <c r="F1309" i="2"/>
  <c r="D1309" i="2"/>
  <c r="E1309" i="2" s="1"/>
  <c r="C1309" i="2"/>
  <c r="B1309" i="2"/>
  <c r="A1309" i="2"/>
  <c r="L1308" i="2"/>
  <c r="N1308" i="2" s="1"/>
  <c r="K1308" i="2"/>
  <c r="I1308" i="2"/>
  <c r="J1308" i="2" s="1"/>
  <c r="H1308" i="2"/>
  <c r="G1308" i="2"/>
  <c r="F1308" i="2"/>
  <c r="D1308" i="2"/>
  <c r="E1308" i="2" s="1"/>
  <c r="C1308" i="2"/>
  <c r="B1308" i="2"/>
  <c r="A1308" i="2"/>
  <c r="L1307" i="2"/>
  <c r="K1307" i="2"/>
  <c r="H1307" i="2"/>
  <c r="G1307" i="2"/>
  <c r="F1307" i="2"/>
  <c r="D1307" i="2"/>
  <c r="C1307" i="2"/>
  <c r="B1307" i="2"/>
  <c r="A1307" i="2"/>
  <c r="L1306" i="2"/>
  <c r="K1306" i="2"/>
  <c r="I1306" i="2"/>
  <c r="J1306" i="2" s="1"/>
  <c r="H1306" i="2"/>
  <c r="G1306" i="2"/>
  <c r="N1306" i="2" s="1"/>
  <c r="F1306" i="2"/>
  <c r="D1306" i="2"/>
  <c r="E1306" i="2" s="1"/>
  <c r="C1306" i="2"/>
  <c r="B1306" i="2"/>
  <c r="A1306" i="2"/>
  <c r="N1305" i="2"/>
  <c r="L1305" i="2"/>
  <c r="K1305" i="2"/>
  <c r="I1305" i="2"/>
  <c r="J1305" i="2" s="1"/>
  <c r="H1305" i="2"/>
  <c r="G1305" i="2"/>
  <c r="F1305" i="2"/>
  <c r="E1305" i="2"/>
  <c r="D1305" i="2"/>
  <c r="C1305" i="2"/>
  <c r="B1305" i="2"/>
  <c r="A1305" i="2"/>
  <c r="L1304" i="2"/>
  <c r="K1304" i="2"/>
  <c r="I1304" i="2"/>
  <c r="J1304" i="2" s="1"/>
  <c r="H1304" i="2"/>
  <c r="G1304" i="2"/>
  <c r="N1304" i="2" s="1"/>
  <c r="F1304" i="2"/>
  <c r="E1304" i="2"/>
  <c r="D1304" i="2"/>
  <c r="C1304" i="2"/>
  <c r="B1304" i="2"/>
  <c r="A1304" i="2"/>
  <c r="N1303" i="2"/>
  <c r="L1303" i="2"/>
  <c r="K1303" i="2"/>
  <c r="H1303" i="2"/>
  <c r="G1303" i="2"/>
  <c r="I1303" i="2" s="1"/>
  <c r="J1303" i="2" s="1"/>
  <c r="F1303" i="2"/>
  <c r="D1303" i="2"/>
  <c r="E1303" i="2" s="1"/>
  <c r="C1303" i="2"/>
  <c r="B1303" i="2"/>
  <c r="A1303" i="2"/>
  <c r="N1302" i="2"/>
  <c r="L1302" i="2"/>
  <c r="K1302" i="2"/>
  <c r="J1302" i="2"/>
  <c r="H1302" i="2"/>
  <c r="G1302" i="2"/>
  <c r="I1302" i="2" s="1"/>
  <c r="F1302" i="2"/>
  <c r="E1302" i="2"/>
  <c r="D1302" i="2"/>
  <c r="C1302" i="2"/>
  <c r="O1302" i="2" s="1"/>
  <c r="B1302" i="2"/>
  <c r="A1302" i="2"/>
  <c r="L1301" i="2"/>
  <c r="N1301" i="2" s="1"/>
  <c r="K1301" i="2"/>
  <c r="J1301" i="2"/>
  <c r="I1301" i="2"/>
  <c r="H1301" i="2"/>
  <c r="G1301" i="2"/>
  <c r="F1301" i="2"/>
  <c r="D1301" i="2"/>
  <c r="C1301" i="2"/>
  <c r="B1301" i="2"/>
  <c r="A1301" i="2"/>
  <c r="L1300" i="2"/>
  <c r="N1300" i="2" s="1"/>
  <c r="K1300" i="2"/>
  <c r="H1300" i="2"/>
  <c r="I1300" i="2" s="1"/>
  <c r="J1300" i="2" s="1"/>
  <c r="G1300" i="2"/>
  <c r="F1300" i="2"/>
  <c r="E1300" i="2"/>
  <c r="D1300" i="2"/>
  <c r="C1300" i="2"/>
  <c r="B1300" i="2"/>
  <c r="A1300" i="2"/>
  <c r="L1299" i="2"/>
  <c r="K1299" i="2"/>
  <c r="H1299" i="2"/>
  <c r="G1299" i="2"/>
  <c r="F1299" i="2"/>
  <c r="D1299" i="2"/>
  <c r="C1299" i="2"/>
  <c r="B1299" i="2"/>
  <c r="O1299" i="2" s="1"/>
  <c r="A1299" i="2"/>
  <c r="L1298" i="2"/>
  <c r="N1298" i="2" s="1"/>
  <c r="K1298" i="2"/>
  <c r="J1298" i="2"/>
  <c r="I1298" i="2"/>
  <c r="H1298" i="2"/>
  <c r="G1298" i="2"/>
  <c r="F1298" i="2"/>
  <c r="D1298" i="2"/>
  <c r="E1298" i="2" s="1"/>
  <c r="C1298" i="2"/>
  <c r="O1298" i="2" s="1"/>
  <c r="B1298" i="2"/>
  <c r="A1298" i="2"/>
  <c r="N1297" i="2"/>
  <c r="L1297" i="2"/>
  <c r="K1297" i="2"/>
  <c r="I1297" i="2"/>
  <c r="J1297" i="2" s="1"/>
  <c r="H1297" i="2"/>
  <c r="G1297" i="2"/>
  <c r="F1297" i="2"/>
  <c r="E1297" i="2"/>
  <c r="D1297" i="2"/>
  <c r="C1297" i="2"/>
  <c r="B1297" i="2"/>
  <c r="A1297" i="2"/>
  <c r="L1296" i="2"/>
  <c r="K1296" i="2"/>
  <c r="H1296" i="2"/>
  <c r="G1296" i="2"/>
  <c r="F1296" i="2"/>
  <c r="D1296" i="2"/>
  <c r="E1296" i="2" s="1"/>
  <c r="C1296" i="2"/>
  <c r="B1296" i="2"/>
  <c r="A1296" i="2"/>
  <c r="O1295" i="2"/>
  <c r="L1295" i="2"/>
  <c r="N1295" i="2" s="1"/>
  <c r="K1295" i="2"/>
  <c r="I1295" i="2"/>
  <c r="J1295" i="2" s="1"/>
  <c r="H1295" i="2"/>
  <c r="G1295" i="2"/>
  <c r="F1295" i="2"/>
  <c r="D1295" i="2"/>
  <c r="E1295" i="2" s="1"/>
  <c r="C1295" i="2"/>
  <c r="B1295" i="2"/>
  <c r="A1295" i="2"/>
  <c r="L1294" i="2"/>
  <c r="K1294" i="2"/>
  <c r="H1294" i="2"/>
  <c r="G1294" i="2"/>
  <c r="F1294" i="2"/>
  <c r="E1294" i="2"/>
  <c r="D1294" i="2"/>
  <c r="C1294" i="2"/>
  <c r="B1294" i="2"/>
  <c r="A1294" i="2"/>
  <c r="L1293" i="2"/>
  <c r="K1293" i="2"/>
  <c r="H1293" i="2"/>
  <c r="G1293" i="2"/>
  <c r="F1293" i="2"/>
  <c r="D1293" i="2"/>
  <c r="E1293" i="2" s="1"/>
  <c r="C1293" i="2"/>
  <c r="B1293" i="2"/>
  <c r="A1293" i="2"/>
  <c r="L1292" i="2"/>
  <c r="N1292" i="2" s="1"/>
  <c r="K1292" i="2"/>
  <c r="I1292" i="2"/>
  <c r="J1292" i="2" s="1"/>
  <c r="H1292" i="2"/>
  <c r="G1292" i="2"/>
  <c r="F1292" i="2"/>
  <c r="D1292" i="2"/>
  <c r="E1292" i="2" s="1"/>
  <c r="C1292" i="2"/>
  <c r="B1292" i="2"/>
  <c r="A1292" i="2"/>
  <c r="L1291" i="2"/>
  <c r="K1291" i="2"/>
  <c r="H1291" i="2"/>
  <c r="G1291" i="2"/>
  <c r="F1291" i="2"/>
  <c r="D1291" i="2"/>
  <c r="C1291" i="2"/>
  <c r="B1291" i="2"/>
  <c r="A1291" i="2"/>
  <c r="O1290" i="2"/>
  <c r="L1290" i="2"/>
  <c r="N1290" i="2" s="1"/>
  <c r="K1290" i="2"/>
  <c r="H1290" i="2"/>
  <c r="G1290" i="2"/>
  <c r="I1290" i="2" s="1"/>
  <c r="J1290" i="2" s="1"/>
  <c r="F1290" i="2"/>
  <c r="D1290" i="2"/>
  <c r="E1290" i="2" s="1"/>
  <c r="C1290" i="2"/>
  <c r="B1290" i="2"/>
  <c r="A1290" i="2"/>
  <c r="N1289" i="2"/>
  <c r="L1289" i="2"/>
  <c r="K1289" i="2"/>
  <c r="I1289" i="2"/>
  <c r="J1289" i="2" s="1"/>
  <c r="H1289" i="2"/>
  <c r="G1289" i="2"/>
  <c r="F1289" i="2"/>
  <c r="E1289" i="2"/>
  <c r="D1289" i="2"/>
  <c r="C1289" i="2"/>
  <c r="B1289" i="2"/>
  <c r="A1289" i="2"/>
  <c r="L1288" i="2"/>
  <c r="K1288" i="2"/>
  <c r="J1288" i="2"/>
  <c r="H1288" i="2"/>
  <c r="G1288" i="2"/>
  <c r="I1288" i="2" s="1"/>
  <c r="F1288" i="2"/>
  <c r="D1288" i="2"/>
  <c r="E1288" i="2" s="1"/>
  <c r="C1288" i="2"/>
  <c r="B1288" i="2"/>
  <c r="A1288" i="2"/>
  <c r="N1287" i="2"/>
  <c r="L1287" i="2"/>
  <c r="K1287" i="2"/>
  <c r="H1287" i="2"/>
  <c r="G1287" i="2"/>
  <c r="I1287" i="2" s="1"/>
  <c r="J1287" i="2" s="1"/>
  <c r="F1287" i="2"/>
  <c r="D1287" i="2"/>
  <c r="E1287" i="2" s="1"/>
  <c r="C1287" i="2"/>
  <c r="O1287" i="2" s="1"/>
  <c r="B1287" i="2"/>
  <c r="A1287" i="2"/>
  <c r="N1286" i="2"/>
  <c r="L1286" i="2"/>
  <c r="K1286" i="2"/>
  <c r="J1286" i="2"/>
  <c r="H1286" i="2"/>
  <c r="G1286" i="2"/>
  <c r="I1286" i="2" s="1"/>
  <c r="F1286" i="2"/>
  <c r="E1286" i="2"/>
  <c r="D1286" i="2"/>
  <c r="C1286" i="2"/>
  <c r="O1286" i="2" s="1"/>
  <c r="B1286" i="2"/>
  <c r="A1286" i="2"/>
  <c r="L1285" i="2"/>
  <c r="N1285" i="2" s="1"/>
  <c r="K1285" i="2"/>
  <c r="I1285" i="2"/>
  <c r="J1285" i="2" s="1"/>
  <c r="H1285" i="2"/>
  <c r="G1285" i="2"/>
  <c r="F1285" i="2"/>
  <c r="D1285" i="2"/>
  <c r="E1285" i="2" s="1"/>
  <c r="C1285" i="2"/>
  <c r="B1285" i="2"/>
  <c r="A1285" i="2"/>
  <c r="L1284" i="2"/>
  <c r="N1284" i="2" s="1"/>
  <c r="K1284" i="2"/>
  <c r="H1284" i="2"/>
  <c r="I1284" i="2" s="1"/>
  <c r="J1284" i="2" s="1"/>
  <c r="G1284" i="2"/>
  <c r="F1284" i="2"/>
  <c r="E1284" i="2"/>
  <c r="D1284" i="2"/>
  <c r="C1284" i="2"/>
  <c r="B1284" i="2"/>
  <c r="A1284" i="2"/>
  <c r="L1283" i="2"/>
  <c r="K1283" i="2"/>
  <c r="H1283" i="2"/>
  <c r="G1283" i="2"/>
  <c r="F1283" i="2"/>
  <c r="D1283" i="2"/>
  <c r="C1283" i="2"/>
  <c r="B1283" i="2"/>
  <c r="O1283" i="2" s="1"/>
  <c r="A1283" i="2"/>
  <c r="N1282" i="2"/>
  <c r="L1282" i="2"/>
  <c r="K1282" i="2"/>
  <c r="J1282" i="2"/>
  <c r="I1282" i="2"/>
  <c r="H1282" i="2"/>
  <c r="G1282" i="2"/>
  <c r="F1282" i="2"/>
  <c r="D1282" i="2"/>
  <c r="E1282" i="2" s="1"/>
  <c r="C1282" i="2"/>
  <c r="B1282" i="2"/>
  <c r="A1282" i="2"/>
  <c r="N1281" i="2"/>
  <c r="L1281" i="2"/>
  <c r="K1281" i="2"/>
  <c r="J1281" i="2"/>
  <c r="I1281" i="2"/>
  <c r="H1281" i="2"/>
  <c r="G1281" i="2"/>
  <c r="F1281" i="2"/>
  <c r="E1281" i="2"/>
  <c r="D1281" i="2"/>
  <c r="C1281" i="2"/>
  <c r="B1281" i="2"/>
  <c r="A1281" i="2"/>
  <c r="L1280" i="2"/>
  <c r="K1280" i="2"/>
  <c r="I1280" i="2"/>
  <c r="J1280" i="2" s="1"/>
  <c r="H1280" i="2"/>
  <c r="G1280" i="2"/>
  <c r="N1280" i="2" s="1"/>
  <c r="F1280" i="2"/>
  <c r="D1280" i="2"/>
  <c r="E1280" i="2" s="1"/>
  <c r="C1280" i="2"/>
  <c r="B1280" i="2"/>
  <c r="A1280" i="2"/>
  <c r="O1279" i="2"/>
  <c r="L1279" i="2"/>
  <c r="N1279" i="2" s="1"/>
  <c r="K1279" i="2"/>
  <c r="I1279" i="2"/>
  <c r="J1279" i="2" s="1"/>
  <c r="H1279" i="2"/>
  <c r="G1279" i="2"/>
  <c r="F1279" i="2"/>
  <c r="D1279" i="2"/>
  <c r="E1279" i="2" s="1"/>
  <c r="C1279" i="2"/>
  <c r="B1279" i="2"/>
  <c r="A1279" i="2"/>
  <c r="L1278" i="2"/>
  <c r="K1278" i="2"/>
  <c r="H1278" i="2"/>
  <c r="G1278" i="2"/>
  <c r="F1278" i="2"/>
  <c r="E1278" i="2"/>
  <c r="D1278" i="2"/>
  <c r="C1278" i="2"/>
  <c r="O1278" i="2" s="1"/>
  <c r="B1278" i="2"/>
  <c r="A1278" i="2"/>
  <c r="L1277" i="2"/>
  <c r="N1277" i="2" s="1"/>
  <c r="K1277" i="2"/>
  <c r="J1277" i="2"/>
  <c r="I1277" i="2"/>
  <c r="H1277" i="2"/>
  <c r="G1277" i="2"/>
  <c r="F1277" i="2"/>
  <c r="D1277" i="2"/>
  <c r="E1277" i="2" s="1"/>
  <c r="C1277" i="2"/>
  <c r="B1277" i="2"/>
  <c r="A1277" i="2"/>
  <c r="N1276" i="2"/>
  <c r="L1276" i="2"/>
  <c r="K1276" i="2"/>
  <c r="I1276" i="2"/>
  <c r="J1276" i="2" s="1"/>
  <c r="H1276" i="2"/>
  <c r="G1276" i="2"/>
  <c r="F1276" i="2"/>
  <c r="D1276" i="2"/>
  <c r="E1276" i="2" s="1"/>
  <c r="C1276" i="2"/>
  <c r="B1276" i="2"/>
  <c r="A1276" i="2"/>
  <c r="L1275" i="2"/>
  <c r="K1275" i="2"/>
  <c r="H1275" i="2"/>
  <c r="G1275" i="2"/>
  <c r="F1275" i="2"/>
  <c r="D1275" i="2"/>
  <c r="C1275" i="2"/>
  <c r="B1275" i="2"/>
  <c r="A1275" i="2"/>
  <c r="O1274" i="2"/>
  <c r="L1274" i="2"/>
  <c r="K1274" i="2"/>
  <c r="H1274" i="2"/>
  <c r="G1274" i="2"/>
  <c r="I1274" i="2" s="1"/>
  <c r="J1274" i="2" s="1"/>
  <c r="F1274" i="2"/>
  <c r="D1274" i="2"/>
  <c r="E1274" i="2" s="1"/>
  <c r="C1274" i="2"/>
  <c r="B1274" i="2"/>
  <c r="A1274" i="2"/>
  <c r="N1273" i="2"/>
  <c r="L1273" i="2"/>
  <c r="K1273" i="2"/>
  <c r="I1273" i="2"/>
  <c r="J1273" i="2" s="1"/>
  <c r="H1273" i="2"/>
  <c r="G1273" i="2"/>
  <c r="F1273" i="2"/>
  <c r="E1273" i="2"/>
  <c r="D1273" i="2"/>
  <c r="C1273" i="2"/>
  <c r="B1273" i="2"/>
  <c r="A1273" i="2"/>
  <c r="L1272" i="2"/>
  <c r="K1272" i="2"/>
  <c r="H1272" i="2"/>
  <c r="G1272" i="2"/>
  <c r="F1272" i="2"/>
  <c r="D1272" i="2"/>
  <c r="E1272" i="2" s="1"/>
  <c r="C1272" i="2"/>
  <c r="B1272" i="2"/>
  <c r="A1272" i="2"/>
  <c r="N1271" i="2"/>
  <c r="L1271" i="2"/>
  <c r="K1271" i="2"/>
  <c r="I1271" i="2"/>
  <c r="J1271" i="2" s="1"/>
  <c r="H1271" i="2"/>
  <c r="G1271" i="2"/>
  <c r="F1271" i="2"/>
  <c r="D1271" i="2"/>
  <c r="E1271" i="2" s="1"/>
  <c r="C1271" i="2"/>
  <c r="O1271" i="2" s="1"/>
  <c r="B1271" i="2"/>
  <c r="A1271" i="2"/>
  <c r="N1270" i="2"/>
  <c r="L1270" i="2"/>
  <c r="K1270" i="2"/>
  <c r="J1270" i="2"/>
  <c r="H1270" i="2"/>
  <c r="G1270" i="2"/>
  <c r="I1270" i="2" s="1"/>
  <c r="F1270" i="2"/>
  <c r="O1270" i="2" s="1"/>
  <c r="E1270" i="2"/>
  <c r="D1270" i="2"/>
  <c r="C1270" i="2"/>
  <c r="B1270" i="2"/>
  <c r="A1270" i="2"/>
  <c r="L1269" i="2"/>
  <c r="N1269" i="2" s="1"/>
  <c r="K1269" i="2"/>
  <c r="J1269" i="2"/>
  <c r="I1269" i="2"/>
  <c r="H1269" i="2"/>
  <c r="G1269" i="2"/>
  <c r="F1269" i="2"/>
  <c r="D1269" i="2"/>
  <c r="E1269" i="2" s="1"/>
  <c r="C1269" i="2"/>
  <c r="B1269" i="2"/>
  <c r="A1269" i="2"/>
  <c r="L1268" i="2"/>
  <c r="N1268" i="2" s="1"/>
  <c r="K1268" i="2"/>
  <c r="H1268" i="2"/>
  <c r="I1268" i="2" s="1"/>
  <c r="J1268" i="2" s="1"/>
  <c r="G1268" i="2"/>
  <c r="F1268" i="2"/>
  <c r="E1268" i="2"/>
  <c r="D1268" i="2"/>
  <c r="C1268" i="2"/>
  <c r="B1268" i="2"/>
  <c r="A1268" i="2"/>
  <c r="L1267" i="2"/>
  <c r="K1267" i="2"/>
  <c r="H1267" i="2"/>
  <c r="G1267" i="2"/>
  <c r="F1267" i="2"/>
  <c r="D1267" i="2"/>
  <c r="E1267" i="2" s="1"/>
  <c r="C1267" i="2"/>
  <c r="B1267" i="2"/>
  <c r="O1267" i="2" s="1"/>
  <c r="A1267" i="2"/>
  <c r="O1266" i="2"/>
  <c r="N1266" i="2"/>
  <c r="L1266" i="2"/>
  <c r="K1266" i="2"/>
  <c r="I1266" i="2"/>
  <c r="J1266" i="2" s="1"/>
  <c r="H1266" i="2"/>
  <c r="G1266" i="2"/>
  <c r="F1266" i="2"/>
  <c r="D1266" i="2"/>
  <c r="E1266" i="2" s="1"/>
  <c r="C1266" i="2"/>
  <c r="B1266" i="2"/>
  <c r="A1266" i="2"/>
  <c r="N1265" i="2"/>
  <c r="L1265" i="2"/>
  <c r="K1265" i="2"/>
  <c r="J1265" i="2"/>
  <c r="I1265" i="2"/>
  <c r="H1265" i="2"/>
  <c r="G1265" i="2"/>
  <c r="F1265" i="2"/>
  <c r="E1265" i="2"/>
  <c r="D1265" i="2"/>
  <c r="C1265" i="2"/>
  <c r="B1265" i="2"/>
  <c r="A1265" i="2"/>
  <c r="L1264" i="2"/>
  <c r="K1264" i="2"/>
  <c r="H1264" i="2"/>
  <c r="G1264" i="2"/>
  <c r="N1264" i="2" s="1"/>
  <c r="F1264" i="2"/>
  <c r="D1264" i="2"/>
  <c r="E1264" i="2" s="1"/>
  <c r="C1264" i="2"/>
  <c r="B1264" i="2"/>
  <c r="A1264" i="2"/>
  <c r="N1263" i="2"/>
  <c r="L1263" i="2"/>
  <c r="K1263" i="2"/>
  <c r="H1263" i="2"/>
  <c r="I1263" i="2" s="1"/>
  <c r="J1263" i="2" s="1"/>
  <c r="G1263" i="2"/>
  <c r="F1263" i="2"/>
  <c r="D1263" i="2"/>
  <c r="E1263" i="2" s="1"/>
  <c r="C1263" i="2"/>
  <c r="B1263" i="2"/>
  <c r="A1263" i="2"/>
  <c r="N1262" i="2"/>
  <c r="L1262" i="2"/>
  <c r="K1262" i="2"/>
  <c r="H1262" i="2"/>
  <c r="G1262" i="2"/>
  <c r="F1262" i="2"/>
  <c r="E1262" i="2"/>
  <c r="D1262" i="2"/>
  <c r="C1262" i="2"/>
  <c r="B1262" i="2"/>
  <c r="O1262" i="2" s="1"/>
  <c r="A1262" i="2"/>
  <c r="L1261" i="2"/>
  <c r="K1261" i="2"/>
  <c r="H1261" i="2"/>
  <c r="G1261" i="2"/>
  <c r="F1261" i="2"/>
  <c r="E1261" i="2"/>
  <c r="D1261" i="2"/>
  <c r="C1261" i="2"/>
  <c r="B1261" i="2"/>
  <c r="A1261" i="2"/>
  <c r="N1260" i="2"/>
  <c r="L1260" i="2"/>
  <c r="K1260" i="2"/>
  <c r="I1260" i="2"/>
  <c r="J1260" i="2" s="1"/>
  <c r="H1260" i="2"/>
  <c r="G1260" i="2"/>
  <c r="F1260" i="2"/>
  <c r="D1260" i="2"/>
  <c r="E1260" i="2" s="1"/>
  <c r="C1260" i="2"/>
  <c r="B1260" i="2"/>
  <c r="A1260" i="2"/>
  <c r="L1259" i="2"/>
  <c r="K1259" i="2"/>
  <c r="H1259" i="2"/>
  <c r="G1259" i="2"/>
  <c r="F1259" i="2"/>
  <c r="D1259" i="2"/>
  <c r="E1259" i="2" s="1"/>
  <c r="C1259" i="2"/>
  <c r="B1259" i="2"/>
  <c r="A1259" i="2"/>
  <c r="L1258" i="2"/>
  <c r="N1258" i="2" s="1"/>
  <c r="K1258" i="2"/>
  <c r="H1258" i="2"/>
  <c r="G1258" i="2"/>
  <c r="I1258" i="2" s="1"/>
  <c r="J1258" i="2" s="1"/>
  <c r="F1258" i="2"/>
  <c r="D1258" i="2"/>
  <c r="E1258" i="2" s="1"/>
  <c r="C1258" i="2"/>
  <c r="O1258" i="2" s="1"/>
  <c r="B1258" i="2"/>
  <c r="A1258" i="2"/>
  <c r="N1257" i="2"/>
  <c r="L1257" i="2"/>
  <c r="K1257" i="2"/>
  <c r="I1257" i="2"/>
  <c r="J1257" i="2" s="1"/>
  <c r="H1257" i="2"/>
  <c r="G1257" i="2"/>
  <c r="F1257" i="2"/>
  <c r="E1257" i="2"/>
  <c r="D1257" i="2"/>
  <c r="C1257" i="2"/>
  <c r="B1257" i="2"/>
  <c r="A1257" i="2"/>
  <c r="L1256" i="2"/>
  <c r="K1256" i="2"/>
  <c r="H1256" i="2"/>
  <c r="G1256" i="2"/>
  <c r="N1256" i="2" s="1"/>
  <c r="F1256" i="2"/>
  <c r="E1256" i="2"/>
  <c r="D1256" i="2"/>
  <c r="C1256" i="2"/>
  <c r="B1256" i="2"/>
  <c r="A1256" i="2"/>
  <c r="N1255" i="2"/>
  <c r="L1255" i="2"/>
  <c r="K1255" i="2"/>
  <c r="H1255" i="2"/>
  <c r="G1255" i="2"/>
  <c r="I1255" i="2" s="1"/>
  <c r="J1255" i="2" s="1"/>
  <c r="F1255" i="2"/>
  <c r="D1255" i="2"/>
  <c r="E1255" i="2" s="1"/>
  <c r="C1255" i="2"/>
  <c r="B1255" i="2"/>
  <c r="A1255" i="2"/>
  <c r="N1254" i="2"/>
  <c r="L1254" i="2"/>
  <c r="K1254" i="2"/>
  <c r="H1254" i="2"/>
  <c r="G1254" i="2"/>
  <c r="I1254" i="2" s="1"/>
  <c r="J1254" i="2" s="1"/>
  <c r="F1254" i="2"/>
  <c r="E1254" i="2"/>
  <c r="D1254" i="2"/>
  <c r="C1254" i="2"/>
  <c r="B1254" i="2"/>
  <c r="A1254" i="2"/>
  <c r="N1253" i="2"/>
  <c r="L1253" i="2"/>
  <c r="K1253" i="2"/>
  <c r="I1253" i="2"/>
  <c r="J1253" i="2" s="1"/>
  <c r="H1253" i="2"/>
  <c r="G1253" i="2"/>
  <c r="F1253" i="2"/>
  <c r="E1253" i="2"/>
  <c r="D1253" i="2"/>
  <c r="C1253" i="2"/>
  <c r="B1253" i="2"/>
  <c r="A1253" i="2"/>
  <c r="N1252" i="2"/>
  <c r="L1252" i="2"/>
  <c r="K1252" i="2"/>
  <c r="I1252" i="2"/>
  <c r="J1252" i="2" s="1"/>
  <c r="H1252" i="2"/>
  <c r="G1252" i="2"/>
  <c r="F1252" i="2"/>
  <c r="E1252" i="2"/>
  <c r="D1252" i="2"/>
  <c r="C1252" i="2"/>
  <c r="B1252" i="2"/>
  <c r="A1252" i="2"/>
  <c r="L1251" i="2"/>
  <c r="K1251" i="2"/>
  <c r="H1251" i="2"/>
  <c r="G1251" i="2"/>
  <c r="F1251" i="2"/>
  <c r="E1251" i="2"/>
  <c r="D1251" i="2"/>
  <c r="C1251" i="2"/>
  <c r="B1251" i="2"/>
  <c r="A1251" i="2"/>
  <c r="O1250" i="2"/>
  <c r="L1250" i="2"/>
  <c r="N1250" i="2" s="1"/>
  <c r="K1250" i="2"/>
  <c r="I1250" i="2"/>
  <c r="J1250" i="2" s="1"/>
  <c r="H1250" i="2"/>
  <c r="G1250" i="2"/>
  <c r="F1250" i="2"/>
  <c r="D1250" i="2"/>
  <c r="E1250" i="2" s="1"/>
  <c r="C1250" i="2"/>
  <c r="B1250" i="2"/>
  <c r="A1250" i="2"/>
  <c r="N1249" i="2"/>
  <c r="L1249" i="2"/>
  <c r="K1249" i="2"/>
  <c r="I1249" i="2"/>
  <c r="J1249" i="2" s="1"/>
  <c r="H1249" i="2"/>
  <c r="G1249" i="2"/>
  <c r="F1249" i="2"/>
  <c r="E1249" i="2"/>
  <c r="D1249" i="2"/>
  <c r="C1249" i="2"/>
  <c r="B1249" i="2"/>
  <c r="A1249" i="2"/>
  <c r="L1248" i="2"/>
  <c r="K1248" i="2"/>
  <c r="I1248" i="2"/>
  <c r="J1248" i="2" s="1"/>
  <c r="H1248" i="2"/>
  <c r="G1248" i="2"/>
  <c r="F1248" i="2"/>
  <c r="E1248" i="2"/>
  <c r="D1248" i="2"/>
  <c r="C1248" i="2"/>
  <c r="B1248" i="2"/>
  <c r="A1248" i="2"/>
  <c r="L1247" i="2"/>
  <c r="N1247" i="2" s="1"/>
  <c r="K1247" i="2"/>
  <c r="H1247" i="2"/>
  <c r="I1247" i="2" s="1"/>
  <c r="J1247" i="2" s="1"/>
  <c r="G1247" i="2"/>
  <c r="F1247" i="2"/>
  <c r="D1247" i="2"/>
  <c r="E1247" i="2" s="1"/>
  <c r="C1247" i="2"/>
  <c r="B1247" i="2"/>
  <c r="A1247" i="2"/>
  <c r="N1246" i="2"/>
  <c r="L1246" i="2"/>
  <c r="K1246" i="2"/>
  <c r="H1246" i="2"/>
  <c r="G1246" i="2"/>
  <c r="F1246" i="2"/>
  <c r="E1246" i="2"/>
  <c r="D1246" i="2"/>
  <c r="C1246" i="2"/>
  <c r="B1246" i="2"/>
  <c r="O1246" i="2" s="1"/>
  <c r="A1246" i="2"/>
  <c r="N1245" i="2"/>
  <c r="L1245" i="2"/>
  <c r="K1245" i="2"/>
  <c r="I1245" i="2"/>
  <c r="J1245" i="2" s="1"/>
  <c r="H1245" i="2"/>
  <c r="G1245" i="2"/>
  <c r="F1245" i="2"/>
  <c r="E1245" i="2"/>
  <c r="D1245" i="2"/>
  <c r="C1245" i="2"/>
  <c r="B1245" i="2"/>
  <c r="A1245" i="2"/>
  <c r="L1244" i="2"/>
  <c r="N1244" i="2" s="1"/>
  <c r="K1244" i="2"/>
  <c r="I1244" i="2"/>
  <c r="J1244" i="2" s="1"/>
  <c r="H1244" i="2"/>
  <c r="G1244" i="2"/>
  <c r="F1244" i="2"/>
  <c r="E1244" i="2"/>
  <c r="D1244" i="2"/>
  <c r="C1244" i="2"/>
  <c r="B1244" i="2"/>
  <c r="A1244" i="2"/>
  <c r="L1243" i="2"/>
  <c r="K1243" i="2"/>
  <c r="H1243" i="2"/>
  <c r="G1243" i="2"/>
  <c r="F1243" i="2"/>
  <c r="D1243" i="2"/>
  <c r="E1243" i="2" s="1"/>
  <c r="C1243" i="2"/>
  <c r="B1243" i="2"/>
  <c r="A1243" i="2"/>
  <c r="O1242" i="2"/>
  <c r="L1242" i="2"/>
  <c r="K1242" i="2"/>
  <c r="H1242" i="2"/>
  <c r="G1242" i="2"/>
  <c r="F1242" i="2"/>
  <c r="D1242" i="2"/>
  <c r="E1242" i="2" s="1"/>
  <c r="C1242" i="2"/>
  <c r="B1242" i="2"/>
  <c r="A1242" i="2"/>
  <c r="N1241" i="2"/>
  <c r="L1241" i="2"/>
  <c r="K1241" i="2"/>
  <c r="J1241" i="2"/>
  <c r="I1241" i="2"/>
  <c r="H1241" i="2"/>
  <c r="G1241" i="2"/>
  <c r="F1241" i="2"/>
  <c r="E1241" i="2"/>
  <c r="D1241" i="2"/>
  <c r="C1241" i="2"/>
  <c r="B1241" i="2"/>
  <c r="A1241" i="2"/>
  <c r="L1240" i="2"/>
  <c r="K1240" i="2"/>
  <c r="H1240" i="2"/>
  <c r="G1240" i="2"/>
  <c r="F1240" i="2"/>
  <c r="E1240" i="2"/>
  <c r="D1240" i="2"/>
  <c r="C1240" i="2"/>
  <c r="B1240" i="2"/>
  <c r="A1240" i="2"/>
  <c r="N1239" i="2"/>
  <c r="L1239" i="2"/>
  <c r="K1239" i="2"/>
  <c r="H1239" i="2"/>
  <c r="G1239" i="2"/>
  <c r="I1239" i="2" s="1"/>
  <c r="J1239" i="2" s="1"/>
  <c r="F1239" i="2"/>
  <c r="D1239" i="2"/>
  <c r="E1239" i="2" s="1"/>
  <c r="C1239" i="2"/>
  <c r="B1239" i="2"/>
  <c r="A1239" i="2"/>
  <c r="L1238" i="2"/>
  <c r="K1238" i="2"/>
  <c r="H1238" i="2"/>
  <c r="G1238" i="2"/>
  <c r="F1238" i="2"/>
  <c r="E1238" i="2"/>
  <c r="D1238" i="2"/>
  <c r="C1238" i="2"/>
  <c r="B1238" i="2"/>
  <c r="A1238" i="2"/>
  <c r="N1237" i="2"/>
  <c r="L1237" i="2"/>
  <c r="K1237" i="2"/>
  <c r="I1237" i="2"/>
  <c r="J1237" i="2" s="1"/>
  <c r="H1237" i="2"/>
  <c r="G1237" i="2"/>
  <c r="F1237" i="2"/>
  <c r="E1237" i="2"/>
  <c r="D1237" i="2"/>
  <c r="C1237" i="2"/>
  <c r="B1237" i="2"/>
  <c r="A1237" i="2"/>
  <c r="O1237" i="2" s="1"/>
  <c r="L1236" i="2"/>
  <c r="N1236" i="2" s="1"/>
  <c r="K1236" i="2"/>
  <c r="I1236" i="2"/>
  <c r="J1236" i="2" s="1"/>
  <c r="H1236" i="2"/>
  <c r="G1236" i="2"/>
  <c r="F1236" i="2"/>
  <c r="E1236" i="2"/>
  <c r="D1236" i="2"/>
  <c r="C1236" i="2"/>
  <c r="B1236" i="2"/>
  <c r="A1236" i="2"/>
  <c r="L1235" i="2"/>
  <c r="K1235" i="2"/>
  <c r="H1235" i="2"/>
  <c r="G1235" i="2"/>
  <c r="F1235" i="2"/>
  <c r="E1235" i="2"/>
  <c r="D1235" i="2"/>
  <c r="C1235" i="2"/>
  <c r="B1235" i="2"/>
  <c r="O1235" i="2" s="1"/>
  <c r="A1235" i="2"/>
  <c r="L1234" i="2"/>
  <c r="N1234" i="2" s="1"/>
  <c r="K1234" i="2"/>
  <c r="I1234" i="2"/>
  <c r="J1234" i="2" s="1"/>
  <c r="H1234" i="2"/>
  <c r="G1234" i="2"/>
  <c r="F1234" i="2"/>
  <c r="O1234" i="2" s="1"/>
  <c r="D1234" i="2"/>
  <c r="E1234" i="2" s="1"/>
  <c r="C1234" i="2"/>
  <c r="B1234" i="2"/>
  <c r="A1234" i="2"/>
  <c r="N1233" i="2"/>
  <c r="L1233" i="2"/>
  <c r="K1233" i="2"/>
  <c r="J1233" i="2"/>
  <c r="I1233" i="2"/>
  <c r="H1233" i="2"/>
  <c r="G1233" i="2"/>
  <c r="F1233" i="2"/>
  <c r="E1233" i="2"/>
  <c r="D1233" i="2"/>
  <c r="C1233" i="2"/>
  <c r="B1233" i="2"/>
  <c r="A1233" i="2"/>
  <c r="L1232" i="2"/>
  <c r="K1232" i="2"/>
  <c r="H1232" i="2"/>
  <c r="G1232" i="2"/>
  <c r="F1232" i="2"/>
  <c r="E1232" i="2"/>
  <c r="D1232" i="2"/>
  <c r="C1232" i="2"/>
  <c r="B1232" i="2"/>
  <c r="A1232" i="2"/>
  <c r="L1231" i="2"/>
  <c r="K1231" i="2"/>
  <c r="H1231" i="2"/>
  <c r="G1231" i="2"/>
  <c r="F1231" i="2"/>
  <c r="E1231" i="2"/>
  <c r="D1231" i="2"/>
  <c r="C1231" i="2"/>
  <c r="B1231" i="2"/>
  <c r="A1231" i="2"/>
  <c r="L1230" i="2"/>
  <c r="N1230" i="2" s="1"/>
  <c r="K1230" i="2"/>
  <c r="H1230" i="2"/>
  <c r="G1230" i="2"/>
  <c r="F1230" i="2"/>
  <c r="D1230" i="2"/>
  <c r="C1230" i="2"/>
  <c r="B1230" i="2"/>
  <c r="A1230" i="2"/>
  <c r="L1229" i="2"/>
  <c r="K1229" i="2"/>
  <c r="H1229" i="2"/>
  <c r="G1229" i="2"/>
  <c r="N1229" i="2" s="1"/>
  <c r="F1229" i="2"/>
  <c r="D1229" i="2"/>
  <c r="E1229" i="2" s="1"/>
  <c r="C1229" i="2"/>
  <c r="B1229" i="2"/>
  <c r="A1229" i="2"/>
  <c r="N1228" i="2"/>
  <c r="L1228" i="2"/>
  <c r="K1228" i="2"/>
  <c r="I1228" i="2"/>
  <c r="J1228" i="2" s="1"/>
  <c r="H1228" i="2"/>
  <c r="G1228" i="2"/>
  <c r="F1228" i="2"/>
  <c r="E1228" i="2"/>
  <c r="D1228" i="2"/>
  <c r="C1228" i="2"/>
  <c r="B1228" i="2"/>
  <c r="A1228" i="2"/>
  <c r="L1227" i="2"/>
  <c r="K1227" i="2"/>
  <c r="H1227" i="2"/>
  <c r="G1227" i="2"/>
  <c r="F1227" i="2"/>
  <c r="D1227" i="2"/>
  <c r="E1227" i="2" s="1"/>
  <c r="C1227" i="2"/>
  <c r="B1227" i="2"/>
  <c r="A1227" i="2"/>
  <c r="L1226" i="2"/>
  <c r="N1226" i="2" s="1"/>
  <c r="K1226" i="2"/>
  <c r="H1226" i="2"/>
  <c r="I1226" i="2" s="1"/>
  <c r="J1226" i="2" s="1"/>
  <c r="G1226" i="2"/>
  <c r="F1226" i="2"/>
  <c r="D1226" i="2"/>
  <c r="E1226" i="2" s="1"/>
  <c r="C1226" i="2"/>
  <c r="B1226" i="2"/>
  <c r="A1226" i="2"/>
  <c r="L1225" i="2"/>
  <c r="K1225" i="2"/>
  <c r="H1225" i="2"/>
  <c r="G1225" i="2"/>
  <c r="F1225" i="2"/>
  <c r="E1225" i="2"/>
  <c r="D1225" i="2"/>
  <c r="C1225" i="2"/>
  <c r="B1225" i="2"/>
  <c r="A1225" i="2"/>
  <c r="N1224" i="2"/>
  <c r="L1224" i="2"/>
  <c r="K1224" i="2"/>
  <c r="H1224" i="2"/>
  <c r="G1224" i="2"/>
  <c r="F1224" i="2"/>
  <c r="E1224" i="2"/>
  <c r="D1224" i="2"/>
  <c r="C1224" i="2"/>
  <c r="B1224" i="2"/>
  <c r="O1224" i="2" s="1"/>
  <c r="A1224" i="2"/>
  <c r="L1223" i="2"/>
  <c r="N1223" i="2" s="1"/>
  <c r="K1223" i="2"/>
  <c r="H1223" i="2"/>
  <c r="I1223" i="2" s="1"/>
  <c r="J1223" i="2" s="1"/>
  <c r="G1223" i="2"/>
  <c r="F1223" i="2"/>
  <c r="O1223" i="2" s="1"/>
  <c r="D1223" i="2"/>
  <c r="E1223" i="2" s="1"/>
  <c r="C1223" i="2"/>
  <c r="B1223" i="2"/>
  <c r="A1223" i="2"/>
  <c r="L1222" i="2"/>
  <c r="K1222" i="2"/>
  <c r="H1222" i="2"/>
  <c r="G1222" i="2"/>
  <c r="F1222" i="2"/>
  <c r="D1222" i="2"/>
  <c r="E1222" i="2" s="1"/>
  <c r="C1222" i="2"/>
  <c r="B1222" i="2"/>
  <c r="O1222" i="2" s="1"/>
  <c r="A1222" i="2"/>
  <c r="N1221" i="2"/>
  <c r="L1221" i="2"/>
  <c r="K1221" i="2"/>
  <c r="J1221" i="2"/>
  <c r="I1221" i="2"/>
  <c r="H1221" i="2"/>
  <c r="G1221" i="2"/>
  <c r="F1221" i="2"/>
  <c r="D1221" i="2"/>
  <c r="C1221" i="2"/>
  <c r="B1221" i="2"/>
  <c r="A1221" i="2"/>
  <c r="L1220" i="2"/>
  <c r="N1220" i="2" s="1"/>
  <c r="K1220" i="2"/>
  <c r="I1220" i="2"/>
  <c r="J1220" i="2" s="1"/>
  <c r="H1220" i="2"/>
  <c r="G1220" i="2"/>
  <c r="F1220" i="2"/>
  <c r="D1220" i="2"/>
  <c r="E1220" i="2" s="1"/>
  <c r="C1220" i="2"/>
  <c r="B1220" i="2"/>
  <c r="A1220" i="2"/>
  <c r="O1219" i="2"/>
  <c r="L1219" i="2"/>
  <c r="K1219" i="2"/>
  <c r="H1219" i="2"/>
  <c r="G1219" i="2"/>
  <c r="F1219" i="2"/>
  <c r="D1219" i="2"/>
  <c r="E1219" i="2" s="1"/>
  <c r="C1219" i="2"/>
  <c r="B1219" i="2"/>
  <c r="A1219" i="2"/>
  <c r="L1218" i="2"/>
  <c r="N1218" i="2" s="1"/>
  <c r="K1218" i="2"/>
  <c r="J1218" i="2"/>
  <c r="H1218" i="2"/>
  <c r="G1218" i="2"/>
  <c r="I1218" i="2" s="1"/>
  <c r="F1218" i="2"/>
  <c r="D1218" i="2"/>
  <c r="E1218" i="2" s="1"/>
  <c r="C1218" i="2"/>
  <c r="B1218" i="2"/>
  <c r="O1218" i="2" s="1"/>
  <c r="A1218" i="2"/>
  <c r="N1217" i="2"/>
  <c r="L1217" i="2"/>
  <c r="K1217" i="2"/>
  <c r="H1217" i="2"/>
  <c r="I1217" i="2" s="1"/>
  <c r="J1217" i="2" s="1"/>
  <c r="G1217" i="2"/>
  <c r="F1217" i="2"/>
  <c r="E1217" i="2"/>
  <c r="D1217" i="2"/>
  <c r="C1217" i="2"/>
  <c r="B1217" i="2"/>
  <c r="A1217" i="2"/>
  <c r="O1216" i="2"/>
  <c r="L1216" i="2"/>
  <c r="K1216" i="2"/>
  <c r="H1216" i="2"/>
  <c r="G1216" i="2"/>
  <c r="F1216" i="2"/>
  <c r="D1216" i="2"/>
  <c r="E1216" i="2" s="1"/>
  <c r="C1216" i="2"/>
  <c r="B1216" i="2"/>
  <c r="A1216" i="2"/>
  <c r="N1215" i="2"/>
  <c r="L1215" i="2"/>
  <c r="K1215" i="2"/>
  <c r="I1215" i="2"/>
  <c r="J1215" i="2" s="1"/>
  <c r="H1215" i="2"/>
  <c r="G1215" i="2"/>
  <c r="F1215" i="2"/>
  <c r="E1215" i="2"/>
  <c r="D1215" i="2"/>
  <c r="C1215" i="2"/>
  <c r="B1215" i="2"/>
  <c r="A1215" i="2"/>
  <c r="L1214" i="2"/>
  <c r="K1214" i="2"/>
  <c r="H1214" i="2"/>
  <c r="G1214" i="2"/>
  <c r="F1214" i="2"/>
  <c r="E1214" i="2"/>
  <c r="D1214" i="2"/>
  <c r="C1214" i="2"/>
  <c r="O1214" i="2" s="1"/>
  <c r="B1214" i="2"/>
  <c r="A1214" i="2"/>
  <c r="L1213" i="2"/>
  <c r="N1213" i="2" s="1"/>
  <c r="K1213" i="2"/>
  <c r="H1213" i="2"/>
  <c r="G1213" i="2"/>
  <c r="I1213" i="2" s="1"/>
  <c r="J1213" i="2" s="1"/>
  <c r="F1213" i="2"/>
  <c r="E1213" i="2"/>
  <c r="D1213" i="2"/>
  <c r="C1213" i="2"/>
  <c r="B1213" i="2"/>
  <c r="A1213" i="2"/>
  <c r="N1212" i="2"/>
  <c r="L1212" i="2"/>
  <c r="K1212" i="2"/>
  <c r="I1212" i="2"/>
  <c r="J1212" i="2" s="1"/>
  <c r="H1212" i="2"/>
  <c r="G1212" i="2"/>
  <c r="F1212" i="2"/>
  <c r="E1212" i="2"/>
  <c r="D1212" i="2"/>
  <c r="C1212" i="2"/>
  <c r="B1212" i="2"/>
  <c r="A1212" i="2"/>
  <c r="L1211" i="2"/>
  <c r="K1211" i="2"/>
  <c r="H1211" i="2"/>
  <c r="G1211" i="2"/>
  <c r="F1211" i="2"/>
  <c r="D1211" i="2"/>
  <c r="E1211" i="2" s="1"/>
  <c r="C1211" i="2"/>
  <c r="B1211" i="2"/>
  <c r="O1211" i="2" s="1"/>
  <c r="A1211" i="2"/>
  <c r="L1210" i="2"/>
  <c r="K1210" i="2"/>
  <c r="I1210" i="2"/>
  <c r="J1210" i="2" s="1"/>
  <c r="H1210" i="2"/>
  <c r="G1210" i="2"/>
  <c r="N1210" i="2" s="1"/>
  <c r="F1210" i="2"/>
  <c r="D1210" i="2"/>
  <c r="E1210" i="2" s="1"/>
  <c r="C1210" i="2"/>
  <c r="B1210" i="2"/>
  <c r="A1210" i="2"/>
  <c r="O1209" i="2"/>
  <c r="N1209" i="2"/>
  <c r="L1209" i="2"/>
  <c r="K1209" i="2"/>
  <c r="H1209" i="2"/>
  <c r="G1209" i="2"/>
  <c r="F1209" i="2"/>
  <c r="E1209" i="2"/>
  <c r="D1209" i="2"/>
  <c r="C1209" i="2"/>
  <c r="B1209" i="2"/>
  <c r="A1209" i="2"/>
  <c r="L1208" i="2"/>
  <c r="N1208" i="2" s="1"/>
  <c r="K1208" i="2"/>
  <c r="I1208" i="2"/>
  <c r="J1208" i="2" s="1"/>
  <c r="H1208" i="2"/>
  <c r="G1208" i="2"/>
  <c r="F1208" i="2"/>
  <c r="D1208" i="2"/>
  <c r="E1208" i="2" s="1"/>
  <c r="C1208" i="2"/>
  <c r="B1208" i="2"/>
  <c r="A1208" i="2"/>
  <c r="L1207" i="2"/>
  <c r="N1207" i="2" s="1"/>
  <c r="K1207" i="2"/>
  <c r="H1207" i="2"/>
  <c r="I1207" i="2" s="1"/>
  <c r="J1207" i="2" s="1"/>
  <c r="G1207" i="2"/>
  <c r="F1207" i="2"/>
  <c r="D1207" i="2"/>
  <c r="E1207" i="2" s="1"/>
  <c r="C1207" i="2"/>
  <c r="B1207" i="2"/>
  <c r="A1207" i="2"/>
  <c r="L1206" i="2"/>
  <c r="K1206" i="2"/>
  <c r="H1206" i="2"/>
  <c r="G1206" i="2"/>
  <c r="F1206" i="2"/>
  <c r="E1206" i="2"/>
  <c r="D1206" i="2"/>
  <c r="C1206" i="2"/>
  <c r="O1206" i="2" s="1"/>
  <c r="B1206" i="2"/>
  <c r="A1206" i="2"/>
  <c r="L1205" i="2"/>
  <c r="N1205" i="2" s="1"/>
  <c r="K1205" i="2"/>
  <c r="J1205" i="2"/>
  <c r="H1205" i="2"/>
  <c r="G1205" i="2"/>
  <c r="I1205" i="2" s="1"/>
  <c r="F1205" i="2"/>
  <c r="O1205" i="2" s="1"/>
  <c r="E1205" i="2"/>
  <c r="D1205" i="2"/>
  <c r="C1205" i="2"/>
  <c r="B1205" i="2"/>
  <c r="A1205" i="2"/>
  <c r="N1204" i="2"/>
  <c r="L1204" i="2"/>
  <c r="K1204" i="2"/>
  <c r="J1204" i="2"/>
  <c r="H1204" i="2"/>
  <c r="I1204" i="2" s="1"/>
  <c r="G1204" i="2"/>
  <c r="F1204" i="2"/>
  <c r="E1204" i="2"/>
  <c r="D1204" i="2"/>
  <c r="C1204" i="2"/>
  <c r="B1204" i="2"/>
  <c r="A1204" i="2"/>
  <c r="L1203" i="2"/>
  <c r="K1203" i="2"/>
  <c r="H1203" i="2"/>
  <c r="I1203" i="2" s="1"/>
  <c r="J1203" i="2" s="1"/>
  <c r="G1203" i="2"/>
  <c r="F1203" i="2"/>
  <c r="E1203" i="2"/>
  <c r="D1203" i="2"/>
  <c r="C1203" i="2"/>
  <c r="B1203" i="2"/>
  <c r="A1203" i="2"/>
  <c r="L1202" i="2"/>
  <c r="K1202" i="2"/>
  <c r="H1202" i="2"/>
  <c r="G1202" i="2"/>
  <c r="F1202" i="2"/>
  <c r="D1202" i="2"/>
  <c r="E1202" i="2" s="1"/>
  <c r="C1202" i="2"/>
  <c r="B1202" i="2"/>
  <c r="A1202" i="2"/>
  <c r="N1201" i="2"/>
  <c r="L1201" i="2"/>
  <c r="K1201" i="2"/>
  <c r="J1201" i="2"/>
  <c r="H1201" i="2"/>
  <c r="G1201" i="2"/>
  <c r="I1201" i="2" s="1"/>
  <c r="F1201" i="2"/>
  <c r="E1201" i="2"/>
  <c r="D1201" i="2"/>
  <c r="C1201" i="2"/>
  <c r="B1201" i="2"/>
  <c r="O1201" i="2" s="1"/>
  <c r="A1201" i="2"/>
  <c r="L1200" i="2"/>
  <c r="N1200" i="2" s="1"/>
  <c r="K1200" i="2"/>
  <c r="H1200" i="2"/>
  <c r="I1200" i="2" s="1"/>
  <c r="J1200" i="2" s="1"/>
  <c r="G1200" i="2"/>
  <c r="F1200" i="2"/>
  <c r="O1200" i="2" s="1"/>
  <c r="D1200" i="2"/>
  <c r="C1200" i="2"/>
  <c r="B1200" i="2"/>
  <c r="A1200" i="2"/>
  <c r="L1199" i="2"/>
  <c r="K1199" i="2"/>
  <c r="I1199" i="2"/>
  <c r="J1199" i="2" s="1"/>
  <c r="H1199" i="2"/>
  <c r="G1199" i="2"/>
  <c r="N1199" i="2" s="1"/>
  <c r="F1199" i="2"/>
  <c r="D1199" i="2"/>
  <c r="E1199" i="2" s="1"/>
  <c r="C1199" i="2"/>
  <c r="B1199" i="2"/>
  <c r="A1199" i="2"/>
  <c r="N1198" i="2"/>
  <c r="L1198" i="2"/>
  <c r="K1198" i="2"/>
  <c r="H1198" i="2"/>
  <c r="G1198" i="2"/>
  <c r="I1198" i="2" s="1"/>
  <c r="J1198" i="2" s="1"/>
  <c r="F1198" i="2"/>
  <c r="E1198" i="2"/>
  <c r="D1198" i="2"/>
  <c r="C1198" i="2"/>
  <c r="B1198" i="2"/>
  <c r="A1198" i="2"/>
  <c r="L1197" i="2"/>
  <c r="K1197" i="2"/>
  <c r="I1197" i="2"/>
  <c r="J1197" i="2" s="1"/>
  <c r="H1197" i="2"/>
  <c r="G1197" i="2"/>
  <c r="N1197" i="2" s="1"/>
  <c r="F1197" i="2"/>
  <c r="D1197" i="2"/>
  <c r="E1197" i="2" s="1"/>
  <c r="C1197" i="2"/>
  <c r="B1197" i="2"/>
  <c r="A1197" i="2"/>
  <c r="N1196" i="2"/>
  <c r="L1196" i="2"/>
  <c r="K1196" i="2"/>
  <c r="I1196" i="2"/>
  <c r="J1196" i="2" s="1"/>
  <c r="H1196" i="2"/>
  <c r="G1196" i="2"/>
  <c r="F1196" i="2"/>
  <c r="D1196" i="2"/>
  <c r="E1196" i="2" s="1"/>
  <c r="C1196" i="2"/>
  <c r="B1196" i="2"/>
  <c r="A1196" i="2"/>
  <c r="L1195" i="2"/>
  <c r="K1195" i="2"/>
  <c r="H1195" i="2"/>
  <c r="G1195" i="2"/>
  <c r="F1195" i="2"/>
  <c r="E1195" i="2"/>
  <c r="D1195" i="2"/>
  <c r="C1195" i="2"/>
  <c r="O1195" i="2" s="1"/>
  <c r="B1195" i="2"/>
  <c r="A1195" i="2"/>
  <c r="L1194" i="2"/>
  <c r="N1194" i="2" s="1"/>
  <c r="K1194" i="2"/>
  <c r="I1194" i="2"/>
  <c r="J1194" i="2" s="1"/>
  <c r="H1194" i="2"/>
  <c r="G1194" i="2"/>
  <c r="F1194" i="2"/>
  <c r="D1194" i="2"/>
  <c r="E1194" i="2" s="1"/>
  <c r="C1194" i="2"/>
  <c r="B1194" i="2"/>
  <c r="A1194" i="2"/>
  <c r="L1193" i="2"/>
  <c r="K1193" i="2"/>
  <c r="H1193" i="2"/>
  <c r="G1193" i="2"/>
  <c r="N1193" i="2" s="1"/>
  <c r="F1193" i="2"/>
  <c r="E1193" i="2"/>
  <c r="D1193" i="2"/>
  <c r="C1193" i="2"/>
  <c r="B1193" i="2"/>
  <c r="O1193" i="2" s="1"/>
  <c r="A1193" i="2"/>
  <c r="N1192" i="2"/>
  <c r="L1192" i="2"/>
  <c r="K1192" i="2"/>
  <c r="H1192" i="2"/>
  <c r="I1192" i="2" s="1"/>
  <c r="J1192" i="2" s="1"/>
  <c r="G1192" i="2"/>
  <c r="F1192" i="2"/>
  <c r="E1192" i="2"/>
  <c r="D1192" i="2"/>
  <c r="C1192" i="2"/>
  <c r="B1192" i="2"/>
  <c r="A1192" i="2"/>
  <c r="O1191" i="2"/>
  <c r="L1191" i="2"/>
  <c r="K1191" i="2"/>
  <c r="I1191" i="2"/>
  <c r="J1191" i="2" s="1"/>
  <c r="H1191" i="2"/>
  <c r="G1191" i="2"/>
  <c r="N1191" i="2" s="1"/>
  <c r="F1191" i="2"/>
  <c r="D1191" i="2"/>
  <c r="C1191" i="2"/>
  <c r="B1191" i="2"/>
  <c r="A1191" i="2"/>
  <c r="L1190" i="2"/>
  <c r="K1190" i="2"/>
  <c r="H1190" i="2"/>
  <c r="G1190" i="2"/>
  <c r="I1190" i="2" s="1"/>
  <c r="J1190" i="2" s="1"/>
  <c r="F1190" i="2"/>
  <c r="E1190" i="2"/>
  <c r="D1190" i="2"/>
  <c r="C1190" i="2"/>
  <c r="B1190" i="2"/>
  <c r="A1190" i="2"/>
  <c r="L1189" i="2"/>
  <c r="N1189" i="2" s="1"/>
  <c r="K1189" i="2"/>
  <c r="J1189" i="2"/>
  <c r="I1189" i="2"/>
  <c r="H1189" i="2"/>
  <c r="G1189" i="2"/>
  <c r="F1189" i="2"/>
  <c r="E1189" i="2"/>
  <c r="D1189" i="2"/>
  <c r="C1189" i="2"/>
  <c r="B1189" i="2"/>
  <c r="A1189" i="2"/>
  <c r="N1188" i="2"/>
  <c r="L1188" i="2"/>
  <c r="K1188" i="2"/>
  <c r="H1188" i="2"/>
  <c r="I1188" i="2" s="1"/>
  <c r="J1188" i="2" s="1"/>
  <c r="G1188" i="2"/>
  <c r="F1188" i="2"/>
  <c r="D1188" i="2"/>
  <c r="E1188" i="2" s="1"/>
  <c r="C1188" i="2"/>
  <c r="B1188" i="2"/>
  <c r="A1188" i="2"/>
  <c r="L1187" i="2"/>
  <c r="K1187" i="2"/>
  <c r="J1187" i="2"/>
  <c r="I1187" i="2"/>
  <c r="H1187" i="2"/>
  <c r="G1187" i="2"/>
  <c r="F1187" i="2"/>
  <c r="D1187" i="2"/>
  <c r="E1187" i="2" s="1"/>
  <c r="C1187" i="2"/>
  <c r="B1187" i="2"/>
  <c r="A1187" i="2"/>
  <c r="N1186" i="2"/>
  <c r="L1186" i="2"/>
  <c r="K1186" i="2"/>
  <c r="H1186" i="2"/>
  <c r="G1186" i="2"/>
  <c r="I1186" i="2" s="1"/>
  <c r="J1186" i="2" s="1"/>
  <c r="F1186" i="2"/>
  <c r="D1186" i="2"/>
  <c r="E1186" i="2" s="1"/>
  <c r="C1186" i="2"/>
  <c r="B1186" i="2"/>
  <c r="A1186" i="2"/>
  <c r="N1185" i="2"/>
  <c r="L1185" i="2"/>
  <c r="K1185" i="2"/>
  <c r="I1185" i="2"/>
  <c r="J1185" i="2" s="1"/>
  <c r="H1185" i="2"/>
  <c r="G1185" i="2"/>
  <c r="F1185" i="2"/>
  <c r="E1185" i="2"/>
  <c r="D1185" i="2"/>
  <c r="C1185" i="2"/>
  <c r="B1185" i="2"/>
  <c r="A1185" i="2"/>
  <c r="L1184" i="2"/>
  <c r="K1184" i="2"/>
  <c r="I1184" i="2"/>
  <c r="J1184" i="2" s="1"/>
  <c r="H1184" i="2"/>
  <c r="G1184" i="2"/>
  <c r="N1184" i="2" s="1"/>
  <c r="F1184" i="2"/>
  <c r="E1184" i="2"/>
  <c r="D1184" i="2"/>
  <c r="C1184" i="2"/>
  <c r="B1184" i="2"/>
  <c r="A1184" i="2"/>
  <c r="L1183" i="2"/>
  <c r="K1183" i="2"/>
  <c r="I1183" i="2"/>
  <c r="J1183" i="2" s="1"/>
  <c r="H1183" i="2"/>
  <c r="G1183" i="2"/>
  <c r="N1183" i="2" s="1"/>
  <c r="F1183" i="2"/>
  <c r="E1183" i="2"/>
  <c r="D1183" i="2"/>
  <c r="C1183" i="2"/>
  <c r="B1183" i="2"/>
  <c r="A1183" i="2"/>
  <c r="N1182" i="2"/>
  <c r="L1182" i="2"/>
  <c r="K1182" i="2"/>
  <c r="H1182" i="2"/>
  <c r="G1182" i="2"/>
  <c r="F1182" i="2"/>
  <c r="D1182" i="2"/>
  <c r="C1182" i="2"/>
  <c r="B1182" i="2"/>
  <c r="A1182" i="2"/>
  <c r="O1181" i="2"/>
  <c r="N1181" i="2"/>
  <c r="L1181" i="2"/>
  <c r="K1181" i="2"/>
  <c r="H1181" i="2"/>
  <c r="G1181" i="2"/>
  <c r="I1181" i="2" s="1"/>
  <c r="J1181" i="2" s="1"/>
  <c r="F1181" i="2"/>
  <c r="D1181" i="2"/>
  <c r="C1181" i="2"/>
  <c r="B1181" i="2"/>
  <c r="A1181" i="2"/>
  <c r="L1180" i="2"/>
  <c r="N1180" i="2" s="1"/>
  <c r="K1180" i="2"/>
  <c r="H1180" i="2"/>
  <c r="I1180" i="2" s="1"/>
  <c r="J1180" i="2" s="1"/>
  <c r="G1180" i="2"/>
  <c r="F1180" i="2"/>
  <c r="D1180" i="2"/>
  <c r="E1180" i="2" s="1"/>
  <c r="C1180" i="2"/>
  <c r="B1180" i="2"/>
  <c r="A1180" i="2"/>
  <c r="L1179" i="2"/>
  <c r="K1179" i="2"/>
  <c r="H1179" i="2"/>
  <c r="G1179" i="2"/>
  <c r="F1179" i="2"/>
  <c r="D1179" i="2"/>
  <c r="E1179" i="2" s="1"/>
  <c r="C1179" i="2"/>
  <c r="B1179" i="2"/>
  <c r="O1179" i="2" s="1"/>
  <c r="A1179" i="2"/>
  <c r="L1178" i="2"/>
  <c r="N1178" i="2" s="1"/>
  <c r="K1178" i="2"/>
  <c r="H1178" i="2"/>
  <c r="G1178" i="2"/>
  <c r="I1178" i="2" s="1"/>
  <c r="J1178" i="2" s="1"/>
  <c r="F1178" i="2"/>
  <c r="D1178" i="2"/>
  <c r="E1178" i="2" s="1"/>
  <c r="C1178" i="2"/>
  <c r="B1178" i="2"/>
  <c r="A1178" i="2"/>
  <c r="N1177" i="2"/>
  <c r="L1177" i="2"/>
  <c r="K1177" i="2"/>
  <c r="H1177" i="2"/>
  <c r="G1177" i="2"/>
  <c r="F1177" i="2"/>
  <c r="E1177" i="2"/>
  <c r="D1177" i="2"/>
  <c r="C1177" i="2"/>
  <c r="B1177" i="2"/>
  <c r="A1177" i="2"/>
  <c r="L1176" i="2"/>
  <c r="N1176" i="2" s="1"/>
  <c r="K1176" i="2"/>
  <c r="I1176" i="2"/>
  <c r="J1176" i="2" s="1"/>
  <c r="H1176" i="2"/>
  <c r="G1176" i="2"/>
  <c r="F1176" i="2"/>
  <c r="O1176" i="2" s="1"/>
  <c r="D1176" i="2"/>
  <c r="E1176" i="2" s="1"/>
  <c r="C1176" i="2"/>
  <c r="B1176" i="2"/>
  <c r="A1176" i="2"/>
  <c r="N1175" i="2"/>
  <c r="L1175" i="2"/>
  <c r="K1175" i="2"/>
  <c r="H1175" i="2"/>
  <c r="G1175" i="2"/>
  <c r="I1175" i="2" s="1"/>
  <c r="J1175" i="2" s="1"/>
  <c r="F1175" i="2"/>
  <c r="D1175" i="2"/>
  <c r="E1175" i="2" s="1"/>
  <c r="C1175" i="2"/>
  <c r="B1175" i="2"/>
  <c r="A1175" i="2"/>
  <c r="N1174" i="2"/>
  <c r="L1174" i="2"/>
  <c r="K1174" i="2"/>
  <c r="H1174" i="2"/>
  <c r="G1174" i="2"/>
  <c r="F1174" i="2"/>
  <c r="E1174" i="2"/>
  <c r="D1174" i="2"/>
  <c r="C1174" i="2"/>
  <c r="B1174" i="2"/>
  <c r="A1174" i="2"/>
  <c r="L1173" i="2"/>
  <c r="K1173" i="2"/>
  <c r="J1173" i="2"/>
  <c r="I1173" i="2"/>
  <c r="H1173" i="2"/>
  <c r="G1173" i="2"/>
  <c r="N1173" i="2" s="1"/>
  <c r="F1173" i="2"/>
  <c r="E1173" i="2"/>
  <c r="D1173" i="2"/>
  <c r="C1173" i="2"/>
  <c r="B1173" i="2"/>
  <c r="A1173" i="2"/>
  <c r="O1173" i="2" s="1"/>
  <c r="N1172" i="2"/>
  <c r="L1172" i="2"/>
  <c r="K1172" i="2"/>
  <c r="H1172" i="2"/>
  <c r="I1172" i="2" s="1"/>
  <c r="J1172" i="2" s="1"/>
  <c r="G1172" i="2"/>
  <c r="F1172" i="2"/>
  <c r="E1172" i="2"/>
  <c r="D1172" i="2"/>
  <c r="C1172" i="2"/>
  <c r="B1172" i="2"/>
  <c r="A1172" i="2"/>
  <c r="L1171" i="2"/>
  <c r="K1171" i="2"/>
  <c r="J1171" i="2"/>
  <c r="H1171" i="2"/>
  <c r="G1171" i="2"/>
  <c r="I1171" i="2" s="1"/>
  <c r="F1171" i="2"/>
  <c r="E1171" i="2"/>
  <c r="D1171" i="2"/>
  <c r="C1171" i="2"/>
  <c r="B1171" i="2"/>
  <c r="A1171" i="2"/>
  <c r="L1170" i="2"/>
  <c r="N1170" i="2" s="1"/>
  <c r="K1170" i="2"/>
  <c r="J1170" i="2"/>
  <c r="H1170" i="2"/>
  <c r="I1170" i="2" s="1"/>
  <c r="G1170" i="2"/>
  <c r="F1170" i="2"/>
  <c r="D1170" i="2"/>
  <c r="E1170" i="2" s="1"/>
  <c r="C1170" i="2"/>
  <c r="B1170" i="2"/>
  <c r="A1170" i="2"/>
  <c r="N1169" i="2"/>
  <c r="L1169" i="2"/>
  <c r="K1169" i="2"/>
  <c r="J1169" i="2"/>
  <c r="I1169" i="2"/>
  <c r="H1169" i="2"/>
  <c r="G1169" i="2"/>
  <c r="F1169" i="2"/>
  <c r="E1169" i="2"/>
  <c r="D1169" i="2"/>
  <c r="C1169" i="2"/>
  <c r="B1169" i="2"/>
  <c r="A1169" i="2"/>
  <c r="L1168" i="2"/>
  <c r="K1168" i="2"/>
  <c r="H1168" i="2"/>
  <c r="I1168" i="2" s="1"/>
  <c r="J1168" i="2" s="1"/>
  <c r="G1168" i="2"/>
  <c r="N1168" i="2" s="1"/>
  <c r="F1168" i="2"/>
  <c r="E1168" i="2"/>
  <c r="D1168" i="2"/>
  <c r="C1168" i="2"/>
  <c r="B1168" i="2"/>
  <c r="A1168" i="2"/>
  <c r="L1167" i="2"/>
  <c r="N1167" i="2" s="1"/>
  <c r="K1167" i="2"/>
  <c r="H1167" i="2"/>
  <c r="G1167" i="2"/>
  <c r="I1167" i="2" s="1"/>
  <c r="J1167" i="2" s="1"/>
  <c r="F1167" i="2"/>
  <c r="O1167" i="2" s="1"/>
  <c r="E1167" i="2"/>
  <c r="D1167" i="2"/>
  <c r="C1167" i="2"/>
  <c r="B1167" i="2"/>
  <c r="A1167" i="2"/>
  <c r="L1166" i="2"/>
  <c r="N1166" i="2" s="1"/>
  <c r="K1166" i="2"/>
  <c r="H1166" i="2"/>
  <c r="G1166" i="2"/>
  <c r="I1166" i="2" s="1"/>
  <c r="J1166" i="2" s="1"/>
  <c r="F1166" i="2"/>
  <c r="D1166" i="2"/>
  <c r="C1166" i="2"/>
  <c r="B1166" i="2"/>
  <c r="A1166" i="2"/>
  <c r="N1165" i="2"/>
  <c r="L1165" i="2"/>
  <c r="K1165" i="2"/>
  <c r="I1165" i="2"/>
  <c r="J1165" i="2" s="1"/>
  <c r="H1165" i="2"/>
  <c r="G1165" i="2"/>
  <c r="F1165" i="2"/>
  <c r="D1165" i="2"/>
  <c r="E1165" i="2" s="1"/>
  <c r="C1165" i="2"/>
  <c r="B1165" i="2"/>
  <c r="A1165" i="2"/>
  <c r="N1164" i="2"/>
  <c r="L1164" i="2"/>
  <c r="K1164" i="2"/>
  <c r="I1164" i="2"/>
  <c r="J1164" i="2" s="1"/>
  <c r="H1164" i="2"/>
  <c r="G1164" i="2"/>
  <c r="F1164" i="2"/>
  <c r="D1164" i="2"/>
  <c r="E1164" i="2" s="1"/>
  <c r="C1164" i="2"/>
  <c r="B1164" i="2"/>
  <c r="A1164" i="2"/>
  <c r="L1163" i="2"/>
  <c r="K1163" i="2"/>
  <c r="H1163" i="2"/>
  <c r="G1163" i="2"/>
  <c r="F1163" i="2"/>
  <c r="E1163" i="2"/>
  <c r="D1163" i="2"/>
  <c r="C1163" i="2"/>
  <c r="B1163" i="2"/>
  <c r="O1163" i="2" s="1"/>
  <c r="A1163" i="2"/>
  <c r="N1162" i="2"/>
  <c r="L1162" i="2"/>
  <c r="K1162" i="2"/>
  <c r="H1162" i="2"/>
  <c r="G1162" i="2"/>
  <c r="I1162" i="2" s="1"/>
  <c r="J1162" i="2" s="1"/>
  <c r="F1162" i="2"/>
  <c r="D1162" i="2"/>
  <c r="E1162" i="2" s="1"/>
  <c r="C1162" i="2"/>
  <c r="B1162" i="2"/>
  <c r="A1162" i="2"/>
  <c r="N1161" i="2"/>
  <c r="L1161" i="2"/>
  <c r="K1161" i="2"/>
  <c r="I1161" i="2"/>
  <c r="J1161" i="2" s="1"/>
  <c r="H1161" i="2"/>
  <c r="G1161" i="2"/>
  <c r="F1161" i="2"/>
  <c r="E1161" i="2"/>
  <c r="D1161" i="2"/>
  <c r="C1161" i="2"/>
  <c r="B1161" i="2"/>
  <c r="A1161" i="2"/>
  <c r="L1160" i="2"/>
  <c r="K1160" i="2"/>
  <c r="H1160" i="2"/>
  <c r="G1160" i="2"/>
  <c r="F1160" i="2"/>
  <c r="E1160" i="2"/>
  <c r="D1160" i="2"/>
  <c r="C1160" i="2"/>
  <c r="B1160" i="2"/>
  <c r="A1160" i="2"/>
  <c r="N1159" i="2"/>
  <c r="L1159" i="2"/>
  <c r="K1159" i="2"/>
  <c r="H1159" i="2"/>
  <c r="G1159" i="2"/>
  <c r="I1159" i="2" s="1"/>
  <c r="J1159" i="2" s="1"/>
  <c r="F1159" i="2"/>
  <c r="E1159" i="2"/>
  <c r="D1159" i="2"/>
  <c r="C1159" i="2"/>
  <c r="O1159" i="2" s="1"/>
  <c r="B1159" i="2"/>
  <c r="A1159" i="2"/>
  <c r="L1158" i="2"/>
  <c r="K1158" i="2"/>
  <c r="J1158" i="2"/>
  <c r="H1158" i="2"/>
  <c r="G1158" i="2"/>
  <c r="I1158" i="2" s="1"/>
  <c r="F1158" i="2"/>
  <c r="D1158" i="2"/>
  <c r="C1158" i="2"/>
  <c r="O1158" i="2" s="1"/>
  <c r="B1158" i="2"/>
  <c r="A1158" i="2"/>
  <c r="L1157" i="2"/>
  <c r="N1157" i="2" s="1"/>
  <c r="K1157" i="2"/>
  <c r="H1157" i="2"/>
  <c r="G1157" i="2"/>
  <c r="I1157" i="2" s="1"/>
  <c r="J1157" i="2" s="1"/>
  <c r="F1157" i="2"/>
  <c r="D1157" i="2"/>
  <c r="E1157" i="2" s="1"/>
  <c r="C1157" i="2"/>
  <c r="B1157" i="2"/>
  <c r="A1157" i="2"/>
  <c r="L1156" i="2"/>
  <c r="N1156" i="2" s="1"/>
  <c r="K1156" i="2"/>
  <c r="I1156" i="2"/>
  <c r="J1156" i="2" s="1"/>
  <c r="H1156" i="2"/>
  <c r="G1156" i="2"/>
  <c r="F1156" i="2"/>
  <c r="D1156" i="2"/>
  <c r="E1156" i="2" s="1"/>
  <c r="C1156" i="2"/>
  <c r="B1156" i="2"/>
  <c r="A1156" i="2"/>
  <c r="L1155" i="2"/>
  <c r="K1155" i="2"/>
  <c r="H1155" i="2"/>
  <c r="G1155" i="2"/>
  <c r="F1155" i="2"/>
  <c r="D1155" i="2"/>
  <c r="E1155" i="2" s="1"/>
  <c r="C1155" i="2"/>
  <c r="B1155" i="2"/>
  <c r="O1155" i="2" s="1"/>
  <c r="A1155" i="2"/>
  <c r="L1154" i="2"/>
  <c r="K1154" i="2"/>
  <c r="H1154" i="2"/>
  <c r="G1154" i="2"/>
  <c r="F1154" i="2"/>
  <c r="D1154" i="2"/>
  <c r="E1154" i="2" s="1"/>
  <c r="C1154" i="2"/>
  <c r="B1154" i="2"/>
  <c r="A1154" i="2"/>
  <c r="N1153" i="2"/>
  <c r="L1153" i="2"/>
  <c r="K1153" i="2"/>
  <c r="H1153" i="2"/>
  <c r="G1153" i="2"/>
  <c r="F1153" i="2"/>
  <c r="E1153" i="2"/>
  <c r="D1153" i="2"/>
  <c r="C1153" i="2"/>
  <c r="B1153" i="2"/>
  <c r="A1153" i="2"/>
  <c r="L1152" i="2"/>
  <c r="K1152" i="2"/>
  <c r="J1152" i="2"/>
  <c r="I1152" i="2"/>
  <c r="H1152" i="2"/>
  <c r="G1152" i="2"/>
  <c r="N1152" i="2" s="1"/>
  <c r="F1152" i="2"/>
  <c r="E1152" i="2"/>
  <c r="D1152" i="2"/>
  <c r="C1152" i="2"/>
  <c r="B1152" i="2"/>
  <c r="A1152" i="2"/>
  <c r="L1151" i="2"/>
  <c r="K1151" i="2"/>
  <c r="H1151" i="2"/>
  <c r="G1151" i="2"/>
  <c r="I1151" i="2" s="1"/>
  <c r="J1151" i="2" s="1"/>
  <c r="F1151" i="2"/>
  <c r="E1151" i="2"/>
  <c r="D1151" i="2"/>
  <c r="C1151" i="2"/>
  <c r="B1151" i="2"/>
  <c r="A1151" i="2"/>
  <c r="N1150" i="2"/>
  <c r="L1150" i="2"/>
  <c r="K1150" i="2"/>
  <c r="H1150" i="2"/>
  <c r="G1150" i="2"/>
  <c r="F1150" i="2"/>
  <c r="E1150" i="2"/>
  <c r="D1150" i="2"/>
  <c r="C1150" i="2"/>
  <c r="O1150" i="2" s="1"/>
  <c r="B1150" i="2"/>
  <c r="A1150" i="2"/>
  <c r="L1149" i="2"/>
  <c r="K1149" i="2"/>
  <c r="H1149" i="2"/>
  <c r="G1149" i="2"/>
  <c r="F1149" i="2"/>
  <c r="O1149" i="2" s="1"/>
  <c r="D1149" i="2"/>
  <c r="E1149" i="2" s="1"/>
  <c r="C1149" i="2"/>
  <c r="B1149" i="2"/>
  <c r="A1149" i="2"/>
  <c r="L1148" i="2"/>
  <c r="N1148" i="2" s="1"/>
  <c r="K1148" i="2"/>
  <c r="J1148" i="2"/>
  <c r="H1148" i="2"/>
  <c r="I1148" i="2" s="1"/>
  <c r="G1148" i="2"/>
  <c r="F1148" i="2"/>
  <c r="D1148" i="2"/>
  <c r="E1148" i="2" s="1"/>
  <c r="C1148" i="2"/>
  <c r="B1148" i="2"/>
  <c r="A1148" i="2"/>
  <c r="L1147" i="2"/>
  <c r="K1147" i="2"/>
  <c r="H1147" i="2"/>
  <c r="I1147" i="2" s="1"/>
  <c r="J1147" i="2" s="1"/>
  <c r="G1147" i="2"/>
  <c r="F1147" i="2"/>
  <c r="D1147" i="2"/>
  <c r="E1147" i="2" s="1"/>
  <c r="C1147" i="2"/>
  <c r="B1147" i="2"/>
  <c r="A1147" i="2"/>
  <c r="L1146" i="2"/>
  <c r="K1146" i="2"/>
  <c r="H1146" i="2"/>
  <c r="G1146" i="2"/>
  <c r="F1146" i="2"/>
  <c r="D1146" i="2"/>
  <c r="E1146" i="2" s="1"/>
  <c r="C1146" i="2"/>
  <c r="B1146" i="2"/>
  <c r="A1146" i="2"/>
  <c r="L1145" i="2"/>
  <c r="K1145" i="2"/>
  <c r="H1145" i="2"/>
  <c r="G1145" i="2"/>
  <c r="F1145" i="2"/>
  <c r="E1145" i="2"/>
  <c r="D1145" i="2"/>
  <c r="C1145" i="2"/>
  <c r="B1145" i="2"/>
  <c r="O1145" i="2" s="1"/>
  <c r="A1145" i="2"/>
  <c r="L1144" i="2"/>
  <c r="K1144" i="2"/>
  <c r="H1144" i="2"/>
  <c r="G1144" i="2"/>
  <c r="F1144" i="2"/>
  <c r="O1144" i="2" s="1"/>
  <c r="E1144" i="2"/>
  <c r="D1144" i="2"/>
  <c r="C1144" i="2"/>
  <c r="B1144" i="2"/>
  <c r="A1144" i="2"/>
  <c r="L1143" i="2"/>
  <c r="K1143" i="2"/>
  <c r="H1143" i="2"/>
  <c r="G1143" i="2"/>
  <c r="F1143" i="2"/>
  <c r="E1143" i="2"/>
  <c r="D1143" i="2"/>
  <c r="C1143" i="2"/>
  <c r="B1143" i="2"/>
  <c r="A1143" i="2"/>
  <c r="N1142" i="2"/>
  <c r="L1142" i="2"/>
  <c r="K1142" i="2"/>
  <c r="H1142" i="2"/>
  <c r="G1142" i="2"/>
  <c r="I1142" i="2" s="1"/>
  <c r="J1142" i="2" s="1"/>
  <c r="F1142" i="2"/>
  <c r="E1142" i="2"/>
  <c r="D1142" i="2"/>
  <c r="C1142" i="2"/>
  <c r="B1142" i="2"/>
  <c r="A1142" i="2"/>
  <c r="L1141" i="2"/>
  <c r="N1141" i="2" s="1"/>
  <c r="K1141" i="2"/>
  <c r="J1141" i="2"/>
  <c r="I1141" i="2"/>
  <c r="H1141" i="2"/>
  <c r="G1141" i="2"/>
  <c r="F1141" i="2"/>
  <c r="D1141" i="2"/>
  <c r="E1141" i="2" s="1"/>
  <c r="C1141" i="2"/>
  <c r="B1141" i="2"/>
  <c r="A1141" i="2"/>
  <c r="N1140" i="2"/>
  <c r="L1140" i="2"/>
  <c r="K1140" i="2"/>
  <c r="J1140" i="2"/>
  <c r="H1140" i="2"/>
  <c r="I1140" i="2" s="1"/>
  <c r="G1140" i="2"/>
  <c r="F1140" i="2"/>
  <c r="E1140" i="2"/>
  <c r="D1140" i="2"/>
  <c r="C1140" i="2"/>
  <c r="B1140" i="2"/>
  <c r="A1140" i="2"/>
  <c r="L1139" i="2"/>
  <c r="K1139" i="2"/>
  <c r="J1139" i="2"/>
  <c r="H1139" i="2"/>
  <c r="G1139" i="2"/>
  <c r="I1139" i="2" s="1"/>
  <c r="F1139" i="2"/>
  <c r="E1139" i="2"/>
  <c r="D1139" i="2"/>
  <c r="C1139" i="2"/>
  <c r="B1139" i="2"/>
  <c r="O1139" i="2" s="1"/>
  <c r="A1139" i="2"/>
  <c r="L1138" i="2"/>
  <c r="N1138" i="2" s="1"/>
  <c r="K1138" i="2"/>
  <c r="H1138" i="2"/>
  <c r="I1138" i="2" s="1"/>
  <c r="J1138" i="2" s="1"/>
  <c r="G1138" i="2"/>
  <c r="F1138" i="2"/>
  <c r="D1138" i="2"/>
  <c r="E1138" i="2" s="1"/>
  <c r="C1138" i="2"/>
  <c r="B1138" i="2"/>
  <c r="O1138" i="2" s="1"/>
  <c r="A1138" i="2"/>
  <c r="N1137" i="2"/>
  <c r="L1137" i="2"/>
  <c r="K1137" i="2"/>
  <c r="I1137" i="2"/>
  <c r="J1137" i="2" s="1"/>
  <c r="H1137" i="2"/>
  <c r="G1137" i="2"/>
  <c r="F1137" i="2"/>
  <c r="E1137" i="2"/>
  <c r="D1137" i="2"/>
  <c r="C1137" i="2"/>
  <c r="B1137" i="2"/>
  <c r="A1137" i="2"/>
  <c r="L1136" i="2"/>
  <c r="K1136" i="2"/>
  <c r="I1136" i="2"/>
  <c r="J1136" i="2" s="1"/>
  <c r="H1136" i="2"/>
  <c r="G1136" i="2"/>
  <c r="N1136" i="2" s="1"/>
  <c r="F1136" i="2"/>
  <c r="E1136" i="2"/>
  <c r="D1136" i="2"/>
  <c r="C1136" i="2"/>
  <c r="B1136" i="2"/>
  <c r="A1136" i="2"/>
  <c r="L1135" i="2"/>
  <c r="K1135" i="2"/>
  <c r="H1135" i="2"/>
  <c r="G1135" i="2"/>
  <c r="F1135" i="2"/>
  <c r="D1135" i="2"/>
  <c r="E1135" i="2" s="1"/>
  <c r="C1135" i="2"/>
  <c r="B1135" i="2"/>
  <c r="A1135" i="2"/>
  <c r="N1134" i="2"/>
  <c r="L1134" i="2"/>
  <c r="K1134" i="2"/>
  <c r="J1134" i="2"/>
  <c r="H1134" i="2"/>
  <c r="G1134" i="2"/>
  <c r="I1134" i="2" s="1"/>
  <c r="F1134" i="2"/>
  <c r="D1134" i="2"/>
  <c r="E1134" i="2" s="1"/>
  <c r="C1134" i="2"/>
  <c r="B1134" i="2"/>
  <c r="A1134" i="2"/>
  <c r="N1133" i="2"/>
  <c r="L1133" i="2"/>
  <c r="K1133" i="2"/>
  <c r="I1133" i="2"/>
  <c r="J1133" i="2" s="1"/>
  <c r="H1133" i="2"/>
  <c r="G1133" i="2"/>
  <c r="F1133" i="2"/>
  <c r="D1133" i="2"/>
  <c r="E1133" i="2" s="1"/>
  <c r="C1133" i="2"/>
  <c r="B1133" i="2"/>
  <c r="A1133" i="2"/>
  <c r="N1132" i="2"/>
  <c r="L1132" i="2"/>
  <c r="K1132" i="2"/>
  <c r="J1132" i="2"/>
  <c r="I1132" i="2"/>
  <c r="H1132" i="2"/>
  <c r="G1132" i="2"/>
  <c r="F1132" i="2"/>
  <c r="D1132" i="2"/>
  <c r="E1132" i="2" s="1"/>
  <c r="C1132" i="2"/>
  <c r="B1132" i="2"/>
  <c r="A1132" i="2"/>
  <c r="L1131" i="2"/>
  <c r="K1131" i="2"/>
  <c r="H1131" i="2"/>
  <c r="G1131" i="2"/>
  <c r="F1131" i="2"/>
  <c r="E1131" i="2"/>
  <c r="D1131" i="2"/>
  <c r="C1131" i="2"/>
  <c r="B1131" i="2"/>
  <c r="A1131" i="2"/>
  <c r="N1130" i="2"/>
  <c r="L1130" i="2"/>
  <c r="K1130" i="2"/>
  <c r="H1130" i="2"/>
  <c r="G1130" i="2"/>
  <c r="I1130" i="2" s="1"/>
  <c r="J1130" i="2" s="1"/>
  <c r="F1130" i="2"/>
  <c r="D1130" i="2"/>
  <c r="E1130" i="2" s="1"/>
  <c r="C1130" i="2"/>
  <c r="B1130" i="2"/>
  <c r="O1130" i="2" s="1"/>
  <c r="A1130" i="2"/>
  <c r="N1129" i="2"/>
  <c r="L1129" i="2"/>
  <c r="K1129" i="2"/>
  <c r="H1129" i="2"/>
  <c r="I1129" i="2" s="1"/>
  <c r="J1129" i="2" s="1"/>
  <c r="G1129" i="2"/>
  <c r="F1129" i="2"/>
  <c r="E1129" i="2"/>
  <c r="D1129" i="2"/>
  <c r="C1129" i="2"/>
  <c r="B1129" i="2"/>
  <c r="A1129" i="2"/>
  <c r="O1128" i="2"/>
  <c r="L1128" i="2"/>
  <c r="K1128" i="2"/>
  <c r="H1128" i="2"/>
  <c r="G1128" i="2"/>
  <c r="F1128" i="2"/>
  <c r="E1128" i="2"/>
  <c r="D1128" i="2"/>
  <c r="C1128" i="2"/>
  <c r="B1128" i="2"/>
  <c r="A1128" i="2"/>
  <c r="N1127" i="2"/>
  <c r="L1127" i="2"/>
  <c r="K1127" i="2"/>
  <c r="I1127" i="2"/>
  <c r="J1127" i="2" s="1"/>
  <c r="H1127" i="2"/>
  <c r="G1127" i="2"/>
  <c r="F1127" i="2"/>
  <c r="E1127" i="2"/>
  <c r="D1127" i="2"/>
  <c r="C1127" i="2"/>
  <c r="B1127" i="2"/>
  <c r="A1127" i="2"/>
  <c r="N1126" i="2"/>
  <c r="L1126" i="2"/>
  <c r="K1126" i="2"/>
  <c r="J1126" i="2"/>
  <c r="H1126" i="2"/>
  <c r="G1126" i="2"/>
  <c r="I1126" i="2" s="1"/>
  <c r="F1126" i="2"/>
  <c r="E1126" i="2"/>
  <c r="D1126" i="2"/>
  <c r="C1126" i="2"/>
  <c r="B1126" i="2"/>
  <c r="A1126" i="2"/>
  <c r="N1125" i="2"/>
  <c r="L1125" i="2"/>
  <c r="K1125" i="2"/>
  <c r="J1125" i="2"/>
  <c r="H1125" i="2"/>
  <c r="G1125" i="2"/>
  <c r="I1125" i="2" s="1"/>
  <c r="F1125" i="2"/>
  <c r="O1125" i="2" s="1"/>
  <c r="E1125" i="2"/>
  <c r="D1125" i="2"/>
  <c r="C1125" i="2"/>
  <c r="B1125" i="2"/>
  <c r="A1125" i="2"/>
  <c r="L1124" i="2"/>
  <c r="N1124" i="2" s="1"/>
  <c r="K1124" i="2"/>
  <c r="I1124" i="2"/>
  <c r="J1124" i="2" s="1"/>
  <c r="H1124" i="2"/>
  <c r="G1124" i="2"/>
  <c r="F1124" i="2"/>
  <c r="E1124" i="2"/>
  <c r="D1124" i="2"/>
  <c r="C1124" i="2"/>
  <c r="B1124" i="2"/>
  <c r="A1124" i="2"/>
  <c r="L1123" i="2"/>
  <c r="K1123" i="2"/>
  <c r="H1123" i="2"/>
  <c r="I1123" i="2" s="1"/>
  <c r="J1123" i="2" s="1"/>
  <c r="G1123" i="2"/>
  <c r="F1123" i="2"/>
  <c r="D1123" i="2"/>
  <c r="E1123" i="2" s="1"/>
  <c r="C1123" i="2"/>
  <c r="O1123" i="2" s="1"/>
  <c r="B1123" i="2"/>
  <c r="A1123" i="2"/>
  <c r="N1122" i="2"/>
  <c r="L1122" i="2"/>
  <c r="K1122" i="2"/>
  <c r="J1122" i="2"/>
  <c r="I1122" i="2"/>
  <c r="H1122" i="2"/>
  <c r="G1122" i="2"/>
  <c r="F1122" i="2"/>
  <c r="D1122" i="2"/>
  <c r="E1122" i="2" s="1"/>
  <c r="C1122" i="2"/>
  <c r="B1122" i="2"/>
  <c r="A1122" i="2"/>
  <c r="L1121" i="2"/>
  <c r="K1121" i="2"/>
  <c r="H1121" i="2"/>
  <c r="O1121" i="2" s="1"/>
  <c r="G1121" i="2"/>
  <c r="F1121" i="2"/>
  <c r="E1121" i="2"/>
  <c r="D1121" i="2"/>
  <c r="C1121" i="2"/>
  <c r="B1121" i="2"/>
  <c r="A1121" i="2"/>
  <c r="L1120" i="2"/>
  <c r="K1120" i="2"/>
  <c r="H1120" i="2"/>
  <c r="G1120" i="2"/>
  <c r="F1120" i="2"/>
  <c r="E1120" i="2"/>
  <c r="D1120" i="2"/>
  <c r="C1120" i="2"/>
  <c r="B1120" i="2"/>
  <c r="A1120" i="2"/>
  <c r="L1119" i="2"/>
  <c r="K1119" i="2"/>
  <c r="I1119" i="2"/>
  <c r="J1119" i="2" s="1"/>
  <c r="H1119" i="2"/>
  <c r="G1119" i="2"/>
  <c r="F1119" i="2"/>
  <c r="D1119" i="2"/>
  <c r="E1119" i="2" s="1"/>
  <c r="C1119" i="2"/>
  <c r="B1119" i="2"/>
  <c r="A1119" i="2"/>
  <c r="O1119" i="2" s="1"/>
  <c r="L1118" i="2"/>
  <c r="K1118" i="2"/>
  <c r="H1118" i="2"/>
  <c r="O1118" i="2" s="1"/>
  <c r="G1118" i="2"/>
  <c r="F1118" i="2"/>
  <c r="E1118" i="2"/>
  <c r="D1118" i="2"/>
  <c r="C1118" i="2"/>
  <c r="B1118" i="2"/>
  <c r="A1118" i="2"/>
  <c r="L1117" i="2"/>
  <c r="N1117" i="2" s="1"/>
  <c r="K1117" i="2"/>
  <c r="J1117" i="2"/>
  <c r="H1117" i="2"/>
  <c r="G1117" i="2"/>
  <c r="I1117" i="2" s="1"/>
  <c r="F1117" i="2"/>
  <c r="D1117" i="2"/>
  <c r="E1117" i="2" s="1"/>
  <c r="C1117" i="2"/>
  <c r="B1117" i="2"/>
  <c r="O1117" i="2" s="1"/>
  <c r="A1117" i="2"/>
  <c r="L1116" i="2"/>
  <c r="N1116" i="2" s="1"/>
  <c r="K1116" i="2"/>
  <c r="J1116" i="2"/>
  <c r="H1116" i="2"/>
  <c r="I1116" i="2" s="1"/>
  <c r="G1116" i="2"/>
  <c r="F1116" i="2"/>
  <c r="E1116" i="2"/>
  <c r="D1116" i="2"/>
  <c r="C1116" i="2"/>
  <c r="B1116" i="2"/>
  <c r="A1116" i="2"/>
  <c r="O1115" i="2"/>
  <c r="L1115" i="2"/>
  <c r="K1115" i="2"/>
  <c r="H1115" i="2"/>
  <c r="I1115" i="2" s="1"/>
  <c r="J1115" i="2" s="1"/>
  <c r="G1115" i="2"/>
  <c r="F1115" i="2"/>
  <c r="E1115" i="2"/>
  <c r="D1115" i="2"/>
  <c r="C1115" i="2"/>
  <c r="B1115" i="2"/>
  <c r="A1115" i="2"/>
  <c r="L1114" i="2"/>
  <c r="K1114" i="2"/>
  <c r="H1114" i="2"/>
  <c r="G1114" i="2"/>
  <c r="F1114" i="2"/>
  <c r="D1114" i="2"/>
  <c r="E1114" i="2" s="1"/>
  <c r="C1114" i="2"/>
  <c r="B1114" i="2"/>
  <c r="A1114" i="2"/>
  <c r="N1113" i="2"/>
  <c r="L1113" i="2"/>
  <c r="K1113" i="2"/>
  <c r="H1113" i="2"/>
  <c r="I1113" i="2" s="1"/>
  <c r="J1113" i="2" s="1"/>
  <c r="G1113" i="2"/>
  <c r="F1113" i="2"/>
  <c r="E1113" i="2"/>
  <c r="D1113" i="2"/>
  <c r="C1113" i="2"/>
  <c r="B1113" i="2"/>
  <c r="A1113" i="2"/>
  <c r="L1112" i="2"/>
  <c r="K1112" i="2"/>
  <c r="H1112" i="2"/>
  <c r="G1112" i="2"/>
  <c r="F1112" i="2"/>
  <c r="D1112" i="2"/>
  <c r="E1112" i="2" s="1"/>
  <c r="C1112" i="2"/>
  <c r="B1112" i="2"/>
  <c r="A1112" i="2"/>
  <c r="L1111" i="2"/>
  <c r="K1111" i="2"/>
  <c r="H1111" i="2"/>
  <c r="G1111" i="2"/>
  <c r="F1111" i="2"/>
  <c r="D1111" i="2"/>
  <c r="E1111" i="2" s="1"/>
  <c r="C1111" i="2"/>
  <c r="B1111" i="2"/>
  <c r="A1111" i="2"/>
  <c r="O1110" i="2"/>
  <c r="L1110" i="2"/>
  <c r="K1110" i="2"/>
  <c r="I1110" i="2"/>
  <c r="J1110" i="2" s="1"/>
  <c r="H1110" i="2"/>
  <c r="G1110" i="2"/>
  <c r="N1110" i="2" s="1"/>
  <c r="F1110" i="2"/>
  <c r="D1110" i="2"/>
  <c r="E1110" i="2" s="1"/>
  <c r="C1110" i="2"/>
  <c r="B1110" i="2"/>
  <c r="A1110" i="2"/>
  <c r="N1109" i="2"/>
  <c r="L1109" i="2"/>
  <c r="K1109" i="2"/>
  <c r="J1109" i="2"/>
  <c r="I1109" i="2"/>
  <c r="H1109" i="2"/>
  <c r="G1109" i="2"/>
  <c r="F1109" i="2"/>
  <c r="D1109" i="2"/>
  <c r="C1109" i="2"/>
  <c r="B1109" i="2"/>
  <c r="A1109" i="2"/>
  <c r="L1108" i="2"/>
  <c r="K1108" i="2"/>
  <c r="J1108" i="2"/>
  <c r="I1108" i="2"/>
  <c r="H1108" i="2"/>
  <c r="G1108" i="2"/>
  <c r="F1108" i="2"/>
  <c r="D1108" i="2"/>
  <c r="E1108" i="2" s="1"/>
  <c r="C1108" i="2"/>
  <c r="B1108" i="2"/>
  <c r="A1108" i="2"/>
  <c r="L1107" i="2"/>
  <c r="K1107" i="2"/>
  <c r="H1107" i="2"/>
  <c r="G1107" i="2"/>
  <c r="F1107" i="2"/>
  <c r="D1107" i="2"/>
  <c r="E1107" i="2" s="1"/>
  <c r="C1107" i="2"/>
  <c r="B1107" i="2"/>
  <c r="A1107" i="2"/>
  <c r="L1106" i="2"/>
  <c r="K1106" i="2"/>
  <c r="H1106" i="2"/>
  <c r="G1106" i="2"/>
  <c r="F1106" i="2"/>
  <c r="O1106" i="2" s="1"/>
  <c r="E1106" i="2"/>
  <c r="D1106" i="2"/>
  <c r="C1106" i="2"/>
  <c r="B1106" i="2"/>
  <c r="A1106" i="2"/>
  <c r="N1105" i="2"/>
  <c r="L1105" i="2"/>
  <c r="K1105" i="2"/>
  <c r="H1105" i="2"/>
  <c r="G1105" i="2"/>
  <c r="F1105" i="2"/>
  <c r="O1105" i="2" s="1"/>
  <c r="D1105" i="2"/>
  <c r="E1105" i="2" s="1"/>
  <c r="C1105" i="2"/>
  <c r="B1105" i="2"/>
  <c r="A1105" i="2"/>
  <c r="L1104" i="2"/>
  <c r="N1104" i="2" s="1"/>
  <c r="K1104" i="2"/>
  <c r="H1104" i="2"/>
  <c r="I1104" i="2" s="1"/>
  <c r="J1104" i="2" s="1"/>
  <c r="G1104" i="2"/>
  <c r="F1104" i="2"/>
  <c r="D1104" i="2"/>
  <c r="E1104" i="2" s="1"/>
  <c r="C1104" i="2"/>
  <c r="B1104" i="2"/>
  <c r="A1104" i="2"/>
  <c r="L1103" i="2"/>
  <c r="K1103" i="2"/>
  <c r="H1103" i="2"/>
  <c r="G1103" i="2"/>
  <c r="F1103" i="2"/>
  <c r="D1103" i="2"/>
  <c r="C1103" i="2"/>
  <c r="B1103" i="2"/>
  <c r="A1103" i="2"/>
  <c r="L1102" i="2"/>
  <c r="K1102" i="2"/>
  <c r="H1102" i="2"/>
  <c r="G1102" i="2"/>
  <c r="F1102" i="2"/>
  <c r="E1102" i="2"/>
  <c r="D1102" i="2"/>
  <c r="C1102" i="2"/>
  <c r="O1102" i="2" s="1"/>
  <c r="B1102" i="2"/>
  <c r="A1102" i="2"/>
  <c r="L1101" i="2"/>
  <c r="N1101" i="2" s="1"/>
  <c r="K1101" i="2"/>
  <c r="H1101" i="2"/>
  <c r="I1101" i="2" s="1"/>
  <c r="J1101" i="2" s="1"/>
  <c r="G1101" i="2"/>
  <c r="F1101" i="2"/>
  <c r="D1101" i="2"/>
  <c r="E1101" i="2" s="1"/>
  <c r="C1101" i="2"/>
  <c r="B1101" i="2"/>
  <c r="A1101" i="2"/>
  <c r="L1100" i="2"/>
  <c r="K1100" i="2"/>
  <c r="H1100" i="2"/>
  <c r="G1100" i="2"/>
  <c r="N1100" i="2" s="1"/>
  <c r="F1100" i="2"/>
  <c r="D1100" i="2"/>
  <c r="E1100" i="2" s="1"/>
  <c r="C1100" i="2"/>
  <c r="B1100" i="2"/>
  <c r="A1100" i="2"/>
  <c r="L1099" i="2"/>
  <c r="N1099" i="2" s="1"/>
  <c r="K1099" i="2"/>
  <c r="H1099" i="2"/>
  <c r="G1099" i="2"/>
  <c r="I1099" i="2" s="1"/>
  <c r="J1099" i="2" s="1"/>
  <c r="F1099" i="2"/>
  <c r="D1099" i="2"/>
  <c r="E1099" i="2" s="1"/>
  <c r="C1099" i="2"/>
  <c r="B1099" i="2"/>
  <c r="A1099" i="2"/>
  <c r="L1098" i="2"/>
  <c r="K1098" i="2"/>
  <c r="I1098" i="2"/>
  <c r="J1098" i="2" s="1"/>
  <c r="H1098" i="2"/>
  <c r="G1098" i="2"/>
  <c r="N1098" i="2" s="1"/>
  <c r="F1098" i="2"/>
  <c r="E1098" i="2"/>
  <c r="D1098" i="2"/>
  <c r="C1098" i="2"/>
  <c r="B1098" i="2"/>
  <c r="A1098" i="2"/>
  <c r="O1098" i="2" s="1"/>
  <c r="L1097" i="2"/>
  <c r="N1097" i="2" s="1"/>
  <c r="K1097" i="2"/>
  <c r="I1097" i="2"/>
  <c r="J1097" i="2" s="1"/>
  <c r="H1097" i="2"/>
  <c r="G1097" i="2"/>
  <c r="F1097" i="2"/>
  <c r="D1097" i="2"/>
  <c r="E1097" i="2" s="1"/>
  <c r="C1097" i="2"/>
  <c r="B1097" i="2"/>
  <c r="A1097" i="2"/>
  <c r="O1096" i="2"/>
  <c r="L1096" i="2"/>
  <c r="K1096" i="2"/>
  <c r="H1096" i="2"/>
  <c r="G1096" i="2"/>
  <c r="F1096" i="2"/>
  <c r="E1096" i="2"/>
  <c r="D1096" i="2"/>
  <c r="C1096" i="2"/>
  <c r="B1096" i="2"/>
  <c r="A1096" i="2"/>
  <c r="N1095" i="2"/>
  <c r="L1095" i="2"/>
  <c r="K1095" i="2"/>
  <c r="H1095" i="2"/>
  <c r="G1095" i="2"/>
  <c r="F1095" i="2"/>
  <c r="D1095" i="2"/>
  <c r="E1095" i="2" s="1"/>
  <c r="C1095" i="2"/>
  <c r="O1095" i="2" s="1"/>
  <c r="B1095" i="2"/>
  <c r="A1095" i="2"/>
  <c r="L1094" i="2"/>
  <c r="K1094" i="2"/>
  <c r="I1094" i="2"/>
  <c r="J1094" i="2" s="1"/>
  <c r="H1094" i="2"/>
  <c r="G1094" i="2"/>
  <c r="F1094" i="2"/>
  <c r="D1094" i="2"/>
  <c r="E1094" i="2" s="1"/>
  <c r="C1094" i="2"/>
  <c r="B1094" i="2"/>
  <c r="A1094" i="2"/>
  <c r="N1093" i="2"/>
  <c r="L1093" i="2"/>
  <c r="K1093" i="2"/>
  <c r="I1093" i="2"/>
  <c r="J1093" i="2" s="1"/>
  <c r="H1093" i="2"/>
  <c r="G1093" i="2"/>
  <c r="F1093" i="2"/>
  <c r="E1093" i="2"/>
  <c r="D1093" i="2"/>
  <c r="C1093" i="2"/>
  <c r="B1093" i="2"/>
  <c r="A1093" i="2"/>
  <c r="L1092" i="2"/>
  <c r="K1092" i="2"/>
  <c r="H1092" i="2"/>
  <c r="G1092" i="2"/>
  <c r="F1092" i="2"/>
  <c r="E1092" i="2"/>
  <c r="D1092" i="2"/>
  <c r="C1092" i="2"/>
  <c r="B1092" i="2"/>
  <c r="A1092" i="2"/>
  <c r="L1091" i="2"/>
  <c r="N1091" i="2" s="1"/>
  <c r="K1091" i="2"/>
  <c r="J1091" i="2"/>
  <c r="I1091" i="2"/>
  <c r="H1091" i="2"/>
  <c r="G1091" i="2"/>
  <c r="F1091" i="2"/>
  <c r="D1091" i="2"/>
  <c r="E1091" i="2" s="1"/>
  <c r="C1091" i="2"/>
  <c r="B1091" i="2"/>
  <c r="O1091" i="2" s="1"/>
  <c r="A1091" i="2"/>
  <c r="L1090" i="2"/>
  <c r="K1090" i="2"/>
  <c r="H1090" i="2"/>
  <c r="G1090" i="2"/>
  <c r="N1090" i="2" s="1"/>
  <c r="F1090" i="2"/>
  <c r="E1090" i="2"/>
  <c r="D1090" i="2"/>
  <c r="C1090" i="2"/>
  <c r="B1090" i="2"/>
  <c r="A1090" i="2"/>
  <c r="N1089" i="2"/>
  <c r="L1089" i="2"/>
  <c r="K1089" i="2"/>
  <c r="H1089" i="2"/>
  <c r="G1089" i="2"/>
  <c r="I1089" i="2" s="1"/>
  <c r="J1089" i="2" s="1"/>
  <c r="F1089" i="2"/>
  <c r="D1089" i="2"/>
  <c r="E1089" i="2" s="1"/>
  <c r="C1089" i="2"/>
  <c r="B1089" i="2"/>
  <c r="A1089" i="2"/>
  <c r="N1088" i="2"/>
  <c r="L1088" i="2"/>
  <c r="K1088" i="2"/>
  <c r="O1088" i="2" s="1"/>
  <c r="H1088" i="2"/>
  <c r="I1088" i="2" s="1"/>
  <c r="J1088" i="2" s="1"/>
  <c r="G1088" i="2"/>
  <c r="F1088" i="2"/>
  <c r="D1088" i="2"/>
  <c r="C1088" i="2"/>
  <c r="B1088" i="2"/>
  <c r="A1088" i="2"/>
  <c r="L1087" i="2"/>
  <c r="K1087" i="2"/>
  <c r="H1087" i="2"/>
  <c r="G1087" i="2"/>
  <c r="F1087" i="2"/>
  <c r="E1087" i="2"/>
  <c r="D1087" i="2"/>
  <c r="C1087" i="2"/>
  <c r="B1087" i="2"/>
  <c r="A1087" i="2"/>
  <c r="N1086" i="2"/>
  <c r="L1086" i="2"/>
  <c r="K1086" i="2"/>
  <c r="I1086" i="2"/>
  <c r="J1086" i="2" s="1"/>
  <c r="H1086" i="2"/>
  <c r="G1086" i="2"/>
  <c r="F1086" i="2"/>
  <c r="D1086" i="2"/>
  <c r="E1086" i="2" s="1"/>
  <c r="C1086" i="2"/>
  <c r="B1086" i="2"/>
  <c r="A1086" i="2"/>
  <c r="L1085" i="2"/>
  <c r="N1085" i="2" s="1"/>
  <c r="K1085" i="2"/>
  <c r="I1085" i="2"/>
  <c r="J1085" i="2" s="1"/>
  <c r="H1085" i="2"/>
  <c r="G1085" i="2"/>
  <c r="F1085" i="2"/>
  <c r="D1085" i="2"/>
  <c r="E1085" i="2" s="1"/>
  <c r="C1085" i="2"/>
  <c r="B1085" i="2"/>
  <c r="A1085" i="2"/>
  <c r="L1084" i="2"/>
  <c r="K1084" i="2"/>
  <c r="I1084" i="2"/>
  <c r="J1084" i="2" s="1"/>
  <c r="H1084" i="2"/>
  <c r="G1084" i="2"/>
  <c r="N1084" i="2" s="1"/>
  <c r="F1084" i="2"/>
  <c r="E1084" i="2"/>
  <c r="D1084" i="2"/>
  <c r="C1084" i="2"/>
  <c r="B1084" i="2"/>
  <c r="A1084" i="2"/>
  <c r="O1084" i="2" s="1"/>
  <c r="L1083" i="2"/>
  <c r="K1083" i="2"/>
  <c r="H1083" i="2"/>
  <c r="G1083" i="2"/>
  <c r="F1083" i="2"/>
  <c r="D1083" i="2"/>
  <c r="E1083" i="2" s="1"/>
  <c r="C1083" i="2"/>
  <c r="B1083" i="2"/>
  <c r="A1083" i="2"/>
  <c r="N1082" i="2"/>
  <c r="L1082" i="2"/>
  <c r="K1082" i="2"/>
  <c r="H1082" i="2"/>
  <c r="G1082" i="2"/>
  <c r="F1082" i="2"/>
  <c r="E1082" i="2"/>
  <c r="D1082" i="2"/>
  <c r="C1082" i="2"/>
  <c r="B1082" i="2"/>
  <c r="A1082" i="2"/>
  <c r="N1081" i="2"/>
  <c r="L1081" i="2"/>
  <c r="K1081" i="2"/>
  <c r="H1081" i="2"/>
  <c r="I1081" i="2" s="1"/>
  <c r="J1081" i="2" s="1"/>
  <c r="G1081" i="2"/>
  <c r="F1081" i="2"/>
  <c r="D1081" i="2"/>
  <c r="E1081" i="2" s="1"/>
  <c r="C1081" i="2"/>
  <c r="B1081" i="2"/>
  <c r="A1081" i="2"/>
  <c r="L1080" i="2"/>
  <c r="K1080" i="2"/>
  <c r="I1080" i="2"/>
  <c r="J1080" i="2" s="1"/>
  <c r="H1080" i="2"/>
  <c r="G1080" i="2"/>
  <c r="F1080" i="2"/>
  <c r="D1080" i="2"/>
  <c r="E1080" i="2" s="1"/>
  <c r="C1080" i="2"/>
  <c r="B1080" i="2"/>
  <c r="A1080" i="2"/>
  <c r="L1079" i="2"/>
  <c r="K1079" i="2"/>
  <c r="H1079" i="2"/>
  <c r="G1079" i="2"/>
  <c r="F1079" i="2"/>
  <c r="O1079" i="2" s="1"/>
  <c r="E1079" i="2"/>
  <c r="D1079" i="2"/>
  <c r="C1079" i="2"/>
  <c r="B1079" i="2"/>
  <c r="A1079" i="2"/>
  <c r="L1078" i="2"/>
  <c r="N1078" i="2" s="1"/>
  <c r="K1078" i="2"/>
  <c r="I1078" i="2"/>
  <c r="J1078" i="2" s="1"/>
  <c r="H1078" i="2"/>
  <c r="G1078" i="2"/>
  <c r="F1078" i="2"/>
  <c r="D1078" i="2"/>
  <c r="E1078" i="2" s="1"/>
  <c r="C1078" i="2"/>
  <c r="O1078" i="2" s="1"/>
  <c r="B1078" i="2"/>
  <c r="A1078" i="2"/>
  <c r="L1077" i="2"/>
  <c r="N1077" i="2" s="1"/>
  <c r="K1077" i="2"/>
  <c r="I1077" i="2"/>
  <c r="J1077" i="2" s="1"/>
  <c r="H1077" i="2"/>
  <c r="G1077" i="2"/>
  <c r="F1077" i="2"/>
  <c r="D1077" i="2"/>
  <c r="E1077" i="2" s="1"/>
  <c r="C1077" i="2"/>
  <c r="B1077" i="2"/>
  <c r="A1077" i="2"/>
  <c r="L1076" i="2"/>
  <c r="K1076" i="2"/>
  <c r="H1076" i="2"/>
  <c r="I1076" i="2" s="1"/>
  <c r="J1076" i="2" s="1"/>
  <c r="G1076" i="2"/>
  <c r="N1076" i="2" s="1"/>
  <c r="F1076" i="2"/>
  <c r="E1076" i="2"/>
  <c r="D1076" i="2"/>
  <c r="C1076" i="2"/>
  <c r="B1076" i="2"/>
  <c r="A1076" i="2"/>
  <c r="L1075" i="2"/>
  <c r="K1075" i="2"/>
  <c r="H1075" i="2"/>
  <c r="G1075" i="2"/>
  <c r="F1075" i="2"/>
  <c r="O1075" i="2" s="1"/>
  <c r="D1075" i="2"/>
  <c r="E1075" i="2" s="1"/>
  <c r="C1075" i="2"/>
  <c r="B1075" i="2"/>
  <c r="A1075" i="2"/>
  <c r="L1074" i="2"/>
  <c r="K1074" i="2"/>
  <c r="I1074" i="2"/>
  <c r="J1074" i="2" s="1"/>
  <c r="H1074" i="2"/>
  <c r="G1074" i="2"/>
  <c r="N1074" i="2" s="1"/>
  <c r="F1074" i="2"/>
  <c r="E1074" i="2"/>
  <c r="D1074" i="2"/>
  <c r="C1074" i="2"/>
  <c r="B1074" i="2"/>
  <c r="A1074" i="2"/>
  <c r="O1074" i="2" s="1"/>
  <c r="L1073" i="2"/>
  <c r="N1073" i="2" s="1"/>
  <c r="K1073" i="2"/>
  <c r="I1073" i="2"/>
  <c r="J1073" i="2" s="1"/>
  <c r="H1073" i="2"/>
  <c r="G1073" i="2"/>
  <c r="F1073" i="2"/>
  <c r="D1073" i="2"/>
  <c r="E1073" i="2" s="1"/>
  <c r="C1073" i="2"/>
  <c r="B1073" i="2"/>
  <c r="A1073" i="2"/>
  <c r="L1072" i="2"/>
  <c r="K1072" i="2"/>
  <c r="H1072" i="2"/>
  <c r="G1072" i="2"/>
  <c r="N1072" i="2" s="1"/>
  <c r="F1072" i="2"/>
  <c r="D1072" i="2"/>
  <c r="E1072" i="2" s="1"/>
  <c r="C1072" i="2"/>
  <c r="B1072" i="2"/>
  <c r="A1072" i="2"/>
  <c r="N1071" i="2"/>
  <c r="L1071" i="2"/>
  <c r="K1071" i="2"/>
  <c r="H1071" i="2"/>
  <c r="G1071" i="2"/>
  <c r="F1071" i="2"/>
  <c r="O1071" i="2" s="1"/>
  <c r="D1071" i="2"/>
  <c r="E1071" i="2" s="1"/>
  <c r="C1071" i="2"/>
  <c r="B1071" i="2"/>
  <c r="A1071" i="2"/>
  <c r="N1070" i="2"/>
  <c r="L1070" i="2"/>
  <c r="K1070" i="2"/>
  <c r="H1070" i="2"/>
  <c r="G1070" i="2"/>
  <c r="I1070" i="2" s="1"/>
  <c r="J1070" i="2" s="1"/>
  <c r="F1070" i="2"/>
  <c r="E1070" i="2"/>
  <c r="D1070" i="2"/>
  <c r="C1070" i="2"/>
  <c r="O1070" i="2" s="1"/>
  <c r="B1070" i="2"/>
  <c r="A1070" i="2"/>
  <c r="L1069" i="2"/>
  <c r="N1069" i="2" s="1"/>
  <c r="K1069" i="2"/>
  <c r="J1069" i="2"/>
  <c r="I1069" i="2"/>
  <c r="H1069" i="2"/>
  <c r="G1069" i="2"/>
  <c r="F1069" i="2"/>
  <c r="E1069" i="2"/>
  <c r="D1069" i="2"/>
  <c r="C1069" i="2"/>
  <c r="B1069" i="2"/>
  <c r="A1069" i="2"/>
  <c r="L1068" i="2"/>
  <c r="K1068" i="2"/>
  <c r="I1068" i="2"/>
  <c r="J1068" i="2" s="1"/>
  <c r="H1068" i="2"/>
  <c r="G1068" i="2"/>
  <c r="N1068" i="2" s="1"/>
  <c r="F1068" i="2"/>
  <c r="E1068" i="2"/>
  <c r="D1068" i="2"/>
  <c r="C1068" i="2"/>
  <c r="B1068" i="2"/>
  <c r="A1068" i="2"/>
  <c r="L1067" i="2"/>
  <c r="K1067" i="2"/>
  <c r="H1067" i="2"/>
  <c r="G1067" i="2"/>
  <c r="N1067" i="2" s="1"/>
  <c r="F1067" i="2"/>
  <c r="D1067" i="2"/>
  <c r="E1067" i="2" s="1"/>
  <c r="C1067" i="2"/>
  <c r="B1067" i="2"/>
  <c r="A1067" i="2"/>
  <c r="N1066" i="2"/>
  <c r="L1066" i="2"/>
  <c r="K1066" i="2"/>
  <c r="H1066" i="2"/>
  <c r="G1066" i="2"/>
  <c r="I1066" i="2" s="1"/>
  <c r="J1066" i="2" s="1"/>
  <c r="F1066" i="2"/>
  <c r="E1066" i="2"/>
  <c r="D1066" i="2"/>
  <c r="C1066" i="2"/>
  <c r="O1066" i="2" s="1"/>
  <c r="B1066" i="2"/>
  <c r="A1066" i="2"/>
  <c r="L1065" i="2"/>
  <c r="N1065" i="2" s="1"/>
  <c r="K1065" i="2"/>
  <c r="J1065" i="2"/>
  <c r="H1065" i="2"/>
  <c r="I1065" i="2" s="1"/>
  <c r="G1065" i="2"/>
  <c r="F1065" i="2"/>
  <c r="D1065" i="2"/>
  <c r="E1065" i="2" s="1"/>
  <c r="C1065" i="2"/>
  <c r="B1065" i="2"/>
  <c r="A1065" i="2"/>
  <c r="O1065" i="2" s="1"/>
  <c r="L1064" i="2"/>
  <c r="K1064" i="2"/>
  <c r="H1064" i="2"/>
  <c r="I1064" i="2" s="1"/>
  <c r="J1064" i="2" s="1"/>
  <c r="G1064" i="2"/>
  <c r="N1064" i="2" s="1"/>
  <c r="F1064" i="2"/>
  <c r="D1064" i="2"/>
  <c r="E1064" i="2" s="1"/>
  <c r="C1064" i="2"/>
  <c r="B1064" i="2"/>
  <c r="A1064" i="2"/>
  <c r="L1063" i="2"/>
  <c r="K1063" i="2"/>
  <c r="H1063" i="2"/>
  <c r="G1063" i="2"/>
  <c r="F1063" i="2"/>
  <c r="D1063" i="2"/>
  <c r="E1063" i="2" s="1"/>
  <c r="C1063" i="2"/>
  <c r="B1063" i="2"/>
  <c r="O1063" i="2" s="1"/>
  <c r="A1063" i="2"/>
  <c r="N1062" i="2"/>
  <c r="L1062" i="2"/>
  <c r="K1062" i="2"/>
  <c r="H1062" i="2"/>
  <c r="G1062" i="2"/>
  <c r="I1062" i="2" s="1"/>
  <c r="J1062" i="2" s="1"/>
  <c r="F1062" i="2"/>
  <c r="O1062" i="2" s="1"/>
  <c r="E1062" i="2"/>
  <c r="D1062" i="2"/>
  <c r="C1062" i="2"/>
  <c r="B1062" i="2"/>
  <c r="A1062" i="2"/>
  <c r="L1061" i="2"/>
  <c r="N1061" i="2" s="1"/>
  <c r="K1061" i="2"/>
  <c r="I1061" i="2"/>
  <c r="J1061" i="2" s="1"/>
  <c r="H1061" i="2"/>
  <c r="G1061" i="2"/>
  <c r="F1061" i="2"/>
  <c r="E1061" i="2"/>
  <c r="D1061" i="2"/>
  <c r="C1061" i="2"/>
  <c r="B1061" i="2"/>
  <c r="A1061" i="2"/>
  <c r="L1060" i="2"/>
  <c r="K1060" i="2"/>
  <c r="I1060" i="2"/>
  <c r="J1060" i="2" s="1"/>
  <c r="H1060" i="2"/>
  <c r="G1060" i="2"/>
  <c r="F1060" i="2"/>
  <c r="E1060" i="2"/>
  <c r="D1060" i="2"/>
  <c r="C1060" i="2"/>
  <c r="B1060" i="2"/>
  <c r="A1060" i="2"/>
  <c r="L1059" i="2"/>
  <c r="K1059" i="2"/>
  <c r="J1059" i="2"/>
  <c r="I1059" i="2"/>
  <c r="H1059" i="2"/>
  <c r="G1059" i="2"/>
  <c r="N1059" i="2" s="1"/>
  <c r="F1059" i="2"/>
  <c r="D1059" i="2"/>
  <c r="E1059" i="2" s="1"/>
  <c r="C1059" i="2"/>
  <c r="B1059" i="2"/>
  <c r="A1059" i="2"/>
  <c r="L1058" i="2"/>
  <c r="K1058" i="2"/>
  <c r="I1058" i="2"/>
  <c r="J1058" i="2" s="1"/>
  <c r="H1058" i="2"/>
  <c r="G1058" i="2"/>
  <c r="N1058" i="2" s="1"/>
  <c r="F1058" i="2"/>
  <c r="E1058" i="2"/>
  <c r="D1058" i="2"/>
  <c r="C1058" i="2"/>
  <c r="B1058" i="2"/>
  <c r="A1058" i="2"/>
  <c r="L1057" i="2"/>
  <c r="K1057" i="2"/>
  <c r="H1057" i="2"/>
  <c r="G1057" i="2"/>
  <c r="I1057" i="2" s="1"/>
  <c r="J1057" i="2" s="1"/>
  <c r="F1057" i="2"/>
  <c r="O1057" i="2" s="1"/>
  <c r="D1057" i="2"/>
  <c r="E1057" i="2" s="1"/>
  <c r="C1057" i="2"/>
  <c r="B1057" i="2"/>
  <c r="A1057" i="2"/>
  <c r="L1056" i="2"/>
  <c r="N1056" i="2" s="1"/>
  <c r="K1056" i="2"/>
  <c r="H1056" i="2"/>
  <c r="I1056" i="2" s="1"/>
  <c r="J1056" i="2" s="1"/>
  <c r="G1056" i="2"/>
  <c r="F1056" i="2"/>
  <c r="D1056" i="2"/>
  <c r="E1056" i="2" s="1"/>
  <c r="C1056" i="2"/>
  <c r="B1056" i="2"/>
  <c r="A1056" i="2"/>
  <c r="L1055" i="2"/>
  <c r="K1055" i="2"/>
  <c r="H1055" i="2"/>
  <c r="G1055" i="2"/>
  <c r="F1055" i="2"/>
  <c r="D1055" i="2"/>
  <c r="E1055" i="2" s="1"/>
  <c r="C1055" i="2"/>
  <c r="B1055" i="2"/>
  <c r="A1055" i="2"/>
  <c r="L1054" i="2"/>
  <c r="K1054" i="2"/>
  <c r="I1054" i="2"/>
  <c r="J1054" i="2" s="1"/>
  <c r="H1054" i="2"/>
  <c r="G1054" i="2"/>
  <c r="N1054" i="2" s="1"/>
  <c r="F1054" i="2"/>
  <c r="E1054" i="2"/>
  <c r="D1054" i="2"/>
  <c r="C1054" i="2"/>
  <c r="B1054" i="2"/>
  <c r="A1054" i="2"/>
  <c r="O1054" i="2" s="1"/>
  <c r="N1053" i="2"/>
  <c r="L1053" i="2"/>
  <c r="K1053" i="2"/>
  <c r="H1053" i="2"/>
  <c r="I1053" i="2" s="1"/>
  <c r="J1053" i="2" s="1"/>
  <c r="G1053" i="2"/>
  <c r="F1053" i="2"/>
  <c r="E1053" i="2"/>
  <c r="D1053" i="2"/>
  <c r="C1053" i="2"/>
  <c r="B1053" i="2"/>
  <c r="A1053" i="2"/>
  <c r="O1052" i="2"/>
  <c r="L1052" i="2"/>
  <c r="K1052" i="2"/>
  <c r="H1052" i="2"/>
  <c r="G1052" i="2"/>
  <c r="F1052" i="2"/>
  <c r="D1052" i="2"/>
  <c r="C1052" i="2"/>
  <c r="B1052" i="2"/>
  <c r="A1052" i="2"/>
  <c r="N1051" i="2"/>
  <c r="L1051" i="2"/>
  <c r="K1051" i="2"/>
  <c r="I1051" i="2"/>
  <c r="J1051" i="2" s="1"/>
  <c r="H1051" i="2"/>
  <c r="G1051" i="2"/>
  <c r="F1051" i="2"/>
  <c r="D1051" i="2"/>
  <c r="E1051" i="2" s="1"/>
  <c r="C1051" i="2"/>
  <c r="B1051" i="2"/>
  <c r="A1051" i="2"/>
  <c r="O1050" i="2"/>
  <c r="L1050" i="2"/>
  <c r="K1050" i="2"/>
  <c r="H1050" i="2"/>
  <c r="G1050" i="2"/>
  <c r="F1050" i="2"/>
  <c r="E1050" i="2"/>
  <c r="D1050" i="2"/>
  <c r="C1050" i="2"/>
  <c r="B1050" i="2"/>
  <c r="A1050" i="2"/>
  <c r="L1049" i="2"/>
  <c r="N1049" i="2" s="1"/>
  <c r="K1049" i="2"/>
  <c r="H1049" i="2"/>
  <c r="G1049" i="2"/>
  <c r="F1049" i="2"/>
  <c r="D1049" i="2"/>
  <c r="E1049" i="2" s="1"/>
  <c r="C1049" i="2"/>
  <c r="B1049" i="2"/>
  <c r="A1049" i="2"/>
  <c r="N1048" i="2"/>
  <c r="L1048" i="2"/>
  <c r="K1048" i="2"/>
  <c r="H1048" i="2"/>
  <c r="G1048" i="2"/>
  <c r="F1048" i="2"/>
  <c r="D1048" i="2"/>
  <c r="E1048" i="2" s="1"/>
  <c r="C1048" i="2"/>
  <c r="B1048" i="2"/>
  <c r="A1048" i="2"/>
  <c r="N1047" i="2"/>
  <c r="L1047" i="2"/>
  <c r="K1047" i="2"/>
  <c r="H1047" i="2"/>
  <c r="G1047" i="2"/>
  <c r="F1047" i="2"/>
  <c r="O1047" i="2" s="1"/>
  <c r="D1047" i="2"/>
  <c r="C1047" i="2"/>
  <c r="B1047" i="2"/>
  <c r="A1047" i="2"/>
  <c r="L1046" i="2"/>
  <c r="K1046" i="2"/>
  <c r="H1046" i="2"/>
  <c r="G1046" i="2"/>
  <c r="F1046" i="2"/>
  <c r="E1046" i="2"/>
  <c r="D1046" i="2"/>
  <c r="C1046" i="2"/>
  <c r="O1046" i="2" s="1"/>
  <c r="B1046" i="2"/>
  <c r="A1046" i="2"/>
  <c r="N1045" i="2"/>
  <c r="L1045" i="2"/>
  <c r="K1045" i="2"/>
  <c r="H1045" i="2"/>
  <c r="I1045" i="2" s="1"/>
  <c r="J1045" i="2" s="1"/>
  <c r="G1045" i="2"/>
  <c r="F1045" i="2"/>
  <c r="E1045" i="2"/>
  <c r="D1045" i="2"/>
  <c r="C1045" i="2"/>
  <c r="B1045" i="2"/>
  <c r="A1045" i="2"/>
  <c r="O1044" i="2"/>
  <c r="L1044" i="2"/>
  <c r="K1044" i="2"/>
  <c r="H1044" i="2"/>
  <c r="G1044" i="2"/>
  <c r="F1044" i="2"/>
  <c r="E1044" i="2"/>
  <c r="D1044" i="2"/>
  <c r="C1044" i="2"/>
  <c r="B1044" i="2"/>
  <c r="A1044" i="2"/>
  <c r="L1043" i="2"/>
  <c r="K1043" i="2"/>
  <c r="H1043" i="2"/>
  <c r="G1043" i="2"/>
  <c r="F1043" i="2"/>
  <c r="D1043" i="2"/>
  <c r="E1043" i="2" s="1"/>
  <c r="C1043" i="2"/>
  <c r="B1043" i="2"/>
  <c r="A1043" i="2"/>
  <c r="L1042" i="2"/>
  <c r="K1042" i="2"/>
  <c r="H1042" i="2"/>
  <c r="G1042" i="2"/>
  <c r="F1042" i="2"/>
  <c r="E1042" i="2"/>
  <c r="D1042" i="2"/>
  <c r="C1042" i="2"/>
  <c r="B1042" i="2"/>
  <c r="A1042" i="2"/>
  <c r="L1041" i="2"/>
  <c r="N1041" i="2" s="1"/>
  <c r="K1041" i="2"/>
  <c r="I1041" i="2"/>
  <c r="J1041" i="2" s="1"/>
  <c r="H1041" i="2"/>
  <c r="G1041" i="2"/>
  <c r="F1041" i="2"/>
  <c r="D1041" i="2"/>
  <c r="E1041" i="2" s="1"/>
  <c r="C1041" i="2"/>
  <c r="B1041" i="2"/>
  <c r="A1041" i="2"/>
  <c r="O1040" i="2"/>
  <c r="L1040" i="2"/>
  <c r="K1040" i="2"/>
  <c r="H1040" i="2"/>
  <c r="I1040" i="2" s="1"/>
  <c r="J1040" i="2" s="1"/>
  <c r="G1040" i="2"/>
  <c r="N1040" i="2" s="1"/>
  <c r="F1040" i="2"/>
  <c r="D1040" i="2"/>
  <c r="E1040" i="2" s="1"/>
  <c r="C1040" i="2"/>
  <c r="B1040" i="2"/>
  <c r="A1040" i="2"/>
  <c r="L1039" i="2"/>
  <c r="K1039" i="2"/>
  <c r="H1039" i="2"/>
  <c r="G1039" i="2"/>
  <c r="F1039" i="2"/>
  <c r="E1039" i="2"/>
  <c r="D1039" i="2"/>
  <c r="C1039" i="2"/>
  <c r="B1039" i="2"/>
  <c r="A1039" i="2"/>
  <c r="O1038" i="2"/>
  <c r="L1038" i="2"/>
  <c r="K1038" i="2"/>
  <c r="H1038" i="2"/>
  <c r="G1038" i="2"/>
  <c r="I1038" i="2" s="1"/>
  <c r="J1038" i="2" s="1"/>
  <c r="F1038" i="2"/>
  <c r="E1038" i="2"/>
  <c r="D1038" i="2"/>
  <c r="C1038" i="2"/>
  <c r="B1038" i="2"/>
  <c r="A1038" i="2"/>
  <c r="L1037" i="2"/>
  <c r="N1037" i="2" s="1"/>
  <c r="K1037" i="2"/>
  <c r="I1037" i="2"/>
  <c r="J1037" i="2" s="1"/>
  <c r="H1037" i="2"/>
  <c r="G1037" i="2"/>
  <c r="F1037" i="2"/>
  <c r="D1037" i="2"/>
  <c r="E1037" i="2" s="1"/>
  <c r="C1037" i="2"/>
  <c r="B1037" i="2"/>
  <c r="A1037" i="2"/>
  <c r="L1036" i="2"/>
  <c r="K1036" i="2"/>
  <c r="I1036" i="2"/>
  <c r="J1036" i="2" s="1"/>
  <c r="H1036" i="2"/>
  <c r="G1036" i="2"/>
  <c r="N1036" i="2" s="1"/>
  <c r="F1036" i="2"/>
  <c r="E1036" i="2"/>
  <c r="D1036" i="2"/>
  <c r="C1036" i="2"/>
  <c r="B1036" i="2"/>
  <c r="A1036" i="2"/>
  <c r="O1036" i="2" s="1"/>
  <c r="N1035" i="2"/>
  <c r="L1035" i="2"/>
  <c r="K1035" i="2"/>
  <c r="I1035" i="2"/>
  <c r="J1035" i="2" s="1"/>
  <c r="H1035" i="2"/>
  <c r="G1035" i="2"/>
  <c r="F1035" i="2"/>
  <c r="D1035" i="2"/>
  <c r="E1035" i="2" s="1"/>
  <c r="C1035" i="2"/>
  <c r="B1035" i="2"/>
  <c r="A1035" i="2"/>
  <c r="L1034" i="2"/>
  <c r="K1034" i="2"/>
  <c r="I1034" i="2"/>
  <c r="J1034" i="2" s="1"/>
  <c r="H1034" i="2"/>
  <c r="G1034" i="2"/>
  <c r="N1034" i="2" s="1"/>
  <c r="F1034" i="2"/>
  <c r="E1034" i="2"/>
  <c r="D1034" i="2"/>
  <c r="C1034" i="2"/>
  <c r="B1034" i="2"/>
  <c r="A1034" i="2"/>
  <c r="O1034" i="2" s="1"/>
  <c r="L1033" i="2"/>
  <c r="N1033" i="2" s="1"/>
  <c r="K1033" i="2"/>
  <c r="H1033" i="2"/>
  <c r="I1033" i="2" s="1"/>
  <c r="J1033" i="2" s="1"/>
  <c r="G1033" i="2"/>
  <c r="F1033" i="2"/>
  <c r="E1033" i="2"/>
  <c r="D1033" i="2"/>
  <c r="C1033" i="2"/>
  <c r="B1033" i="2"/>
  <c r="A1033" i="2"/>
  <c r="L1032" i="2"/>
  <c r="K1032" i="2"/>
  <c r="I1032" i="2"/>
  <c r="J1032" i="2" s="1"/>
  <c r="H1032" i="2"/>
  <c r="G1032" i="2"/>
  <c r="F1032" i="2"/>
  <c r="D1032" i="2"/>
  <c r="E1032" i="2" s="1"/>
  <c r="C1032" i="2"/>
  <c r="B1032" i="2"/>
  <c r="A1032" i="2"/>
  <c r="L1031" i="2"/>
  <c r="K1031" i="2"/>
  <c r="H1031" i="2"/>
  <c r="G1031" i="2"/>
  <c r="F1031" i="2"/>
  <c r="D1031" i="2"/>
  <c r="E1031" i="2" s="1"/>
  <c r="C1031" i="2"/>
  <c r="B1031" i="2"/>
  <c r="A1031" i="2"/>
  <c r="O1030" i="2"/>
  <c r="N1030" i="2"/>
  <c r="L1030" i="2"/>
  <c r="K1030" i="2"/>
  <c r="I1030" i="2"/>
  <c r="J1030" i="2" s="1"/>
  <c r="H1030" i="2"/>
  <c r="G1030" i="2"/>
  <c r="F1030" i="2"/>
  <c r="E1030" i="2"/>
  <c r="D1030" i="2"/>
  <c r="C1030" i="2"/>
  <c r="B1030" i="2"/>
  <c r="A1030" i="2"/>
  <c r="L1029" i="2"/>
  <c r="N1029" i="2" s="1"/>
  <c r="K1029" i="2"/>
  <c r="I1029" i="2"/>
  <c r="J1029" i="2" s="1"/>
  <c r="H1029" i="2"/>
  <c r="G1029" i="2"/>
  <c r="F1029" i="2"/>
  <c r="D1029" i="2"/>
  <c r="E1029" i="2" s="1"/>
  <c r="C1029" i="2"/>
  <c r="B1029" i="2"/>
  <c r="A1029" i="2"/>
  <c r="L1028" i="2"/>
  <c r="K1028" i="2"/>
  <c r="H1028" i="2"/>
  <c r="G1028" i="2"/>
  <c r="F1028" i="2"/>
  <c r="D1028" i="2"/>
  <c r="E1028" i="2" s="1"/>
  <c r="C1028" i="2"/>
  <c r="B1028" i="2"/>
  <c r="A1028" i="2"/>
  <c r="N1027" i="2"/>
  <c r="L1027" i="2"/>
  <c r="K1027" i="2"/>
  <c r="H1027" i="2"/>
  <c r="I1027" i="2" s="1"/>
  <c r="J1027" i="2" s="1"/>
  <c r="G1027" i="2"/>
  <c r="F1027" i="2"/>
  <c r="D1027" i="2"/>
  <c r="E1027" i="2" s="1"/>
  <c r="C1027" i="2"/>
  <c r="B1027" i="2"/>
  <c r="A1027" i="2"/>
  <c r="N1026" i="2"/>
  <c r="L1026" i="2"/>
  <c r="K1026" i="2"/>
  <c r="I1026" i="2"/>
  <c r="J1026" i="2" s="1"/>
  <c r="H1026" i="2"/>
  <c r="G1026" i="2"/>
  <c r="F1026" i="2"/>
  <c r="E1026" i="2"/>
  <c r="D1026" i="2"/>
  <c r="C1026" i="2"/>
  <c r="B1026" i="2"/>
  <c r="A1026" i="2"/>
  <c r="L1025" i="2"/>
  <c r="K1025" i="2"/>
  <c r="H1025" i="2"/>
  <c r="G1025" i="2"/>
  <c r="F1025" i="2"/>
  <c r="E1025" i="2"/>
  <c r="D1025" i="2"/>
  <c r="C1025" i="2"/>
  <c r="B1025" i="2"/>
  <c r="A1025" i="2"/>
  <c r="N1024" i="2"/>
  <c r="L1024" i="2"/>
  <c r="K1024" i="2"/>
  <c r="H1024" i="2"/>
  <c r="I1024" i="2" s="1"/>
  <c r="J1024" i="2" s="1"/>
  <c r="G1024" i="2"/>
  <c r="F1024" i="2"/>
  <c r="D1024" i="2"/>
  <c r="C1024" i="2"/>
  <c r="O1024" i="2" s="1"/>
  <c r="B1024" i="2"/>
  <c r="A1024" i="2"/>
  <c r="L1023" i="2"/>
  <c r="K1023" i="2"/>
  <c r="H1023" i="2"/>
  <c r="O1023" i="2" s="1"/>
  <c r="G1023" i="2"/>
  <c r="F1023" i="2"/>
  <c r="D1023" i="2"/>
  <c r="C1023" i="2"/>
  <c r="B1023" i="2"/>
  <c r="A1023" i="2"/>
  <c r="L1022" i="2"/>
  <c r="K1022" i="2"/>
  <c r="H1022" i="2"/>
  <c r="G1022" i="2"/>
  <c r="F1022" i="2"/>
  <c r="E1022" i="2"/>
  <c r="D1022" i="2"/>
  <c r="C1022" i="2"/>
  <c r="O1022" i="2" s="1"/>
  <c r="B1022" i="2"/>
  <c r="A1022" i="2"/>
  <c r="N1021" i="2"/>
  <c r="L1021" i="2"/>
  <c r="K1021" i="2"/>
  <c r="H1021" i="2"/>
  <c r="I1021" i="2" s="1"/>
  <c r="J1021" i="2" s="1"/>
  <c r="G1021" i="2"/>
  <c r="F1021" i="2"/>
  <c r="E1021" i="2"/>
  <c r="D1021" i="2"/>
  <c r="C1021" i="2"/>
  <c r="B1021" i="2"/>
  <c r="A1021" i="2"/>
  <c r="L1020" i="2"/>
  <c r="K1020" i="2"/>
  <c r="H1020" i="2"/>
  <c r="G1020" i="2"/>
  <c r="F1020" i="2"/>
  <c r="E1020" i="2"/>
  <c r="D1020" i="2"/>
  <c r="C1020" i="2"/>
  <c r="B1020" i="2"/>
  <c r="A1020" i="2"/>
  <c r="L1019" i="2"/>
  <c r="N1019" i="2" s="1"/>
  <c r="K1019" i="2"/>
  <c r="J1019" i="2"/>
  <c r="I1019" i="2"/>
  <c r="H1019" i="2"/>
  <c r="G1019" i="2"/>
  <c r="F1019" i="2"/>
  <c r="D1019" i="2"/>
  <c r="E1019" i="2" s="1"/>
  <c r="C1019" i="2"/>
  <c r="B1019" i="2"/>
  <c r="A1019" i="2"/>
  <c r="L1018" i="2"/>
  <c r="K1018" i="2"/>
  <c r="H1018" i="2"/>
  <c r="G1018" i="2"/>
  <c r="F1018" i="2"/>
  <c r="E1018" i="2"/>
  <c r="D1018" i="2"/>
  <c r="C1018" i="2"/>
  <c r="B1018" i="2"/>
  <c r="A1018" i="2"/>
  <c r="N1017" i="2"/>
  <c r="L1017" i="2"/>
  <c r="K1017" i="2"/>
  <c r="H1017" i="2"/>
  <c r="G1017" i="2"/>
  <c r="F1017" i="2"/>
  <c r="D1017" i="2"/>
  <c r="E1017" i="2" s="1"/>
  <c r="C1017" i="2"/>
  <c r="B1017" i="2"/>
  <c r="A1017" i="2"/>
  <c r="N1016" i="2"/>
  <c r="L1016" i="2"/>
  <c r="K1016" i="2"/>
  <c r="H1016" i="2"/>
  <c r="O1016" i="2" s="1"/>
  <c r="G1016" i="2"/>
  <c r="F1016" i="2"/>
  <c r="D1016" i="2"/>
  <c r="E1016" i="2" s="1"/>
  <c r="C1016" i="2"/>
  <c r="B1016" i="2"/>
  <c r="A1016" i="2"/>
  <c r="L1015" i="2"/>
  <c r="N1015" i="2" s="1"/>
  <c r="K1015" i="2"/>
  <c r="H1015" i="2"/>
  <c r="G1015" i="2"/>
  <c r="F1015" i="2"/>
  <c r="E1015" i="2"/>
  <c r="D1015" i="2"/>
  <c r="C1015" i="2"/>
  <c r="B1015" i="2"/>
  <c r="O1015" i="2" s="1"/>
  <c r="A1015" i="2"/>
  <c r="L1014" i="2"/>
  <c r="K1014" i="2"/>
  <c r="I1014" i="2"/>
  <c r="J1014" i="2" s="1"/>
  <c r="H1014" i="2"/>
  <c r="G1014" i="2"/>
  <c r="N1014" i="2" s="1"/>
  <c r="F1014" i="2"/>
  <c r="D1014" i="2"/>
  <c r="E1014" i="2" s="1"/>
  <c r="C1014" i="2"/>
  <c r="B1014" i="2"/>
  <c r="A1014" i="2"/>
  <c r="N1013" i="2"/>
  <c r="L1013" i="2"/>
  <c r="K1013" i="2"/>
  <c r="I1013" i="2"/>
  <c r="J1013" i="2" s="1"/>
  <c r="H1013" i="2"/>
  <c r="G1013" i="2"/>
  <c r="F1013" i="2"/>
  <c r="E1013" i="2"/>
  <c r="D1013" i="2"/>
  <c r="C1013" i="2"/>
  <c r="B1013" i="2"/>
  <c r="A1013" i="2"/>
  <c r="L1012" i="2"/>
  <c r="K1012" i="2"/>
  <c r="I1012" i="2"/>
  <c r="J1012" i="2" s="1"/>
  <c r="H1012" i="2"/>
  <c r="G1012" i="2"/>
  <c r="N1012" i="2" s="1"/>
  <c r="F1012" i="2"/>
  <c r="E1012" i="2"/>
  <c r="D1012" i="2"/>
  <c r="C1012" i="2"/>
  <c r="B1012" i="2"/>
  <c r="A1012" i="2"/>
  <c r="L1011" i="2"/>
  <c r="K1011" i="2"/>
  <c r="I1011" i="2"/>
  <c r="J1011" i="2" s="1"/>
  <c r="H1011" i="2"/>
  <c r="G1011" i="2"/>
  <c r="F1011" i="2"/>
  <c r="E1011" i="2"/>
  <c r="D1011" i="2"/>
  <c r="C1011" i="2"/>
  <c r="B1011" i="2"/>
  <c r="A1011" i="2"/>
  <c r="N1010" i="2"/>
  <c r="L1010" i="2"/>
  <c r="K1010" i="2"/>
  <c r="H1010" i="2"/>
  <c r="I1010" i="2" s="1"/>
  <c r="J1010" i="2" s="1"/>
  <c r="G1010" i="2"/>
  <c r="F1010" i="2"/>
  <c r="D1010" i="2"/>
  <c r="C1010" i="2"/>
  <c r="B1010" i="2"/>
  <c r="A1010" i="2"/>
  <c r="O1009" i="2"/>
  <c r="L1009" i="2"/>
  <c r="K1009" i="2"/>
  <c r="I1009" i="2"/>
  <c r="J1009" i="2" s="1"/>
  <c r="H1009" i="2"/>
  <c r="G1009" i="2"/>
  <c r="F1009" i="2"/>
  <c r="D1009" i="2"/>
  <c r="E1009" i="2" s="1"/>
  <c r="C1009" i="2"/>
  <c r="B1009" i="2"/>
  <c r="A1009" i="2"/>
  <c r="N1008" i="2"/>
  <c r="L1008" i="2"/>
  <c r="K1008" i="2"/>
  <c r="H1008" i="2"/>
  <c r="I1008" i="2" s="1"/>
  <c r="J1008" i="2" s="1"/>
  <c r="G1008" i="2"/>
  <c r="F1008" i="2"/>
  <c r="D1008" i="2"/>
  <c r="E1008" i="2" s="1"/>
  <c r="C1008" i="2"/>
  <c r="B1008" i="2"/>
  <c r="A1008" i="2"/>
  <c r="L1007" i="2"/>
  <c r="K1007" i="2"/>
  <c r="I1007" i="2"/>
  <c r="J1007" i="2" s="1"/>
  <c r="H1007" i="2"/>
  <c r="G1007" i="2"/>
  <c r="N1007" i="2" s="1"/>
  <c r="F1007" i="2"/>
  <c r="E1007" i="2"/>
  <c r="D1007" i="2"/>
  <c r="C1007" i="2"/>
  <c r="B1007" i="2"/>
  <c r="A1007" i="2"/>
  <c r="L1006" i="2"/>
  <c r="K1006" i="2"/>
  <c r="H1006" i="2"/>
  <c r="I1006" i="2" s="1"/>
  <c r="J1006" i="2" s="1"/>
  <c r="G1006" i="2"/>
  <c r="N1006" i="2" s="1"/>
  <c r="F1006" i="2"/>
  <c r="D1006" i="2"/>
  <c r="E1006" i="2" s="1"/>
  <c r="C1006" i="2"/>
  <c r="B1006" i="2"/>
  <c r="A1006" i="2"/>
  <c r="O1006" i="2" s="1"/>
  <c r="O1005" i="2"/>
  <c r="N1005" i="2"/>
  <c r="L1005" i="2"/>
  <c r="K1005" i="2"/>
  <c r="H1005" i="2"/>
  <c r="G1005" i="2"/>
  <c r="I1005" i="2" s="1"/>
  <c r="J1005" i="2" s="1"/>
  <c r="F1005" i="2"/>
  <c r="E1005" i="2"/>
  <c r="D1005" i="2"/>
  <c r="C1005" i="2"/>
  <c r="B1005" i="2"/>
  <c r="A1005" i="2"/>
  <c r="N1004" i="2"/>
  <c r="L1004" i="2"/>
  <c r="K1004" i="2"/>
  <c r="J1004" i="2"/>
  <c r="H1004" i="2"/>
  <c r="G1004" i="2"/>
  <c r="I1004" i="2" s="1"/>
  <c r="F1004" i="2"/>
  <c r="E1004" i="2"/>
  <c r="D1004" i="2"/>
  <c r="C1004" i="2"/>
  <c r="B1004" i="2"/>
  <c r="O1004" i="2" s="1"/>
  <c r="A1004" i="2"/>
  <c r="N1003" i="2"/>
  <c r="L1003" i="2"/>
  <c r="K1003" i="2"/>
  <c r="I1003" i="2"/>
  <c r="J1003" i="2" s="1"/>
  <c r="H1003" i="2"/>
  <c r="G1003" i="2"/>
  <c r="F1003" i="2"/>
  <c r="E1003" i="2"/>
  <c r="D1003" i="2"/>
  <c r="C1003" i="2"/>
  <c r="B1003" i="2"/>
  <c r="A1003" i="2"/>
  <c r="N1002" i="2"/>
  <c r="L1002" i="2"/>
  <c r="K1002" i="2"/>
  <c r="J1002" i="2"/>
  <c r="H1002" i="2"/>
  <c r="I1002" i="2" s="1"/>
  <c r="G1002" i="2"/>
  <c r="F1002" i="2"/>
  <c r="D1002" i="2"/>
  <c r="E1002" i="2" s="1"/>
  <c r="C1002" i="2"/>
  <c r="B1002" i="2"/>
  <c r="A1002" i="2"/>
  <c r="L1001" i="2"/>
  <c r="K1001" i="2"/>
  <c r="H1001" i="2"/>
  <c r="G1001" i="2"/>
  <c r="F1001" i="2"/>
  <c r="D1001" i="2"/>
  <c r="E1001" i="2" s="1"/>
  <c r="C1001" i="2"/>
  <c r="B1001" i="2"/>
  <c r="A1001" i="2"/>
  <c r="L1000" i="2"/>
  <c r="N1000" i="2" s="1"/>
  <c r="K1000" i="2"/>
  <c r="I1000" i="2"/>
  <c r="J1000" i="2" s="1"/>
  <c r="H1000" i="2"/>
  <c r="G1000" i="2"/>
  <c r="F1000" i="2"/>
  <c r="D1000" i="2"/>
  <c r="E1000" i="2" s="1"/>
  <c r="C1000" i="2"/>
  <c r="B1000" i="2"/>
  <c r="A1000" i="2"/>
  <c r="O999" i="2"/>
  <c r="L999" i="2"/>
  <c r="K999" i="2"/>
  <c r="J999" i="2"/>
  <c r="I999" i="2"/>
  <c r="H999" i="2"/>
  <c r="G999" i="2"/>
  <c r="N999" i="2" s="1"/>
  <c r="F999" i="2"/>
  <c r="E999" i="2"/>
  <c r="D999" i="2"/>
  <c r="C999" i="2"/>
  <c r="B999" i="2"/>
  <c r="A999" i="2"/>
  <c r="L998" i="2"/>
  <c r="K998" i="2"/>
  <c r="H998" i="2"/>
  <c r="G998" i="2"/>
  <c r="F998" i="2"/>
  <c r="D998" i="2"/>
  <c r="E998" i="2" s="1"/>
  <c r="C998" i="2"/>
  <c r="B998" i="2"/>
  <c r="A998" i="2"/>
  <c r="N997" i="2"/>
  <c r="L997" i="2"/>
  <c r="K997" i="2"/>
  <c r="H997" i="2"/>
  <c r="G997" i="2"/>
  <c r="I997" i="2" s="1"/>
  <c r="J997" i="2" s="1"/>
  <c r="F997" i="2"/>
  <c r="E997" i="2"/>
  <c r="D997" i="2"/>
  <c r="C997" i="2"/>
  <c r="B997" i="2"/>
  <c r="A997" i="2"/>
  <c r="L996" i="2"/>
  <c r="K996" i="2"/>
  <c r="H996" i="2"/>
  <c r="G996" i="2"/>
  <c r="F996" i="2"/>
  <c r="E996" i="2"/>
  <c r="D996" i="2"/>
  <c r="C996" i="2"/>
  <c r="B996" i="2"/>
  <c r="A996" i="2"/>
  <c r="O995" i="2"/>
  <c r="N995" i="2"/>
  <c r="L995" i="2"/>
  <c r="K995" i="2"/>
  <c r="I995" i="2"/>
  <c r="J995" i="2" s="1"/>
  <c r="H995" i="2"/>
  <c r="G995" i="2"/>
  <c r="F995" i="2"/>
  <c r="E995" i="2"/>
  <c r="D995" i="2"/>
  <c r="C995" i="2"/>
  <c r="B995" i="2"/>
  <c r="A995" i="2"/>
  <c r="L994" i="2"/>
  <c r="N994" i="2" s="1"/>
  <c r="K994" i="2"/>
  <c r="J994" i="2"/>
  <c r="H994" i="2"/>
  <c r="I994" i="2" s="1"/>
  <c r="G994" i="2"/>
  <c r="F994" i="2"/>
  <c r="D994" i="2"/>
  <c r="E994" i="2" s="1"/>
  <c r="C994" i="2"/>
  <c r="B994" i="2"/>
  <c r="A994" i="2"/>
  <c r="L993" i="2"/>
  <c r="K993" i="2"/>
  <c r="H993" i="2"/>
  <c r="G993" i="2"/>
  <c r="F993" i="2"/>
  <c r="D993" i="2"/>
  <c r="E993" i="2" s="1"/>
  <c r="C993" i="2"/>
  <c r="B993" i="2"/>
  <c r="A993" i="2"/>
  <c r="L992" i="2"/>
  <c r="N992" i="2" s="1"/>
  <c r="K992" i="2"/>
  <c r="I992" i="2"/>
  <c r="J992" i="2" s="1"/>
  <c r="H992" i="2"/>
  <c r="G992" i="2"/>
  <c r="F992" i="2"/>
  <c r="D992" i="2"/>
  <c r="E992" i="2" s="1"/>
  <c r="C992" i="2"/>
  <c r="B992" i="2"/>
  <c r="A992" i="2"/>
  <c r="L991" i="2"/>
  <c r="K991" i="2"/>
  <c r="H991" i="2"/>
  <c r="I991" i="2" s="1"/>
  <c r="J991" i="2" s="1"/>
  <c r="G991" i="2"/>
  <c r="N991" i="2" s="1"/>
  <c r="F991" i="2"/>
  <c r="E991" i="2"/>
  <c r="D991" i="2"/>
  <c r="C991" i="2"/>
  <c r="B991" i="2"/>
  <c r="A991" i="2"/>
  <c r="L990" i="2"/>
  <c r="K990" i="2"/>
  <c r="I990" i="2"/>
  <c r="J990" i="2" s="1"/>
  <c r="H990" i="2"/>
  <c r="G990" i="2"/>
  <c r="N990" i="2" s="1"/>
  <c r="F990" i="2"/>
  <c r="D990" i="2"/>
  <c r="E990" i="2" s="1"/>
  <c r="C990" i="2"/>
  <c r="B990" i="2"/>
  <c r="A990" i="2"/>
  <c r="N989" i="2"/>
  <c r="L989" i="2"/>
  <c r="K989" i="2"/>
  <c r="I989" i="2"/>
  <c r="J989" i="2" s="1"/>
  <c r="H989" i="2"/>
  <c r="G989" i="2"/>
  <c r="F989" i="2"/>
  <c r="O989" i="2" s="1"/>
  <c r="E989" i="2"/>
  <c r="D989" i="2"/>
  <c r="C989" i="2"/>
  <c r="B989" i="2"/>
  <c r="A989" i="2"/>
  <c r="L988" i="2"/>
  <c r="K988" i="2"/>
  <c r="H988" i="2"/>
  <c r="G988" i="2"/>
  <c r="F988" i="2"/>
  <c r="D988" i="2"/>
  <c r="C988" i="2"/>
  <c r="B988" i="2"/>
  <c r="A988" i="2"/>
  <c r="N987" i="2"/>
  <c r="L987" i="2"/>
  <c r="K987" i="2"/>
  <c r="I987" i="2"/>
  <c r="J987" i="2" s="1"/>
  <c r="H987" i="2"/>
  <c r="G987" i="2"/>
  <c r="F987" i="2"/>
  <c r="E987" i="2"/>
  <c r="D987" i="2"/>
  <c r="C987" i="2"/>
  <c r="B987" i="2"/>
  <c r="A987" i="2"/>
  <c r="O987" i="2" s="1"/>
  <c r="N986" i="2"/>
  <c r="L986" i="2"/>
  <c r="K986" i="2"/>
  <c r="J986" i="2"/>
  <c r="H986" i="2"/>
  <c r="I986" i="2" s="1"/>
  <c r="G986" i="2"/>
  <c r="F986" i="2"/>
  <c r="D986" i="2"/>
  <c r="E986" i="2" s="1"/>
  <c r="C986" i="2"/>
  <c r="B986" i="2"/>
  <c r="A986" i="2"/>
  <c r="L985" i="2"/>
  <c r="K985" i="2"/>
  <c r="H985" i="2"/>
  <c r="G985" i="2"/>
  <c r="F985" i="2"/>
  <c r="E985" i="2"/>
  <c r="D985" i="2"/>
  <c r="C985" i="2"/>
  <c r="B985" i="2"/>
  <c r="A985" i="2"/>
  <c r="L984" i="2"/>
  <c r="N984" i="2" s="1"/>
  <c r="K984" i="2"/>
  <c r="H984" i="2"/>
  <c r="I984" i="2" s="1"/>
  <c r="J984" i="2" s="1"/>
  <c r="G984" i="2"/>
  <c r="F984" i="2"/>
  <c r="D984" i="2"/>
  <c r="E984" i="2" s="1"/>
  <c r="C984" i="2"/>
  <c r="B984" i="2"/>
  <c r="A984" i="2"/>
  <c r="L983" i="2"/>
  <c r="K983" i="2"/>
  <c r="H983" i="2"/>
  <c r="I983" i="2" s="1"/>
  <c r="J983" i="2" s="1"/>
  <c r="G983" i="2"/>
  <c r="N983" i="2" s="1"/>
  <c r="F983" i="2"/>
  <c r="E983" i="2"/>
  <c r="D983" i="2"/>
  <c r="C983" i="2"/>
  <c r="B983" i="2"/>
  <c r="A983" i="2"/>
  <c r="L982" i="2"/>
  <c r="K982" i="2"/>
  <c r="H982" i="2"/>
  <c r="O982" i="2" s="1"/>
  <c r="G982" i="2"/>
  <c r="F982" i="2"/>
  <c r="D982" i="2"/>
  <c r="E982" i="2" s="1"/>
  <c r="C982" i="2"/>
  <c r="B982" i="2"/>
  <c r="A982" i="2"/>
  <c r="N981" i="2"/>
  <c r="L981" i="2"/>
  <c r="K981" i="2"/>
  <c r="I981" i="2"/>
  <c r="J981" i="2" s="1"/>
  <c r="H981" i="2"/>
  <c r="G981" i="2"/>
  <c r="F981" i="2"/>
  <c r="E981" i="2"/>
  <c r="D981" i="2"/>
  <c r="C981" i="2"/>
  <c r="B981" i="2"/>
  <c r="A981" i="2"/>
  <c r="L980" i="2"/>
  <c r="K980" i="2"/>
  <c r="H980" i="2"/>
  <c r="G980" i="2"/>
  <c r="F980" i="2"/>
  <c r="E980" i="2"/>
  <c r="D980" i="2"/>
  <c r="C980" i="2"/>
  <c r="B980" i="2"/>
  <c r="A980" i="2"/>
  <c r="N979" i="2"/>
  <c r="L979" i="2"/>
  <c r="K979" i="2"/>
  <c r="I979" i="2"/>
  <c r="J979" i="2" s="1"/>
  <c r="H979" i="2"/>
  <c r="G979" i="2"/>
  <c r="F979" i="2"/>
  <c r="D979" i="2"/>
  <c r="E979" i="2" s="1"/>
  <c r="C979" i="2"/>
  <c r="B979" i="2"/>
  <c r="A979" i="2"/>
  <c r="O979" i="2" s="1"/>
  <c r="L978" i="2"/>
  <c r="N978" i="2" s="1"/>
  <c r="K978" i="2"/>
  <c r="J978" i="2"/>
  <c r="H978" i="2"/>
  <c r="I978" i="2" s="1"/>
  <c r="G978" i="2"/>
  <c r="F978" i="2"/>
  <c r="D978" i="2"/>
  <c r="E978" i="2" s="1"/>
  <c r="C978" i="2"/>
  <c r="B978" i="2"/>
  <c r="A978" i="2"/>
  <c r="L977" i="2"/>
  <c r="K977" i="2"/>
  <c r="H977" i="2"/>
  <c r="G977" i="2"/>
  <c r="F977" i="2"/>
  <c r="D977" i="2"/>
  <c r="E977" i="2" s="1"/>
  <c r="C977" i="2"/>
  <c r="B977" i="2"/>
  <c r="A977" i="2"/>
  <c r="L976" i="2"/>
  <c r="N976" i="2" s="1"/>
  <c r="K976" i="2"/>
  <c r="I976" i="2"/>
  <c r="J976" i="2" s="1"/>
  <c r="H976" i="2"/>
  <c r="G976" i="2"/>
  <c r="F976" i="2"/>
  <c r="D976" i="2"/>
  <c r="E976" i="2" s="1"/>
  <c r="C976" i="2"/>
  <c r="B976" i="2"/>
  <c r="A976" i="2"/>
  <c r="O975" i="2"/>
  <c r="L975" i="2"/>
  <c r="K975" i="2"/>
  <c r="I975" i="2"/>
  <c r="J975" i="2" s="1"/>
  <c r="H975" i="2"/>
  <c r="G975" i="2"/>
  <c r="N975" i="2" s="1"/>
  <c r="F975" i="2"/>
  <c r="E975" i="2"/>
  <c r="D975" i="2"/>
  <c r="C975" i="2"/>
  <c r="B975" i="2"/>
  <c r="A975" i="2"/>
  <c r="L974" i="2"/>
  <c r="K974" i="2"/>
  <c r="H974" i="2"/>
  <c r="G974" i="2"/>
  <c r="F974" i="2"/>
  <c r="D974" i="2"/>
  <c r="E974" i="2" s="1"/>
  <c r="C974" i="2"/>
  <c r="B974" i="2"/>
  <c r="A974" i="2"/>
  <c r="N973" i="2"/>
  <c r="L973" i="2"/>
  <c r="K973" i="2"/>
  <c r="H973" i="2"/>
  <c r="I973" i="2" s="1"/>
  <c r="J973" i="2" s="1"/>
  <c r="G973" i="2"/>
  <c r="F973" i="2"/>
  <c r="E973" i="2"/>
  <c r="D973" i="2"/>
  <c r="C973" i="2"/>
  <c r="B973" i="2"/>
  <c r="A973" i="2"/>
  <c r="L972" i="2"/>
  <c r="K972" i="2"/>
  <c r="H972" i="2"/>
  <c r="G972" i="2"/>
  <c r="O972" i="2" s="1"/>
  <c r="F972" i="2"/>
  <c r="E972" i="2"/>
  <c r="D972" i="2"/>
  <c r="C972" i="2"/>
  <c r="B972" i="2"/>
  <c r="A972" i="2"/>
  <c r="N971" i="2"/>
  <c r="L971" i="2"/>
  <c r="K971" i="2"/>
  <c r="H971" i="2"/>
  <c r="G971" i="2"/>
  <c r="I971" i="2" s="1"/>
  <c r="J971" i="2" s="1"/>
  <c r="F971" i="2"/>
  <c r="D971" i="2"/>
  <c r="E971" i="2" s="1"/>
  <c r="C971" i="2"/>
  <c r="B971" i="2"/>
  <c r="A971" i="2"/>
  <c r="N970" i="2"/>
  <c r="L970" i="2"/>
  <c r="K970" i="2"/>
  <c r="H970" i="2"/>
  <c r="I970" i="2" s="1"/>
  <c r="J970" i="2" s="1"/>
  <c r="G970" i="2"/>
  <c r="F970" i="2"/>
  <c r="E970" i="2"/>
  <c r="D970" i="2"/>
  <c r="C970" i="2"/>
  <c r="B970" i="2"/>
  <c r="A970" i="2"/>
  <c r="O969" i="2"/>
  <c r="L969" i="2"/>
  <c r="K969" i="2"/>
  <c r="H969" i="2"/>
  <c r="G969" i="2"/>
  <c r="F969" i="2"/>
  <c r="E969" i="2"/>
  <c r="D969" i="2"/>
  <c r="C969" i="2"/>
  <c r="B969" i="2"/>
  <c r="A969" i="2"/>
  <c r="L968" i="2"/>
  <c r="N968" i="2" s="1"/>
  <c r="K968" i="2"/>
  <c r="J968" i="2"/>
  <c r="I968" i="2"/>
  <c r="H968" i="2"/>
  <c r="G968" i="2"/>
  <c r="F968" i="2"/>
  <c r="D968" i="2"/>
  <c r="E968" i="2" s="1"/>
  <c r="C968" i="2"/>
  <c r="B968" i="2"/>
  <c r="A968" i="2"/>
  <c r="L967" i="2"/>
  <c r="K967" i="2"/>
  <c r="I967" i="2"/>
  <c r="J967" i="2" s="1"/>
  <c r="H967" i="2"/>
  <c r="G967" i="2"/>
  <c r="N967" i="2" s="1"/>
  <c r="F967" i="2"/>
  <c r="E967" i="2"/>
  <c r="D967" i="2"/>
  <c r="C967" i="2"/>
  <c r="B967" i="2"/>
  <c r="A967" i="2"/>
  <c r="N966" i="2"/>
  <c r="L966" i="2"/>
  <c r="K966" i="2"/>
  <c r="H966" i="2"/>
  <c r="G966" i="2"/>
  <c r="F966" i="2"/>
  <c r="O966" i="2" s="1"/>
  <c r="D966" i="2"/>
  <c r="E966" i="2" s="1"/>
  <c r="C966" i="2"/>
  <c r="B966" i="2"/>
  <c r="A966" i="2"/>
  <c r="N965" i="2"/>
  <c r="L965" i="2"/>
  <c r="K965" i="2"/>
  <c r="H965" i="2"/>
  <c r="I965" i="2" s="1"/>
  <c r="J965" i="2" s="1"/>
  <c r="G965" i="2"/>
  <c r="F965" i="2"/>
  <c r="E965" i="2"/>
  <c r="D965" i="2"/>
  <c r="C965" i="2"/>
  <c r="B965" i="2"/>
  <c r="A965" i="2"/>
  <c r="L964" i="2"/>
  <c r="K964" i="2"/>
  <c r="H964" i="2"/>
  <c r="G964" i="2"/>
  <c r="F964" i="2"/>
  <c r="E964" i="2"/>
  <c r="D964" i="2"/>
  <c r="C964" i="2"/>
  <c r="B964" i="2"/>
  <c r="A964" i="2"/>
  <c r="O963" i="2"/>
  <c r="L963" i="2"/>
  <c r="K963" i="2"/>
  <c r="H963" i="2"/>
  <c r="G963" i="2"/>
  <c r="F963" i="2"/>
  <c r="E963" i="2"/>
  <c r="D963" i="2"/>
  <c r="C963" i="2"/>
  <c r="B963" i="2"/>
  <c r="A963" i="2"/>
  <c r="L962" i="2"/>
  <c r="N962" i="2" s="1"/>
  <c r="K962" i="2"/>
  <c r="H962" i="2"/>
  <c r="I962" i="2" s="1"/>
  <c r="J962" i="2" s="1"/>
  <c r="G962" i="2"/>
  <c r="F962" i="2"/>
  <c r="E962" i="2"/>
  <c r="D962" i="2"/>
  <c r="C962" i="2"/>
  <c r="B962" i="2"/>
  <c r="A962" i="2"/>
  <c r="L961" i="2"/>
  <c r="K961" i="2"/>
  <c r="H961" i="2"/>
  <c r="G961" i="2"/>
  <c r="F961" i="2"/>
  <c r="D961" i="2"/>
  <c r="E961" i="2" s="1"/>
  <c r="C961" i="2"/>
  <c r="B961" i="2"/>
  <c r="A961" i="2"/>
  <c r="L960" i="2"/>
  <c r="N960" i="2" s="1"/>
  <c r="K960" i="2"/>
  <c r="H960" i="2"/>
  <c r="I960" i="2" s="1"/>
  <c r="J960" i="2" s="1"/>
  <c r="G960" i="2"/>
  <c r="F960" i="2"/>
  <c r="D960" i="2"/>
  <c r="E960" i="2" s="1"/>
  <c r="C960" i="2"/>
  <c r="B960" i="2"/>
  <c r="A960" i="2"/>
  <c r="L959" i="2"/>
  <c r="K959" i="2"/>
  <c r="I959" i="2"/>
  <c r="J959" i="2" s="1"/>
  <c r="H959" i="2"/>
  <c r="G959" i="2"/>
  <c r="N959" i="2" s="1"/>
  <c r="F959" i="2"/>
  <c r="E959" i="2"/>
  <c r="D959" i="2"/>
  <c r="C959" i="2"/>
  <c r="B959" i="2"/>
  <c r="A959" i="2"/>
  <c r="O959" i="2" s="1"/>
  <c r="O958" i="2"/>
  <c r="L958" i="2"/>
  <c r="K958" i="2"/>
  <c r="H958" i="2"/>
  <c r="G958" i="2"/>
  <c r="F958" i="2"/>
  <c r="D958" i="2"/>
  <c r="E958" i="2" s="1"/>
  <c r="C958" i="2"/>
  <c r="B958" i="2"/>
  <c r="A958" i="2"/>
  <c r="L957" i="2"/>
  <c r="K957" i="2"/>
  <c r="H957" i="2"/>
  <c r="G957" i="2"/>
  <c r="N957" i="2" s="1"/>
  <c r="F957" i="2"/>
  <c r="E957" i="2"/>
  <c r="D957" i="2"/>
  <c r="C957" i="2"/>
  <c r="B957" i="2"/>
  <c r="A957" i="2"/>
  <c r="O956" i="2"/>
  <c r="N956" i="2"/>
  <c r="L956" i="2"/>
  <c r="K956" i="2"/>
  <c r="J956" i="2"/>
  <c r="H956" i="2"/>
  <c r="G956" i="2"/>
  <c r="I956" i="2" s="1"/>
  <c r="F956" i="2"/>
  <c r="E956" i="2"/>
  <c r="D956" i="2"/>
  <c r="C956" i="2"/>
  <c r="B956" i="2"/>
  <c r="A956" i="2"/>
  <c r="L955" i="2"/>
  <c r="K955" i="2"/>
  <c r="H955" i="2"/>
  <c r="G955" i="2"/>
  <c r="F955" i="2"/>
  <c r="E955" i="2"/>
  <c r="D955" i="2"/>
  <c r="C955" i="2"/>
  <c r="B955" i="2"/>
  <c r="A955" i="2"/>
  <c r="N954" i="2"/>
  <c r="L954" i="2"/>
  <c r="K954" i="2"/>
  <c r="H954" i="2"/>
  <c r="I954" i="2" s="1"/>
  <c r="J954" i="2" s="1"/>
  <c r="G954" i="2"/>
  <c r="F954" i="2"/>
  <c r="D954" i="2"/>
  <c r="E954" i="2" s="1"/>
  <c r="C954" i="2"/>
  <c r="B954" i="2"/>
  <c r="A954" i="2"/>
  <c r="O954" i="2" s="1"/>
  <c r="L953" i="2"/>
  <c r="K953" i="2"/>
  <c r="H953" i="2"/>
  <c r="G953" i="2"/>
  <c r="F953" i="2"/>
  <c r="D953" i="2"/>
  <c r="E953" i="2" s="1"/>
  <c r="C953" i="2"/>
  <c r="B953" i="2"/>
  <c r="A953" i="2"/>
  <c r="N952" i="2"/>
  <c r="L952" i="2"/>
  <c r="K952" i="2"/>
  <c r="I952" i="2"/>
  <c r="J952" i="2" s="1"/>
  <c r="H952" i="2"/>
  <c r="G952" i="2"/>
  <c r="F952" i="2"/>
  <c r="D952" i="2"/>
  <c r="E952" i="2" s="1"/>
  <c r="C952" i="2"/>
  <c r="B952" i="2"/>
  <c r="A952" i="2"/>
  <c r="L951" i="2"/>
  <c r="K951" i="2"/>
  <c r="H951" i="2"/>
  <c r="G951" i="2"/>
  <c r="F951" i="2"/>
  <c r="E951" i="2"/>
  <c r="D951" i="2"/>
  <c r="C951" i="2"/>
  <c r="B951" i="2"/>
  <c r="A951" i="2"/>
  <c r="N950" i="2"/>
  <c r="L950" i="2"/>
  <c r="K950" i="2"/>
  <c r="H950" i="2"/>
  <c r="G950" i="2"/>
  <c r="F950" i="2"/>
  <c r="D950" i="2"/>
  <c r="E950" i="2" s="1"/>
  <c r="C950" i="2"/>
  <c r="B950" i="2"/>
  <c r="A950" i="2"/>
  <c r="L949" i="2"/>
  <c r="K949" i="2"/>
  <c r="I949" i="2"/>
  <c r="J949" i="2" s="1"/>
  <c r="H949" i="2"/>
  <c r="G949" i="2"/>
  <c r="N949" i="2" s="1"/>
  <c r="F949" i="2"/>
  <c r="E949" i="2"/>
  <c r="D949" i="2"/>
  <c r="C949" i="2"/>
  <c r="B949" i="2"/>
  <c r="A949" i="2"/>
  <c r="L948" i="2"/>
  <c r="K948" i="2"/>
  <c r="H948" i="2"/>
  <c r="G948" i="2"/>
  <c r="F948" i="2"/>
  <c r="E948" i="2"/>
  <c r="D948" i="2"/>
  <c r="C948" i="2"/>
  <c r="B948" i="2"/>
  <c r="A948" i="2"/>
  <c r="O947" i="2"/>
  <c r="N947" i="2"/>
  <c r="L947" i="2"/>
  <c r="K947" i="2"/>
  <c r="H947" i="2"/>
  <c r="G947" i="2"/>
  <c r="I947" i="2" s="1"/>
  <c r="J947" i="2" s="1"/>
  <c r="F947" i="2"/>
  <c r="E947" i="2"/>
  <c r="D947" i="2"/>
  <c r="C947" i="2"/>
  <c r="B947" i="2"/>
  <c r="A947" i="2"/>
  <c r="L946" i="2"/>
  <c r="N946" i="2" s="1"/>
  <c r="K946" i="2"/>
  <c r="J946" i="2"/>
  <c r="H946" i="2"/>
  <c r="I946" i="2" s="1"/>
  <c r="G946" i="2"/>
  <c r="F946" i="2"/>
  <c r="D946" i="2"/>
  <c r="E946" i="2" s="1"/>
  <c r="C946" i="2"/>
  <c r="B946" i="2"/>
  <c r="A946" i="2"/>
  <c r="L945" i="2"/>
  <c r="K945" i="2"/>
  <c r="I945" i="2"/>
  <c r="J945" i="2" s="1"/>
  <c r="H945" i="2"/>
  <c r="G945" i="2"/>
  <c r="F945" i="2"/>
  <c r="D945" i="2"/>
  <c r="E945" i="2" s="1"/>
  <c r="C945" i="2"/>
  <c r="O945" i="2" s="1"/>
  <c r="B945" i="2"/>
  <c r="A945" i="2"/>
  <c r="N944" i="2"/>
  <c r="L944" i="2"/>
  <c r="K944" i="2"/>
  <c r="H944" i="2"/>
  <c r="I944" i="2" s="1"/>
  <c r="J944" i="2" s="1"/>
  <c r="G944" i="2"/>
  <c r="F944" i="2"/>
  <c r="D944" i="2"/>
  <c r="E944" i="2" s="1"/>
  <c r="C944" i="2"/>
  <c r="B944" i="2"/>
  <c r="A944" i="2"/>
  <c r="L943" i="2"/>
  <c r="K943" i="2"/>
  <c r="H943" i="2"/>
  <c r="I943" i="2" s="1"/>
  <c r="J943" i="2" s="1"/>
  <c r="G943" i="2"/>
  <c r="N943" i="2" s="1"/>
  <c r="F943" i="2"/>
  <c r="E943" i="2"/>
  <c r="D943" i="2"/>
  <c r="C943" i="2"/>
  <c r="B943" i="2"/>
  <c r="A943" i="2"/>
  <c r="O942" i="2"/>
  <c r="L942" i="2"/>
  <c r="K942" i="2"/>
  <c r="I942" i="2"/>
  <c r="J942" i="2" s="1"/>
  <c r="H942" i="2"/>
  <c r="G942" i="2"/>
  <c r="F942" i="2"/>
  <c r="D942" i="2"/>
  <c r="E942" i="2" s="1"/>
  <c r="C942" i="2"/>
  <c r="B942" i="2"/>
  <c r="A942" i="2"/>
  <c r="L941" i="2"/>
  <c r="K941" i="2"/>
  <c r="I941" i="2"/>
  <c r="J941" i="2" s="1"/>
  <c r="H941" i="2"/>
  <c r="G941" i="2"/>
  <c r="N941" i="2" s="1"/>
  <c r="F941" i="2"/>
  <c r="E941" i="2"/>
  <c r="D941" i="2"/>
  <c r="C941" i="2"/>
  <c r="B941" i="2"/>
  <c r="A941" i="2"/>
  <c r="L940" i="2"/>
  <c r="K940" i="2"/>
  <c r="H940" i="2"/>
  <c r="G940" i="2"/>
  <c r="F940" i="2"/>
  <c r="O940" i="2" s="1"/>
  <c r="D940" i="2"/>
  <c r="C940" i="2"/>
  <c r="B940" i="2"/>
  <c r="A940" i="2"/>
  <c r="L939" i="2"/>
  <c r="N939" i="2" s="1"/>
  <c r="K939" i="2"/>
  <c r="I939" i="2"/>
  <c r="J939" i="2" s="1"/>
  <c r="H939" i="2"/>
  <c r="G939" i="2"/>
  <c r="F939" i="2"/>
  <c r="D939" i="2"/>
  <c r="E939" i="2" s="1"/>
  <c r="C939" i="2"/>
  <c r="B939" i="2"/>
  <c r="A939" i="2"/>
  <c r="N938" i="2"/>
  <c r="L938" i="2"/>
  <c r="K938" i="2"/>
  <c r="H938" i="2"/>
  <c r="I938" i="2" s="1"/>
  <c r="J938" i="2" s="1"/>
  <c r="G938" i="2"/>
  <c r="F938" i="2"/>
  <c r="E938" i="2"/>
  <c r="D938" i="2"/>
  <c r="C938" i="2"/>
  <c r="B938" i="2"/>
  <c r="A938" i="2"/>
  <c r="L937" i="2"/>
  <c r="K937" i="2"/>
  <c r="H937" i="2"/>
  <c r="G937" i="2"/>
  <c r="F937" i="2"/>
  <c r="D937" i="2"/>
  <c r="C937" i="2"/>
  <c r="O937" i="2" s="1"/>
  <c r="B937" i="2"/>
  <c r="A937" i="2"/>
  <c r="L936" i="2"/>
  <c r="N936" i="2" s="1"/>
  <c r="K936" i="2"/>
  <c r="J936" i="2"/>
  <c r="H936" i="2"/>
  <c r="I936" i="2" s="1"/>
  <c r="G936" i="2"/>
  <c r="F936" i="2"/>
  <c r="D936" i="2"/>
  <c r="E936" i="2" s="1"/>
  <c r="C936" i="2"/>
  <c r="B936" i="2"/>
  <c r="A936" i="2"/>
  <c r="L935" i="2"/>
  <c r="K935" i="2"/>
  <c r="H935" i="2"/>
  <c r="G935" i="2"/>
  <c r="F935" i="2"/>
  <c r="E935" i="2"/>
  <c r="D935" i="2"/>
  <c r="C935" i="2"/>
  <c r="B935" i="2"/>
  <c r="A935" i="2"/>
  <c r="L934" i="2"/>
  <c r="K934" i="2"/>
  <c r="H934" i="2"/>
  <c r="G934" i="2"/>
  <c r="O934" i="2" s="1"/>
  <c r="F934" i="2"/>
  <c r="D934" i="2"/>
  <c r="E934" i="2" s="1"/>
  <c r="C934" i="2"/>
  <c r="B934" i="2"/>
  <c r="A934" i="2"/>
  <c r="L933" i="2"/>
  <c r="K933" i="2"/>
  <c r="I933" i="2"/>
  <c r="J933" i="2" s="1"/>
  <c r="H933" i="2"/>
  <c r="G933" i="2"/>
  <c r="N933" i="2" s="1"/>
  <c r="F933" i="2"/>
  <c r="E933" i="2"/>
  <c r="D933" i="2"/>
  <c r="C933" i="2"/>
  <c r="B933" i="2"/>
  <c r="A933" i="2"/>
  <c r="L932" i="2"/>
  <c r="K932" i="2"/>
  <c r="H932" i="2"/>
  <c r="G932" i="2"/>
  <c r="F932" i="2"/>
  <c r="E932" i="2"/>
  <c r="D932" i="2"/>
  <c r="C932" i="2"/>
  <c r="B932" i="2"/>
  <c r="A932" i="2"/>
  <c r="L931" i="2"/>
  <c r="N931" i="2" s="1"/>
  <c r="K931" i="2"/>
  <c r="I931" i="2"/>
  <c r="J931" i="2" s="1"/>
  <c r="H931" i="2"/>
  <c r="G931" i="2"/>
  <c r="F931" i="2"/>
  <c r="O931" i="2" s="1"/>
  <c r="E931" i="2"/>
  <c r="D931" i="2"/>
  <c r="C931" i="2"/>
  <c r="B931" i="2"/>
  <c r="A931" i="2"/>
  <c r="L930" i="2"/>
  <c r="N930" i="2" s="1"/>
  <c r="K930" i="2"/>
  <c r="H930" i="2"/>
  <c r="I930" i="2" s="1"/>
  <c r="J930" i="2" s="1"/>
  <c r="G930" i="2"/>
  <c r="F930" i="2"/>
  <c r="E930" i="2"/>
  <c r="D930" i="2"/>
  <c r="C930" i="2"/>
  <c r="B930" i="2"/>
  <c r="A930" i="2"/>
  <c r="L929" i="2"/>
  <c r="K929" i="2"/>
  <c r="H929" i="2"/>
  <c r="G929" i="2"/>
  <c r="F929" i="2"/>
  <c r="D929" i="2"/>
  <c r="E929" i="2" s="1"/>
  <c r="C929" i="2"/>
  <c r="B929" i="2"/>
  <c r="O929" i="2" s="1"/>
  <c r="A929" i="2"/>
  <c r="L928" i="2"/>
  <c r="N928" i="2" s="1"/>
  <c r="K928" i="2"/>
  <c r="H928" i="2"/>
  <c r="I928" i="2" s="1"/>
  <c r="J928" i="2" s="1"/>
  <c r="G928" i="2"/>
  <c r="F928" i="2"/>
  <c r="D928" i="2"/>
  <c r="E928" i="2" s="1"/>
  <c r="C928" i="2"/>
  <c r="B928" i="2"/>
  <c r="A928" i="2"/>
  <c r="L927" i="2"/>
  <c r="K927" i="2"/>
  <c r="H927" i="2"/>
  <c r="I927" i="2" s="1"/>
  <c r="J927" i="2" s="1"/>
  <c r="G927" i="2"/>
  <c r="N927" i="2" s="1"/>
  <c r="F927" i="2"/>
  <c r="E927" i="2"/>
  <c r="D927" i="2"/>
  <c r="C927" i="2"/>
  <c r="B927" i="2"/>
  <c r="A927" i="2"/>
  <c r="L926" i="2"/>
  <c r="K926" i="2"/>
  <c r="H926" i="2"/>
  <c r="I926" i="2" s="1"/>
  <c r="J926" i="2" s="1"/>
  <c r="G926" i="2"/>
  <c r="F926" i="2"/>
  <c r="D926" i="2"/>
  <c r="E926" i="2" s="1"/>
  <c r="C926" i="2"/>
  <c r="B926" i="2"/>
  <c r="O926" i="2" s="1"/>
  <c r="A926" i="2"/>
  <c r="N925" i="2"/>
  <c r="L925" i="2"/>
  <c r="K925" i="2"/>
  <c r="H925" i="2"/>
  <c r="G925" i="2"/>
  <c r="I925" i="2" s="1"/>
  <c r="J925" i="2" s="1"/>
  <c r="F925" i="2"/>
  <c r="E925" i="2"/>
  <c r="D925" i="2"/>
  <c r="C925" i="2"/>
  <c r="B925" i="2"/>
  <c r="A925" i="2"/>
  <c r="L924" i="2"/>
  <c r="K924" i="2"/>
  <c r="H924" i="2"/>
  <c r="G924" i="2"/>
  <c r="F924" i="2"/>
  <c r="D924" i="2"/>
  <c r="C924" i="2"/>
  <c r="B924" i="2"/>
  <c r="A924" i="2"/>
  <c r="L923" i="2"/>
  <c r="N923" i="2" s="1"/>
  <c r="K923" i="2"/>
  <c r="I923" i="2"/>
  <c r="J923" i="2" s="1"/>
  <c r="H923" i="2"/>
  <c r="G923" i="2"/>
  <c r="F923" i="2"/>
  <c r="E923" i="2"/>
  <c r="D923" i="2"/>
  <c r="C923" i="2"/>
  <c r="B923" i="2"/>
  <c r="A923" i="2"/>
  <c r="N922" i="2"/>
  <c r="L922" i="2"/>
  <c r="K922" i="2"/>
  <c r="J922" i="2"/>
  <c r="H922" i="2"/>
  <c r="I922" i="2" s="1"/>
  <c r="G922" i="2"/>
  <c r="F922" i="2"/>
  <c r="E922" i="2"/>
  <c r="D922" i="2"/>
  <c r="C922" i="2"/>
  <c r="B922" i="2"/>
  <c r="A922" i="2"/>
  <c r="L921" i="2"/>
  <c r="K921" i="2"/>
  <c r="H921" i="2"/>
  <c r="G921" i="2"/>
  <c r="F921" i="2"/>
  <c r="E921" i="2"/>
  <c r="D921" i="2"/>
  <c r="C921" i="2"/>
  <c r="O921" i="2" s="1"/>
  <c r="B921" i="2"/>
  <c r="A921" i="2"/>
  <c r="L920" i="2"/>
  <c r="N920" i="2" s="1"/>
  <c r="K920" i="2"/>
  <c r="J920" i="2"/>
  <c r="I920" i="2"/>
  <c r="H920" i="2"/>
  <c r="G920" i="2"/>
  <c r="F920" i="2"/>
  <c r="D920" i="2"/>
  <c r="E920" i="2" s="1"/>
  <c r="C920" i="2"/>
  <c r="B920" i="2"/>
  <c r="A920" i="2"/>
  <c r="L919" i="2"/>
  <c r="K919" i="2"/>
  <c r="I919" i="2"/>
  <c r="J919" i="2" s="1"/>
  <c r="H919" i="2"/>
  <c r="G919" i="2"/>
  <c r="N919" i="2" s="1"/>
  <c r="F919" i="2"/>
  <c r="E919" i="2"/>
  <c r="D919" i="2"/>
  <c r="C919" i="2"/>
  <c r="B919" i="2"/>
  <c r="A919" i="2"/>
  <c r="L918" i="2"/>
  <c r="N918" i="2" s="1"/>
  <c r="K918" i="2"/>
  <c r="H918" i="2"/>
  <c r="G918" i="2"/>
  <c r="F918" i="2"/>
  <c r="D918" i="2"/>
  <c r="E918" i="2" s="1"/>
  <c r="C918" i="2"/>
  <c r="B918" i="2"/>
  <c r="A918" i="2"/>
  <c r="N917" i="2"/>
  <c r="L917" i="2"/>
  <c r="K917" i="2"/>
  <c r="I917" i="2"/>
  <c r="J917" i="2" s="1"/>
  <c r="H917" i="2"/>
  <c r="G917" i="2"/>
  <c r="F917" i="2"/>
  <c r="E917" i="2"/>
  <c r="D917" i="2"/>
  <c r="C917" i="2"/>
  <c r="B917" i="2"/>
  <c r="A917" i="2"/>
  <c r="L916" i="2"/>
  <c r="K916" i="2"/>
  <c r="H916" i="2"/>
  <c r="G916" i="2"/>
  <c r="F916" i="2"/>
  <c r="E916" i="2"/>
  <c r="D916" i="2"/>
  <c r="C916" i="2"/>
  <c r="B916" i="2"/>
  <c r="A916" i="2"/>
  <c r="N915" i="2"/>
  <c r="L915" i="2"/>
  <c r="K915" i="2"/>
  <c r="I915" i="2"/>
  <c r="J915" i="2" s="1"/>
  <c r="H915" i="2"/>
  <c r="G915" i="2"/>
  <c r="F915" i="2"/>
  <c r="E915" i="2"/>
  <c r="D915" i="2"/>
  <c r="C915" i="2"/>
  <c r="B915" i="2"/>
  <c r="A915" i="2"/>
  <c r="N914" i="2"/>
  <c r="L914" i="2"/>
  <c r="K914" i="2"/>
  <c r="J914" i="2"/>
  <c r="H914" i="2"/>
  <c r="I914" i="2" s="1"/>
  <c r="G914" i="2"/>
  <c r="F914" i="2"/>
  <c r="E914" i="2"/>
  <c r="D914" i="2"/>
  <c r="C914" i="2"/>
  <c r="B914" i="2"/>
  <c r="A914" i="2"/>
  <c r="O914" i="2" s="1"/>
  <c r="L913" i="2"/>
  <c r="K913" i="2"/>
  <c r="H913" i="2"/>
  <c r="G913" i="2"/>
  <c r="F913" i="2"/>
  <c r="D913" i="2"/>
  <c r="E913" i="2" s="1"/>
  <c r="C913" i="2"/>
  <c r="B913" i="2"/>
  <c r="A913" i="2"/>
  <c r="N912" i="2"/>
  <c r="L912" i="2"/>
  <c r="K912" i="2"/>
  <c r="H912" i="2"/>
  <c r="I912" i="2" s="1"/>
  <c r="J912" i="2" s="1"/>
  <c r="G912" i="2"/>
  <c r="F912" i="2"/>
  <c r="D912" i="2"/>
  <c r="E912" i="2" s="1"/>
  <c r="C912" i="2"/>
  <c r="B912" i="2"/>
  <c r="A912" i="2"/>
  <c r="L911" i="2"/>
  <c r="K911" i="2"/>
  <c r="J911" i="2"/>
  <c r="I911" i="2"/>
  <c r="H911" i="2"/>
  <c r="G911" i="2"/>
  <c r="N911" i="2" s="1"/>
  <c r="F911" i="2"/>
  <c r="E911" i="2"/>
  <c r="D911" i="2"/>
  <c r="C911" i="2"/>
  <c r="B911" i="2"/>
  <c r="O911" i="2" s="1"/>
  <c r="A911" i="2"/>
  <c r="L910" i="2"/>
  <c r="K910" i="2"/>
  <c r="I910" i="2"/>
  <c r="J910" i="2" s="1"/>
  <c r="H910" i="2"/>
  <c r="G910" i="2"/>
  <c r="F910" i="2"/>
  <c r="D910" i="2"/>
  <c r="E910" i="2" s="1"/>
  <c r="C910" i="2"/>
  <c r="B910" i="2"/>
  <c r="A910" i="2"/>
  <c r="L909" i="2"/>
  <c r="K909" i="2"/>
  <c r="H909" i="2"/>
  <c r="G909" i="2"/>
  <c r="F909" i="2"/>
  <c r="E909" i="2"/>
  <c r="D909" i="2"/>
  <c r="C909" i="2"/>
  <c r="B909" i="2"/>
  <c r="A909" i="2"/>
  <c r="N908" i="2"/>
  <c r="L908" i="2"/>
  <c r="K908" i="2"/>
  <c r="J908" i="2"/>
  <c r="H908" i="2"/>
  <c r="G908" i="2"/>
  <c r="I908" i="2" s="1"/>
  <c r="F908" i="2"/>
  <c r="O908" i="2" s="1"/>
  <c r="E908" i="2"/>
  <c r="D908" i="2"/>
  <c r="C908" i="2"/>
  <c r="B908" i="2"/>
  <c r="A908" i="2"/>
  <c r="L907" i="2"/>
  <c r="K907" i="2"/>
  <c r="I907" i="2"/>
  <c r="J907" i="2" s="1"/>
  <c r="H907" i="2"/>
  <c r="G907" i="2"/>
  <c r="N907" i="2" s="1"/>
  <c r="F907" i="2"/>
  <c r="D907" i="2"/>
  <c r="E907" i="2" s="1"/>
  <c r="C907" i="2"/>
  <c r="B907" i="2"/>
  <c r="A907" i="2"/>
  <c r="N906" i="2"/>
  <c r="L906" i="2"/>
  <c r="K906" i="2"/>
  <c r="J906" i="2"/>
  <c r="H906" i="2"/>
  <c r="I906" i="2" s="1"/>
  <c r="G906" i="2"/>
  <c r="F906" i="2"/>
  <c r="E906" i="2"/>
  <c r="D906" i="2"/>
  <c r="C906" i="2"/>
  <c r="B906" i="2"/>
  <c r="A906" i="2"/>
  <c r="L905" i="2"/>
  <c r="K905" i="2"/>
  <c r="H905" i="2"/>
  <c r="G905" i="2"/>
  <c r="F905" i="2"/>
  <c r="D905" i="2"/>
  <c r="E905" i="2" s="1"/>
  <c r="C905" i="2"/>
  <c r="B905" i="2"/>
  <c r="A905" i="2"/>
  <c r="N904" i="2"/>
  <c r="L904" i="2"/>
  <c r="K904" i="2"/>
  <c r="H904" i="2"/>
  <c r="I904" i="2" s="1"/>
  <c r="J904" i="2" s="1"/>
  <c r="G904" i="2"/>
  <c r="F904" i="2"/>
  <c r="D904" i="2"/>
  <c r="E904" i="2" s="1"/>
  <c r="C904" i="2"/>
  <c r="B904" i="2"/>
  <c r="A904" i="2"/>
  <c r="L903" i="2"/>
  <c r="K903" i="2"/>
  <c r="H903" i="2"/>
  <c r="G903" i="2"/>
  <c r="F903" i="2"/>
  <c r="E903" i="2"/>
  <c r="D903" i="2"/>
  <c r="C903" i="2"/>
  <c r="B903" i="2"/>
  <c r="O903" i="2" s="1"/>
  <c r="A903" i="2"/>
  <c r="N902" i="2"/>
  <c r="L902" i="2"/>
  <c r="K902" i="2"/>
  <c r="H902" i="2"/>
  <c r="G902" i="2"/>
  <c r="F902" i="2"/>
  <c r="D902" i="2"/>
  <c r="E902" i="2" s="1"/>
  <c r="C902" i="2"/>
  <c r="B902" i="2"/>
  <c r="A902" i="2"/>
  <c r="N901" i="2"/>
  <c r="L901" i="2"/>
  <c r="K901" i="2"/>
  <c r="H901" i="2"/>
  <c r="I901" i="2" s="1"/>
  <c r="J901" i="2" s="1"/>
  <c r="G901" i="2"/>
  <c r="F901" i="2"/>
  <c r="E901" i="2"/>
  <c r="D901" i="2"/>
  <c r="C901" i="2"/>
  <c r="B901" i="2"/>
  <c r="A901" i="2"/>
  <c r="L900" i="2"/>
  <c r="N900" i="2" s="1"/>
  <c r="K900" i="2"/>
  <c r="H900" i="2"/>
  <c r="O900" i="2" s="1"/>
  <c r="G900" i="2"/>
  <c r="F900" i="2"/>
  <c r="E900" i="2"/>
  <c r="D900" i="2"/>
  <c r="C900" i="2"/>
  <c r="B900" i="2"/>
  <c r="A900" i="2"/>
  <c r="L899" i="2"/>
  <c r="K899" i="2"/>
  <c r="H899" i="2"/>
  <c r="G899" i="2"/>
  <c r="F899" i="2"/>
  <c r="D899" i="2"/>
  <c r="E899" i="2" s="1"/>
  <c r="C899" i="2"/>
  <c r="O899" i="2" s="1"/>
  <c r="B899" i="2"/>
  <c r="A899" i="2"/>
  <c r="L898" i="2"/>
  <c r="N898" i="2" s="1"/>
  <c r="K898" i="2"/>
  <c r="H898" i="2"/>
  <c r="G898" i="2"/>
  <c r="F898" i="2"/>
  <c r="D898" i="2"/>
  <c r="E898" i="2" s="1"/>
  <c r="C898" i="2"/>
  <c r="B898" i="2"/>
  <c r="A898" i="2"/>
  <c r="L897" i="2"/>
  <c r="K897" i="2"/>
  <c r="O897" i="2" s="1"/>
  <c r="I897" i="2"/>
  <c r="J897" i="2" s="1"/>
  <c r="H897" i="2"/>
  <c r="G897" i="2"/>
  <c r="F897" i="2"/>
  <c r="D897" i="2"/>
  <c r="E897" i="2" s="1"/>
  <c r="C897" i="2"/>
  <c r="B897" i="2"/>
  <c r="A897" i="2"/>
  <c r="L896" i="2"/>
  <c r="N896" i="2" s="1"/>
  <c r="K896" i="2"/>
  <c r="I896" i="2"/>
  <c r="J896" i="2" s="1"/>
  <c r="H896" i="2"/>
  <c r="G896" i="2"/>
  <c r="F896" i="2"/>
  <c r="D896" i="2"/>
  <c r="E896" i="2" s="1"/>
  <c r="C896" i="2"/>
  <c r="B896" i="2"/>
  <c r="A896" i="2"/>
  <c r="L895" i="2"/>
  <c r="K895" i="2"/>
  <c r="O895" i="2" s="1"/>
  <c r="H895" i="2"/>
  <c r="I895" i="2" s="1"/>
  <c r="J895" i="2" s="1"/>
  <c r="G895" i="2"/>
  <c r="N895" i="2" s="1"/>
  <c r="F895" i="2"/>
  <c r="E895" i="2"/>
  <c r="D895" i="2"/>
  <c r="C895" i="2"/>
  <c r="B895" i="2"/>
  <c r="A895" i="2"/>
  <c r="L894" i="2"/>
  <c r="K894" i="2"/>
  <c r="H894" i="2"/>
  <c r="G894" i="2"/>
  <c r="N894" i="2" s="1"/>
  <c r="F894" i="2"/>
  <c r="D894" i="2"/>
  <c r="E894" i="2" s="1"/>
  <c r="C894" i="2"/>
  <c r="B894" i="2"/>
  <c r="A894" i="2"/>
  <c r="N893" i="2"/>
  <c r="L893" i="2"/>
  <c r="K893" i="2"/>
  <c r="H893" i="2"/>
  <c r="G893" i="2"/>
  <c r="F893" i="2"/>
  <c r="E893" i="2"/>
  <c r="D893" i="2"/>
  <c r="C893" i="2"/>
  <c r="O893" i="2" s="1"/>
  <c r="B893" i="2"/>
  <c r="A893" i="2"/>
  <c r="N892" i="2"/>
  <c r="L892" i="2"/>
  <c r="K892" i="2"/>
  <c r="J892" i="2"/>
  <c r="H892" i="2"/>
  <c r="G892" i="2"/>
  <c r="I892" i="2" s="1"/>
  <c r="F892" i="2"/>
  <c r="E892" i="2"/>
  <c r="D892" i="2"/>
  <c r="C892" i="2"/>
  <c r="B892" i="2"/>
  <c r="A892" i="2"/>
  <c r="L891" i="2"/>
  <c r="N891" i="2" s="1"/>
  <c r="K891" i="2"/>
  <c r="I891" i="2"/>
  <c r="J891" i="2" s="1"/>
  <c r="H891" i="2"/>
  <c r="G891" i="2"/>
  <c r="F891" i="2"/>
  <c r="E891" i="2"/>
  <c r="D891" i="2"/>
  <c r="C891" i="2"/>
  <c r="B891" i="2"/>
  <c r="A891" i="2"/>
  <c r="N890" i="2"/>
  <c r="L890" i="2"/>
  <c r="K890" i="2"/>
  <c r="H890" i="2"/>
  <c r="G890" i="2"/>
  <c r="I890" i="2" s="1"/>
  <c r="J890" i="2" s="1"/>
  <c r="F890" i="2"/>
  <c r="D890" i="2"/>
  <c r="C890" i="2"/>
  <c r="B890" i="2"/>
  <c r="A890" i="2"/>
  <c r="L889" i="2"/>
  <c r="K889" i="2"/>
  <c r="H889" i="2"/>
  <c r="G889" i="2"/>
  <c r="F889" i="2"/>
  <c r="D889" i="2"/>
  <c r="E889" i="2" s="1"/>
  <c r="C889" i="2"/>
  <c r="B889" i="2"/>
  <c r="O889" i="2" s="1"/>
  <c r="A889" i="2"/>
  <c r="L888" i="2"/>
  <c r="N888" i="2" s="1"/>
  <c r="K888" i="2"/>
  <c r="I888" i="2"/>
  <c r="J888" i="2" s="1"/>
  <c r="H888" i="2"/>
  <c r="G888" i="2"/>
  <c r="F888" i="2"/>
  <c r="D888" i="2"/>
  <c r="E888" i="2" s="1"/>
  <c r="C888" i="2"/>
  <c r="B888" i="2"/>
  <c r="A888" i="2"/>
  <c r="O887" i="2"/>
  <c r="L887" i="2"/>
  <c r="K887" i="2"/>
  <c r="I887" i="2"/>
  <c r="J887" i="2" s="1"/>
  <c r="H887" i="2"/>
  <c r="G887" i="2"/>
  <c r="N887" i="2" s="1"/>
  <c r="F887" i="2"/>
  <c r="E887" i="2"/>
  <c r="D887" i="2"/>
  <c r="C887" i="2"/>
  <c r="B887" i="2"/>
  <c r="A887" i="2"/>
  <c r="N886" i="2"/>
  <c r="L886" i="2"/>
  <c r="K886" i="2"/>
  <c r="H886" i="2"/>
  <c r="G886" i="2"/>
  <c r="I886" i="2" s="1"/>
  <c r="J886" i="2" s="1"/>
  <c r="F886" i="2"/>
  <c r="D886" i="2"/>
  <c r="E886" i="2" s="1"/>
  <c r="C886" i="2"/>
  <c r="B886" i="2"/>
  <c r="A886" i="2"/>
  <c r="N885" i="2"/>
  <c r="L885" i="2"/>
  <c r="K885" i="2"/>
  <c r="I885" i="2"/>
  <c r="J885" i="2" s="1"/>
  <c r="H885" i="2"/>
  <c r="G885" i="2"/>
  <c r="F885" i="2"/>
  <c r="E885" i="2"/>
  <c r="D885" i="2"/>
  <c r="C885" i="2"/>
  <c r="B885" i="2"/>
  <c r="A885" i="2"/>
  <c r="L884" i="2"/>
  <c r="K884" i="2"/>
  <c r="H884" i="2"/>
  <c r="G884" i="2"/>
  <c r="F884" i="2"/>
  <c r="D884" i="2"/>
  <c r="E884" i="2" s="1"/>
  <c r="C884" i="2"/>
  <c r="B884" i="2"/>
  <c r="A884" i="2"/>
  <c r="L883" i="2"/>
  <c r="K883" i="2"/>
  <c r="H883" i="2"/>
  <c r="G883" i="2"/>
  <c r="F883" i="2"/>
  <c r="E883" i="2"/>
  <c r="D883" i="2"/>
  <c r="C883" i="2"/>
  <c r="B883" i="2"/>
  <c r="A883" i="2"/>
  <c r="N882" i="2"/>
  <c r="L882" i="2"/>
  <c r="K882" i="2"/>
  <c r="H882" i="2"/>
  <c r="G882" i="2"/>
  <c r="F882" i="2"/>
  <c r="O882" i="2" s="1"/>
  <c r="E882" i="2"/>
  <c r="D882" i="2"/>
  <c r="C882" i="2"/>
  <c r="B882" i="2"/>
  <c r="A882" i="2"/>
  <c r="L881" i="2"/>
  <c r="N881" i="2" s="1"/>
  <c r="K881" i="2"/>
  <c r="H881" i="2"/>
  <c r="G881" i="2"/>
  <c r="I881" i="2" s="1"/>
  <c r="J881" i="2" s="1"/>
  <c r="F881" i="2"/>
  <c r="E881" i="2"/>
  <c r="D881" i="2"/>
  <c r="C881" i="2"/>
  <c r="B881" i="2"/>
  <c r="O881" i="2" s="1"/>
  <c r="A881" i="2"/>
  <c r="N880" i="2"/>
  <c r="L880" i="2"/>
  <c r="K880" i="2"/>
  <c r="I880" i="2"/>
  <c r="J880" i="2" s="1"/>
  <c r="H880" i="2"/>
  <c r="G880" i="2"/>
  <c r="F880" i="2"/>
  <c r="D880" i="2"/>
  <c r="E880" i="2" s="1"/>
  <c r="C880" i="2"/>
  <c r="B880" i="2"/>
  <c r="A880" i="2"/>
  <c r="L879" i="2"/>
  <c r="K879" i="2"/>
  <c r="I879" i="2"/>
  <c r="J879" i="2" s="1"/>
  <c r="H879" i="2"/>
  <c r="O879" i="2" s="1"/>
  <c r="G879" i="2"/>
  <c r="N879" i="2" s="1"/>
  <c r="F879" i="2"/>
  <c r="D879" i="2"/>
  <c r="E879" i="2" s="1"/>
  <c r="C879" i="2"/>
  <c r="B879" i="2"/>
  <c r="A879" i="2"/>
  <c r="N878" i="2"/>
  <c r="L878" i="2"/>
  <c r="K878" i="2"/>
  <c r="H878" i="2"/>
  <c r="G878" i="2"/>
  <c r="F878" i="2"/>
  <c r="D878" i="2"/>
  <c r="E878" i="2" s="1"/>
  <c r="C878" i="2"/>
  <c r="O878" i="2" s="1"/>
  <c r="B878" i="2"/>
  <c r="A878" i="2"/>
  <c r="N877" i="2"/>
  <c r="L877" i="2"/>
  <c r="K877" i="2"/>
  <c r="H877" i="2"/>
  <c r="G877" i="2"/>
  <c r="F877" i="2"/>
  <c r="E877" i="2"/>
  <c r="D877" i="2"/>
  <c r="C877" i="2"/>
  <c r="B877" i="2"/>
  <c r="A877" i="2"/>
  <c r="O876" i="2"/>
  <c r="L876" i="2"/>
  <c r="K876" i="2"/>
  <c r="I876" i="2"/>
  <c r="J876" i="2" s="1"/>
  <c r="H876" i="2"/>
  <c r="G876" i="2"/>
  <c r="F876" i="2"/>
  <c r="D876" i="2"/>
  <c r="E876" i="2" s="1"/>
  <c r="C876" i="2"/>
  <c r="B876" i="2"/>
  <c r="A876" i="2"/>
  <c r="L875" i="2"/>
  <c r="K875" i="2"/>
  <c r="H875" i="2"/>
  <c r="G875" i="2"/>
  <c r="I875" i="2" s="1"/>
  <c r="J875" i="2" s="1"/>
  <c r="F875" i="2"/>
  <c r="E875" i="2"/>
  <c r="D875" i="2"/>
  <c r="C875" i="2"/>
  <c r="B875" i="2"/>
  <c r="A875" i="2"/>
  <c r="L874" i="2"/>
  <c r="N874" i="2" s="1"/>
  <c r="K874" i="2"/>
  <c r="H874" i="2"/>
  <c r="G874" i="2"/>
  <c r="F874" i="2"/>
  <c r="E874" i="2"/>
  <c r="D874" i="2"/>
  <c r="C874" i="2"/>
  <c r="B874" i="2"/>
  <c r="O874" i="2" s="1"/>
  <c r="A874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N872" i="2"/>
  <c r="L872" i="2"/>
  <c r="K872" i="2"/>
  <c r="H872" i="2"/>
  <c r="I872" i="2" s="1"/>
  <c r="J872" i="2" s="1"/>
  <c r="G872" i="2"/>
  <c r="F872" i="2"/>
  <c r="E872" i="2"/>
  <c r="D872" i="2"/>
  <c r="C872" i="2"/>
  <c r="B872" i="2"/>
  <c r="A872" i="2"/>
  <c r="O871" i="2"/>
  <c r="L871" i="2"/>
  <c r="K871" i="2"/>
  <c r="H871" i="2"/>
  <c r="I871" i="2" s="1"/>
  <c r="J871" i="2" s="1"/>
  <c r="G871" i="2"/>
  <c r="F871" i="2"/>
  <c r="E871" i="2"/>
  <c r="D871" i="2"/>
  <c r="C871" i="2"/>
  <c r="B871" i="2"/>
  <c r="A871" i="2"/>
  <c r="L870" i="2"/>
  <c r="K870" i="2"/>
  <c r="H870" i="2"/>
  <c r="G870" i="2"/>
  <c r="F870" i="2"/>
  <c r="D870" i="2"/>
  <c r="E870" i="2" s="1"/>
  <c r="C870" i="2"/>
  <c r="O870" i="2" s="1"/>
  <c r="B870" i="2"/>
  <c r="A870" i="2"/>
  <c r="L869" i="2"/>
  <c r="K869" i="2"/>
  <c r="H869" i="2"/>
  <c r="G869" i="2"/>
  <c r="F869" i="2"/>
  <c r="E869" i="2"/>
  <c r="D869" i="2"/>
  <c r="C869" i="2"/>
  <c r="B869" i="2"/>
  <c r="O869" i="2" s="1"/>
  <c r="A869" i="2"/>
  <c r="N868" i="2"/>
  <c r="L868" i="2"/>
  <c r="K868" i="2"/>
  <c r="I868" i="2"/>
  <c r="J868" i="2" s="1"/>
  <c r="H868" i="2"/>
  <c r="G868" i="2"/>
  <c r="F868" i="2"/>
  <c r="D868" i="2"/>
  <c r="E868" i="2" s="1"/>
  <c r="C868" i="2"/>
  <c r="B868" i="2"/>
  <c r="A868" i="2"/>
  <c r="O868" i="2" s="1"/>
  <c r="L867" i="2"/>
  <c r="K867" i="2"/>
  <c r="H867" i="2"/>
  <c r="G867" i="2"/>
  <c r="F867" i="2"/>
  <c r="D867" i="2"/>
  <c r="E867" i="2" s="1"/>
  <c r="C867" i="2"/>
  <c r="B867" i="2"/>
  <c r="A867" i="2"/>
  <c r="L866" i="2"/>
  <c r="N866" i="2" s="1"/>
  <c r="K866" i="2"/>
  <c r="J866" i="2"/>
  <c r="I866" i="2"/>
  <c r="H866" i="2"/>
  <c r="G866" i="2"/>
  <c r="F866" i="2"/>
  <c r="E866" i="2"/>
  <c r="D866" i="2"/>
  <c r="C866" i="2"/>
  <c r="B866" i="2"/>
  <c r="A866" i="2"/>
  <c r="N865" i="2"/>
  <c r="L865" i="2"/>
  <c r="K865" i="2"/>
  <c r="J865" i="2"/>
  <c r="I865" i="2"/>
  <c r="H865" i="2"/>
  <c r="G865" i="2"/>
  <c r="F865" i="2"/>
  <c r="D865" i="2"/>
  <c r="E865" i="2" s="1"/>
  <c r="C865" i="2"/>
  <c r="B865" i="2"/>
  <c r="A865" i="2"/>
  <c r="L864" i="2"/>
  <c r="K864" i="2"/>
  <c r="H864" i="2"/>
  <c r="G864" i="2"/>
  <c r="F864" i="2"/>
  <c r="D864" i="2"/>
  <c r="E864" i="2" s="1"/>
  <c r="C864" i="2"/>
  <c r="B864" i="2"/>
  <c r="A864" i="2"/>
  <c r="N863" i="2"/>
  <c r="L863" i="2"/>
  <c r="K863" i="2"/>
  <c r="J863" i="2"/>
  <c r="H863" i="2"/>
  <c r="G863" i="2"/>
  <c r="I863" i="2" s="1"/>
  <c r="F863" i="2"/>
  <c r="D863" i="2"/>
  <c r="E863" i="2" s="1"/>
  <c r="C863" i="2"/>
  <c r="B863" i="2"/>
  <c r="A863" i="2"/>
  <c r="O863" i="2" s="1"/>
  <c r="N862" i="2"/>
  <c r="L862" i="2"/>
  <c r="K862" i="2"/>
  <c r="H862" i="2"/>
  <c r="I862" i="2" s="1"/>
  <c r="J862" i="2" s="1"/>
  <c r="G862" i="2"/>
  <c r="F862" i="2"/>
  <c r="E862" i="2"/>
  <c r="D862" i="2"/>
  <c r="C862" i="2"/>
  <c r="B862" i="2"/>
  <c r="A862" i="2"/>
  <c r="L861" i="2"/>
  <c r="K861" i="2"/>
  <c r="H861" i="2"/>
  <c r="G861" i="2"/>
  <c r="O861" i="2" s="1"/>
  <c r="F861" i="2"/>
  <c r="D861" i="2"/>
  <c r="E861" i="2" s="1"/>
  <c r="C861" i="2"/>
  <c r="B861" i="2"/>
  <c r="A861" i="2"/>
  <c r="L860" i="2"/>
  <c r="K860" i="2"/>
  <c r="I860" i="2"/>
  <c r="J860" i="2" s="1"/>
  <c r="H860" i="2"/>
  <c r="G860" i="2"/>
  <c r="F860" i="2"/>
  <c r="E860" i="2"/>
  <c r="D860" i="2"/>
  <c r="C860" i="2"/>
  <c r="B860" i="2"/>
  <c r="A860" i="2"/>
  <c r="L859" i="2"/>
  <c r="K859" i="2"/>
  <c r="H859" i="2"/>
  <c r="G859" i="2"/>
  <c r="F859" i="2"/>
  <c r="D859" i="2"/>
  <c r="E859" i="2" s="1"/>
  <c r="C859" i="2"/>
  <c r="B859" i="2"/>
  <c r="A859" i="2"/>
  <c r="L858" i="2"/>
  <c r="N858" i="2" s="1"/>
  <c r="K858" i="2"/>
  <c r="H858" i="2"/>
  <c r="G858" i="2"/>
  <c r="I858" i="2" s="1"/>
  <c r="J858" i="2" s="1"/>
  <c r="F858" i="2"/>
  <c r="E858" i="2"/>
  <c r="D858" i="2"/>
  <c r="C858" i="2"/>
  <c r="B858" i="2"/>
  <c r="A858" i="2"/>
  <c r="N857" i="2"/>
  <c r="L857" i="2"/>
  <c r="K857" i="2"/>
  <c r="I857" i="2"/>
  <c r="J857" i="2" s="1"/>
  <c r="H857" i="2"/>
  <c r="G857" i="2"/>
  <c r="F857" i="2"/>
  <c r="E857" i="2"/>
  <c r="D857" i="2"/>
  <c r="C857" i="2"/>
  <c r="B857" i="2"/>
  <c r="A857" i="2"/>
  <c r="O856" i="2"/>
  <c r="L856" i="2"/>
  <c r="K856" i="2"/>
  <c r="H856" i="2"/>
  <c r="G856" i="2"/>
  <c r="F856" i="2"/>
  <c r="D856" i="2"/>
  <c r="E856" i="2" s="1"/>
  <c r="C856" i="2"/>
  <c r="B856" i="2"/>
  <c r="A856" i="2"/>
  <c r="L855" i="2"/>
  <c r="K855" i="2"/>
  <c r="H855" i="2"/>
  <c r="G855" i="2"/>
  <c r="F855" i="2"/>
  <c r="D855" i="2"/>
  <c r="E855" i="2" s="1"/>
  <c r="C855" i="2"/>
  <c r="B855" i="2"/>
  <c r="A855" i="2"/>
  <c r="N854" i="2"/>
  <c r="L854" i="2"/>
  <c r="K854" i="2"/>
  <c r="H854" i="2"/>
  <c r="G854" i="2"/>
  <c r="F854" i="2"/>
  <c r="E854" i="2"/>
  <c r="D854" i="2"/>
  <c r="C854" i="2"/>
  <c r="B854" i="2"/>
  <c r="A854" i="2"/>
  <c r="L853" i="2"/>
  <c r="K853" i="2"/>
  <c r="I853" i="2"/>
  <c r="J853" i="2" s="1"/>
  <c r="H853" i="2"/>
  <c r="G853" i="2"/>
  <c r="F853" i="2"/>
  <c r="D853" i="2"/>
  <c r="E853" i="2" s="1"/>
  <c r="C853" i="2"/>
  <c r="B853" i="2"/>
  <c r="A853" i="2"/>
  <c r="N852" i="2"/>
  <c r="L852" i="2"/>
  <c r="K852" i="2"/>
  <c r="I852" i="2"/>
  <c r="J852" i="2" s="1"/>
  <c r="H852" i="2"/>
  <c r="G852" i="2"/>
  <c r="F852" i="2"/>
  <c r="D852" i="2"/>
  <c r="E852" i="2" s="1"/>
  <c r="C852" i="2"/>
  <c r="B852" i="2"/>
  <c r="A852" i="2"/>
  <c r="O852" i="2" s="1"/>
  <c r="L851" i="2"/>
  <c r="N851" i="2" s="1"/>
  <c r="K851" i="2"/>
  <c r="H851" i="2"/>
  <c r="G851" i="2"/>
  <c r="F851" i="2"/>
  <c r="E851" i="2"/>
  <c r="D851" i="2"/>
  <c r="C851" i="2"/>
  <c r="B851" i="2"/>
  <c r="A851" i="2"/>
  <c r="L850" i="2"/>
  <c r="K850" i="2"/>
  <c r="I850" i="2"/>
  <c r="J850" i="2" s="1"/>
  <c r="H850" i="2"/>
  <c r="G850" i="2"/>
  <c r="F850" i="2"/>
  <c r="D850" i="2"/>
  <c r="E850" i="2" s="1"/>
  <c r="C850" i="2"/>
  <c r="B850" i="2"/>
  <c r="A850" i="2"/>
  <c r="N849" i="2"/>
  <c r="L849" i="2"/>
  <c r="K849" i="2"/>
  <c r="J849" i="2"/>
  <c r="H849" i="2"/>
  <c r="I849" i="2" s="1"/>
  <c r="G849" i="2"/>
  <c r="F849" i="2"/>
  <c r="E849" i="2"/>
  <c r="D849" i="2"/>
  <c r="C849" i="2"/>
  <c r="B849" i="2"/>
  <c r="A849" i="2"/>
  <c r="L848" i="2"/>
  <c r="K848" i="2"/>
  <c r="J848" i="2"/>
  <c r="H848" i="2"/>
  <c r="I848" i="2" s="1"/>
  <c r="G848" i="2"/>
  <c r="F848" i="2"/>
  <c r="E848" i="2"/>
  <c r="D848" i="2"/>
  <c r="C848" i="2"/>
  <c r="B848" i="2"/>
  <c r="O848" i="2" s="1"/>
  <c r="A848" i="2"/>
  <c r="L847" i="2"/>
  <c r="K847" i="2"/>
  <c r="H847" i="2"/>
  <c r="G847" i="2"/>
  <c r="F847" i="2"/>
  <c r="D847" i="2"/>
  <c r="E847" i="2" s="1"/>
  <c r="C847" i="2"/>
  <c r="B847" i="2"/>
  <c r="A847" i="2"/>
  <c r="O847" i="2" s="1"/>
  <c r="L846" i="2"/>
  <c r="K846" i="2"/>
  <c r="H846" i="2"/>
  <c r="G846" i="2"/>
  <c r="F846" i="2"/>
  <c r="E846" i="2"/>
  <c r="D846" i="2"/>
  <c r="C846" i="2"/>
  <c r="B846" i="2"/>
  <c r="A846" i="2"/>
  <c r="N845" i="2"/>
  <c r="L845" i="2"/>
  <c r="K845" i="2"/>
  <c r="H845" i="2"/>
  <c r="I845" i="2" s="1"/>
  <c r="J845" i="2" s="1"/>
  <c r="G845" i="2"/>
  <c r="F845" i="2"/>
  <c r="D845" i="2"/>
  <c r="E845" i="2" s="1"/>
  <c r="C845" i="2"/>
  <c r="B845" i="2"/>
  <c r="A845" i="2"/>
  <c r="L844" i="2"/>
  <c r="K844" i="2"/>
  <c r="I844" i="2"/>
  <c r="J844" i="2" s="1"/>
  <c r="H844" i="2"/>
  <c r="G844" i="2"/>
  <c r="N844" i="2" s="1"/>
  <c r="F844" i="2"/>
  <c r="D844" i="2"/>
  <c r="E844" i="2" s="1"/>
  <c r="C844" i="2"/>
  <c r="O844" i="2" s="1"/>
  <c r="B844" i="2"/>
  <c r="A844" i="2"/>
  <c r="L843" i="2"/>
  <c r="K843" i="2"/>
  <c r="H843" i="2"/>
  <c r="G843" i="2"/>
  <c r="F843" i="2"/>
  <c r="D843" i="2"/>
  <c r="E843" i="2" s="1"/>
  <c r="C843" i="2"/>
  <c r="B843" i="2"/>
  <c r="A843" i="2"/>
  <c r="O842" i="2"/>
  <c r="L842" i="2"/>
  <c r="N842" i="2" s="1"/>
  <c r="K842" i="2"/>
  <c r="I842" i="2"/>
  <c r="J842" i="2" s="1"/>
  <c r="H842" i="2"/>
  <c r="G842" i="2"/>
  <c r="F842" i="2"/>
  <c r="D842" i="2"/>
  <c r="E842" i="2" s="1"/>
  <c r="C842" i="2"/>
  <c r="B842" i="2"/>
  <c r="A842" i="2"/>
  <c r="N841" i="2"/>
  <c r="L841" i="2"/>
  <c r="K841" i="2"/>
  <c r="I841" i="2"/>
  <c r="J841" i="2" s="1"/>
  <c r="H841" i="2"/>
  <c r="G841" i="2"/>
  <c r="F841" i="2"/>
  <c r="D841" i="2"/>
  <c r="E841" i="2" s="1"/>
  <c r="C841" i="2"/>
  <c r="B841" i="2"/>
  <c r="A841" i="2"/>
  <c r="L840" i="2"/>
  <c r="K840" i="2"/>
  <c r="H840" i="2"/>
  <c r="G840" i="2"/>
  <c r="F840" i="2"/>
  <c r="D840" i="2"/>
  <c r="E840" i="2" s="1"/>
  <c r="C840" i="2"/>
  <c r="B840" i="2"/>
  <c r="O840" i="2" s="1"/>
  <c r="A840" i="2"/>
  <c r="N839" i="2"/>
  <c r="L839" i="2"/>
  <c r="K839" i="2"/>
  <c r="J839" i="2"/>
  <c r="I839" i="2"/>
  <c r="H839" i="2"/>
  <c r="G839" i="2"/>
  <c r="F839" i="2"/>
  <c r="D839" i="2"/>
  <c r="E839" i="2" s="1"/>
  <c r="C839" i="2"/>
  <c r="B839" i="2"/>
  <c r="A839" i="2"/>
  <c r="L838" i="2"/>
  <c r="K838" i="2"/>
  <c r="I838" i="2"/>
  <c r="J838" i="2" s="1"/>
  <c r="H838" i="2"/>
  <c r="G838" i="2"/>
  <c r="N838" i="2" s="1"/>
  <c r="F838" i="2"/>
  <c r="E838" i="2"/>
  <c r="D838" i="2"/>
  <c r="C838" i="2"/>
  <c r="B838" i="2"/>
  <c r="A838" i="2"/>
  <c r="N837" i="2"/>
  <c r="L837" i="2"/>
  <c r="K837" i="2"/>
  <c r="J837" i="2"/>
  <c r="H837" i="2"/>
  <c r="I837" i="2" s="1"/>
  <c r="G837" i="2"/>
  <c r="F837" i="2"/>
  <c r="E837" i="2"/>
  <c r="D837" i="2"/>
  <c r="C837" i="2"/>
  <c r="B837" i="2"/>
  <c r="A837" i="2"/>
  <c r="L836" i="2"/>
  <c r="K836" i="2"/>
  <c r="H836" i="2"/>
  <c r="G836" i="2"/>
  <c r="F836" i="2"/>
  <c r="D836" i="2"/>
  <c r="E836" i="2" s="1"/>
  <c r="C836" i="2"/>
  <c r="B836" i="2"/>
  <c r="A836" i="2"/>
  <c r="N835" i="2"/>
  <c r="L835" i="2"/>
  <c r="K835" i="2"/>
  <c r="H835" i="2"/>
  <c r="G835" i="2"/>
  <c r="I835" i="2" s="1"/>
  <c r="J835" i="2" s="1"/>
  <c r="F835" i="2"/>
  <c r="O835" i="2" s="1"/>
  <c r="D835" i="2"/>
  <c r="E835" i="2" s="1"/>
  <c r="C835" i="2"/>
  <c r="B835" i="2"/>
  <c r="A835" i="2"/>
  <c r="L834" i="2"/>
  <c r="N834" i="2" s="1"/>
  <c r="K834" i="2"/>
  <c r="J834" i="2"/>
  <c r="I834" i="2"/>
  <c r="H834" i="2"/>
  <c r="G834" i="2"/>
  <c r="F834" i="2"/>
  <c r="D834" i="2"/>
  <c r="C834" i="2"/>
  <c r="B834" i="2"/>
  <c r="A834" i="2"/>
  <c r="L833" i="2"/>
  <c r="N833" i="2" s="1"/>
  <c r="K833" i="2"/>
  <c r="I833" i="2"/>
  <c r="J833" i="2" s="1"/>
  <c r="H833" i="2"/>
  <c r="G833" i="2"/>
  <c r="F833" i="2"/>
  <c r="D833" i="2"/>
  <c r="E833" i="2" s="1"/>
  <c r="C833" i="2"/>
  <c r="B833" i="2"/>
  <c r="A833" i="2"/>
  <c r="O832" i="2"/>
  <c r="L832" i="2"/>
  <c r="K832" i="2"/>
  <c r="I832" i="2"/>
  <c r="J832" i="2" s="1"/>
  <c r="H832" i="2"/>
  <c r="G832" i="2"/>
  <c r="F832" i="2"/>
  <c r="E832" i="2"/>
  <c r="D832" i="2"/>
  <c r="C832" i="2"/>
  <c r="B832" i="2"/>
  <c r="A832" i="2"/>
  <c r="N831" i="2"/>
  <c r="L831" i="2"/>
  <c r="K831" i="2"/>
  <c r="J831" i="2"/>
  <c r="H831" i="2"/>
  <c r="G831" i="2"/>
  <c r="I831" i="2" s="1"/>
  <c r="F831" i="2"/>
  <c r="D831" i="2"/>
  <c r="E831" i="2" s="1"/>
  <c r="C831" i="2"/>
  <c r="B831" i="2"/>
  <c r="A831" i="2"/>
  <c r="N830" i="2"/>
  <c r="L830" i="2"/>
  <c r="K830" i="2"/>
  <c r="H830" i="2"/>
  <c r="I830" i="2" s="1"/>
  <c r="J830" i="2" s="1"/>
  <c r="G830" i="2"/>
  <c r="F830" i="2"/>
  <c r="E830" i="2"/>
  <c r="D830" i="2"/>
  <c r="C830" i="2"/>
  <c r="B830" i="2"/>
  <c r="A830" i="2"/>
  <c r="O829" i="2"/>
  <c r="L829" i="2"/>
  <c r="K829" i="2"/>
  <c r="J829" i="2"/>
  <c r="I829" i="2"/>
  <c r="H829" i="2"/>
  <c r="G829" i="2"/>
  <c r="N829" i="2" s="1"/>
  <c r="F829" i="2"/>
  <c r="E829" i="2"/>
  <c r="D829" i="2"/>
  <c r="C829" i="2"/>
  <c r="B829" i="2"/>
  <c r="A829" i="2"/>
  <c r="L828" i="2"/>
  <c r="K828" i="2"/>
  <c r="H828" i="2"/>
  <c r="G828" i="2"/>
  <c r="F828" i="2"/>
  <c r="E828" i="2"/>
  <c r="D828" i="2"/>
  <c r="C828" i="2"/>
  <c r="B828" i="2"/>
  <c r="A828" i="2"/>
  <c r="L827" i="2"/>
  <c r="K827" i="2"/>
  <c r="H827" i="2"/>
  <c r="G827" i="2"/>
  <c r="F827" i="2"/>
  <c r="D827" i="2"/>
  <c r="E827" i="2" s="1"/>
  <c r="C827" i="2"/>
  <c r="O827" i="2" s="1"/>
  <c r="B827" i="2"/>
  <c r="A827" i="2"/>
  <c r="N826" i="2"/>
  <c r="L826" i="2"/>
  <c r="K826" i="2"/>
  <c r="H826" i="2"/>
  <c r="G826" i="2"/>
  <c r="I826" i="2" s="1"/>
  <c r="J826" i="2" s="1"/>
  <c r="F826" i="2"/>
  <c r="E826" i="2"/>
  <c r="D826" i="2"/>
  <c r="C826" i="2"/>
  <c r="B826" i="2"/>
  <c r="A826" i="2"/>
  <c r="N825" i="2"/>
  <c r="L825" i="2"/>
  <c r="K825" i="2"/>
  <c r="H825" i="2"/>
  <c r="I825" i="2" s="1"/>
  <c r="J825" i="2" s="1"/>
  <c r="G825" i="2"/>
  <c r="F825" i="2"/>
  <c r="D825" i="2"/>
  <c r="C825" i="2"/>
  <c r="B825" i="2"/>
  <c r="A825" i="2"/>
  <c r="O824" i="2"/>
  <c r="L824" i="2"/>
  <c r="K824" i="2"/>
  <c r="I824" i="2"/>
  <c r="J824" i="2" s="1"/>
  <c r="H824" i="2"/>
  <c r="G824" i="2"/>
  <c r="F824" i="2"/>
  <c r="D824" i="2"/>
  <c r="E824" i="2" s="1"/>
  <c r="C824" i="2"/>
  <c r="B824" i="2"/>
  <c r="A824" i="2"/>
  <c r="N823" i="2"/>
  <c r="L823" i="2"/>
  <c r="K823" i="2"/>
  <c r="H823" i="2"/>
  <c r="O823" i="2" s="1"/>
  <c r="G823" i="2"/>
  <c r="F823" i="2"/>
  <c r="D823" i="2"/>
  <c r="E823" i="2" s="1"/>
  <c r="C823" i="2"/>
  <c r="B823" i="2"/>
  <c r="A823" i="2"/>
  <c r="N822" i="2"/>
  <c r="L822" i="2"/>
  <c r="K822" i="2"/>
  <c r="H822" i="2"/>
  <c r="G822" i="2"/>
  <c r="F822" i="2"/>
  <c r="E822" i="2"/>
  <c r="D822" i="2"/>
  <c r="C822" i="2"/>
  <c r="B822" i="2"/>
  <c r="A822" i="2"/>
  <c r="N821" i="2"/>
  <c r="L821" i="2"/>
  <c r="K821" i="2"/>
  <c r="I821" i="2"/>
  <c r="J821" i="2" s="1"/>
  <c r="H821" i="2"/>
  <c r="G821" i="2"/>
  <c r="F821" i="2"/>
  <c r="D821" i="2"/>
  <c r="E821" i="2" s="1"/>
  <c r="C821" i="2"/>
  <c r="B821" i="2"/>
  <c r="A821" i="2"/>
  <c r="O821" i="2" s="1"/>
  <c r="L820" i="2"/>
  <c r="K820" i="2"/>
  <c r="I820" i="2"/>
  <c r="J820" i="2" s="1"/>
  <c r="H820" i="2"/>
  <c r="G820" i="2"/>
  <c r="N820" i="2" s="1"/>
  <c r="F820" i="2"/>
  <c r="D820" i="2"/>
  <c r="E820" i="2" s="1"/>
  <c r="C820" i="2"/>
  <c r="B820" i="2"/>
  <c r="A820" i="2"/>
  <c r="N819" i="2"/>
  <c r="L819" i="2"/>
  <c r="K819" i="2"/>
  <c r="H819" i="2"/>
  <c r="O819" i="2" s="1"/>
  <c r="G819" i="2"/>
  <c r="F819" i="2"/>
  <c r="E819" i="2"/>
  <c r="D819" i="2"/>
  <c r="C819" i="2"/>
  <c r="B819" i="2"/>
  <c r="A819" i="2"/>
  <c r="O818" i="2"/>
  <c r="L818" i="2"/>
  <c r="K818" i="2"/>
  <c r="H818" i="2"/>
  <c r="G818" i="2"/>
  <c r="F818" i="2"/>
  <c r="E818" i="2"/>
  <c r="D818" i="2"/>
  <c r="C818" i="2"/>
  <c r="B818" i="2"/>
  <c r="A818" i="2"/>
  <c r="N817" i="2"/>
  <c r="L817" i="2"/>
  <c r="K817" i="2"/>
  <c r="H817" i="2"/>
  <c r="I817" i="2" s="1"/>
  <c r="J817" i="2" s="1"/>
  <c r="G817" i="2"/>
  <c r="F817" i="2"/>
  <c r="E817" i="2"/>
  <c r="D817" i="2"/>
  <c r="C817" i="2"/>
  <c r="B817" i="2"/>
  <c r="A817" i="2"/>
  <c r="L816" i="2"/>
  <c r="K816" i="2"/>
  <c r="H816" i="2"/>
  <c r="I816" i="2" s="1"/>
  <c r="J816" i="2" s="1"/>
  <c r="G816" i="2"/>
  <c r="F816" i="2"/>
  <c r="E816" i="2"/>
  <c r="D816" i="2"/>
  <c r="C816" i="2"/>
  <c r="O816" i="2" s="1"/>
  <c r="B816" i="2"/>
  <c r="A816" i="2"/>
  <c r="L815" i="2"/>
  <c r="K815" i="2"/>
  <c r="H815" i="2"/>
  <c r="G815" i="2"/>
  <c r="F815" i="2"/>
  <c r="D815" i="2"/>
  <c r="E815" i="2" s="1"/>
  <c r="C815" i="2"/>
  <c r="O815" i="2" s="1"/>
  <c r="B815" i="2"/>
  <c r="A815" i="2"/>
  <c r="N814" i="2"/>
  <c r="L814" i="2"/>
  <c r="K814" i="2"/>
  <c r="H814" i="2"/>
  <c r="I814" i="2" s="1"/>
  <c r="J814" i="2" s="1"/>
  <c r="G814" i="2"/>
  <c r="F814" i="2"/>
  <c r="E814" i="2"/>
  <c r="D814" i="2"/>
  <c r="C814" i="2"/>
  <c r="B814" i="2"/>
  <c r="A814" i="2"/>
  <c r="O813" i="2"/>
  <c r="L813" i="2"/>
  <c r="K813" i="2"/>
  <c r="I813" i="2"/>
  <c r="J813" i="2" s="1"/>
  <c r="H813" i="2"/>
  <c r="G813" i="2"/>
  <c r="F813" i="2"/>
  <c r="D813" i="2"/>
  <c r="E813" i="2" s="1"/>
  <c r="C813" i="2"/>
  <c r="B813" i="2"/>
  <c r="A813" i="2"/>
  <c r="L812" i="2"/>
  <c r="K812" i="2"/>
  <c r="H812" i="2"/>
  <c r="G812" i="2"/>
  <c r="F812" i="2"/>
  <c r="E812" i="2"/>
  <c r="D812" i="2"/>
  <c r="C812" i="2"/>
  <c r="B812" i="2"/>
  <c r="A812" i="2"/>
  <c r="L811" i="2"/>
  <c r="K811" i="2"/>
  <c r="H811" i="2"/>
  <c r="G811" i="2"/>
  <c r="F811" i="2"/>
  <c r="D811" i="2"/>
  <c r="E811" i="2" s="1"/>
  <c r="C811" i="2"/>
  <c r="B811" i="2"/>
  <c r="O811" i="2" s="1"/>
  <c r="A811" i="2"/>
  <c r="N810" i="2"/>
  <c r="L810" i="2"/>
  <c r="K810" i="2"/>
  <c r="J810" i="2"/>
  <c r="H810" i="2"/>
  <c r="G810" i="2"/>
  <c r="I810" i="2" s="1"/>
  <c r="F810" i="2"/>
  <c r="D810" i="2"/>
  <c r="E810" i="2" s="1"/>
  <c r="C810" i="2"/>
  <c r="B810" i="2"/>
  <c r="A810" i="2"/>
  <c r="L809" i="2"/>
  <c r="N809" i="2" s="1"/>
  <c r="K809" i="2"/>
  <c r="J809" i="2"/>
  <c r="I809" i="2"/>
  <c r="H809" i="2"/>
  <c r="G809" i="2"/>
  <c r="F809" i="2"/>
  <c r="E809" i="2"/>
  <c r="D809" i="2"/>
  <c r="C809" i="2"/>
  <c r="B809" i="2"/>
  <c r="A809" i="2"/>
  <c r="L808" i="2"/>
  <c r="K808" i="2"/>
  <c r="H808" i="2"/>
  <c r="G808" i="2"/>
  <c r="F808" i="2"/>
  <c r="D808" i="2"/>
  <c r="E808" i="2" s="1"/>
  <c r="C808" i="2"/>
  <c r="B808" i="2"/>
  <c r="O808" i="2" s="1"/>
  <c r="A808" i="2"/>
  <c r="N807" i="2"/>
  <c r="L807" i="2"/>
  <c r="K807" i="2"/>
  <c r="J807" i="2"/>
  <c r="H807" i="2"/>
  <c r="I807" i="2" s="1"/>
  <c r="G807" i="2"/>
  <c r="F807" i="2"/>
  <c r="D807" i="2"/>
  <c r="E807" i="2" s="1"/>
  <c r="C807" i="2"/>
  <c r="B807" i="2"/>
  <c r="A807" i="2"/>
  <c r="N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N805" i="2"/>
  <c r="L805" i="2"/>
  <c r="K805" i="2"/>
  <c r="I805" i="2"/>
  <c r="J805" i="2" s="1"/>
  <c r="H805" i="2"/>
  <c r="G805" i="2"/>
  <c r="F805" i="2"/>
  <c r="E805" i="2"/>
  <c r="D805" i="2"/>
  <c r="C805" i="2"/>
  <c r="B805" i="2"/>
  <c r="A805" i="2"/>
  <c r="L804" i="2"/>
  <c r="K804" i="2"/>
  <c r="I804" i="2"/>
  <c r="J804" i="2" s="1"/>
  <c r="H804" i="2"/>
  <c r="G804" i="2"/>
  <c r="F804" i="2"/>
  <c r="D804" i="2"/>
  <c r="E804" i="2" s="1"/>
  <c r="C804" i="2"/>
  <c r="B804" i="2"/>
  <c r="A804" i="2"/>
  <c r="N803" i="2"/>
  <c r="L803" i="2"/>
  <c r="K803" i="2"/>
  <c r="H803" i="2"/>
  <c r="G803" i="2"/>
  <c r="I803" i="2" s="1"/>
  <c r="J803" i="2" s="1"/>
  <c r="F803" i="2"/>
  <c r="E803" i="2"/>
  <c r="D803" i="2"/>
  <c r="C803" i="2"/>
  <c r="B803" i="2"/>
  <c r="A803" i="2"/>
  <c r="N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N801" i="2"/>
  <c r="L801" i="2"/>
  <c r="K801" i="2"/>
  <c r="J801" i="2"/>
  <c r="H801" i="2"/>
  <c r="I801" i="2" s="1"/>
  <c r="G801" i="2"/>
  <c r="F801" i="2"/>
  <c r="D801" i="2"/>
  <c r="E801" i="2" s="1"/>
  <c r="C801" i="2"/>
  <c r="B801" i="2"/>
  <c r="A801" i="2"/>
  <c r="L800" i="2"/>
  <c r="K800" i="2"/>
  <c r="H800" i="2"/>
  <c r="I800" i="2" s="1"/>
  <c r="J800" i="2" s="1"/>
  <c r="G800" i="2"/>
  <c r="F800" i="2"/>
  <c r="E800" i="2"/>
  <c r="D800" i="2"/>
  <c r="C800" i="2"/>
  <c r="B800" i="2"/>
  <c r="A800" i="2"/>
  <c r="O799" i="2"/>
  <c r="L799" i="2"/>
  <c r="K799" i="2"/>
  <c r="J799" i="2"/>
  <c r="H799" i="2"/>
  <c r="G799" i="2"/>
  <c r="I799" i="2" s="1"/>
  <c r="F799" i="2"/>
  <c r="D799" i="2"/>
  <c r="E799" i="2" s="1"/>
  <c r="C799" i="2"/>
  <c r="B799" i="2"/>
  <c r="A799" i="2"/>
  <c r="N798" i="2"/>
  <c r="L798" i="2"/>
  <c r="K798" i="2"/>
  <c r="I798" i="2"/>
  <c r="J798" i="2" s="1"/>
  <c r="H798" i="2"/>
  <c r="G798" i="2"/>
  <c r="F798" i="2"/>
  <c r="E798" i="2"/>
  <c r="D798" i="2"/>
  <c r="C798" i="2"/>
  <c r="B798" i="2"/>
  <c r="A798" i="2"/>
  <c r="L797" i="2"/>
  <c r="K797" i="2"/>
  <c r="I797" i="2"/>
  <c r="J797" i="2" s="1"/>
  <c r="H797" i="2"/>
  <c r="G797" i="2"/>
  <c r="F797" i="2"/>
  <c r="D797" i="2"/>
  <c r="E797" i="2" s="1"/>
  <c r="C797" i="2"/>
  <c r="B797" i="2"/>
  <c r="A797" i="2"/>
  <c r="N796" i="2"/>
  <c r="L796" i="2"/>
  <c r="K796" i="2"/>
  <c r="H796" i="2"/>
  <c r="G796" i="2"/>
  <c r="I796" i="2" s="1"/>
  <c r="J796" i="2" s="1"/>
  <c r="F796" i="2"/>
  <c r="E796" i="2"/>
  <c r="D796" i="2"/>
  <c r="C796" i="2"/>
  <c r="B796" i="2"/>
  <c r="A796" i="2"/>
  <c r="N795" i="2"/>
  <c r="L795" i="2"/>
  <c r="K795" i="2"/>
  <c r="H795" i="2"/>
  <c r="G795" i="2"/>
  <c r="F795" i="2"/>
  <c r="E795" i="2"/>
  <c r="D795" i="2"/>
  <c r="C795" i="2"/>
  <c r="B795" i="2"/>
  <c r="A795" i="2"/>
  <c r="O794" i="2"/>
  <c r="N794" i="2"/>
  <c r="L794" i="2"/>
  <c r="K794" i="2"/>
  <c r="J794" i="2"/>
  <c r="H794" i="2"/>
  <c r="G794" i="2"/>
  <c r="I794" i="2" s="1"/>
  <c r="F794" i="2"/>
  <c r="E794" i="2"/>
  <c r="D794" i="2"/>
  <c r="C794" i="2"/>
  <c r="B794" i="2"/>
  <c r="A794" i="2"/>
  <c r="N793" i="2"/>
  <c r="L793" i="2"/>
  <c r="K793" i="2"/>
  <c r="I793" i="2"/>
  <c r="J793" i="2" s="1"/>
  <c r="H793" i="2"/>
  <c r="G793" i="2"/>
  <c r="F793" i="2"/>
  <c r="D793" i="2"/>
  <c r="E793" i="2" s="1"/>
  <c r="C793" i="2"/>
  <c r="B793" i="2"/>
  <c r="A793" i="2"/>
  <c r="L792" i="2"/>
  <c r="K792" i="2"/>
  <c r="I792" i="2"/>
  <c r="J792" i="2" s="1"/>
  <c r="H792" i="2"/>
  <c r="G792" i="2"/>
  <c r="F792" i="2"/>
  <c r="D792" i="2"/>
  <c r="E792" i="2" s="1"/>
  <c r="C792" i="2"/>
  <c r="O792" i="2" s="1"/>
  <c r="B792" i="2"/>
  <c r="A792" i="2"/>
  <c r="L791" i="2"/>
  <c r="K791" i="2"/>
  <c r="I791" i="2"/>
  <c r="J791" i="2" s="1"/>
  <c r="H791" i="2"/>
  <c r="G791" i="2"/>
  <c r="F791" i="2"/>
  <c r="D791" i="2"/>
  <c r="E791" i="2" s="1"/>
  <c r="C791" i="2"/>
  <c r="B791" i="2"/>
  <c r="A791" i="2"/>
  <c r="L790" i="2"/>
  <c r="K790" i="2"/>
  <c r="I790" i="2"/>
  <c r="J790" i="2" s="1"/>
  <c r="H790" i="2"/>
  <c r="G790" i="2"/>
  <c r="N790" i="2" s="1"/>
  <c r="F790" i="2"/>
  <c r="E790" i="2"/>
  <c r="D790" i="2"/>
  <c r="C790" i="2"/>
  <c r="B790" i="2"/>
  <c r="A790" i="2"/>
  <c r="L789" i="2"/>
  <c r="K789" i="2"/>
  <c r="H789" i="2"/>
  <c r="G789" i="2"/>
  <c r="F789" i="2"/>
  <c r="D789" i="2"/>
  <c r="E789" i="2" s="1"/>
  <c r="C789" i="2"/>
  <c r="B789" i="2"/>
  <c r="A789" i="2"/>
  <c r="L788" i="2"/>
  <c r="K788" i="2"/>
  <c r="H788" i="2"/>
  <c r="G788" i="2"/>
  <c r="F788" i="2"/>
  <c r="E788" i="2"/>
  <c r="D788" i="2"/>
  <c r="C788" i="2"/>
  <c r="B788" i="2"/>
  <c r="A788" i="2"/>
  <c r="N787" i="2"/>
  <c r="L787" i="2"/>
  <c r="K787" i="2"/>
  <c r="H787" i="2"/>
  <c r="G787" i="2"/>
  <c r="F787" i="2"/>
  <c r="D787" i="2"/>
  <c r="E787" i="2" s="1"/>
  <c r="C787" i="2"/>
  <c r="B787" i="2"/>
  <c r="A787" i="2"/>
  <c r="L786" i="2"/>
  <c r="K786" i="2"/>
  <c r="H786" i="2"/>
  <c r="G786" i="2"/>
  <c r="F786" i="2"/>
  <c r="O786" i="2" s="1"/>
  <c r="D786" i="2"/>
  <c r="E786" i="2" s="1"/>
  <c r="C786" i="2"/>
  <c r="B786" i="2"/>
  <c r="A786" i="2"/>
  <c r="L785" i="2"/>
  <c r="N785" i="2" s="1"/>
  <c r="K785" i="2"/>
  <c r="J785" i="2"/>
  <c r="I785" i="2"/>
  <c r="H785" i="2"/>
  <c r="G785" i="2"/>
  <c r="F785" i="2"/>
  <c r="E785" i="2"/>
  <c r="D785" i="2"/>
  <c r="C785" i="2"/>
  <c r="B785" i="2"/>
  <c r="A785" i="2"/>
  <c r="L784" i="2"/>
  <c r="K784" i="2"/>
  <c r="H784" i="2"/>
  <c r="G784" i="2"/>
  <c r="F784" i="2"/>
  <c r="E784" i="2"/>
  <c r="D784" i="2"/>
  <c r="C784" i="2"/>
  <c r="B784" i="2"/>
  <c r="O784" i="2" s="1"/>
  <c r="A784" i="2"/>
  <c r="N783" i="2"/>
  <c r="L783" i="2"/>
  <c r="K783" i="2"/>
  <c r="H783" i="2"/>
  <c r="I783" i="2" s="1"/>
  <c r="J783" i="2" s="1"/>
  <c r="G783" i="2"/>
  <c r="F783" i="2"/>
  <c r="D783" i="2"/>
  <c r="E783" i="2" s="1"/>
  <c r="C783" i="2"/>
  <c r="B783" i="2"/>
  <c r="O783" i="2" s="1"/>
  <c r="A783" i="2"/>
  <c r="L782" i="2"/>
  <c r="K782" i="2"/>
  <c r="J782" i="2"/>
  <c r="H782" i="2"/>
  <c r="G782" i="2"/>
  <c r="I782" i="2" s="1"/>
  <c r="F782" i="2"/>
  <c r="E782" i="2"/>
  <c r="D782" i="2"/>
  <c r="C782" i="2"/>
  <c r="B782" i="2"/>
  <c r="A782" i="2"/>
  <c r="N781" i="2"/>
  <c r="L781" i="2"/>
  <c r="K781" i="2"/>
  <c r="J781" i="2"/>
  <c r="H781" i="2"/>
  <c r="I781" i="2" s="1"/>
  <c r="G781" i="2"/>
  <c r="F781" i="2"/>
  <c r="E781" i="2"/>
  <c r="D781" i="2"/>
  <c r="C781" i="2"/>
  <c r="B781" i="2"/>
  <c r="A781" i="2"/>
  <c r="L780" i="2"/>
  <c r="K780" i="2"/>
  <c r="H780" i="2"/>
  <c r="G780" i="2"/>
  <c r="F780" i="2"/>
  <c r="D780" i="2"/>
  <c r="E780" i="2" s="1"/>
  <c r="C780" i="2"/>
  <c r="B780" i="2"/>
  <c r="A780" i="2"/>
  <c r="L779" i="2"/>
  <c r="K779" i="2"/>
  <c r="H779" i="2"/>
  <c r="G779" i="2"/>
  <c r="F779" i="2"/>
  <c r="D779" i="2"/>
  <c r="E779" i="2" s="1"/>
  <c r="C779" i="2"/>
  <c r="B779" i="2"/>
  <c r="O779" i="2" s="1"/>
  <c r="A779" i="2"/>
  <c r="N778" i="2"/>
  <c r="L778" i="2"/>
  <c r="K778" i="2"/>
  <c r="I778" i="2"/>
  <c r="J778" i="2" s="1"/>
  <c r="H778" i="2"/>
  <c r="G778" i="2"/>
  <c r="F778" i="2"/>
  <c r="D778" i="2"/>
  <c r="E778" i="2" s="1"/>
  <c r="C778" i="2"/>
  <c r="B778" i="2"/>
  <c r="A778" i="2"/>
  <c r="O778" i="2" s="1"/>
  <c r="L777" i="2"/>
  <c r="N777" i="2" s="1"/>
  <c r="K777" i="2"/>
  <c r="J777" i="2"/>
  <c r="I777" i="2"/>
  <c r="H777" i="2"/>
  <c r="G777" i="2"/>
  <c r="F777" i="2"/>
  <c r="D777" i="2"/>
  <c r="E777" i="2" s="1"/>
  <c r="C777" i="2"/>
  <c r="B777" i="2"/>
  <c r="A777" i="2"/>
  <c r="L776" i="2"/>
  <c r="K776" i="2"/>
  <c r="H776" i="2"/>
  <c r="G776" i="2"/>
  <c r="F776" i="2"/>
  <c r="E776" i="2"/>
  <c r="D776" i="2"/>
  <c r="C776" i="2"/>
  <c r="B776" i="2"/>
  <c r="A776" i="2"/>
  <c r="L775" i="2"/>
  <c r="K775" i="2"/>
  <c r="H775" i="2"/>
  <c r="G775" i="2"/>
  <c r="O775" i="2" s="1"/>
  <c r="F775" i="2"/>
  <c r="D775" i="2"/>
  <c r="E775" i="2" s="1"/>
  <c r="C775" i="2"/>
  <c r="B775" i="2"/>
  <c r="A775" i="2"/>
  <c r="N774" i="2"/>
  <c r="L774" i="2"/>
  <c r="K774" i="2"/>
  <c r="H774" i="2"/>
  <c r="I774" i="2" s="1"/>
  <c r="J774" i="2" s="1"/>
  <c r="G774" i="2"/>
  <c r="F774" i="2"/>
  <c r="E774" i="2"/>
  <c r="D774" i="2"/>
  <c r="C774" i="2"/>
  <c r="B774" i="2"/>
  <c r="A774" i="2"/>
  <c r="O773" i="2"/>
  <c r="L773" i="2"/>
  <c r="K773" i="2"/>
  <c r="H773" i="2"/>
  <c r="G773" i="2"/>
  <c r="F773" i="2"/>
  <c r="D773" i="2"/>
  <c r="C773" i="2"/>
  <c r="B773" i="2"/>
  <c r="A773" i="2"/>
  <c r="L772" i="2"/>
  <c r="N772" i="2" s="1"/>
  <c r="K772" i="2"/>
  <c r="H772" i="2"/>
  <c r="I772" i="2" s="1"/>
  <c r="J772" i="2" s="1"/>
  <c r="G772" i="2"/>
  <c r="F772" i="2"/>
  <c r="E772" i="2"/>
  <c r="D772" i="2"/>
  <c r="C772" i="2"/>
  <c r="B772" i="2"/>
  <c r="A772" i="2"/>
  <c r="O771" i="2"/>
  <c r="L771" i="2"/>
  <c r="K771" i="2"/>
  <c r="H771" i="2"/>
  <c r="G771" i="2"/>
  <c r="F771" i="2"/>
  <c r="D771" i="2"/>
  <c r="C771" i="2"/>
  <c r="B771" i="2"/>
  <c r="A771" i="2"/>
  <c r="L770" i="2"/>
  <c r="K770" i="2"/>
  <c r="H770" i="2"/>
  <c r="G770" i="2"/>
  <c r="F770" i="2"/>
  <c r="E770" i="2"/>
  <c r="D770" i="2"/>
  <c r="C770" i="2"/>
  <c r="B770" i="2"/>
  <c r="O770" i="2" s="1"/>
  <c r="A770" i="2"/>
  <c r="N769" i="2"/>
  <c r="L769" i="2"/>
  <c r="K769" i="2"/>
  <c r="I769" i="2"/>
  <c r="J769" i="2" s="1"/>
  <c r="H769" i="2"/>
  <c r="G769" i="2"/>
  <c r="F769" i="2"/>
  <c r="D769" i="2"/>
  <c r="E769" i="2" s="1"/>
  <c r="C769" i="2"/>
  <c r="B769" i="2"/>
  <c r="A769" i="2"/>
  <c r="L768" i="2"/>
  <c r="K768" i="2"/>
  <c r="I768" i="2"/>
  <c r="J768" i="2" s="1"/>
  <c r="H768" i="2"/>
  <c r="G768" i="2"/>
  <c r="F768" i="2"/>
  <c r="D768" i="2"/>
  <c r="E768" i="2" s="1"/>
  <c r="C768" i="2"/>
  <c r="B768" i="2"/>
  <c r="A768" i="2"/>
  <c r="N767" i="2"/>
  <c r="L767" i="2"/>
  <c r="K767" i="2"/>
  <c r="H767" i="2"/>
  <c r="I767" i="2" s="1"/>
  <c r="J767" i="2" s="1"/>
  <c r="G767" i="2"/>
  <c r="F767" i="2"/>
  <c r="D767" i="2"/>
  <c r="E767" i="2" s="1"/>
  <c r="C767" i="2"/>
  <c r="B767" i="2"/>
  <c r="A767" i="2"/>
  <c r="L766" i="2"/>
  <c r="K766" i="2"/>
  <c r="H766" i="2"/>
  <c r="G766" i="2"/>
  <c r="F766" i="2"/>
  <c r="E766" i="2"/>
  <c r="D766" i="2"/>
  <c r="C766" i="2"/>
  <c r="B766" i="2"/>
  <c r="A766" i="2"/>
  <c r="N765" i="2"/>
  <c r="L765" i="2"/>
  <c r="K765" i="2"/>
  <c r="J765" i="2"/>
  <c r="H765" i="2"/>
  <c r="G765" i="2"/>
  <c r="I765" i="2" s="1"/>
  <c r="F765" i="2"/>
  <c r="O765" i="2" s="1"/>
  <c r="E765" i="2"/>
  <c r="D765" i="2"/>
  <c r="C765" i="2"/>
  <c r="B765" i="2"/>
  <c r="A765" i="2"/>
  <c r="L764" i="2"/>
  <c r="K764" i="2"/>
  <c r="H764" i="2"/>
  <c r="G764" i="2"/>
  <c r="F764" i="2"/>
  <c r="E764" i="2"/>
  <c r="D764" i="2"/>
  <c r="C764" i="2"/>
  <c r="B764" i="2"/>
  <c r="A764" i="2"/>
  <c r="L763" i="2"/>
  <c r="N763" i="2" s="1"/>
  <c r="K763" i="2"/>
  <c r="H763" i="2"/>
  <c r="G763" i="2"/>
  <c r="F763" i="2"/>
  <c r="E763" i="2"/>
  <c r="D763" i="2"/>
  <c r="C763" i="2"/>
  <c r="O763" i="2" s="1"/>
  <c r="B763" i="2"/>
  <c r="A763" i="2"/>
  <c r="O762" i="2"/>
  <c r="L762" i="2"/>
  <c r="K762" i="2"/>
  <c r="I762" i="2"/>
  <c r="J762" i="2" s="1"/>
  <c r="H762" i="2"/>
  <c r="G762" i="2"/>
  <c r="F762" i="2"/>
  <c r="E762" i="2"/>
  <c r="D762" i="2"/>
  <c r="C762" i="2"/>
  <c r="B762" i="2"/>
  <c r="A762" i="2"/>
  <c r="N761" i="2"/>
  <c r="L761" i="2"/>
  <c r="K761" i="2"/>
  <c r="J761" i="2"/>
  <c r="H761" i="2"/>
  <c r="I761" i="2" s="1"/>
  <c r="G761" i="2"/>
  <c r="F761" i="2"/>
  <c r="E761" i="2"/>
  <c r="D761" i="2"/>
  <c r="C761" i="2"/>
  <c r="B761" i="2"/>
  <c r="A761" i="2"/>
  <c r="L760" i="2"/>
  <c r="K760" i="2"/>
  <c r="H760" i="2"/>
  <c r="I760" i="2" s="1"/>
  <c r="J760" i="2" s="1"/>
  <c r="G760" i="2"/>
  <c r="F760" i="2"/>
  <c r="E760" i="2"/>
  <c r="D760" i="2"/>
  <c r="C760" i="2"/>
  <c r="O760" i="2" s="1"/>
  <c r="B760" i="2"/>
  <c r="A760" i="2"/>
  <c r="L759" i="2"/>
  <c r="K759" i="2"/>
  <c r="H759" i="2"/>
  <c r="G759" i="2"/>
  <c r="F759" i="2"/>
  <c r="D759" i="2"/>
  <c r="E759" i="2" s="1"/>
  <c r="C759" i="2"/>
  <c r="B759" i="2"/>
  <c r="O759" i="2" s="1"/>
  <c r="A759" i="2"/>
  <c r="L758" i="2"/>
  <c r="K758" i="2"/>
  <c r="H758" i="2"/>
  <c r="G758" i="2"/>
  <c r="F758" i="2"/>
  <c r="E758" i="2"/>
  <c r="D758" i="2"/>
  <c r="C758" i="2"/>
  <c r="B758" i="2"/>
  <c r="A758" i="2"/>
  <c r="N757" i="2"/>
  <c r="L757" i="2"/>
  <c r="K757" i="2"/>
  <c r="I757" i="2"/>
  <c r="J757" i="2" s="1"/>
  <c r="H757" i="2"/>
  <c r="G757" i="2"/>
  <c r="F757" i="2"/>
  <c r="O757" i="2" s="1"/>
  <c r="D757" i="2"/>
  <c r="E757" i="2" s="1"/>
  <c r="C757" i="2"/>
  <c r="B757" i="2"/>
  <c r="A757" i="2"/>
  <c r="L756" i="2"/>
  <c r="K756" i="2"/>
  <c r="I756" i="2"/>
  <c r="J756" i="2" s="1"/>
  <c r="H756" i="2"/>
  <c r="G756" i="2"/>
  <c r="N756" i="2" s="1"/>
  <c r="F756" i="2"/>
  <c r="D756" i="2"/>
  <c r="E756" i="2" s="1"/>
  <c r="C756" i="2"/>
  <c r="B756" i="2"/>
  <c r="A756" i="2"/>
  <c r="L755" i="2"/>
  <c r="K755" i="2"/>
  <c r="H755" i="2"/>
  <c r="G755" i="2"/>
  <c r="F755" i="2"/>
  <c r="E755" i="2"/>
  <c r="D755" i="2"/>
  <c r="C755" i="2"/>
  <c r="B755" i="2"/>
  <c r="A755" i="2"/>
  <c r="N754" i="2"/>
  <c r="L754" i="2"/>
  <c r="K754" i="2"/>
  <c r="I754" i="2"/>
  <c r="J754" i="2" s="1"/>
  <c r="H754" i="2"/>
  <c r="G754" i="2"/>
  <c r="F754" i="2"/>
  <c r="D754" i="2"/>
  <c r="E754" i="2" s="1"/>
  <c r="C754" i="2"/>
  <c r="B754" i="2"/>
  <c r="O754" i="2" s="1"/>
  <c r="A754" i="2"/>
  <c r="L753" i="2"/>
  <c r="N753" i="2" s="1"/>
  <c r="K753" i="2"/>
  <c r="H753" i="2"/>
  <c r="I753" i="2" s="1"/>
  <c r="J753" i="2" s="1"/>
  <c r="G753" i="2"/>
  <c r="F753" i="2"/>
  <c r="D753" i="2"/>
  <c r="C753" i="2"/>
  <c r="B753" i="2"/>
  <c r="A753" i="2"/>
  <c r="O752" i="2"/>
  <c r="L752" i="2"/>
  <c r="K752" i="2"/>
  <c r="H752" i="2"/>
  <c r="G752" i="2"/>
  <c r="F752" i="2"/>
  <c r="E752" i="2"/>
  <c r="D752" i="2"/>
  <c r="C752" i="2"/>
  <c r="B752" i="2"/>
  <c r="A752" i="2"/>
  <c r="N751" i="2"/>
  <c r="L751" i="2"/>
  <c r="K751" i="2"/>
  <c r="I751" i="2"/>
  <c r="J751" i="2" s="1"/>
  <c r="H751" i="2"/>
  <c r="G751" i="2"/>
  <c r="F751" i="2"/>
  <c r="D751" i="2"/>
  <c r="E751" i="2" s="1"/>
  <c r="C751" i="2"/>
  <c r="B751" i="2"/>
  <c r="A751" i="2"/>
  <c r="O750" i="2"/>
  <c r="L750" i="2"/>
  <c r="K750" i="2"/>
  <c r="I750" i="2"/>
  <c r="J750" i="2" s="1"/>
  <c r="H750" i="2"/>
  <c r="G750" i="2"/>
  <c r="N750" i="2" s="1"/>
  <c r="F750" i="2"/>
  <c r="E750" i="2"/>
  <c r="D750" i="2"/>
  <c r="C750" i="2"/>
  <c r="B750" i="2"/>
  <c r="A750" i="2"/>
  <c r="N749" i="2"/>
  <c r="L749" i="2"/>
  <c r="K749" i="2"/>
  <c r="H749" i="2"/>
  <c r="I749" i="2" s="1"/>
  <c r="J749" i="2" s="1"/>
  <c r="G749" i="2"/>
  <c r="F749" i="2"/>
  <c r="E749" i="2"/>
  <c r="D749" i="2"/>
  <c r="C749" i="2"/>
  <c r="B749" i="2"/>
  <c r="A749" i="2"/>
  <c r="L748" i="2"/>
  <c r="K748" i="2"/>
  <c r="H748" i="2"/>
  <c r="G748" i="2"/>
  <c r="F748" i="2"/>
  <c r="D748" i="2"/>
  <c r="E748" i="2" s="1"/>
  <c r="C748" i="2"/>
  <c r="O748" i="2" s="1"/>
  <c r="B748" i="2"/>
  <c r="A748" i="2"/>
  <c r="L747" i="2"/>
  <c r="K747" i="2"/>
  <c r="H747" i="2"/>
  <c r="G747" i="2"/>
  <c r="F747" i="2"/>
  <c r="D747" i="2"/>
  <c r="C747" i="2"/>
  <c r="B747" i="2"/>
  <c r="A747" i="2"/>
  <c r="L746" i="2"/>
  <c r="K746" i="2"/>
  <c r="H746" i="2"/>
  <c r="G746" i="2"/>
  <c r="F746" i="2"/>
  <c r="E746" i="2"/>
  <c r="D746" i="2"/>
  <c r="C746" i="2"/>
  <c r="B746" i="2"/>
  <c r="A746" i="2"/>
  <c r="L745" i="2"/>
  <c r="N745" i="2" s="1"/>
  <c r="K745" i="2"/>
  <c r="I745" i="2"/>
  <c r="J745" i="2" s="1"/>
  <c r="H745" i="2"/>
  <c r="G745" i="2"/>
  <c r="F745" i="2"/>
  <c r="D745" i="2"/>
  <c r="E745" i="2" s="1"/>
  <c r="C745" i="2"/>
  <c r="B745" i="2"/>
  <c r="A745" i="2"/>
  <c r="L744" i="2"/>
  <c r="K744" i="2"/>
  <c r="H744" i="2"/>
  <c r="I744" i="2" s="1"/>
  <c r="J744" i="2" s="1"/>
  <c r="G744" i="2"/>
  <c r="N744" i="2" s="1"/>
  <c r="F744" i="2"/>
  <c r="E744" i="2"/>
  <c r="D744" i="2"/>
  <c r="C744" i="2"/>
  <c r="B744" i="2"/>
  <c r="A744" i="2"/>
  <c r="L743" i="2"/>
  <c r="K743" i="2"/>
  <c r="O743" i="2" s="1"/>
  <c r="I743" i="2"/>
  <c r="J743" i="2" s="1"/>
  <c r="H743" i="2"/>
  <c r="G743" i="2"/>
  <c r="N743" i="2" s="1"/>
  <c r="F743" i="2"/>
  <c r="D743" i="2"/>
  <c r="E743" i="2" s="1"/>
  <c r="C743" i="2"/>
  <c r="B743" i="2"/>
  <c r="A743" i="2"/>
  <c r="N742" i="2"/>
  <c r="L742" i="2"/>
  <c r="K742" i="2"/>
  <c r="I742" i="2"/>
  <c r="J742" i="2" s="1"/>
  <c r="H742" i="2"/>
  <c r="G742" i="2"/>
  <c r="F742" i="2"/>
  <c r="E742" i="2"/>
  <c r="D742" i="2"/>
  <c r="C742" i="2"/>
  <c r="B742" i="2"/>
  <c r="A742" i="2"/>
  <c r="L741" i="2"/>
  <c r="K741" i="2"/>
  <c r="H741" i="2"/>
  <c r="G741" i="2"/>
  <c r="F741" i="2"/>
  <c r="D741" i="2"/>
  <c r="E741" i="2" s="1"/>
  <c r="C741" i="2"/>
  <c r="B741" i="2"/>
  <c r="O741" i="2" s="1"/>
  <c r="A741" i="2"/>
  <c r="N740" i="2"/>
  <c r="L740" i="2"/>
  <c r="K740" i="2"/>
  <c r="H740" i="2"/>
  <c r="I740" i="2" s="1"/>
  <c r="J740" i="2" s="1"/>
  <c r="G740" i="2"/>
  <c r="F740" i="2"/>
  <c r="D740" i="2"/>
  <c r="E740" i="2" s="1"/>
  <c r="C740" i="2"/>
  <c r="B740" i="2"/>
  <c r="A740" i="2"/>
  <c r="L739" i="2"/>
  <c r="K739" i="2"/>
  <c r="H739" i="2"/>
  <c r="G739" i="2"/>
  <c r="F739" i="2"/>
  <c r="D739" i="2"/>
  <c r="E739" i="2" s="1"/>
  <c r="C739" i="2"/>
  <c r="O739" i="2" s="1"/>
  <c r="B739" i="2"/>
  <c r="A739" i="2"/>
  <c r="L738" i="2"/>
  <c r="K738" i="2"/>
  <c r="H738" i="2"/>
  <c r="G738" i="2"/>
  <c r="F738" i="2"/>
  <c r="E738" i="2"/>
  <c r="D738" i="2"/>
  <c r="C738" i="2"/>
  <c r="B738" i="2"/>
  <c r="A738" i="2"/>
  <c r="N737" i="2"/>
  <c r="L737" i="2"/>
  <c r="K737" i="2"/>
  <c r="I737" i="2"/>
  <c r="J737" i="2" s="1"/>
  <c r="H737" i="2"/>
  <c r="G737" i="2"/>
  <c r="F737" i="2"/>
  <c r="E737" i="2"/>
  <c r="D737" i="2"/>
  <c r="C737" i="2"/>
  <c r="B737" i="2"/>
  <c r="A737" i="2"/>
  <c r="L736" i="2"/>
  <c r="K736" i="2"/>
  <c r="H736" i="2"/>
  <c r="G736" i="2"/>
  <c r="F736" i="2"/>
  <c r="E736" i="2"/>
  <c r="D736" i="2"/>
  <c r="C736" i="2"/>
  <c r="B736" i="2"/>
  <c r="O736" i="2" s="1"/>
  <c r="A736" i="2"/>
  <c r="L735" i="2"/>
  <c r="K735" i="2"/>
  <c r="H735" i="2"/>
  <c r="G735" i="2"/>
  <c r="F735" i="2"/>
  <c r="D735" i="2"/>
  <c r="E735" i="2" s="1"/>
  <c r="C735" i="2"/>
  <c r="B735" i="2"/>
  <c r="A735" i="2"/>
  <c r="N734" i="2"/>
  <c r="L734" i="2"/>
  <c r="K734" i="2"/>
  <c r="J734" i="2"/>
  <c r="H734" i="2"/>
  <c r="I734" i="2" s="1"/>
  <c r="G734" i="2"/>
  <c r="F734" i="2"/>
  <c r="E734" i="2"/>
  <c r="D734" i="2"/>
  <c r="C734" i="2"/>
  <c r="B734" i="2"/>
  <c r="A734" i="2"/>
  <c r="L733" i="2"/>
  <c r="K733" i="2"/>
  <c r="H733" i="2"/>
  <c r="I733" i="2" s="1"/>
  <c r="J733" i="2" s="1"/>
  <c r="G733" i="2"/>
  <c r="F733" i="2"/>
  <c r="E733" i="2"/>
  <c r="D733" i="2"/>
  <c r="C733" i="2"/>
  <c r="B733" i="2"/>
  <c r="A733" i="2"/>
  <c r="L732" i="2"/>
  <c r="K732" i="2"/>
  <c r="O732" i="2" s="1"/>
  <c r="H732" i="2"/>
  <c r="G732" i="2"/>
  <c r="I732" i="2" s="1"/>
  <c r="J732" i="2" s="1"/>
  <c r="F732" i="2"/>
  <c r="E732" i="2"/>
  <c r="D732" i="2"/>
  <c r="C732" i="2"/>
  <c r="B732" i="2"/>
  <c r="A732" i="2"/>
  <c r="N731" i="2"/>
  <c r="L731" i="2"/>
  <c r="K731" i="2"/>
  <c r="H731" i="2"/>
  <c r="G731" i="2"/>
  <c r="F731" i="2"/>
  <c r="D731" i="2"/>
  <c r="C731" i="2"/>
  <c r="B731" i="2"/>
  <c r="A731" i="2"/>
  <c r="L730" i="2"/>
  <c r="K730" i="2"/>
  <c r="J730" i="2"/>
  <c r="I730" i="2"/>
  <c r="H730" i="2"/>
  <c r="G730" i="2"/>
  <c r="N730" i="2" s="1"/>
  <c r="F730" i="2"/>
  <c r="E730" i="2"/>
  <c r="D730" i="2"/>
  <c r="C730" i="2"/>
  <c r="B730" i="2"/>
  <c r="O730" i="2" s="1"/>
  <c r="A730" i="2"/>
  <c r="N729" i="2"/>
  <c r="L729" i="2"/>
  <c r="K729" i="2"/>
  <c r="H729" i="2"/>
  <c r="I729" i="2" s="1"/>
  <c r="J729" i="2" s="1"/>
  <c r="G729" i="2"/>
  <c r="F729" i="2"/>
  <c r="E729" i="2"/>
  <c r="D729" i="2"/>
  <c r="C729" i="2"/>
  <c r="B729" i="2"/>
  <c r="A729" i="2"/>
  <c r="L728" i="2"/>
  <c r="K728" i="2"/>
  <c r="H728" i="2"/>
  <c r="I728" i="2" s="1"/>
  <c r="J728" i="2" s="1"/>
  <c r="G728" i="2"/>
  <c r="F728" i="2"/>
  <c r="D728" i="2"/>
  <c r="E728" i="2" s="1"/>
  <c r="C728" i="2"/>
  <c r="B728" i="2"/>
  <c r="A728" i="2"/>
  <c r="L727" i="2"/>
  <c r="K727" i="2"/>
  <c r="I727" i="2"/>
  <c r="J727" i="2" s="1"/>
  <c r="H727" i="2"/>
  <c r="G727" i="2"/>
  <c r="F727" i="2"/>
  <c r="D727" i="2"/>
  <c r="E727" i="2" s="1"/>
  <c r="C727" i="2"/>
  <c r="O727" i="2" s="1"/>
  <c r="B727" i="2"/>
  <c r="A727" i="2"/>
  <c r="L726" i="2"/>
  <c r="K726" i="2"/>
  <c r="H726" i="2"/>
  <c r="G726" i="2"/>
  <c r="F726" i="2"/>
  <c r="E726" i="2"/>
  <c r="D726" i="2"/>
  <c r="C726" i="2"/>
  <c r="B726" i="2"/>
  <c r="A726" i="2"/>
  <c r="N725" i="2"/>
  <c r="L725" i="2"/>
  <c r="K725" i="2"/>
  <c r="J725" i="2"/>
  <c r="I725" i="2"/>
  <c r="H725" i="2"/>
  <c r="G725" i="2"/>
  <c r="F725" i="2"/>
  <c r="O725" i="2" s="1"/>
  <c r="D725" i="2"/>
  <c r="E725" i="2" s="1"/>
  <c r="C725" i="2"/>
  <c r="B725" i="2"/>
  <c r="A725" i="2"/>
  <c r="L724" i="2"/>
  <c r="K724" i="2"/>
  <c r="I724" i="2"/>
  <c r="J724" i="2" s="1"/>
  <c r="H724" i="2"/>
  <c r="G724" i="2"/>
  <c r="N724" i="2" s="1"/>
  <c r="F724" i="2"/>
  <c r="O724" i="2" s="1"/>
  <c r="D724" i="2"/>
  <c r="E724" i="2" s="1"/>
  <c r="C724" i="2"/>
  <c r="B724" i="2"/>
  <c r="A724" i="2"/>
  <c r="N723" i="2"/>
  <c r="L723" i="2"/>
  <c r="K723" i="2"/>
  <c r="H723" i="2"/>
  <c r="G723" i="2"/>
  <c r="F723" i="2"/>
  <c r="D723" i="2"/>
  <c r="C723" i="2"/>
  <c r="B723" i="2"/>
  <c r="A723" i="2"/>
  <c r="N722" i="2"/>
  <c r="L722" i="2"/>
  <c r="K722" i="2"/>
  <c r="J722" i="2"/>
  <c r="H722" i="2"/>
  <c r="G722" i="2"/>
  <c r="I722" i="2" s="1"/>
  <c r="F722" i="2"/>
  <c r="O722" i="2" s="1"/>
  <c r="E722" i="2"/>
  <c r="D722" i="2"/>
  <c r="C722" i="2"/>
  <c r="B722" i="2"/>
  <c r="A722" i="2"/>
  <c r="L721" i="2"/>
  <c r="N721" i="2" s="1"/>
  <c r="K721" i="2"/>
  <c r="J721" i="2"/>
  <c r="H721" i="2"/>
  <c r="I721" i="2" s="1"/>
  <c r="G721" i="2"/>
  <c r="F721" i="2"/>
  <c r="E721" i="2"/>
  <c r="D721" i="2"/>
  <c r="C721" i="2"/>
  <c r="B721" i="2"/>
  <c r="A721" i="2"/>
  <c r="L720" i="2"/>
  <c r="K720" i="2"/>
  <c r="H720" i="2"/>
  <c r="I720" i="2" s="1"/>
  <c r="J720" i="2" s="1"/>
  <c r="G720" i="2"/>
  <c r="N720" i="2" s="1"/>
  <c r="F720" i="2"/>
  <c r="E720" i="2"/>
  <c r="D720" i="2"/>
  <c r="C720" i="2"/>
  <c r="O720" i="2" s="1"/>
  <c r="B720" i="2"/>
  <c r="A720" i="2"/>
  <c r="L719" i="2"/>
  <c r="K719" i="2"/>
  <c r="H719" i="2"/>
  <c r="G719" i="2"/>
  <c r="F719" i="2"/>
  <c r="D719" i="2"/>
  <c r="E719" i="2" s="1"/>
  <c r="C719" i="2"/>
  <c r="B719" i="2"/>
  <c r="A719" i="2"/>
  <c r="N718" i="2"/>
  <c r="L718" i="2"/>
  <c r="K718" i="2"/>
  <c r="I718" i="2"/>
  <c r="J718" i="2" s="1"/>
  <c r="H718" i="2"/>
  <c r="G718" i="2"/>
  <c r="F718" i="2"/>
  <c r="E718" i="2"/>
  <c r="D718" i="2"/>
  <c r="C718" i="2"/>
  <c r="B718" i="2"/>
  <c r="A718" i="2"/>
  <c r="L717" i="2"/>
  <c r="N717" i="2" s="1"/>
  <c r="K717" i="2"/>
  <c r="I717" i="2"/>
  <c r="J717" i="2" s="1"/>
  <c r="H717" i="2"/>
  <c r="G717" i="2"/>
  <c r="F717" i="2"/>
  <c r="D717" i="2"/>
  <c r="E717" i="2" s="1"/>
  <c r="C717" i="2"/>
  <c r="B717" i="2"/>
  <c r="A717" i="2"/>
  <c r="L716" i="2"/>
  <c r="K716" i="2"/>
  <c r="H716" i="2"/>
  <c r="G716" i="2"/>
  <c r="F716" i="2"/>
  <c r="D716" i="2"/>
  <c r="E716" i="2" s="1"/>
  <c r="C716" i="2"/>
  <c r="B716" i="2"/>
  <c r="A716" i="2"/>
  <c r="N715" i="2"/>
  <c r="L715" i="2"/>
  <c r="K715" i="2"/>
  <c r="H715" i="2"/>
  <c r="G715" i="2"/>
  <c r="F715" i="2"/>
  <c r="D715" i="2"/>
  <c r="E715" i="2" s="1"/>
  <c r="C715" i="2"/>
  <c r="B715" i="2"/>
  <c r="A715" i="2"/>
  <c r="L714" i="2"/>
  <c r="K714" i="2"/>
  <c r="I714" i="2"/>
  <c r="J714" i="2" s="1"/>
  <c r="H714" i="2"/>
  <c r="G714" i="2"/>
  <c r="N714" i="2" s="1"/>
  <c r="F714" i="2"/>
  <c r="O714" i="2" s="1"/>
  <c r="D714" i="2"/>
  <c r="E714" i="2" s="1"/>
  <c r="C714" i="2"/>
  <c r="B714" i="2"/>
  <c r="A714" i="2"/>
  <c r="L713" i="2"/>
  <c r="N713" i="2" s="1"/>
  <c r="K713" i="2"/>
  <c r="J713" i="2"/>
  <c r="I713" i="2"/>
  <c r="H713" i="2"/>
  <c r="G713" i="2"/>
  <c r="F713" i="2"/>
  <c r="E713" i="2"/>
  <c r="D713" i="2"/>
  <c r="C713" i="2"/>
  <c r="B713" i="2"/>
  <c r="A713" i="2"/>
  <c r="L712" i="2"/>
  <c r="K712" i="2"/>
  <c r="I712" i="2"/>
  <c r="J712" i="2" s="1"/>
  <c r="H712" i="2"/>
  <c r="G712" i="2"/>
  <c r="N712" i="2" s="1"/>
  <c r="F712" i="2"/>
  <c r="E712" i="2"/>
  <c r="D712" i="2"/>
  <c r="C712" i="2"/>
  <c r="B712" i="2"/>
  <c r="A712" i="2"/>
  <c r="N711" i="2"/>
  <c r="L711" i="2"/>
  <c r="K711" i="2"/>
  <c r="J711" i="2"/>
  <c r="H711" i="2"/>
  <c r="G711" i="2"/>
  <c r="I711" i="2" s="1"/>
  <c r="F711" i="2"/>
  <c r="D711" i="2"/>
  <c r="E711" i="2" s="1"/>
  <c r="C711" i="2"/>
  <c r="B711" i="2"/>
  <c r="A711" i="2"/>
  <c r="L710" i="2"/>
  <c r="K710" i="2"/>
  <c r="H710" i="2"/>
  <c r="G710" i="2"/>
  <c r="F710" i="2"/>
  <c r="E710" i="2"/>
  <c r="D710" i="2"/>
  <c r="C710" i="2"/>
  <c r="B710" i="2"/>
  <c r="A710" i="2"/>
  <c r="L709" i="2"/>
  <c r="N709" i="2" s="1"/>
  <c r="K709" i="2"/>
  <c r="H709" i="2"/>
  <c r="G709" i="2"/>
  <c r="I709" i="2" s="1"/>
  <c r="J709" i="2" s="1"/>
  <c r="F709" i="2"/>
  <c r="E709" i="2"/>
  <c r="D709" i="2"/>
  <c r="C709" i="2"/>
  <c r="B709" i="2"/>
  <c r="O709" i="2" s="1"/>
  <c r="A709" i="2"/>
  <c r="L708" i="2"/>
  <c r="N708" i="2" s="1"/>
  <c r="K708" i="2"/>
  <c r="H708" i="2"/>
  <c r="I708" i="2" s="1"/>
  <c r="J708" i="2" s="1"/>
  <c r="G708" i="2"/>
  <c r="F708" i="2"/>
  <c r="D708" i="2"/>
  <c r="E708" i="2" s="1"/>
  <c r="C708" i="2"/>
  <c r="B708" i="2"/>
  <c r="A708" i="2"/>
  <c r="L707" i="2"/>
  <c r="K707" i="2"/>
  <c r="H707" i="2"/>
  <c r="G707" i="2"/>
  <c r="F707" i="2"/>
  <c r="D707" i="2"/>
  <c r="C707" i="2"/>
  <c r="B707" i="2"/>
  <c r="A707" i="2"/>
  <c r="N706" i="2"/>
  <c r="L706" i="2"/>
  <c r="K706" i="2"/>
  <c r="H706" i="2"/>
  <c r="G706" i="2"/>
  <c r="I706" i="2" s="1"/>
  <c r="J706" i="2" s="1"/>
  <c r="F706" i="2"/>
  <c r="E706" i="2"/>
  <c r="D706" i="2"/>
  <c r="C706" i="2"/>
  <c r="B706" i="2"/>
  <c r="A706" i="2"/>
  <c r="N705" i="2"/>
  <c r="L705" i="2"/>
  <c r="K705" i="2"/>
  <c r="H705" i="2"/>
  <c r="I705" i="2" s="1"/>
  <c r="J705" i="2" s="1"/>
  <c r="G705" i="2"/>
  <c r="F705" i="2"/>
  <c r="D705" i="2"/>
  <c r="E705" i="2" s="1"/>
  <c r="C705" i="2"/>
  <c r="B705" i="2"/>
  <c r="A705" i="2"/>
  <c r="L704" i="2"/>
  <c r="K704" i="2"/>
  <c r="I704" i="2"/>
  <c r="J704" i="2" s="1"/>
  <c r="H704" i="2"/>
  <c r="G704" i="2"/>
  <c r="F704" i="2"/>
  <c r="D704" i="2"/>
  <c r="E704" i="2" s="1"/>
  <c r="C704" i="2"/>
  <c r="O704" i="2" s="1"/>
  <c r="B704" i="2"/>
  <c r="A704" i="2"/>
  <c r="L703" i="2"/>
  <c r="K703" i="2"/>
  <c r="H703" i="2"/>
  <c r="G703" i="2"/>
  <c r="F703" i="2"/>
  <c r="D703" i="2"/>
  <c r="E703" i="2" s="1"/>
  <c r="C703" i="2"/>
  <c r="B703" i="2"/>
  <c r="A703" i="2"/>
  <c r="N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L701" i="2"/>
  <c r="N701" i="2" s="1"/>
  <c r="K701" i="2"/>
  <c r="H701" i="2"/>
  <c r="I701" i="2" s="1"/>
  <c r="J701" i="2" s="1"/>
  <c r="G701" i="2"/>
  <c r="F701" i="2"/>
  <c r="D701" i="2"/>
  <c r="E701" i="2" s="1"/>
  <c r="C701" i="2"/>
  <c r="B701" i="2"/>
  <c r="A701" i="2"/>
  <c r="L700" i="2"/>
  <c r="K700" i="2"/>
  <c r="H700" i="2"/>
  <c r="G700" i="2"/>
  <c r="F700" i="2"/>
  <c r="E700" i="2"/>
  <c r="D700" i="2"/>
  <c r="C700" i="2"/>
  <c r="O700" i="2" s="1"/>
  <c r="B700" i="2"/>
  <c r="A700" i="2"/>
  <c r="L699" i="2"/>
  <c r="N699" i="2" s="1"/>
  <c r="K699" i="2"/>
  <c r="H699" i="2"/>
  <c r="G699" i="2"/>
  <c r="F699" i="2"/>
  <c r="D699" i="2"/>
  <c r="E699" i="2" s="1"/>
  <c r="C699" i="2"/>
  <c r="O699" i="2" s="1"/>
  <c r="B699" i="2"/>
  <c r="A699" i="2"/>
  <c r="L698" i="2"/>
  <c r="K698" i="2"/>
  <c r="I698" i="2"/>
  <c r="J698" i="2" s="1"/>
  <c r="H698" i="2"/>
  <c r="G698" i="2"/>
  <c r="F698" i="2"/>
  <c r="E698" i="2"/>
  <c r="D698" i="2"/>
  <c r="C698" i="2"/>
  <c r="B698" i="2"/>
  <c r="A698" i="2"/>
  <c r="N697" i="2"/>
  <c r="L697" i="2"/>
  <c r="K697" i="2"/>
  <c r="J697" i="2"/>
  <c r="H697" i="2"/>
  <c r="I697" i="2" s="1"/>
  <c r="G697" i="2"/>
  <c r="F697" i="2"/>
  <c r="E697" i="2"/>
  <c r="D697" i="2"/>
  <c r="C697" i="2"/>
  <c r="B697" i="2"/>
  <c r="A697" i="2"/>
  <c r="L696" i="2"/>
  <c r="K696" i="2"/>
  <c r="H696" i="2"/>
  <c r="I696" i="2" s="1"/>
  <c r="J696" i="2" s="1"/>
  <c r="G696" i="2"/>
  <c r="N696" i="2" s="1"/>
  <c r="F696" i="2"/>
  <c r="D696" i="2"/>
  <c r="E696" i="2" s="1"/>
  <c r="C696" i="2"/>
  <c r="B696" i="2"/>
  <c r="A696" i="2"/>
  <c r="N695" i="2"/>
  <c r="L695" i="2"/>
  <c r="K695" i="2"/>
  <c r="H695" i="2"/>
  <c r="G695" i="2"/>
  <c r="I695" i="2" s="1"/>
  <c r="J695" i="2" s="1"/>
  <c r="F695" i="2"/>
  <c r="D695" i="2"/>
  <c r="E695" i="2" s="1"/>
  <c r="C695" i="2"/>
  <c r="B695" i="2"/>
  <c r="O695" i="2" s="1"/>
  <c r="A695" i="2"/>
  <c r="L694" i="2"/>
  <c r="K694" i="2"/>
  <c r="H694" i="2"/>
  <c r="G694" i="2"/>
  <c r="F694" i="2"/>
  <c r="E694" i="2"/>
  <c r="D694" i="2"/>
  <c r="C694" i="2"/>
  <c r="B694" i="2"/>
  <c r="A694" i="2"/>
  <c r="O693" i="2"/>
  <c r="N693" i="2"/>
  <c r="L693" i="2"/>
  <c r="K693" i="2"/>
  <c r="I693" i="2"/>
  <c r="J693" i="2" s="1"/>
  <c r="H693" i="2"/>
  <c r="G693" i="2"/>
  <c r="F693" i="2"/>
  <c r="D693" i="2"/>
  <c r="E693" i="2" s="1"/>
  <c r="C693" i="2"/>
  <c r="B693" i="2"/>
  <c r="A693" i="2"/>
  <c r="L692" i="2"/>
  <c r="K692" i="2"/>
  <c r="H692" i="2"/>
  <c r="G692" i="2"/>
  <c r="F692" i="2"/>
  <c r="E692" i="2"/>
  <c r="D692" i="2"/>
  <c r="C692" i="2"/>
  <c r="B692" i="2"/>
  <c r="A692" i="2"/>
  <c r="O691" i="2"/>
  <c r="N691" i="2"/>
  <c r="L691" i="2"/>
  <c r="K691" i="2"/>
  <c r="H691" i="2"/>
  <c r="G691" i="2"/>
  <c r="F691" i="2"/>
  <c r="D691" i="2"/>
  <c r="C691" i="2"/>
  <c r="B691" i="2"/>
  <c r="A691" i="2"/>
  <c r="L690" i="2"/>
  <c r="K690" i="2"/>
  <c r="H690" i="2"/>
  <c r="G690" i="2"/>
  <c r="F690" i="2"/>
  <c r="D690" i="2"/>
  <c r="E690" i="2" s="1"/>
  <c r="C690" i="2"/>
  <c r="B690" i="2"/>
  <c r="A690" i="2"/>
  <c r="L689" i="2"/>
  <c r="N689" i="2" s="1"/>
  <c r="K689" i="2"/>
  <c r="I689" i="2"/>
  <c r="J689" i="2" s="1"/>
  <c r="H689" i="2"/>
  <c r="G689" i="2"/>
  <c r="F689" i="2"/>
  <c r="D689" i="2"/>
  <c r="E689" i="2" s="1"/>
  <c r="C689" i="2"/>
  <c r="B689" i="2"/>
  <c r="A689" i="2"/>
  <c r="O688" i="2"/>
  <c r="L688" i="2"/>
  <c r="K688" i="2"/>
  <c r="J688" i="2"/>
  <c r="I688" i="2"/>
  <c r="H688" i="2"/>
  <c r="G688" i="2"/>
  <c r="N688" i="2" s="1"/>
  <c r="F688" i="2"/>
  <c r="E688" i="2"/>
  <c r="D688" i="2"/>
  <c r="C688" i="2"/>
  <c r="B688" i="2"/>
  <c r="A688" i="2"/>
  <c r="L687" i="2"/>
  <c r="K687" i="2"/>
  <c r="I687" i="2"/>
  <c r="J687" i="2" s="1"/>
  <c r="H687" i="2"/>
  <c r="G687" i="2"/>
  <c r="N687" i="2" s="1"/>
  <c r="F687" i="2"/>
  <c r="D687" i="2"/>
  <c r="E687" i="2" s="1"/>
  <c r="C687" i="2"/>
  <c r="B687" i="2"/>
  <c r="A687" i="2"/>
  <c r="O686" i="2"/>
  <c r="L686" i="2"/>
  <c r="K686" i="2"/>
  <c r="H686" i="2"/>
  <c r="G686" i="2"/>
  <c r="F686" i="2"/>
  <c r="E686" i="2"/>
  <c r="D686" i="2"/>
  <c r="C686" i="2"/>
  <c r="B686" i="2"/>
  <c r="A686" i="2"/>
  <c r="N685" i="2"/>
  <c r="L685" i="2"/>
  <c r="K685" i="2"/>
  <c r="J685" i="2"/>
  <c r="H685" i="2"/>
  <c r="I685" i="2" s="1"/>
  <c r="G685" i="2"/>
  <c r="F685" i="2"/>
  <c r="E685" i="2"/>
  <c r="D685" i="2"/>
  <c r="C685" i="2"/>
  <c r="B685" i="2"/>
  <c r="A685" i="2"/>
  <c r="L684" i="2"/>
  <c r="K684" i="2"/>
  <c r="H684" i="2"/>
  <c r="G684" i="2"/>
  <c r="F684" i="2"/>
  <c r="D684" i="2"/>
  <c r="C684" i="2"/>
  <c r="B684" i="2"/>
  <c r="A684" i="2"/>
  <c r="L683" i="2"/>
  <c r="K683" i="2"/>
  <c r="H683" i="2"/>
  <c r="G683" i="2"/>
  <c r="F683" i="2"/>
  <c r="D683" i="2"/>
  <c r="E683" i="2" s="1"/>
  <c r="C683" i="2"/>
  <c r="B683" i="2"/>
  <c r="A683" i="2"/>
  <c r="N682" i="2"/>
  <c r="L682" i="2"/>
  <c r="K682" i="2"/>
  <c r="H682" i="2"/>
  <c r="G682" i="2"/>
  <c r="I682" i="2" s="1"/>
  <c r="J682" i="2" s="1"/>
  <c r="F682" i="2"/>
  <c r="E682" i="2"/>
  <c r="D682" i="2"/>
  <c r="C682" i="2"/>
  <c r="O682" i="2" s="1"/>
  <c r="B682" i="2"/>
  <c r="A682" i="2"/>
  <c r="L681" i="2"/>
  <c r="N681" i="2" s="1"/>
  <c r="K681" i="2"/>
  <c r="I681" i="2"/>
  <c r="J681" i="2" s="1"/>
  <c r="H681" i="2"/>
  <c r="G681" i="2"/>
  <c r="F681" i="2"/>
  <c r="E681" i="2"/>
  <c r="D681" i="2"/>
  <c r="C681" i="2"/>
  <c r="B681" i="2"/>
  <c r="A681" i="2"/>
  <c r="L680" i="2"/>
  <c r="K680" i="2"/>
  <c r="H680" i="2"/>
  <c r="I680" i="2" s="1"/>
  <c r="J680" i="2" s="1"/>
  <c r="G680" i="2"/>
  <c r="N680" i="2" s="1"/>
  <c r="F680" i="2"/>
  <c r="E680" i="2"/>
  <c r="D680" i="2"/>
  <c r="C680" i="2"/>
  <c r="B680" i="2"/>
  <c r="A680" i="2"/>
  <c r="L679" i="2"/>
  <c r="K679" i="2"/>
  <c r="I679" i="2"/>
  <c r="J679" i="2" s="1"/>
  <c r="H679" i="2"/>
  <c r="G679" i="2"/>
  <c r="N679" i="2" s="1"/>
  <c r="F679" i="2"/>
  <c r="D679" i="2"/>
  <c r="E679" i="2" s="1"/>
  <c r="C679" i="2"/>
  <c r="B679" i="2"/>
  <c r="O679" i="2" s="1"/>
  <c r="A679" i="2"/>
  <c r="N678" i="2"/>
  <c r="L678" i="2"/>
  <c r="K678" i="2"/>
  <c r="H678" i="2"/>
  <c r="I678" i="2" s="1"/>
  <c r="J678" i="2" s="1"/>
  <c r="G678" i="2"/>
  <c r="F678" i="2"/>
  <c r="O678" i="2" s="1"/>
  <c r="E678" i="2"/>
  <c r="D678" i="2"/>
  <c r="C678" i="2"/>
  <c r="B678" i="2"/>
  <c r="A678" i="2"/>
  <c r="L677" i="2"/>
  <c r="K677" i="2"/>
  <c r="H677" i="2"/>
  <c r="G677" i="2"/>
  <c r="F677" i="2"/>
  <c r="D677" i="2"/>
  <c r="E677" i="2" s="1"/>
  <c r="C677" i="2"/>
  <c r="B677" i="2"/>
  <c r="O677" i="2" s="1"/>
  <c r="A677" i="2"/>
  <c r="N676" i="2"/>
  <c r="L676" i="2"/>
  <c r="K676" i="2"/>
  <c r="H676" i="2"/>
  <c r="I676" i="2" s="1"/>
  <c r="J676" i="2" s="1"/>
  <c r="G676" i="2"/>
  <c r="F676" i="2"/>
  <c r="D676" i="2"/>
  <c r="E676" i="2" s="1"/>
  <c r="C676" i="2"/>
  <c r="B676" i="2"/>
  <c r="A676" i="2"/>
  <c r="L675" i="2"/>
  <c r="K675" i="2"/>
  <c r="H675" i="2"/>
  <c r="G675" i="2"/>
  <c r="F675" i="2"/>
  <c r="D675" i="2"/>
  <c r="E675" i="2" s="1"/>
  <c r="C675" i="2"/>
  <c r="O675" i="2" s="1"/>
  <c r="B675" i="2"/>
  <c r="A675" i="2"/>
  <c r="O674" i="2"/>
  <c r="L674" i="2"/>
  <c r="K674" i="2"/>
  <c r="H674" i="2"/>
  <c r="G674" i="2"/>
  <c r="F674" i="2"/>
  <c r="E674" i="2"/>
  <c r="D674" i="2"/>
  <c r="C674" i="2"/>
  <c r="B674" i="2"/>
  <c r="A674" i="2"/>
  <c r="N673" i="2"/>
  <c r="L673" i="2"/>
  <c r="K673" i="2"/>
  <c r="I673" i="2"/>
  <c r="J673" i="2" s="1"/>
  <c r="H673" i="2"/>
  <c r="G673" i="2"/>
  <c r="F673" i="2"/>
  <c r="E673" i="2"/>
  <c r="D673" i="2"/>
  <c r="C673" i="2"/>
  <c r="B673" i="2"/>
  <c r="A673" i="2"/>
  <c r="L672" i="2"/>
  <c r="K672" i="2"/>
  <c r="H672" i="2"/>
  <c r="G672" i="2"/>
  <c r="F672" i="2"/>
  <c r="E672" i="2"/>
  <c r="D672" i="2"/>
  <c r="C672" i="2"/>
  <c r="B672" i="2"/>
  <c r="A672" i="2"/>
  <c r="L671" i="2"/>
  <c r="K671" i="2"/>
  <c r="H671" i="2"/>
  <c r="G671" i="2"/>
  <c r="F671" i="2"/>
  <c r="D671" i="2"/>
  <c r="E671" i="2" s="1"/>
  <c r="C671" i="2"/>
  <c r="B671" i="2"/>
  <c r="A671" i="2"/>
  <c r="N670" i="2"/>
  <c r="L670" i="2"/>
  <c r="K670" i="2"/>
  <c r="H670" i="2"/>
  <c r="I670" i="2" s="1"/>
  <c r="J670" i="2" s="1"/>
  <c r="G670" i="2"/>
  <c r="F670" i="2"/>
  <c r="E670" i="2"/>
  <c r="D670" i="2"/>
  <c r="C670" i="2"/>
  <c r="B670" i="2"/>
  <c r="A670" i="2"/>
  <c r="L669" i="2"/>
  <c r="K669" i="2"/>
  <c r="I669" i="2"/>
  <c r="J669" i="2" s="1"/>
  <c r="H669" i="2"/>
  <c r="G669" i="2"/>
  <c r="F669" i="2"/>
  <c r="D669" i="2"/>
  <c r="E669" i="2" s="1"/>
  <c r="C669" i="2"/>
  <c r="B669" i="2"/>
  <c r="A669" i="2"/>
  <c r="L668" i="2"/>
  <c r="K668" i="2"/>
  <c r="H668" i="2"/>
  <c r="G668" i="2"/>
  <c r="F668" i="2"/>
  <c r="O668" i="2" s="1"/>
  <c r="E668" i="2"/>
  <c r="D668" i="2"/>
  <c r="C668" i="2"/>
  <c r="B668" i="2"/>
  <c r="A668" i="2"/>
  <c r="L667" i="2"/>
  <c r="N667" i="2" s="1"/>
  <c r="K667" i="2"/>
  <c r="H667" i="2"/>
  <c r="G667" i="2"/>
  <c r="F667" i="2"/>
  <c r="D667" i="2"/>
  <c r="C667" i="2"/>
  <c r="B667" i="2"/>
  <c r="O667" i="2" s="1"/>
  <c r="A667" i="2"/>
  <c r="L666" i="2"/>
  <c r="K666" i="2"/>
  <c r="J666" i="2"/>
  <c r="I666" i="2"/>
  <c r="H666" i="2"/>
  <c r="G666" i="2"/>
  <c r="N666" i="2" s="1"/>
  <c r="F666" i="2"/>
  <c r="E666" i="2"/>
  <c r="D666" i="2"/>
  <c r="C666" i="2"/>
  <c r="B666" i="2"/>
  <c r="A666" i="2"/>
  <c r="N665" i="2"/>
  <c r="L665" i="2"/>
  <c r="K665" i="2"/>
  <c r="H665" i="2"/>
  <c r="I665" i="2" s="1"/>
  <c r="J665" i="2" s="1"/>
  <c r="G665" i="2"/>
  <c r="F665" i="2"/>
  <c r="E665" i="2"/>
  <c r="D665" i="2"/>
  <c r="C665" i="2"/>
  <c r="B665" i="2"/>
  <c r="A665" i="2"/>
  <c r="O664" i="2"/>
  <c r="L664" i="2"/>
  <c r="K664" i="2"/>
  <c r="H664" i="2"/>
  <c r="I664" i="2" s="1"/>
  <c r="J664" i="2" s="1"/>
  <c r="G664" i="2"/>
  <c r="F664" i="2"/>
  <c r="D664" i="2"/>
  <c r="E664" i="2" s="1"/>
  <c r="C664" i="2"/>
  <c r="B664" i="2"/>
  <c r="A664" i="2"/>
  <c r="L663" i="2"/>
  <c r="K663" i="2"/>
  <c r="J663" i="2"/>
  <c r="I663" i="2"/>
  <c r="H663" i="2"/>
  <c r="G663" i="2"/>
  <c r="N663" i="2" s="1"/>
  <c r="F663" i="2"/>
  <c r="D663" i="2"/>
  <c r="E663" i="2" s="1"/>
  <c r="C663" i="2"/>
  <c r="B663" i="2"/>
  <c r="A663" i="2"/>
  <c r="L662" i="2"/>
  <c r="K662" i="2"/>
  <c r="H662" i="2"/>
  <c r="I662" i="2" s="1"/>
  <c r="J662" i="2" s="1"/>
  <c r="G662" i="2"/>
  <c r="N662" i="2" s="1"/>
  <c r="F662" i="2"/>
  <c r="E662" i="2"/>
  <c r="D662" i="2"/>
  <c r="C662" i="2"/>
  <c r="O662" i="2" s="1"/>
  <c r="B662" i="2"/>
  <c r="A662" i="2"/>
  <c r="L661" i="2"/>
  <c r="K661" i="2"/>
  <c r="I661" i="2"/>
  <c r="J661" i="2" s="1"/>
  <c r="H661" i="2"/>
  <c r="G661" i="2"/>
  <c r="N661" i="2" s="1"/>
  <c r="F661" i="2"/>
  <c r="D661" i="2"/>
  <c r="E661" i="2" s="1"/>
  <c r="C661" i="2"/>
  <c r="B661" i="2"/>
  <c r="A661" i="2"/>
  <c r="O660" i="2"/>
  <c r="L660" i="2"/>
  <c r="K660" i="2"/>
  <c r="H660" i="2"/>
  <c r="G660" i="2"/>
  <c r="F660" i="2"/>
  <c r="D660" i="2"/>
  <c r="E660" i="2" s="1"/>
  <c r="C660" i="2"/>
  <c r="B660" i="2"/>
  <c r="A660" i="2"/>
  <c r="L659" i="2"/>
  <c r="K659" i="2"/>
  <c r="H659" i="2"/>
  <c r="G659" i="2"/>
  <c r="F659" i="2"/>
  <c r="D659" i="2"/>
  <c r="C659" i="2"/>
  <c r="B659" i="2"/>
  <c r="A659" i="2"/>
  <c r="L658" i="2"/>
  <c r="K658" i="2"/>
  <c r="H658" i="2"/>
  <c r="G658" i="2"/>
  <c r="I658" i="2" s="1"/>
  <c r="J658" i="2" s="1"/>
  <c r="F658" i="2"/>
  <c r="E658" i="2"/>
  <c r="D658" i="2"/>
  <c r="C658" i="2"/>
  <c r="B658" i="2"/>
  <c r="O658" i="2" s="1"/>
  <c r="A658" i="2"/>
  <c r="L657" i="2"/>
  <c r="N657" i="2" s="1"/>
  <c r="K657" i="2"/>
  <c r="H657" i="2"/>
  <c r="I657" i="2" s="1"/>
  <c r="J657" i="2" s="1"/>
  <c r="G657" i="2"/>
  <c r="F657" i="2"/>
  <c r="D657" i="2"/>
  <c r="C657" i="2"/>
  <c r="B657" i="2"/>
  <c r="A657" i="2"/>
  <c r="L656" i="2"/>
  <c r="K656" i="2"/>
  <c r="H656" i="2"/>
  <c r="I656" i="2" s="1"/>
  <c r="J656" i="2" s="1"/>
  <c r="G656" i="2"/>
  <c r="N656" i="2" s="1"/>
  <c r="F656" i="2"/>
  <c r="E656" i="2"/>
  <c r="D656" i="2"/>
  <c r="C656" i="2"/>
  <c r="B656" i="2"/>
  <c r="A656" i="2"/>
  <c r="L655" i="2"/>
  <c r="K655" i="2"/>
  <c r="H655" i="2"/>
  <c r="G655" i="2"/>
  <c r="F655" i="2"/>
  <c r="D655" i="2"/>
  <c r="E655" i="2" s="1"/>
  <c r="C655" i="2"/>
  <c r="B655" i="2"/>
  <c r="O655" i="2" s="1"/>
  <c r="A655" i="2"/>
  <c r="N654" i="2"/>
  <c r="L654" i="2"/>
  <c r="K654" i="2"/>
  <c r="I654" i="2"/>
  <c r="J654" i="2" s="1"/>
  <c r="H654" i="2"/>
  <c r="G654" i="2"/>
  <c r="F654" i="2"/>
  <c r="E654" i="2"/>
  <c r="D654" i="2"/>
  <c r="C654" i="2"/>
  <c r="B654" i="2"/>
  <c r="A654" i="2"/>
  <c r="N653" i="2"/>
  <c r="L653" i="2"/>
  <c r="K653" i="2"/>
  <c r="J653" i="2"/>
  <c r="I653" i="2"/>
  <c r="H653" i="2"/>
  <c r="G653" i="2"/>
  <c r="F653" i="2"/>
  <c r="D653" i="2"/>
  <c r="E653" i="2" s="1"/>
  <c r="C653" i="2"/>
  <c r="B653" i="2"/>
  <c r="A653" i="2"/>
  <c r="L652" i="2"/>
  <c r="K652" i="2"/>
  <c r="H652" i="2"/>
  <c r="G652" i="2"/>
  <c r="F652" i="2"/>
  <c r="D652" i="2"/>
  <c r="E652" i="2" s="1"/>
  <c r="C652" i="2"/>
  <c r="B652" i="2"/>
  <c r="A652" i="2"/>
  <c r="N651" i="2"/>
  <c r="L651" i="2"/>
  <c r="K651" i="2"/>
  <c r="H651" i="2"/>
  <c r="G651" i="2"/>
  <c r="F651" i="2"/>
  <c r="O651" i="2" s="1"/>
  <c r="D651" i="2"/>
  <c r="E651" i="2" s="1"/>
  <c r="C651" i="2"/>
  <c r="B651" i="2"/>
  <c r="A651" i="2"/>
  <c r="L650" i="2"/>
  <c r="K650" i="2"/>
  <c r="H650" i="2"/>
  <c r="G650" i="2"/>
  <c r="F650" i="2"/>
  <c r="D650" i="2"/>
  <c r="E650" i="2" s="1"/>
  <c r="C650" i="2"/>
  <c r="B650" i="2"/>
  <c r="A650" i="2"/>
  <c r="L649" i="2"/>
  <c r="N649" i="2" s="1"/>
  <c r="K649" i="2"/>
  <c r="J649" i="2"/>
  <c r="I649" i="2"/>
  <c r="H649" i="2"/>
  <c r="G649" i="2"/>
  <c r="F649" i="2"/>
  <c r="D649" i="2"/>
  <c r="E649" i="2" s="1"/>
  <c r="C649" i="2"/>
  <c r="B649" i="2"/>
  <c r="A649" i="2"/>
  <c r="L648" i="2"/>
  <c r="K648" i="2"/>
  <c r="H648" i="2"/>
  <c r="G648" i="2"/>
  <c r="F648" i="2"/>
  <c r="D648" i="2"/>
  <c r="E648" i="2" s="1"/>
  <c r="C648" i="2"/>
  <c r="B648" i="2"/>
  <c r="A648" i="2"/>
  <c r="L647" i="2"/>
  <c r="K647" i="2"/>
  <c r="H647" i="2"/>
  <c r="G647" i="2"/>
  <c r="F647" i="2"/>
  <c r="D647" i="2"/>
  <c r="E647" i="2" s="1"/>
  <c r="C647" i="2"/>
  <c r="B647" i="2"/>
  <c r="A647" i="2"/>
  <c r="L646" i="2"/>
  <c r="K646" i="2"/>
  <c r="I646" i="2"/>
  <c r="J646" i="2" s="1"/>
  <c r="H646" i="2"/>
  <c r="G646" i="2"/>
  <c r="N646" i="2" s="1"/>
  <c r="F646" i="2"/>
  <c r="E646" i="2"/>
  <c r="D646" i="2"/>
  <c r="C646" i="2"/>
  <c r="B646" i="2"/>
  <c r="A646" i="2"/>
  <c r="L645" i="2"/>
  <c r="K645" i="2"/>
  <c r="H645" i="2"/>
  <c r="G645" i="2"/>
  <c r="F645" i="2"/>
  <c r="E645" i="2"/>
  <c r="D645" i="2"/>
  <c r="C645" i="2"/>
  <c r="B645" i="2"/>
  <c r="O645" i="2" s="1"/>
  <c r="A645" i="2"/>
  <c r="N644" i="2"/>
  <c r="L644" i="2"/>
  <c r="K644" i="2"/>
  <c r="I644" i="2"/>
  <c r="J644" i="2" s="1"/>
  <c r="H644" i="2"/>
  <c r="G644" i="2"/>
  <c r="F644" i="2"/>
  <c r="E644" i="2"/>
  <c r="D644" i="2"/>
  <c r="C644" i="2"/>
  <c r="B644" i="2"/>
  <c r="A644" i="2"/>
  <c r="L643" i="2"/>
  <c r="K643" i="2"/>
  <c r="H643" i="2"/>
  <c r="G643" i="2"/>
  <c r="F643" i="2"/>
  <c r="D643" i="2"/>
  <c r="C643" i="2"/>
  <c r="B643" i="2"/>
  <c r="A643" i="2"/>
  <c r="O642" i="2"/>
  <c r="N642" i="2"/>
  <c r="L642" i="2"/>
  <c r="K642" i="2"/>
  <c r="I642" i="2"/>
  <c r="J642" i="2" s="1"/>
  <c r="H642" i="2"/>
  <c r="G642" i="2"/>
  <c r="F642" i="2"/>
  <c r="E642" i="2"/>
  <c r="D642" i="2"/>
  <c r="C642" i="2"/>
  <c r="B642" i="2"/>
  <c r="A642" i="2"/>
  <c r="N641" i="2"/>
  <c r="L641" i="2"/>
  <c r="K641" i="2"/>
  <c r="H641" i="2"/>
  <c r="I641" i="2" s="1"/>
  <c r="J641" i="2" s="1"/>
  <c r="G641" i="2"/>
  <c r="F641" i="2"/>
  <c r="E641" i="2"/>
  <c r="D641" i="2"/>
  <c r="C641" i="2"/>
  <c r="B641" i="2"/>
  <c r="A641" i="2"/>
  <c r="L640" i="2"/>
  <c r="K640" i="2"/>
  <c r="H640" i="2"/>
  <c r="G640" i="2"/>
  <c r="F640" i="2"/>
  <c r="D640" i="2"/>
  <c r="E640" i="2" s="1"/>
  <c r="C640" i="2"/>
  <c r="B640" i="2"/>
  <c r="O640" i="2" s="1"/>
  <c r="A640" i="2"/>
  <c r="L639" i="2"/>
  <c r="K639" i="2"/>
  <c r="H639" i="2"/>
  <c r="G639" i="2"/>
  <c r="F639" i="2"/>
  <c r="D639" i="2"/>
  <c r="E639" i="2" s="1"/>
  <c r="C639" i="2"/>
  <c r="B639" i="2"/>
  <c r="A639" i="2"/>
  <c r="L638" i="2"/>
  <c r="K638" i="2"/>
  <c r="J638" i="2"/>
  <c r="H638" i="2"/>
  <c r="G638" i="2"/>
  <c r="I638" i="2" s="1"/>
  <c r="F638" i="2"/>
  <c r="E638" i="2"/>
  <c r="D638" i="2"/>
  <c r="C638" i="2"/>
  <c r="B638" i="2"/>
  <c r="O638" i="2" s="1"/>
  <c r="A638" i="2"/>
  <c r="L637" i="2"/>
  <c r="N637" i="2" s="1"/>
  <c r="K637" i="2"/>
  <c r="H637" i="2"/>
  <c r="I637" i="2" s="1"/>
  <c r="J637" i="2" s="1"/>
  <c r="G637" i="2"/>
  <c r="F637" i="2"/>
  <c r="D637" i="2"/>
  <c r="E637" i="2" s="1"/>
  <c r="C637" i="2"/>
  <c r="B637" i="2"/>
  <c r="A637" i="2"/>
  <c r="L636" i="2"/>
  <c r="K636" i="2"/>
  <c r="H636" i="2"/>
  <c r="G636" i="2"/>
  <c r="F636" i="2"/>
  <c r="E636" i="2"/>
  <c r="D636" i="2"/>
  <c r="C636" i="2"/>
  <c r="O636" i="2" s="1"/>
  <c r="B636" i="2"/>
  <c r="A636" i="2"/>
  <c r="L635" i="2"/>
  <c r="N635" i="2" s="1"/>
  <c r="K635" i="2"/>
  <c r="H635" i="2"/>
  <c r="O635" i="2" s="1"/>
  <c r="G635" i="2"/>
  <c r="F635" i="2"/>
  <c r="D635" i="2"/>
  <c r="C635" i="2"/>
  <c r="B635" i="2"/>
  <c r="A635" i="2"/>
  <c r="L634" i="2"/>
  <c r="K634" i="2"/>
  <c r="H634" i="2"/>
  <c r="G634" i="2"/>
  <c r="N634" i="2" s="1"/>
  <c r="F634" i="2"/>
  <c r="E634" i="2"/>
  <c r="D634" i="2"/>
  <c r="C634" i="2"/>
  <c r="B634" i="2"/>
  <c r="A634" i="2"/>
  <c r="O634" i="2" s="1"/>
  <c r="N633" i="2"/>
  <c r="L633" i="2"/>
  <c r="K633" i="2"/>
  <c r="H633" i="2"/>
  <c r="I633" i="2" s="1"/>
  <c r="J633" i="2" s="1"/>
  <c r="G633" i="2"/>
  <c r="F633" i="2"/>
  <c r="E633" i="2"/>
  <c r="D633" i="2"/>
  <c r="C633" i="2"/>
  <c r="B633" i="2"/>
  <c r="A633" i="2"/>
  <c r="L632" i="2"/>
  <c r="K632" i="2"/>
  <c r="H632" i="2"/>
  <c r="G632" i="2"/>
  <c r="N632" i="2" s="1"/>
  <c r="F632" i="2"/>
  <c r="D632" i="2"/>
  <c r="E632" i="2" s="1"/>
  <c r="C632" i="2"/>
  <c r="B632" i="2"/>
  <c r="A632" i="2"/>
  <c r="L631" i="2"/>
  <c r="K631" i="2"/>
  <c r="H631" i="2"/>
  <c r="G631" i="2"/>
  <c r="F631" i="2"/>
  <c r="O631" i="2" s="1"/>
  <c r="D631" i="2"/>
  <c r="E631" i="2" s="1"/>
  <c r="C631" i="2"/>
  <c r="B631" i="2"/>
  <c r="A631" i="2"/>
  <c r="L630" i="2"/>
  <c r="K630" i="2"/>
  <c r="H630" i="2"/>
  <c r="G630" i="2"/>
  <c r="F630" i="2"/>
  <c r="E630" i="2"/>
  <c r="D630" i="2"/>
  <c r="C630" i="2"/>
  <c r="B630" i="2"/>
  <c r="A630" i="2"/>
  <c r="O630" i="2" s="1"/>
  <c r="N629" i="2"/>
  <c r="L629" i="2"/>
  <c r="K629" i="2"/>
  <c r="I629" i="2"/>
  <c r="J629" i="2" s="1"/>
  <c r="H629" i="2"/>
  <c r="G629" i="2"/>
  <c r="F629" i="2"/>
  <c r="D629" i="2"/>
  <c r="E629" i="2" s="1"/>
  <c r="C629" i="2"/>
  <c r="B629" i="2"/>
  <c r="A629" i="2"/>
  <c r="O628" i="2"/>
  <c r="N628" i="2"/>
  <c r="L628" i="2"/>
  <c r="K628" i="2"/>
  <c r="H628" i="2"/>
  <c r="G628" i="2"/>
  <c r="F628" i="2"/>
  <c r="E628" i="2"/>
  <c r="D628" i="2"/>
  <c r="C628" i="2"/>
  <c r="B628" i="2"/>
  <c r="A628" i="2"/>
  <c r="L627" i="2"/>
  <c r="K627" i="2"/>
  <c r="H627" i="2"/>
  <c r="G627" i="2"/>
  <c r="F627" i="2"/>
  <c r="E627" i="2"/>
  <c r="D627" i="2"/>
  <c r="C627" i="2"/>
  <c r="B627" i="2"/>
  <c r="O627" i="2" s="1"/>
  <c r="A627" i="2"/>
  <c r="L626" i="2"/>
  <c r="N626" i="2" s="1"/>
  <c r="K626" i="2"/>
  <c r="H626" i="2"/>
  <c r="G626" i="2"/>
  <c r="I626" i="2" s="1"/>
  <c r="J626" i="2" s="1"/>
  <c r="F626" i="2"/>
  <c r="D626" i="2"/>
  <c r="E626" i="2" s="1"/>
  <c r="C626" i="2"/>
  <c r="O626" i="2" s="1"/>
  <c r="B626" i="2"/>
  <c r="A626" i="2"/>
  <c r="L625" i="2"/>
  <c r="N625" i="2" s="1"/>
  <c r="K625" i="2"/>
  <c r="I625" i="2"/>
  <c r="J625" i="2" s="1"/>
  <c r="H625" i="2"/>
  <c r="G625" i="2"/>
  <c r="F625" i="2"/>
  <c r="D625" i="2"/>
  <c r="E625" i="2" s="1"/>
  <c r="C625" i="2"/>
  <c r="B625" i="2"/>
  <c r="A625" i="2"/>
  <c r="L624" i="2"/>
  <c r="K624" i="2"/>
  <c r="H624" i="2"/>
  <c r="O624" i="2" s="1"/>
  <c r="G624" i="2"/>
  <c r="F624" i="2"/>
  <c r="E624" i="2"/>
  <c r="D624" i="2"/>
  <c r="C624" i="2"/>
  <c r="B624" i="2"/>
  <c r="A624" i="2"/>
  <c r="O623" i="2"/>
  <c r="N623" i="2"/>
  <c r="L623" i="2"/>
  <c r="K623" i="2"/>
  <c r="I623" i="2"/>
  <c r="J623" i="2" s="1"/>
  <c r="H623" i="2"/>
  <c r="G623" i="2"/>
  <c r="F623" i="2"/>
  <c r="D623" i="2"/>
  <c r="E623" i="2" s="1"/>
  <c r="C623" i="2"/>
  <c r="B623" i="2"/>
  <c r="A623" i="2"/>
  <c r="L622" i="2"/>
  <c r="K622" i="2"/>
  <c r="J622" i="2"/>
  <c r="I622" i="2"/>
  <c r="H622" i="2"/>
  <c r="G622" i="2"/>
  <c r="N622" i="2" s="1"/>
  <c r="F622" i="2"/>
  <c r="E622" i="2"/>
  <c r="D622" i="2"/>
  <c r="C622" i="2"/>
  <c r="B622" i="2"/>
  <c r="A622" i="2"/>
  <c r="N621" i="2"/>
  <c r="L621" i="2"/>
  <c r="K621" i="2"/>
  <c r="H621" i="2"/>
  <c r="I621" i="2" s="1"/>
  <c r="J621" i="2" s="1"/>
  <c r="G621" i="2"/>
  <c r="F621" i="2"/>
  <c r="E621" i="2"/>
  <c r="D621" i="2"/>
  <c r="C621" i="2"/>
  <c r="B621" i="2"/>
  <c r="A621" i="2"/>
  <c r="L620" i="2"/>
  <c r="K620" i="2"/>
  <c r="I620" i="2"/>
  <c r="J620" i="2" s="1"/>
  <c r="H620" i="2"/>
  <c r="G620" i="2"/>
  <c r="F620" i="2"/>
  <c r="D620" i="2"/>
  <c r="E620" i="2" s="1"/>
  <c r="C620" i="2"/>
  <c r="O620" i="2" s="1"/>
  <c r="B620" i="2"/>
  <c r="A620" i="2"/>
  <c r="L619" i="2"/>
  <c r="K619" i="2"/>
  <c r="H619" i="2"/>
  <c r="G619" i="2"/>
  <c r="F619" i="2"/>
  <c r="D619" i="2"/>
  <c r="C619" i="2"/>
  <c r="B619" i="2"/>
  <c r="O619" i="2" s="1"/>
  <c r="A619" i="2"/>
  <c r="N618" i="2"/>
  <c r="L618" i="2"/>
  <c r="K618" i="2"/>
  <c r="I618" i="2"/>
  <c r="J618" i="2" s="1"/>
  <c r="H618" i="2"/>
  <c r="G618" i="2"/>
  <c r="F618" i="2"/>
  <c r="E618" i="2"/>
  <c r="D618" i="2"/>
  <c r="C618" i="2"/>
  <c r="B618" i="2"/>
  <c r="A618" i="2"/>
  <c r="L617" i="2"/>
  <c r="N617" i="2" s="1"/>
  <c r="K617" i="2"/>
  <c r="I617" i="2"/>
  <c r="J617" i="2" s="1"/>
  <c r="H617" i="2"/>
  <c r="G617" i="2"/>
  <c r="F617" i="2"/>
  <c r="D617" i="2"/>
  <c r="E617" i="2" s="1"/>
  <c r="C617" i="2"/>
  <c r="B617" i="2"/>
  <c r="A617" i="2"/>
  <c r="L616" i="2"/>
  <c r="K616" i="2"/>
  <c r="H616" i="2"/>
  <c r="G616" i="2"/>
  <c r="I616" i="2" s="1"/>
  <c r="J616" i="2" s="1"/>
  <c r="F616" i="2"/>
  <c r="E616" i="2"/>
  <c r="D616" i="2"/>
  <c r="C616" i="2"/>
  <c r="B616" i="2"/>
  <c r="A616" i="2"/>
  <c r="N615" i="2"/>
  <c r="L615" i="2"/>
  <c r="K615" i="2"/>
  <c r="J615" i="2"/>
  <c r="H615" i="2"/>
  <c r="G615" i="2"/>
  <c r="I615" i="2" s="1"/>
  <c r="F615" i="2"/>
  <c r="D615" i="2"/>
  <c r="E615" i="2" s="1"/>
  <c r="C615" i="2"/>
  <c r="B615" i="2"/>
  <c r="A615" i="2"/>
  <c r="N614" i="2"/>
  <c r="L614" i="2"/>
  <c r="K614" i="2"/>
  <c r="I614" i="2"/>
  <c r="J614" i="2" s="1"/>
  <c r="H614" i="2"/>
  <c r="G614" i="2"/>
  <c r="F614" i="2"/>
  <c r="E614" i="2"/>
  <c r="D614" i="2"/>
  <c r="C614" i="2"/>
  <c r="B614" i="2"/>
  <c r="A614" i="2"/>
  <c r="L613" i="2"/>
  <c r="K613" i="2"/>
  <c r="H613" i="2"/>
  <c r="G613" i="2"/>
  <c r="F613" i="2"/>
  <c r="E613" i="2"/>
  <c r="D613" i="2"/>
  <c r="C613" i="2"/>
  <c r="B613" i="2"/>
  <c r="A613" i="2"/>
  <c r="N612" i="2"/>
  <c r="L612" i="2"/>
  <c r="K612" i="2"/>
  <c r="I612" i="2"/>
  <c r="J612" i="2" s="1"/>
  <c r="H612" i="2"/>
  <c r="G612" i="2"/>
  <c r="F612" i="2"/>
  <c r="E612" i="2"/>
  <c r="D612" i="2"/>
  <c r="C612" i="2"/>
  <c r="B612" i="2"/>
  <c r="A612" i="2"/>
  <c r="L611" i="2"/>
  <c r="K611" i="2"/>
  <c r="H611" i="2"/>
  <c r="G611" i="2"/>
  <c r="F611" i="2"/>
  <c r="D611" i="2"/>
  <c r="E611" i="2" s="1"/>
  <c r="C611" i="2"/>
  <c r="B611" i="2"/>
  <c r="A611" i="2"/>
  <c r="N610" i="2"/>
  <c r="L610" i="2"/>
  <c r="K610" i="2"/>
  <c r="J610" i="2"/>
  <c r="H610" i="2"/>
  <c r="G610" i="2"/>
  <c r="I610" i="2" s="1"/>
  <c r="F610" i="2"/>
  <c r="O610" i="2" s="1"/>
  <c r="E610" i="2"/>
  <c r="D610" i="2"/>
  <c r="C610" i="2"/>
  <c r="B610" i="2"/>
  <c r="A610" i="2"/>
  <c r="L609" i="2"/>
  <c r="N609" i="2" s="1"/>
  <c r="K609" i="2"/>
  <c r="H609" i="2"/>
  <c r="I609" i="2" s="1"/>
  <c r="J609" i="2" s="1"/>
  <c r="G609" i="2"/>
  <c r="F609" i="2"/>
  <c r="D609" i="2"/>
  <c r="E609" i="2" s="1"/>
  <c r="C609" i="2"/>
  <c r="B609" i="2"/>
  <c r="A609" i="2"/>
  <c r="L608" i="2"/>
  <c r="K608" i="2"/>
  <c r="H608" i="2"/>
  <c r="G608" i="2"/>
  <c r="F608" i="2"/>
  <c r="D608" i="2"/>
  <c r="E608" i="2" s="1"/>
  <c r="C608" i="2"/>
  <c r="B608" i="2"/>
  <c r="O608" i="2" s="1"/>
  <c r="A608" i="2"/>
  <c r="L607" i="2"/>
  <c r="K607" i="2"/>
  <c r="H607" i="2"/>
  <c r="G607" i="2"/>
  <c r="F607" i="2"/>
  <c r="D607" i="2"/>
  <c r="E607" i="2" s="1"/>
  <c r="C607" i="2"/>
  <c r="B607" i="2"/>
  <c r="A607" i="2"/>
  <c r="L606" i="2"/>
  <c r="K606" i="2"/>
  <c r="H606" i="2"/>
  <c r="G606" i="2"/>
  <c r="F606" i="2"/>
  <c r="O606" i="2" s="1"/>
  <c r="E606" i="2"/>
  <c r="D606" i="2"/>
  <c r="C606" i="2"/>
  <c r="B606" i="2"/>
  <c r="A606" i="2"/>
  <c r="L605" i="2"/>
  <c r="K605" i="2"/>
  <c r="H605" i="2"/>
  <c r="G605" i="2"/>
  <c r="F605" i="2"/>
  <c r="E605" i="2"/>
  <c r="D605" i="2"/>
  <c r="C605" i="2"/>
  <c r="B605" i="2"/>
  <c r="A605" i="2"/>
  <c r="L604" i="2"/>
  <c r="N604" i="2" s="1"/>
  <c r="K604" i="2"/>
  <c r="H604" i="2"/>
  <c r="G604" i="2"/>
  <c r="I604" i="2" s="1"/>
  <c r="J604" i="2" s="1"/>
  <c r="F604" i="2"/>
  <c r="D604" i="2"/>
  <c r="E604" i="2" s="1"/>
  <c r="C604" i="2"/>
  <c r="B604" i="2"/>
  <c r="A604" i="2"/>
  <c r="O604" i="2" s="1"/>
  <c r="N603" i="2"/>
  <c r="L603" i="2"/>
  <c r="K603" i="2"/>
  <c r="H603" i="2"/>
  <c r="G603" i="2"/>
  <c r="F603" i="2"/>
  <c r="O603" i="2" s="1"/>
  <c r="E603" i="2"/>
  <c r="D603" i="2"/>
  <c r="C603" i="2"/>
  <c r="B603" i="2"/>
  <c r="A603" i="2"/>
  <c r="O602" i="2"/>
  <c r="L602" i="2"/>
  <c r="K602" i="2"/>
  <c r="H602" i="2"/>
  <c r="G602" i="2"/>
  <c r="F602" i="2"/>
  <c r="D602" i="2"/>
  <c r="E602" i="2" s="1"/>
  <c r="C602" i="2"/>
  <c r="B602" i="2"/>
  <c r="A602" i="2"/>
  <c r="N601" i="2"/>
  <c r="L601" i="2"/>
  <c r="K601" i="2"/>
  <c r="H601" i="2"/>
  <c r="I601" i="2" s="1"/>
  <c r="J601" i="2" s="1"/>
  <c r="G601" i="2"/>
  <c r="F601" i="2"/>
  <c r="E601" i="2"/>
  <c r="D601" i="2"/>
  <c r="C601" i="2"/>
  <c r="B601" i="2"/>
  <c r="A601" i="2"/>
  <c r="L600" i="2"/>
  <c r="K600" i="2"/>
  <c r="H600" i="2"/>
  <c r="I600" i="2" s="1"/>
  <c r="J600" i="2" s="1"/>
  <c r="G600" i="2"/>
  <c r="F600" i="2"/>
  <c r="E600" i="2"/>
  <c r="D600" i="2"/>
  <c r="C600" i="2"/>
  <c r="B600" i="2"/>
  <c r="A600" i="2"/>
  <c r="L599" i="2"/>
  <c r="K599" i="2"/>
  <c r="J599" i="2"/>
  <c r="I599" i="2"/>
  <c r="H599" i="2"/>
  <c r="G599" i="2"/>
  <c r="F599" i="2"/>
  <c r="D599" i="2"/>
  <c r="E599" i="2" s="1"/>
  <c r="C599" i="2"/>
  <c r="B599" i="2"/>
  <c r="A599" i="2"/>
  <c r="L598" i="2"/>
  <c r="K598" i="2"/>
  <c r="H598" i="2"/>
  <c r="G598" i="2"/>
  <c r="N598" i="2" s="1"/>
  <c r="F598" i="2"/>
  <c r="E598" i="2"/>
  <c r="D598" i="2"/>
  <c r="C598" i="2"/>
  <c r="B598" i="2"/>
  <c r="A598" i="2"/>
  <c r="O597" i="2"/>
  <c r="L597" i="2"/>
  <c r="N597" i="2" s="1"/>
  <c r="K597" i="2"/>
  <c r="H597" i="2"/>
  <c r="G597" i="2"/>
  <c r="I597" i="2" s="1"/>
  <c r="J597" i="2" s="1"/>
  <c r="F597" i="2"/>
  <c r="D597" i="2"/>
  <c r="E597" i="2" s="1"/>
  <c r="C597" i="2"/>
  <c r="B597" i="2"/>
  <c r="A597" i="2"/>
  <c r="N596" i="2"/>
  <c r="L596" i="2"/>
  <c r="K596" i="2"/>
  <c r="I596" i="2"/>
  <c r="J596" i="2" s="1"/>
  <c r="H596" i="2"/>
  <c r="G596" i="2"/>
  <c r="F596" i="2"/>
  <c r="E596" i="2"/>
  <c r="D596" i="2"/>
  <c r="C596" i="2"/>
  <c r="B596" i="2"/>
  <c r="A596" i="2"/>
  <c r="N595" i="2"/>
  <c r="L595" i="2"/>
  <c r="K595" i="2"/>
  <c r="H595" i="2"/>
  <c r="G595" i="2"/>
  <c r="F595" i="2"/>
  <c r="D595" i="2"/>
  <c r="C595" i="2"/>
  <c r="B595" i="2"/>
  <c r="A595" i="2"/>
  <c r="L594" i="2"/>
  <c r="K594" i="2"/>
  <c r="H594" i="2"/>
  <c r="G594" i="2"/>
  <c r="F594" i="2"/>
  <c r="D594" i="2"/>
  <c r="E594" i="2" s="1"/>
  <c r="C594" i="2"/>
  <c r="B594" i="2"/>
  <c r="O594" i="2" s="1"/>
  <c r="A594" i="2"/>
  <c r="L593" i="2"/>
  <c r="N593" i="2" s="1"/>
  <c r="K593" i="2"/>
  <c r="I593" i="2"/>
  <c r="J593" i="2" s="1"/>
  <c r="H593" i="2"/>
  <c r="G593" i="2"/>
  <c r="F593" i="2"/>
  <c r="D593" i="2"/>
  <c r="E593" i="2" s="1"/>
  <c r="C593" i="2"/>
  <c r="B593" i="2"/>
  <c r="A593" i="2"/>
  <c r="L592" i="2"/>
  <c r="K592" i="2"/>
  <c r="H592" i="2"/>
  <c r="G592" i="2"/>
  <c r="F592" i="2"/>
  <c r="E592" i="2"/>
  <c r="D592" i="2"/>
  <c r="C592" i="2"/>
  <c r="B592" i="2"/>
  <c r="A592" i="2"/>
  <c r="L591" i="2"/>
  <c r="N591" i="2" s="1"/>
  <c r="K591" i="2"/>
  <c r="I591" i="2"/>
  <c r="J591" i="2" s="1"/>
  <c r="H591" i="2"/>
  <c r="G591" i="2"/>
  <c r="F591" i="2"/>
  <c r="D591" i="2"/>
  <c r="E591" i="2" s="1"/>
  <c r="C591" i="2"/>
  <c r="B591" i="2"/>
  <c r="O591" i="2" s="1"/>
  <c r="A591" i="2"/>
  <c r="O590" i="2"/>
  <c r="L590" i="2"/>
  <c r="K590" i="2"/>
  <c r="H590" i="2"/>
  <c r="G590" i="2"/>
  <c r="N590" i="2" s="1"/>
  <c r="F590" i="2"/>
  <c r="E590" i="2"/>
  <c r="D590" i="2"/>
  <c r="C590" i="2"/>
  <c r="B590" i="2"/>
  <c r="A590" i="2"/>
  <c r="N589" i="2"/>
  <c r="L589" i="2"/>
  <c r="K589" i="2"/>
  <c r="H589" i="2"/>
  <c r="I589" i="2" s="1"/>
  <c r="J589" i="2" s="1"/>
  <c r="G589" i="2"/>
  <c r="F589" i="2"/>
  <c r="E589" i="2"/>
  <c r="D589" i="2"/>
  <c r="C589" i="2"/>
  <c r="B589" i="2"/>
  <c r="A589" i="2"/>
  <c r="L588" i="2"/>
  <c r="K588" i="2"/>
  <c r="H588" i="2"/>
  <c r="I588" i="2" s="1"/>
  <c r="J588" i="2" s="1"/>
  <c r="G588" i="2"/>
  <c r="F588" i="2"/>
  <c r="D588" i="2"/>
  <c r="E588" i="2" s="1"/>
  <c r="C588" i="2"/>
  <c r="B588" i="2"/>
  <c r="A588" i="2"/>
  <c r="O587" i="2"/>
  <c r="N587" i="2"/>
  <c r="L587" i="2"/>
  <c r="K587" i="2"/>
  <c r="J587" i="2"/>
  <c r="H587" i="2"/>
  <c r="G587" i="2"/>
  <c r="I587" i="2" s="1"/>
  <c r="F587" i="2"/>
  <c r="E587" i="2"/>
  <c r="D587" i="2"/>
  <c r="C587" i="2"/>
  <c r="B587" i="2"/>
  <c r="A587" i="2"/>
  <c r="L586" i="2"/>
  <c r="N586" i="2" s="1"/>
  <c r="K586" i="2"/>
  <c r="I586" i="2"/>
  <c r="J586" i="2" s="1"/>
  <c r="H586" i="2"/>
  <c r="G586" i="2"/>
  <c r="F586" i="2"/>
  <c r="E586" i="2"/>
  <c r="D586" i="2"/>
  <c r="C586" i="2"/>
  <c r="B586" i="2"/>
  <c r="A586" i="2"/>
  <c r="L585" i="2"/>
  <c r="N585" i="2" s="1"/>
  <c r="K585" i="2"/>
  <c r="I585" i="2"/>
  <c r="J585" i="2" s="1"/>
  <c r="H585" i="2"/>
  <c r="G585" i="2"/>
  <c r="F585" i="2"/>
  <c r="D585" i="2"/>
  <c r="E585" i="2" s="1"/>
  <c r="C585" i="2"/>
  <c r="B585" i="2"/>
  <c r="A585" i="2"/>
  <c r="L584" i="2"/>
  <c r="K584" i="2"/>
  <c r="H584" i="2"/>
  <c r="G584" i="2"/>
  <c r="F584" i="2"/>
  <c r="E584" i="2"/>
  <c r="D584" i="2"/>
  <c r="C584" i="2"/>
  <c r="B584" i="2"/>
  <c r="A584" i="2"/>
  <c r="O583" i="2"/>
  <c r="N583" i="2"/>
  <c r="L583" i="2"/>
  <c r="K583" i="2"/>
  <c r="H583" i="2"/>
  <c r="G583" i="2"/>
  <c r="F583" i="2"/>
  <c r="D583" i="2"/>
  <c r="E583" i="2" s="1"/>
  <c r="C583" i="2"/>
  <c r="B583" i="2"/>
  <c r="A583" i="2"/>
  <c r="N582" i="2"/>
  <c r="L582" i="2"/>
  <c r="K582" i="2"/>
  <c r="I582" i="2"/>
  <c r="J582" i="2" s="1"/>
  <c r="H582" i="2"/>
  <c r="G582" i="2"/>
  <c r="F582" i="2"/>
  <c r="E582" i="2"/>
  <c r="D582" i="2"/>
  <c r="C582" i="2"/>
  <c r="B582" i="2"/>
  <c r="A582" i="2"/>
  <c r="O581" i="2"/>
  <c r="L581" i="2"/>
  <c r="K581" i="2"/>
  <c r="H581" i="2"/>
  <c r="G581" i="2"/>
  <c r="F581" i="2"/>
  <c r="E581" i="2"/>
  <c r="D581" i="2"/>
  <c r="C581" i="2"/>
  <c r="B581" i="2"/>
  <c r="A581" i="2"/>
  <c r="L580" i="2"/>
  <c r="N580" i="2" s="1"/>
  <c r="K580" i="2"/>
  <c r="H580" i="2"/>
  <c r="I580" i="2" s="1"/>
  <c r="J580" i="2" s="1"/>
  <c r="G580" i="2"/>
  <c r="F580" i="2"/>
  <c r="E580" i="2"/>
  <c r="D580" i="2"/>
  <c r="C580" i="2"/>
  <c r="B580" i="2"/>
  <c r="A580" i="2"/>
  <c r="L579" i="2"/>
  <c r="K579" i="2"/>
  <c r="H579" i="2"/>
  <c r="G579" i="2"/>
  <c r="F579" i="2"/>
  <c r="D579" i="2"/>
  <c r="E579" i="2" s="1"/>
  <c r="C579" i="2"/>
  <c r="O579" i="2" s="1"/>
  <c r="B579" i="2"/>
  <c r="A579" i="2"/>
  <c r="N578" i="2"/>
  <c r="L578" i="2"/>
  <c r="K578" i="2"/>
  <c r="J578" i="2"/>
  <c r="H578" i="2"/>
  <c r="G578" i="2"/>
  <c r="I578" i="2" s="1"/>
  <c r="F578" i="2"/>
  <c r="E578" i="2"/>
  <c r="D578" i="2"/>
  <c r="C578" i="2"/>
  <c r="B578" i="2"/>
  <c r="O578" i="2" s="1"/>
  <c r="A578" i="2"/>
  <c r="N577" i="2"/>
  <c r="L577" i="2"/>
  <c r="K577" i="2"/>
  <c r="H577" i="2"/>
  <c r="I577" i="2" s="1"/>
  <c r="J577" i="2" s="1"/>
  <c r="G577" i="2"/>
  <c r="F577" i="2"/>
  <c r="E577" i="2"/>
  <c r="D577" i="2"/>
  <c r="C577" i="2"/>
  <c r="B577" i="2"/>
  <c r="A577" i="2"/>
  <c r="L576" i="2"/>
  <c r="K576" i="2"/>
  <c r="H576" i="2"/>
  <c r="G576" i="2"/>
  <c r="F576" i="2"/>
  <c r="D576" i="2"/>
  <c r="E576" i="2" s="1"/>
  <c r="C576" i="2"/>
  <c r="B576" i="2"/>
  <c r="A576" i="2"/>
  <c r="L575" i="2"/>
  <c r="K575" i="2"/>
  <c r="H575" i="2"/>
  <c r="G575" i="2"/>
  <c r="N575" i="2" s="1"/>
  <c r="F575" i="2"/>
  <c r="D575" i="2"/>
  <c r="E575" i="2" s="1"/>
  <c r="C575" i="2"/>
  <c r="B575" i="2"/>
  <c r="A575" i="2"/>
  <c r="L574" i="2"/>
  <c r="K574" i="2"/>
  <c r="H574" i="2"/>
  <c r="G574" i="2"/>
  <c r="F574" i="2"/>
  <c r="E574" i="2"/>
  <c r="D574" i="2"/>
  <c r="C574" i="2"/>
  <c r="B574" i="2"/>
  <c r="A574" i="2"/>
  <c r="O573" i="2"/>
  <c r="N573" i="2"/>
  <c r="L573" i="2"/>
  <c r="K573" i="2"/>
  <c r="H573" i="2"/>
  <c r="G573" i="2"/>
  <c r="I573" i="2" s="1"/>
  <c r="J573" i="2" s="1"/>
  <c r="F573" i="2"/>
  <c r="E573" i="2"/>
  <c r="D573" i="2"/>
  <c r="C573" i="2"/>
  <c r="B573" i="2"/>
  <c r="A573" i="2"/>
  <c r="L572" i="2"/>
  <c r="K572" i="2"/>
  <c r="H572" i="2"/>
  <c r="G572" i="2"/>
  <c r="F572" i="2"/>
  <c r="D572" i="2"/>
  <c r="E572" i="2" s="1"/>
  <c r="C572" i="2"/>
  <c r="B572" i="2"/>
  <c r="A572" i="2"/>
  <c r="L571" i="2"/>
  <c r="N571" i="2" s="1"/>
  <c r="K571" i="2"/>
  <c r="H571" i="2"/>
  <c r="G571" i="2"/>
  <c r="F571" i="2"/>
  <c r="E571" i="2"/>
  <c r="D571" i="2"/>
  <c r="C571" i="2"/>
  <c r="O571" i="2" s="1"/>
  <c r="B571" i="2"/>
  <c r="A571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N569" i="2"/>
  <c r="L569" i="2"/>
  <c r="K569" i="2"/>
  <c r="J569" i="2"/>
  <c r="H569" i="2"/>
  <c r="I569" i="2" s="1"/>
  <c r="G569" i="2"/>
  <c r="F569" i="2"/>
  <c r="E569" i="2"/>
  <c r="D569" i="2"/>
  <c r="C569" i="2"/>
  <c r="B569" i="2"/>
  <c r="A569" i="2"/>
  <c r="L568" i="2"/>
  <c r="K568" i="2"/>
  <c r="I568" i="2"/>
  <c r="J568" i="2" s="1"/>
  <c r="H568" i="2"/>
  <c r="G568" i="2"/>
  <c r="F568" i="2"/>
  <c r="D568" i="2"/>
  <c r="E568" i="2" s="1"/>
  <c r="C568" i="2"/>
  <c r="B568" i="2"/>
  <c r="A568" i="2"/>
  <c r="L567" i="2"/>
  <c r="K567" i="2"/>
  <c r="I567" i="2"/>
  <c r="J567" i="2" s="1"/>
  <c r="H567" i="2"/>
  <c r="G567" i="2"/>
  <c r="F567" i="2"/>
  <c r="D567" i="2"/>
  <c r="E567" i="2" s="1"/>
  <c r="C567" i="2"/>
  <c r="B567" i="2"/>
  <c r="A567" i="2"/>
  <c r="O566" i="2"/>
  <c r="L566" i="2"/>
  <c r="K566" i="2"/>
  <c r="H566" i="2"/>
  <c r="I566" i="2" s="1"/>
  <c r="J566" i="2" s="1"/>
  <c r="G566" i="2"/>
  <c r="N566" i="2" s="1"/>
  <c r="F566" i="2"/>
  <c r="E566" i="2"/>
  <c r="D566" i="2"/>
  <c r="C566" i="2"/>
  <c r="B566" i="2"/>
  <c r="A566" i="2"/>
  <c r="L565" i="2"/>
  <c r="K565" i="2"/>
  <c r="H565" i="2"/>
  <c r="G565" i="2"/>
  <c r="F565" i="2"/>
  <c r="D565" i="2"/>
  <c r="E565" i="2" s="1"/>
  <c r="C565" i="2"/>
  <c r="B565" i="2"/>
  <c r="A565" i="2"/>
  <c r="N564" i="2"/>
  <c r="L564" i="2"/>
  <c r="K564" i="2"/>
  <c r="I564" i="2"/>
  <c r="J564" i="2" s="1"/>
  <c r="H564" i="2"/>
  <c r="G564" i="2"/>
  <c r="F564" i="2"/>
  <c r="E564" i="2"/>
  <c r="D564" i="2"/>
  <c r="C564" i="2"/>
  <c r="B564" i="2"/>
  <c r="A564" i="2"/>
  <c r="L563" i="2"/>
  <c r="K563" i="2"/>
  <c r="H563" i="2"/>
  <c r="G563" i="2"/>
  <c r="F563" i="2"/>
  <c r="D563" i="2"/>
  <c r="C563" i="2"/>
  <c r="B563" i="2"/>
  <c r="A563" i="2"/>
  <c r="L562" i="2"/>
  <c r="K562" i="2"/>
  <c r="H562" i="2"/>
  <c r="G562" i="2"/>
  <c r="I562" i="2" s="1"/>
  <c r="J562" i="2" s="1"/>
  <c r="F562" i="2"/>
  <c r="O562" i="2" s="1"/>
  <c r="D562" i="2"/>
  <c r="E562" i="2" s="1"/>
  <c r="C562" i="2"/>
  <c r="B562" i="2"/>
  <c r="A562" i="2"/>
  <c r="L561" i="2"/>
  <c r="N561" i="2" s="1"/>
  <c r="K561" i="2"/>
  <c r="I561" i="2"/>
  <c r="J561" i="2" s="1"/>
  <c r="H561" i="2"/>
  <c r="G561" i="2"/>
  <c r="F561" i="2"/>
  <c r="E561" i="2"/>
  <c r="D561" i="2"/>
  <c r="C561" i="2"/>
  <c r="B561" i="2"/>
  <c r="A561" i="2"/>
  <c r="L560" i="2"/>
  <c r="K560" i="2"/>
  <c r="H560" i="2"/>
  <c r="G560" i="2"/>
  <c r="F560" i="2"/>
  <c r="E560" i="2"/>
  <c r="D560" i="2"/>
  <c r="C560" i="2"/>
  <c r="B560" i="2"/>
  <c r="A560" i="2"/>
  <c r="N559" i="2"/>
  <c r="L559" i="2"/>
  <c r="K559" i="2"/>
  <c r="I559" i="2"/>
  <c r="J559" i="2" s="1"/>
  <c r="H559" i="2"/>
  <c r="G559" i="2"/>
  <c r="F559" i="2"/>
  <c r="D559" i="2"/>
  <c r="E559" i="2" s="1"/>
  <c r="C559" i="2"/>
  <c r="O559" i="2" s="1"/>
  <c r="B559" i="2"/>
  <c r="A559" i="2"/>
  <c r="L558" i="2"/>
  <c r="K558" i="2"/>
  <c r="H558" i="2"/>
  <c r="G558" i="2"/>
  <c r="F558" i="2"/>
  <c r="E558" i="2"/>
  <c r="D558" i="2"/>
  <c r="C558" i="2"/>
  <c r="B558" i="2"/>
  <c r="A558" i="2"/>
  <c r="N557" i="2"/>
  <c r="L557" i="2"/>
  <c r="K557" i="2"/>
  <c r="J557" i="2"/>
  <c r="H557" i="2"/>
  <c r="I557" i="2" s="1"/>
  <c r="G557" i="2"/>
  <c r="F557" i="2"/>
  <c r="E557" i="2"/>
  <c r="D557" i="2"/>
  <c r="C557" i="2"/>
  <c r="B557" i="2"/>
  <c r="A557" i="2"/>
  <c r="L556" i="2"/>
  <c r="K556" i="2"/>
  <c r="I556" i="2"/>
  <c r="J556" i="2" s="1"/>
  <c r="H556" i="2"/>
  <c r="G556" i="2"/>
  <c r="F556" i="2"/>
  <c r="D556" i="2"/>
  <c r="E556" i="2" s="1"/>
  <c r="C556" i="2"/>
  <c r="B556" i="2"/>
  <c r="A556" i="2"/>
  <c r="L555" i="2"/>
  <c r="K555" i="2"/>
  <c r="H555" i="2"/>
  <c r="G555" i="2"/>
  <c r="F555" i="2"/>
  <c r="O555" i="2" s="1"/>
  <c r="E555" i="2"/>
  <c r="D555" i="2"/>
  <c r="C555" i="2"/>
  <c r="B555" i="2"/>
  <c r="A555" i="2"/>
  <c r="L554" i="2"/>
  <c r="N554" i="2" s="1"/>
  <c r="K554" i="2"/>
  <c r="I554" i="2"/>
  <c r="J554" i="2" s="1"/>
  <c r="H554" i="2"/>
  <c r="G554" i="2"/>
  <c r="F554" i="2"/>
  <c r="D554" i="2"/>
  <c r="E554" i="2" s="1"/>
  <c r="C554" i="2"/>
  <c r="B554" i="2"/>
  <c r="A554" i="2"/>
  <c r="L553" i="2"/>
  <c r="N553" i="2" s="1"/>
  <c r="K553" i="2"/>
  <c r="I553" i="2"/>
  <c r="J553" i="2" s="1"/>
  <c r="H553" i="2"/>
  <c r="G553" i="2"/>
  <c r="F553" i="2"/>
  <c r="D553" i="2"/>
  <c r="E553" i="2" s="1"/>
  <c r="C553" i="2"/>
  <c r="B553" i="2"/>
  <c r="A553" i="2"/>
  <c r="L552" i="2"/>
  <c r="K552" i="2"/>
  <c r="H552" i="2"/>
  <c r="G552" i="2"/>
  <c r="F552" i="2"/>
  <c r="D552" i="2"/>
  <c r="E552" i="2" s="1"/>
  <c r="C552" i="2"/>
  <c r="B552" i="2"/>
  <c r="A552" i="2"/>
  <c r="L551" i="2"/>
  <c r="K551" i="2"/>
  <c r="H551" i="2"/>
  <c r="G551" i="2"/>
  <c r="F551" i="2"/>
  <c r="D551" i="2"/>
  <c r="E551" i="2" s="1"/>
  <c r="C551" i="2"/>
  <c r="B551" i="2"/>
  <c r="A551" i="2"/>
  <c r="N550" i="2"/>
  <c r="L550" i="2"/>
  <c r="K550" i="2"/>
  <c r="H550" i="2"/>
  <c r="I550" i="2" s="1"/>
  <c r="J550" i="2" s="1"/>
  <c r="G550" i="2"/>
  <c r="F550" i="2"/>
  <c r="E550" i="2"/>
  <c r="D550" i="2"/>
  <c r="C550" i="2"/>
  <c r="B550" i="2"/>
  <c r="A550" i="2"/>
  <c r="L549" i="2"/>
  <c r="K549" i="2"/>
  <c r="H549" i="2"/>
  <c r="G549" i="2"/>
  <c r="F549" i="2"/>
  <c r="E549" i="2"/>
  <c r="D549" i="2"/>
  <c r="C549" i="2"/>
  <c r="B549" i="2"/>
  <c r="O549" i="2" s="1"/>
  <c r="A549" i="2"/>
  <c r="L548" i="2"/>
  <c r="N548" i="2" s="1"/>
  <c r="K548" i="2"/>
  <c r="I548" i="2"/>
  <c r="J548" i="2" s="1"/>
  <c r="H548" i="2"/>
  <c r="G548" i="2"/>
  <c r="F548" i="2"/>
  <c r="O548" i="2" s="1"/>
  <c r="E548" i="2"/>
  <c r="D548" i="2"/>
  <c r="C548" i="2"/>
  <c r="B548" i="2"/>
  <c r="A548" i="2"/>
  <c r="L547" i="2"/>
  <c r="K547" i="2"/>
  <c r="H547" i="2"/>
  <c r="G547" i="2"/>
  <c r="F547" i="2"/>
  <c r="D547" i="2"/>
  <c r="E547" i="2" s="1"/>
  <c r="C547" i="2"/>
  <c r="B547" i="2"/>
  <c r="A547" i="2"/>
  <c r="N546" i="2"/>
  <c r="L546" i="2"/>
  <c r="K546" i="2"/>
  <c r="H546" i="2"/>
  <c r="G546" i="2"/>
  <c r="I546" i="2" s="1"/>
  <c r="J546" i="2" s="1"/>
  <c r="F546" i="2"/>
  <c r="E546" i="2"/>
  <c r="D546" i="2"/>
  <c r="C546" i="2"/>
  <c r="B546" i="2"/>
  <c r="A546" i="2"/>
  <c r="N545" i="2"/>
  <c r="L545" i="2"/>
  <c r="K545" i="2"/>
  <c r="I545" i="2"/>
  <c r="J545" i="2" s="1"/>
  <c r="H545" i="2"/>
  <c r="G545" i="2"/>
  <c r="F545" i="2"/>
  <c r="D545" i="2"/>
  <c r="E545" i="2" s="1"/>
  <c r="C545" i="2"/>
  <c r="B545" i="2"/>
  <c r="A545" i="2"/>
  <c r="L544" i="2"/>
  <c r="K544" i="2"/>
  <c r="I544" i="2"/>
  <c r="J544" i="2" s="1"/>
  <c r="H544" i="2"/>
  <c r="G544" i="2"/>
  <c r="N544" i="2" s="1"/>
  <c r="F544" i="2"/>
  <c r="D544" i="2"/>
  <c r="E544" i="2" s="1"/>
  <c r="C544" i="2"/>
  <c r="B544" i="2"/>
  <c r="O544" i="2" s="1"/>
  <c r="A544" i="2"/>
  <c r="N543" i="2"/>
  <c r="L543" i="2"/>
  <c r="K543" i="2"/>
  <c r="H543" i="2"/>
  <c r="G543" i="2"/>
  <c r="I543" i="2" s="1"/>
  <c r="J543" i="2" s="1"/>
  <c r="F543" i="2"/>
  <c r="D543" i="2"/>
  <c r="E543" i="2" s="1"/>
  <c r="C543" i="2"/>
  <c r="B543" i="2"/>
  <c r="A543" i="2"/>
  <c r="L542" i="2"/>
  <c r="K542" i="2"/>
  <c r="H542" i="2"/>
  <c r="G542" i="2"/>
  <c r="F542" i="2"/>
  <c r="E542" i="2"/>
  <c r="D542" i="2"/>
  <c r="C542" i="2"/>
  <c r="B542" i="2"/>
  <c r="A542" i="2"/>
  <c r="O541" i="2"/>
  <c r="N541" i="2"/>
  <c r="L541" i="2"/>
  <c r="K541" i="2"/>
  <c r="H541" i="2"/>
  <c r="G541" i="2"/>
  <c r="I541" i="2" s="1"/>
  <c r="J541" i="2" s="1"/>
  <c r="F541" i="2"/>
  <c r="E541" i="2"/>
  <c r="D541" i="2"/>
  <c r="C541" i="2"/>
  <c r="B541" i="2"/>
  <c r="A541" i="2"/>
  <c r="L540" i="2"/>
  <c r="K540" i="2"/>
  <c r="H540" i="2"/>
  <c r="G540" i="2"/>
  <c r="F540" i="2"/>
  <c r="E540" i="2"/>
  <c r="D540" i="2"/>
  <c r="C540" i="2"/>
  <c r="B540" i="2"/>
  <c r="A540" i="2"/>
  <c r="O539" i="2"/>
  <c r="N539" i="2"/>
  <c r="L539" i="2"/>
  <c r="K539" i="2"/>
  <c r="H539" i="2"/>
  <c r="G539" i="2"/>
  <c r="F539" i="2"/>
  <c r="E539" i="2"/>
  <c r="D539" i="2"/>
  <c r="C539" i="2"/>
  <c r="B539" i="2"/>
  <c r="A539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O538" i="2" s="1"/>
  <c r="N537" i="2"/>
  <c r="L537" i="2"/>
  <c r="K537" i="2"/>
  <c r="J537" i="2"/>
  <c r="H537" i="2"/>
  <c r="I537" i="2" s="1"/>
  <c r="G537" i="2"/>
  <c r="F537" i="2"/>
  <c r="E537" i="2"/>
  <c r="D537" i="2"/>
  <c r="C537" i="2"/>
  <c r="B537" i="2"/>
  <c r="A537" i="2"/>
  <c r="L536" i="2"/>
  <c r="K536" i="2"/>
  <c r="H536" i="2"/>
  <c r="I536" i="2" s="1"/>
  <c r="J536" i="2" s="1"/>
  <c r="G536" i="2"/>
  <c r="F536" i="2"/>
  <c r="E536" i="2"/>
  <c r="D536" i="2"/>
  <c r="C536" i="2"/>
  <c r="O536" i="2" s="1"/>
  <c r="B536" i="2"/>
  <c r="A536" i="2"/>
  <c r="L535" i="2"/>
  <c r="K535" i="2"/>
  <c r="I535" i="2"/>
  <c r="J535" i="2" s="1"/>
  <c r="H535" i="2"/>
  <c r="G535" i="2"/>
  <c r="N535" i="2" s="1"/>
  <c r="F535" i="2"/>
  <c r="D535" i="2"/>
  <c r="E535" i="2" s="1"/>
  <c r="C535" i="2"/>
  <c r="B535" i="2"/>
  <c r="A535" i="2"/>
  <c r="L534" i="2"/>
  <c r="K534" i="2"/>
  <c r="H534" i="2"/>
  <c r="G534" i="2"/>
  <c r="F534" i="2"/>
  <c r="E534" i="2"/>
  <c r="D534" i="2"/>
  <c r="C534" i="2"/>
  <c r="B534" i="2"/>
  <c r="A534" i="2"/>
  <c r="L533" i="2"/>
  <c r="N533" i="2" s="1"/>
  <c r="K533" i="2"/>
  <c r="I533" i="2"/>
  <c r="J533" i="2" s="1"/>
  <c r="H533" i="2"/>
  <c r="G533" i="2"/>
  <c r="F533" i="2"/>
  <c r="D533" i="2"/>
  <c r="E533" i="2" s="1"/>
  <c r="C533" i="2"/>
  <c r="B533" i="2"/>
  <c r="A533" i="2"/>
  <c r="L532" i="2"/>
  <c r="K532" i="2"/>
  <c r="H532" i="2"/>
  <c r="G532" i="2"/>
  <c r="F532" i="2"/>
  <c r="O532" i="2" s="1"/>
  <c r="D532" i="2"/>
  <c r="E532" i="2" s="1"/>
  <c r="C532" i="2"/>
  <c r="B532" i="2"/>
  <c r="A532" i="2"/>
  <c r="L531" i="2"/>
  <c r="K531" i="2"/>
  <c r="H531" i="2"/>
  <c r="G531" i="2"/>
  <c r="F531" i="2"/>
  <c r="E531" i="2"/>
  <c r="D531" i="2"/>
  <c r="C531" i="2"/>
  <c r="B531" i="2"/>
  <c r="A531" i="2"/>
  <c r="O530" i="2"/>
  <c r="N530" i="2"/>
  <c r="L530" i="2"/>
  <c r="K530" i="2"/>
  <c r="I530" i="2"/>
  <c r="J530" i="2" s="1"/>
  <c r="H530" i="2"/>
  <c r="G530" i="2"/>
  <c r="F530" i="2"/>
  <c r="D530" i="2"/>
  <c r="E530" i="2" s="1"/>
  <c r="C530" i="2"/>
  <c r="B530" i="2"/>
  <c r="A530" i="2"/>
  <c r="L529" i="2"/>
  <c r="N529" i="2" s="1"/>
  <c r="K529" i="2"/>
  <c r="J529" i="2"/>
  <c r="I529" i="2"/>
  <c r="H529" i="2"/>
  <c r="G529" i="2"/>
  <c r="F529" i="2"/>
  <c r="E529" i="2"/>
  <c r="D529" i="2"/>
  <c r="C529" i="2"/>
  <c r="B529" i="2"/>
  <c r="A529" i="2"/>
  <c r="L528" i="2"/>
  <c r="K528" i="2"/>
  <c r="H528" i="2"/>
  <c r="G528" i="2"/>
  <c r="F528" i="2"/>
  <c r="E528" i="2"/>
  <c r="D528" i="2"/>
  <c r="C528" i="2"/>
  <c r="B528" i="2"/>
  <c r="O528" i="2" s="1"/>
  <c r="A528" i="2"/>
  <c r="N527" i="2"/>
  <c r="L527" i="2"/>
  <c r="K527" i="2"/>
  <c r="H527" i="2"/>
  <c r="I527" i="2" s="1"/>
  <c r="J527" i="2" s="1"/>
  <c r="G527" i="2"/>
  <c r="F527" i="2"/>
  <c r="D527" i="2"/>
  <c r="E527" i="2" s="1"/>
  <c r="C527" i="2"/>
  <c r="B527" i="2"/>
  <c r="O527" i="2" s="1"/>
  <c r="A527" i="2"/>
  <c r="L526" i="2"/>
  <c r="K526" i="2"/>
  <c r="H526" i="2"/>
  <c r="G526" i="2"/>
  <c r="N526" i="2" s="1"/>
  <c r="F526" i="2"/>
  <c r="E526" i="2"/>
  <c r="D526" i="2"/>
  <c r="C526" i="2"/>
  <c r="B526" i="2"/>
  <c r="A526" i="2"/>
  <c r="N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L524" i="2"/>
  <c r="K524" i="2"/>
  <c r="I524" i="2"/>
  <c r="J524" i="2" s="1"/>
  <c r="H524" i="2"/>
  <c r="G524" i="2"/>
  <c r="F524" i="2"/>
  <c r="D524" i="2"/>
  <c r="E524" i="2" s="1"/>
  <c r="C524" i="2"/>
  <c r="B524" i="2"/>
  <c r="A524" i="2"/>
  <c r="O523" i="2"/>
  <c r="L523" i="2"/>
  <c r="K523" i="2"/>
  <c r="H523" i="2"/>
  <c r="G523" i="2"/>
  <c r="F523" i="2"/>
  <c r="E523" i="2"/>
  <c r="D523" i="2"/>
  <c r="C523" i="2"/>
  <c r="B523" i="2"/>
  <c r="A523" i="2"/>
  <c r="L522" i="2"/>
  <c r="N522" i="2" s="1"/>
  <c r="K522" i="2"/>
  <c r="I522" i="2"/>
  <c r="J522" i="2" s="1"/>
  <c r="H522" i="2"/>
  <c r="G522" i="2"/>
  <c r="F522" i="2"/>
  <c r="D522" i="2"/>
  <c r="E522" i="2" s="1"/>
  <c r="C522" i="2"/>
  <c r="B522" i="2"/>
  <c r="A522" i="2"/>
  <c r="N521" i="2"/>
  <c r="L521" i="2"/>
  <c r="K521" i="2"/>
  <c r="I521" i="2"/>
  <c r="J521" i="2" s="1"/>
  <c r="H521" i="2"/>
  <c r="G521" i="2"/>
  <c r="F521" i="2"/>
  <c r="D521" i="2"/>
  <c r="E521" i="2" s="1"/>
  <c r="C521" i="2"/>
  <c r="B521" i="2"/>
  <c r="A521" i="2"/>
  <c r="L520" i="2"/>
  <c r="K520" i="2"/>
  <c r="H520" i="2"/>
  <c r="G520" i="2"/>
  <c r="F520" i="2"/>
  <c r="D520" i="2"/>
  <c r="E520" i="2" s="1"/>
  <c r="C520" i="2"/>
  <c r="B520" i="2"/>
  <c r="A520" i="2"/>
  <c r="L519" i="2"/>
  <c r="K519" i="2"/>
  <c r="H519" i="2"/>
  <c r="G519" i="2"/>
  <c r="F519" i="2"/>
  <c r="D519" i="2"/>
  <c r="E519" i="2" s="1"/>
  <c r="C519" i="2"/>
  <c r="B519" i="2"/>
  <c r="A519" i="2"/>
  <c r="N518" i="2"/>
  <c r="L518" i="2"/>
  <c r="K518" i="2"/>
  <c r="H518" i="2"/>
  <c r="I518" i="2" s="1"/>
  <c r="J518" i="2" s="1"/>
  <c r="G518" i="2"/>
  <c r="F518" i="2"/>
  <c r="E518" i="2"/>
  <c r="D518" i="2"/>
  <c r="C518" i="2"/>
  <c r="B518" i="2"/>
  <c r="A518" i="2"/>
  <c r="L517" i="2"/>
  <c r="K517" i="2"/>
  <c r="H517" i="2"/>
  <c r="G517" i="2"/>
  <c r="F517" i="2"/>
  <c r="E517" i="2"/>
  <c r="D517" i="2"/>
  <c r="C517" i="2"/>
  <c r="B517" i="2"/>
  <c r="O517" i="2" s="1"/>
  <c r="A517" i="2"/>
  <c r="N516" i="2"/>
  <c r="L516" i="2"/>
  <c r="K516" i="2"/>
  <c r="H516" i="2"/>
  <c r="I516" i="2" s="1"/>
  <c r="J516" i="2" s="1"/>
  <c r="G516" i="2"/>
  <c r="F516" i="2"/>
  <c r="O516" i="2" s="1"/>
  <c r="E516" i="2"/>
  <c r="D516" i="2"/>
  <c r="C516" i="2"/>
  <c r="B516" i="2"/>
  <c r="A516" i="2"/>
  <c r="L515" i="2"/>
  <c r="K515" i="2"/>
  <c r="H515" i="2"/>
  <c r="G515" i="2"/>
  <c r="F515" i="2"/>
  <c r="D515" i="2"/>
  <c r="E515" i="2" s="1"/>
  <c r="C515" i="2"/>
  <c r="O515" i="2" s="1"/>
  <c r="B515" i="2"/>
  <c r="A515" i="2"/>
  <c r="L514" i="2"/>
  <c r="K514" i="2"/>
  <c r="H514" i="2"/>
  <c r="G514" i="2"/>
  <c r="F514" i="2"/>
  <c r="E514" i="2"/>
  <c r="D514" i="2"/>
  <c r="C514" i="2"/>
  <c r="O514" i="2" s="1"/>
  <c r="B514" i="2"/>
  <c r="A514" i="2"/>
  <c r="L513" i="2"/>
  <c r="N513" i="2" s="1"/>
  <c r="K513" i="2"/>
  <c r="H513" i="2"/>
  <c r="I513" i="2" s="1"/>
  <c r="J513" i="2" s="1"/>
  <c r="G513" i="2"/>
  <c r="F513" i="2"/>
  <c r="E513" i="2"/>
  <c r="D513" i="2"/>
  <c r="C513" i="2"/>
  <c r="B513" i="2"/>
  <c r="A513" i="2"/>
  <c r="L512" i="2"/>
  <c r="K512" i="2"/>
  <c r="I512" i="2"/>
  <c r="J512" i="2" s="1"/>
  <c r="H512" i="2"/>
  <c r="G512" i="2"/>
  <c r="F512" i="2"/>
  <c r="D512" i="2"/>
  <c r="E512" i="2" s="1"/>
  <c r="C512" i="2"/>
  <c r="B512" i="2"/>
  <c r="A512" i="2"/>
  <c r="L511" i="2"/>
  <c r="K511" i="2"/>
  <c r="H511" i="2"/>
  <c r="G511" i="2"/>
  <c r="I511" i="2" s="1"/>
  <c r="J511" i="2" s="1"/>
  <c r="F511" i="2"/>
  <c r="D511" i="2"/>
  <c r="E511" i="2" s="1"/>
  <c r="C511" i="2"/>
  <c r="B511" i="2"/>
  <c r="A511" i="2"/>
  <c r="L510" i="2"/>
  <c r="K510" i="2"/>
  <c r="J510" i="2"/>
  <c r="H510" i="2"/>
  <c r="G510" i="2"/>
  <c r="I510" i="2" s="1"/>
  <c r="F510" i="2"/>
  <c r="E510" i="2"/>
  <c r="D510" i="2"/>
  <c r="C510" i="2"/>
  <c r="B510" i="2"/>
  <c r="O510" i="2" s="1"/>
  <c r="A510" i="2"/>
  <c r="L509" i="2"/>
  <c r="N509" i="2" s="1"/>
  <c r="K509" i="2"/>
  <c r="J509" i="2"/>
  <c r="I509" i="2"/>
  <c r="H509" i="2"/>
  <c r="G509" i="2"/>
  <c r="F509" i="2"/>
  <c r="D509" i="2"/>
  <c r="E509" i="2" s="1"/>
  <c r="C509" i="2"/>
  <c r="B509" i="2"/>
  <c r="A509" i="2"/>
  <c r="L508" i="2"/>
  <c r="N508" i="2" s="1"/>
  <c r="K508" i="2"/>
  <c r="H508" i="2"/>
  <c r="G508" i="2"/>
  <c r="I508" i="2" s="1"/>
  <c r="J508" i="2" s="1"/>
  <c r="F508" i="2"/>
  <c r="D508" i="2"/>
  <c r="C508" i="2"/>
  <c r="B508" i="2"/>
  <c r="A508" i="2"/>
  <c r="N507" i="2"/>
  <c r="L507" i="2"/>
  <c r="K507" i="2"/>
  <c r="H507" i="2"/>
  <c r="G507" i="2"/>
  <c r="F507" i="2"/>
  <c r="E507" i="2"/>
  <c r="D507" i="2"/>
  <c r="C507" i="2"/>
  <c r="B507" i="2"/>
  <c r="O507" i="2" s="1"/>
  <c r="A507" i="2"/>
  <c r="L506" i="2"/>
  <c r="K506" i="2"/>
  <c r="H506" i="2"/>
  <c r="G506" i="2"/>
  <c r="F506" i="2"/>
  <c r="E506" i="2"/>
  <c r="D506" i="2"/>
  <c r="C506" i="2"/>
  <c r="B506" i="2"/>
  <c r="A506" i="2"/>
  <c r="N505" i="2"/>
  <c r="L505" i="2"/>
  <c r="K505" i="2"/>
  <c r="J505" i="2"/>
  <c r="H505" i="2"/>
  <c r="I505" i="2" s="1"/>
  <c r="G505" i="2"/>
  <c r="F505" i="2"/>
  <c r="E505" i="2"/>
  <c r="D505" i="2"/>
  <c r="C505" i="2"/>
  <c r="B505" i="2"/>
  <c r="A505" i="2"/>
  <c r="L504" i="2"/>
  <c r="K504" i="2"/>
  <c r="I504" i="2"/>
  <c r="J504" i="2" s="1"/>
  <c r="H504" i="2"/>
  <c r="G504" i="2"/>
  <c r="F504" i="2"/>
  <c r="E504" i="2"/>
  <c r="D504" i="2"/>
  <c r="C504" i="2"/>
  <c r="B504" i="2"/>
  <c r="A504" i="2"/>
  <c r="L503" i="2"/>
  <c r="K503" i="2"/>
  <c r="J503" i="2"/>
  <c r="H503" i="2"/>
  <c r="G503" i="2"/>
  <c r="I503" i="2" s="1"/>
  <c r="F503" i="2"/>
  <c r="D503" i="2"/>
  <c r="E503" i="2" s="1"/>
  <c r="C503" i="2"/>
  <c r="B503" i="2"/>
  <c r="A503" i="2"/>
  <c r="L502" i="2"/>
  <c r="K502" i="2"/>
  <c r="H502" i="2"/>
  <c r="I502" i="2" s="1"/>
  <c r="J502" i="2" s="1"/>
  <c r="G502" i="2"/>
  <c r="N502" i="2" s="1"/>
  <c r="F502" i="2"/>
  <c r="E502" i="2"/>
  <c r="D502" i="2"/>
  <c r="C502" i="2"/>
  <c r="B502" i="2"/>
  <c r="A502" i="2"/>
  <c r="O501" i="2"/>
  <c r="L501" i="2"/>
  <c r="N501" i="2" s="1"/>
  <c r="K501" i="2"/>
  <c r="H501" i="2"/>
  <c r="I501" i="2" s="1"/>
  <c r="J501" i="2" s="1"/>
  <c r="G501" i="2"/>
  <c r="F501" i="2"/>
  <c r="D501" i="2"/>
  <c r="E501" i="2" s="1"/>
  <c r="C501" i="2"/>
  <c r="B501" i="2"/>
  <c r="A501" i="2"/>
  <c r="L500" i="2"/>
  <c r="K500" i="2"/>
  <c r="I500" i="2"/>
  <c r="J500" i="2" s="1"/>
  <c r="H500" i="2"/>
  <c r="G500" i="2"/>
  <c r="N500" i="2" s="1"/>
  <c r="F500" i="2"/>
  <c r="E500" i="2"/>
  <c r="D500" i="2"/>
  <c r="C500" i="2"/>
  <c r="B500" i="2"/>
  <c r="A500" i="2"/>
  <c r="N499" i="2"/>
  <c r="L499" i="2"/>
  <c r="K499" i="2"/>
  <c r="H499" i="2"/>
  <c r="G499" i="2"/>
  <c r="I499" i="2" s="1"/>
  <c r="J499" i="2" s="1"/>
  <c r="F499" i="2"/>
  <c r="E499" i="2"/>
  <c r="D499" i="2"/>
  <c r="C499" i="2"/>
  <c r="B499" i="2"/>
  <c r="A499" i="2"/>
  <c r="N498" i="2"/>
  <c r="L498" i="2"/>
  <c r="K498" i="2"/>
  <c r="J498" i="2"/>
  <c r="I498" i="2"/>
  <c r="H498" i="2"/>
  <c r="G498" i="2"/>
  <c r="F498" i="2"/>
  <c r="D498" i="2"/>
  <c r="E498" i="2" s="1"/>
  <c r="C498" i="2"/>
  <c r="B498" i="2"/>
  <c r="A498" i="2"/>
  <c r="L497" i="2"/>
  <c r="N497" i="2" s="1"/>
  <c r="K497" i="2"/>
  <c r="H497" i="2"/>
  <c r="I497" i="2" s="1"/>
  <c r="J497" i="2" s="1"/>
  <c r="G497" i="2"/>
  <c r="F497" i="2"/>
  <c r="D497" i="2"/>
  <c r="M497" i="2" s="1"/>
  <c r="C497" i="2"/>
  <c r="B497" i="2"/>
  <c r="A497" i="2"/>
  <c r="L496" i="2"/>
  <c r="K496" i="2"/>
  <c r="H496" i="2"/>
  <c r="G496" i="2"/>
  <c r="F496" i="2"/>
  <c r="E496" i="2"/>
  <c r="D496" i="2"/>
  <c r="C496" i="2"/>
  <c r="B496" i="2"/>
  <c r="A496" i="2"/>
  <c r="O495" i="2"/>
  <c r="L495" i="2"/>
  <c r="N495" i="2" s="1"/>
  <c r="K495" i="2"/>
  <c r="I495" i="2"/>
  <c r="J495" i="2" s="1"/>
  <c r="H495" i="2"/>
  <c r="G495" i="2"/>
  <c r="F495" i="2"/>
  <c r="D495" i="2"/>
  <c r="E495" i="2" s="1"/>
  <c r="C495" i="2"/>
  <c r="B495" i="2"/>
  <c r="A495" i="2"/>
  <c r="L494" i="2"/>
  <c r="K494" i="2"/>
  <c r="J494" i="2"/>
  <c r="H494" i="2"/>
  <c r="G494" i="2"/>
  <c r="I494" i="2" s="1"/>
  <c r="F494" i="2"/>
  <c r="E494" i="2"/>
  <c r="D494" i="2"/>
  <c r="C494" i="2"/>
  <c r="B494" i="2"/>
  <c r="O494" i="2" s="1"/>
  <c r="A494" i="2"/>
  <c r="N493" i="2"/>
  <c r="L493" i="2"/>
  <c r="K493" i="2"/>
  <c r="H493" i="2"/>
  <c r="I493" i="2" s="1"/>
  <c r="J493" i="2" s="1"/>
  <c r="G493" i="2"/>
  <c r="F493" i="2"/>
  <c r="E493" i="2"/>
  <c r="D493" i="2"/>
  <c r="C493" i="2"/>
  <c r="B493" i="2"/>
  <c r="A493" i="2"/>
  <c r="O492" i="2"/>
  <c r="L492" i="2"/>
  <c r="K492" i="2"/>
  <c r="H492" i="2"/>
  <c r="G492" i="2"/>
  <c r="I492" i="2" s="1"/>
  <c r="J492" i="2" s="1"/>
  <c r="F492" i="2"/>
  <c r="D492" i="2"/>
  <c r="E492" i="2" s="1"/>
  <c r="C492" i="2"/>
  <c r="B492" i="2"/>
  <c r="A492" i="2"/>
  <c r="L491" i="2"/>
  <c r="K491" i="2"/>
  <c r="H491" i="2"/>
  <c r="G491" i="2"/>
  <c r="F491" i="2"/>
  <c r="E491" i="2"/>
  <c r="D491" i="2"/>
  <c r="C491" i="2"/>
  <c r="B491" i="2"/>
  <c r="A491" i="2"/>
  <c r="L490" i="2"/>
  <c r="K490" i="2"/>
  <c r="H490" i="2"/>
  <c r="G490" i="2"/>
  <c r="F490" i="2"/>
  <c r="E490" i="2"/>
  <c r="D490" i="2"/>
  <c r="C490" i="2"/>
  <c r="B490" i="2"/>
  <c r="A490" i="2"/>
  <c r="L489" i="2"/>
  <c r="N489" i="2" s="1"/>
  <c r="K489" i="2"/>
  <c r="I489" i="2"/>
  <c r="J489" i="2" s="1"/>
  <c r="H489" i="2"/>
  <c r="G489" i="2"/>
  <c r="F489" i="2"/>
  <c r="D489" i="2"/>
  <c r="C489" i="2"/>
  <c r="B489" i="2"/>
  <c r="A489" i="2"/>
  <c r="L488" i="2"/>
  <c r="K488" i="2"/>
  <c r="H488" i="2"/>
  <c r="G488" i="2"/>
  <c r="F488" i="2"/>
  <c r="E488" i="2"/>
  <c r="D488" i="2"/>
  <c r="C488" i="2"/>
  <c r="B488" i="2"/>
  <c r="A488" i="2"/>
  <c r="N487" i="2"/>
  <c r="L487" i="2"/>
  <c r="K487" i="2"/>
  <c r="H487" i="2"/>
  <c r="G487" i="2"/>
  <c r="I487" i="2" s="1"/>
  <c r="J487" i="2" s="1"/>
  <c r="F487" i="2"/>
  <c r="D487" i="2"/>
  <c r="E487" i="2" s="1"/>
  <c r="C487" i="2"/>
  <c r="O487" i="2" s="1"/>
  <c r="B487" i="2"/>
  <c r="A487" i="2"/>
  <c r="N486" i="2"/>
  <c r="L486" i="2"/>
  <c r="K486" i="2"/>
  <c r="I486" i="2"/>
  <c r="J486" i="2" s="1"/>
  <c r="H486" i="2"/>
  <c r="G486" i="2"/>
  <c r="F486" i="2"/>
  <c r="E486" i="2"/>
  <c r="D486" i="2"/>
  <c r="C486" i="2"/>
  <c r="B486" i="2"/>
  <c r="A486" i="2"/>
  <c r="L485" i="2"/>
  <c r="K485" i="2"/>
  <c r="I485" i="2"/>
  <c r="J485" i="2" s="1"/>
  <c r="H485" i="2"/>
  <c r="G485" i="2"/>
  <c r="N485" i="2" s="1"/>
  <c r="F485" i="2"/>
  <c r="D485" i="2"/>
  <c r="E485" i="2" s="1"/>
  <c r="C485" i="2"/>
  <c r="B485" i="2"/>
  <c r="A485" i="2"/>
  <c r="L484" i="2"/>
  <c r="K484" i="2"/>
  <c r="H484" i="2"/>
  <c r="G484" i="2"/>
  <c r="F484" i="2"/>
  <c r="D484" i="2"/>
  <c r="E484" i="2" s="1"/>
  <c r="C484" i="2"/>
  <c r="O484" i="2" s="1"/>
  <c r="B484" i="2"/>
  <c r="A484" i="2"/>
  <c r="L483" i="2"/>
  <c r="K483" i="2"/>
  <c r="H483" i="2"/>
  <c r="G483" i="2"/>
  <c r="F483" i="2"/>
  <c r="E483" i="2"/>
  <c r="D483" i="2"/>
  <c r="C483" i="2"/>
  <c r="B483" i="2"/>
  <c r="O483" i="2" s="1"/>
  <c r="A483" i="2"/>
  <c r="L482" i="2"/>
  <c r="K482" i="2"/>
  <c r="I482" i="2"/>
  <c r="J482" i="2" s="1"/>
  <c r="H482" i="2"/>
  <c r="G482" i="2"/>
  <c r="N482" i="2" s="1"/>
  <c r="F482" i="2"/>
  <c r="E482" i="2"/>
  <c r="D482" i="2"/>
  <c r="C482" i="2"/>
  <c r="B482" i="2"/>
  <c r="A482" i="2"/>
  <c r="N481" i="2"/>
  <c r="L481" i="2"/>
  <c r="K481" i="2"/>
  <c r="H481" i="2"/>
  <c r="I481" i="2" s="1"/>
  <c r="J481" i="2" s="1"/>
  <c r="G481" i="2"/>
  <c r="F481" i="2"/>
  <c r="E481" i="2"/>
  <c r="D481" i="2"/>
  <c r="C481" i="2"/>
  <c r="B481" i="2"/>
  <c r="A481" i="2"/>
  <c r="O480" i="2"/>
  <c r="L480" i="2"/>
  <c r="K480" i="2"/>
  <c r="H480" i="2"/>
  <c r="G480" i="2"/>
  <c r="F480" i="2"/>
  <c r="E480" i="2"/>
  <c r="D480" i="2"/>
  <c r="C480" i="2"/>
  <c r="B480" i="2"/>
  <c r="A480" i="2"/>
  <c r="N479" i="2"/>
  <c r="L479" i="2"/>
  <c r="K479" i="2"/>
  <c r="J479" i="2"/>
  <c r="I479" i="2"/>
  <c r="H479" i="2"/>
  <c r="G479" i="2"/>
  <c r="F479" i="2"/>
  <c r="D479" i="2"/>
  <c r="E479" i="2" s="1"/>
  <c r="C479" i="2"/>
  <c r="B479" i="2"/>
  <c r="A479" i="2"/>
  <c r="N478" i="2"/>
  <c r="L478" i="2"/>
  <c r="K478" i="2"/>
  <c r="H478" i="2"/>
  <c r="I478" i="2" s="1"/>
  <c r="J478" i="2" s="1"/>
  <c r="G478" i="2"/>
  <c r="F478" i="2"/>
  <c r="E478" i="2"/>
  <c r="D478" i="2"/>
  <c r="C478" i="2"/>
  <c r="B478" i="2"/>
  <c r="A478" i="2"/>
  <c r="O477" i="2"/>
  <c r="L477" i="2"/>
  <c r="K477" i="2"/>
  <c r="H477" i="2"/>
  <c r="I477" i="2" s="1"/>
  <c r="J477" i="2" s="1"/>
  <c r="G477" i="2"/>
  <c r="F477" i="2"/>
  <c r="D477" i="2"/>
  <c r="E477" i="2" s="1"/>
  <c r="C477" i="2"/>
  <c r="B477" i="2"/>
  <c r="A477" i="2"/>
  <c r="L476" i="2"/>
  <c r="K476" i="2"/>
  <c r="I476" i="2"/>
  <c r="J476" i="2" s="1"/>
  <c r="H476" i="2"/>
  <c r="G476" i="2"/>
  <c r="F476" i="2"/>
  <c r="D476" i="2"/>
  <c r="E476" i="2" s="1"/>
  <c r="C476" i="2"/>
  <c r="B476" i="2"/>
  <c r="A476" i="2"/>
  <c r="O475" i="2"/>
  <c r="L475" i="2"/>
  <c r="K475" i="2"/>
  <c r="H475" i="2"/>
  <c r="G475" i="2"/>
  <c r="F475" i="2"/>
  <c r="E475" i="2"/>
  <c r="D475" i="2"/>
  <c r="C475" i="2"/>
  <c r="B475" i="2"/>
  <c r="A475" i="2"/>
  <c r="O474" i="2"/>
  <c r="N474" i="2"/>
  <c r="L474" i="2"/>
  <c r="K474" i="2"/>
  <c r="H474" i="2"/>
  <c r="G474" i="2"/>
  <c r="I474" i="2" s="1"/>
  <c r="J474" i="2" s="1"/>
  <c r="F474" i="2"/>
  <c r="D474" i="2"/>
  <c r="E474" i="2" s="1"/>
  <c r="C474" i="2"/>
  <c r="B474" i="2"/>
  <c r="A474" i="2"/>
  <c r="L473" i="2"/>
  <c r="N473" i="2" s="1"/>
  <c r="K473" i="2"/>
  <c r="I473" i="2"/>
  <c r="J473" i="2" s="1"/>
  <c r="H473" i="2"/>
  <c r="G473" i="2"/>
  <c r="F473" i="2"/>
  <c r="D473" i="2"/>
  <c r="E473" i="2" s="1"/>
  <c r="C473" i="2"/>
  <c r="B473" i="2"/>
  <c r="A473" i="2"/>
  <c r="O473" i="2" s="1"/>
  <c r="L472" i="2"/>
  <c r="K472" i="2"/>
  <c r="H472" i="2"/>
  <c r="G472" i="2"/>
  <c r="F472" i="2"/>
  <c r="E472" i="2"/>
  <c r="D472" i="2"/>
  <c r="C472" i="2"/>
  <c r="O472" i="2" s="1"/>
  <c r="B472" i="2"/>
  <c r="A472" i="2"/>
  <c r="N471" i="2"/>
  <c r="L471" i="2"/>
  <c r="K471" i="2"/>
  <c r="H471" i="2"/>
  <c r="G471" i="2"/>
  <c r="I471" i="2" s="1"/>
  <c r="J471" i="2" s="1"/>
  <c r="F471" i="2"/>
  <c r="D471" i="2"/>
  <c r="E471" i="2" s="1"/>
  <c r="C471" i="2"/>
  <c r="B471" i="2"/>
  <c r="A471" i="2"/>
  <c r="N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L469" i="2"/>
  <c r="K469" i="2"/>
  <c r="H469" i="2"/>
  <c r="G469" i="2"/>
  <c r="F469" i="2"/>
  <c r="D469" i="2"/>
  <c r="E469" i="2" s="1"/>
  <c r="C469" i="2"/>
  <c r="B469" i="2"/>
  <c r="A469" i="2"/>
  <c r="N468" i="2"/>
  <c r="L468" i="2"/>
  <c r="K468" i="2"/>
  <c r="H468" i="2"/>
  <c r="G468" i="2"/>
  <c r="I468" i="2" s="1"/>
  <c r="J468" i="2" s="1"/>
  <c r="F468" i="2"/>
  <c r="D468" i="2"/>
  <c r="E468" i="2" s="1"/>
  <c r="C468" i="2"/>
  <c r="B468" i="2"/>
  <c r="A468" i="2"/>
  <c r="L467" i="2"/>
  <c r="K467" i="2"/>
  <c r="H467" i="2"/>
  <c r="G467" i="2"/>
  <c r="F467" i="2"/>
  <c r="E467" i="2"/>
  <c r="D467" i="2"/>
  <c r="C467" i="2"/>
  <c r="B467" i="2"/>
  <c r="A467" i="2"/>
  <c r="L466" i="2"/>
  <c r="K466" i="2"/>
  <c r="I466" i="2"/>
  <c r="J466" i="2" s="1"/>
  <c r="H466" i="2"/>
  <c r="G466" i="2"/>
  <c r="N466" i="2" s="1"/>
  <c r="F466" i="2"/>
  <c r="E466" i="2"/>
  <c r="D466" i="2"/>
  <c r="C466" i="2"/>
  <c r="B466" i="2"/>
  <c r="A466" i="2"/>
  <c r="N465" i="2"/>
  <c r="L465" i="2"/>
  <c r="K465" i="2"/>
  <c r="H465" i="2"/>
  <c r="I465" i="2" s="1"/>
  <c r="J465" i="2" s="1"/>
  <c r="G465" i="2"/>
  <c r="F465" i="2"/>
  <c r="E465" i="2"/>
  <c r="D465" i="2"/>
  <c r="C465" i="2"/>
  <c r="B465" i="2"/>
  <c r="A465" i="2"/>
  <c r="O464" i="2"/>
  <c r="L464" i="2"/>
  <c r="K464" i="2"/>
  <c r="H464" i="2"/>
  <c r="G464" i="2"/>
  <c r="F464" i="2"/>
  <c r="D464" i="2"/>
  <c r="C464" i="2"/>
  <c r="B464" i="2"/>
  <c r="A464" i="2"/>
  <c r="N463" i="2"/>
  <c r="L463" i="2"/>
  <c r="K463" i="2"/>
  <c r="I463" i="2"/>
  <c r="J463" i="2" s="1"/>
  <c r="H463" i="2"/>
  <c r="G463" i="2"/>
  <c r="F463" i="2"/>
  <c r="D463" i="2"/>
  <c r="E463" i="2" s="1"/>
  <c r="C463" i="2"/>
  <c r="B463" i="2"/>
  <c r="A463" i="2"/>
  <c r="N462" i="2"/>
  <c r="L462" i="2"/>
  <c r="K462" i="2"/>
  <c r="H462" i="2"/>
  <c r="I462" i="2" s="1"/>
  <c r="J462" i="2" s="1"/>
  <c r="G462" i="2"/>
  <c r="F462" i="2"/>
  <c r="E462" i="2"/>
  <c r="D462" i="2"/>
  <c r="C462" i="2"/>
  <c r="B462" i="2"/>
  <c r="A462" i="2"/>
  <c r="O461" i="2"/>
  <c r="L461" i="2"/>
  <c r="K461" i="2"/>
  <c r="H461" i="2"/>
  <c r="I461" i="2" s="1"/>
  <c r="J461" i="2" s="1"/>
  <c r="G461" i="2"/>
  <c r="F461" i="2"/>
  <c r="D461" i="2"/>
  <c r="E461" i="2" s="1"/>
  <c r="C461" i="2"/>
  <c r="B461" i="2"/>
  <c r="A461" i="2"/>
  <c r="L460" i="2"/>
  <c r="K460" i="2"/>
  <c r="H460" i="2"/>
  <c r="I460" i="2" s="1"/>
  <c r="J460" i="2" s="1"/>
  <c r="G460" i="2"/>
  <c r="N460" i="2" s="1"/>
  <c r="F460" i="2"/>
  <c r="D460" i="2"/>
  <c r="E460" i="2" s="1"/>
  <c r="C460" i="2"/>
  <c r="B460" i="2"/>
  <c r="A460" i="2"/>
  <c r="N459" i="2"/>
  <c r="L459" i="2"/>
  <c r="K459" i="2"/>
  <c r="H459" i="2"/>
  <c r="G459" i="2"/>
  <c r="F459" i="2"/>
  <c r="E459" i="2"/>
  <c r="D459" i="2"/>
  <c r="C459" i="2"/>
  <c r="B459" i="2"/>
  <c r="A459" i="2"/>
  <c r="O458" i="2"/>
  <c r="L458" i="2"/>
  <c r="K458" i="2"/>
  <c r="H458" i="2"/>
  <c r="G458" i="2"/>
  <c r="F458" i="2"/>
  <c r="E458" i="2"/>
  <c r="D458" i="2"/>
  <c r="C458" i="2"/>
  <c r="B458" i="2"/>
  <c r="A458" i="2"/>
  <c r="L457" i="2"/>
  <c r="N457" i="2" s="1"/>
  <c r="K457" i="2"/>
  <c r="I457" i="2"/>
  <c r="J457" i="2" s="1"/>
  <c r="H457" i="2"/>
  <c r="G457" i="2"/>
  <c r="F457" i="2"/>
  <c r="D457" i="2"/>
  <c r="E457" i="2" s="1"/>
  <c r="C457" i="2"/>
  <c r="B457" i="2"/>
  <c r="A457" i="2"/>
  <c r="L456" i="2"/>
  <c r="K456" i="2"/>
  <c r="H456" i="2"/>
  <c r="G456" i="2"/>
  <c r="F456" i="2"/>
  <c r="E456" i="2"/>
  <c r="D456" i="2"/>
  <c r="C456" i="2"/>
  <c r="O456" i="2" s="1"/>
  <c r="B456" i="2"/>
  <c r="A456" i="2"/>
  <c r="L455" i="2"/>
  <c r="K455" i="2"/>
  <c r="H455" i="2"/>
  <c r="G455" i="2"/>
  <c r="F455" i="2"/>
  <c r="D455" i="2"/>
  <c r="E455" i="2" s="1"/>
  <c r="C455" i="2"/>
  <c r="O455" i="2" s="1"/>
  <c r="B455" i="2"/>
  <c r="A455" i="2"/>
  <c r="N454" i="2"/>
  <c r="L454" i="2"/>
  <c r="K454" i="2"/>
  <c r="I454" i="2"/>
  <c r="J454" i="2" s="1"/>
  <c r="H454" i="2"/>
  <c r="G454" i="2"/>
  <c r="F454" i="2"/>
  <c r="E454" i="2"/>
  <c r="D454" i="2"/>
  <c r="C454" i="2"/>
  <c r="B454" i="2"/>
  <c r="A454" i="2"/>
  <c r="L453" i="2"/>
  <c r="K453" i="2"/>
  <c r="I453" i="2"/>
  <c r="J453" i="2" s="1"/>
  <c r="H453" i="2"/>
  <c r="G453" i="2"/>
  <c r="N453" i="2" s="1"/>
  <c r="F453" i="2"/>
  <c r="D453" i="2"/>
  <c r="E453" i="2" s="1"/>
  <c r="C453" i="2"/>
  <c r="B453" i="2"/>
  <c r="A453" i="2"/>
  <c r="N452" i="2"/>
  <c r="L452" i="2"/>
  <c r="K452" i="2"/>
  <c r="H452" i="2"/>
  <c r="G452" i="2"/>
  <c r="I452" i="2" s="1"/>
  <c r="J452" i="2" s="1"/>
  <c r="F452" i="2"/>
  <c r="D452" i="2"/>
  <c r="E452" i="2" s="1"/>
  <c r="C452" i="2"/>
  <c r="O452" i="2" s="1"/>
  <c r="B452" i="2"/>
  <c r="A452" i="2"/>
  <c r="L451" i="2"/>
  <c r="K451" i="2"/>
  <c r="H451" i="2"/>
  <c r="G451" i="2"/>
  <c r="F451" i="2"/>
  <c r="E451" i="2"/>
  <c r="D451" i="2"/>
  <c r="C451" i="2"/>
  <c r="B451" i="2"/>
  <c r="A451" i="2"/>
  <c r="L450" i="2"/>
  <c r="K450" i="2"/>
  <c r="I450" i="2"/>
  <c r="J450" i="2" s="1"/>
  <c r="H450" i="2"/>
  <c r="G450" i="2"/>
  <c r="N450" i="2" s="1"/>
  <c r="F450" i="2"/>
  <c r="E450" i="2"/>
  <c r="D450" i="2"/>
  <c r="C450" i="2"/>
  <c r="B450" i="2"/>
  <c r="A450" i="2"/>
  <c r="N449" i="2"/>
  <c r="L449" i="2"/>
  <c r="K449" i="2"/>
  <c r="H449" i="2"/>
  <c r="I449" i="2" s="1"/>
  <c r="J449" i="2" s="1"/>
  <c r="G449" i="2"/>
  <c r="F449" i="2"/>
  <c r="E449" i="2"/>
  <c r="D449" i="2"/>
  <c r="C449" i="2"/>
  <c r="B449" i="2"/>
  <c r="A449" i="2"/>
  <c r="L448" i="2"/>
  <c r="K448" i="2"/>
  <c r="H448" i="2"/>
  <c r="G448" i="2"/>
  <c r="F448" i="2"/>
  <c r="D448" i="2"/>
  <c r="E448" i="2" s="1"/>
  <c r="C448" i="2"/>
  <c r="B448" i="2"/>
  <c r="A448" i="2"/>
  <c r="N447" i="2"/>
  <c r="L447" i="2"/>
  <c r="K447" i="2"/>
  <c r="I447" i="2"/>
  <c r="J447" i="2" s="1"/>
  <c r="H447" i="2"/>
  <c r="G447" i="2"/>
  <c r="F447" i="2"/>
  <c r="D447" i="2"/>
  <c r="E447" i="2" s="1"/>
  <c r="C447" i="2"/>
  <c r="B447" i="2"/>
  <c r="A447" i="2"/>
  <c r="N446" i="2"/>
  <c r="L446" i="2"/>
  <c r="K446" i="2"/>
  <c r="H446" i="2"/>
  <c r="I446" i="2" s="1"/>
  <c r="J446" i="2" s="1"/>
  <c r="G446" i="2"/>
  <c r="F446" i="2"/>
  <c r="E446" i="2"/>
  <c r="D446" i="2"/>
  <c r="C446" i="2"/>
  <c r="B446" i="2"/>
  <c r="A446" i="2"/>
  <c r="O445" i="2"/>
  <c r="L445" i="2"/>
  <c r="K445" i="2"/>
  <c r="H445" i="2"/>
  <c r="I445" i="2" s="1"/>
  <c r="J445" i="2" s="1"/>
  <c r="G445" i="2"/>
  <c r="F445" i="2"/>
  <c r="D445" i="2"/>
  <c r="C445" i="2"/>
  <c r="B445" i="2"/>
  <c r="A445" i="2"/>
  <c r="L444" i="2"/>
  <c r="K444" i="2"/>
  <c r="I444" i="2"/>
  <c r="J444" i="2" s="1"/>
  <c r="H444" i="2"/>
  <c r="G444" i="2"/>
  <c r="N444" i="2" s="1"/>
  <c r="F444" i="2"/>
  <c r="D444" i="2"/>
  <c r="E444" i="2" s="1"/>
  <c r="C444" i="2"/>
  <c r="B444" i="2"/>
  <c r="A444" i="2"/>
  <c r="O443" i="2"/>
  <c r="N443" i="2"/>
  <c r="L443" i="2"/>
  <c r="K443" i="2"/>
  <c r="H443" i="2"/>
  <c r="G443" i="2"/>
  <c r="F443" i="2"/>
  <c r="E443" i="2"/>
  <c r="D443" i="2"/>
  <c r="C443" i="2"/>
  <c r="B443" i="2"/>
  <c r="A443" i="2"/>
  <c r="L442" i="2"/>
  <c r="K442" i="2"/>
  <c r="H442" i="2"/>
  <c r="G442" i="2"/>
  <c r="F442" i="2"/>
  <c r="E442" i="2"/>
  <c r="D442" i="2"/>
  <c r="C442" i="2"/>
  <c r="B442" i="2"/>
  <c r="A442" i="2"/>
  <c r="L441" i="2"/>
  <c r="N441" i="2" s="1"/>
  <c r="K441" i="2"/>
  <c r="I441" i="2"/>
  <c r="J441" i="2" s="1"/>
  <c r="H441" i="2"/>
  <c r="G441" i="2"/>
  <c r="F441" i="2"/>
  <c r="D441" i="2"/>
  <c r="E441" i="2" s="1"/>
  <c r="C441" i="2"/>
  <c r="B441" i="2"/>
  <c r="A441" i="2"/>
  <c r="L440" i="2"/>
  <c r="K440" i="2"/>
  <c r="H440" i="2"/>
  <c r="G440" i="2"/>
  <c r="F440" i="2"/>
  <c r="D440" i="2"/>
  <c r="E440" i="2" s="1"/>
  <c r="C440" i="2"/>
  <c r="B440" i="2"/>
  <c r="A440" i="2"/>
  <c r="L439" i="2"/>
  <c r="N439" i="2" s="1"/>
  <c r="K439" i="2"/>
  <c r="H439" i="2"/>
  <c r="G439" i="2"/>
  <c r="I439" i="2" s="1"/>
  <c r="J439" i="2" s="1"/>
  <c r="F439" i="2"/>
  <c r="D439" i="2"/>
  <c r="E439" i="2" s="1"/>
  <c r="C439" i="2"/>
  <c r="B439" i="2"/>
  <c r="A439" i="2"/>
  <c r="N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L437" i="2"/>
  <c r="K437" i="2"/>
  <c r="H437" i="2"/>
  <c r="I437" i="2" s="1"/>
  <c r="J437" i="2" s="1"/>
  <c r="G437" i="2"/>
  <c r="N437" i="2" s="1"/>
  <c r="F437" i="2"/>
  <c r="D437" i="2"/>
  <c r="E437" i="2" s="1"/>
  <c r="C437" i="2"/>
  <c r="B437" i="2"/>
  <c r="A437" i="2"/>
  <c r="N436" i="2"/>
  <c r="L436" i="2"/>
  <c r="K436" i="2"/>
  <c r="H436" i="2"/>
  <c r="G436" i="2"/>
  <c r="I436" i="2" s="1"/>
  <c r="J436" i="2" s="1"/>
  <c r="F436" i="2"/>
  <c r="D436" i="2"/>
  <c r="E436" i="2" s="1"/>
  <c r="C436" i="2"/>
  <c r="O436" i="2" s="1"/>
  <c r="B436" i="2"/>
  <c r="A436" i="2"/>
  <c r="L435" i="2"/>
  <c r="K435" i="2"/>
  <c r="J435" i="2"/>
  <c r="H435" i="2"/>
  <c r="G435" i="2"/>
  <c r="I435" i="2" s="1"/>
  <c r="F435" i="2"/>
  <c r="E435" i="2"/>
  <c r="D435" i="2"/>
  <c r="C435" i="2"/>
  <c r="B435" i="2"/>
  <c r="O435" i="2" s="1"/>
  <c r="A435" i="2"/>
  <c r="N434" i="2"/>
  <c r="L434" i="2"/>
  <c r="K434" i="2"/>
  <c r="I434" i="2"/>
  <c r="J434" i="2" s="1"/>
  <c r="H434" i="2"/>
  <c r="G434" i="2"/>
  <c r="F434" i="2"/>
  <c r="E434" i="2"/>
  <c r="D434" i="2"/>
  <c r="C434" i="2"/>
  <c r="B434" i="2"/>
  <c r="A434" i="2"/>
  <c r="N433" i="2"/>
  <c r="L433" i="2"/>
  <c r="K433" i="2"/>
  <c r="H433" i="2"/>
  <c r="I433" i="2" s="1"/>
  <c r="J433" i="2" s="1"/>
  <c r="G433" i="2"/>
  <c r="F433" i="2"/>
  <c r="E433" i="2"/>
  <c r="D433" i="2"/>
  <c r="C433" i="2"/>
  <c r="B433" i="2"/>
  <c r="A433" i="2"/>
  <c r="L432" i="2"/>
  <c r="K432" i="2"/>
  <c r="H432" i="2"/>
  <c r="G432" i="2"/>
  <c r="F432" i="2"/>
  <c r="E432" i="2"/>
  <c r="D432" i="2"/>
  <c r="C432" i="2"/>
  <c r="B432" i="2"/>
  <c r="O432" i="2" s="1"/>
  <c r="A432" i="2"/>
  <c r="N431" i="2"/>
  <c r="L431" i="2"/>
  <c r="K431" i="2"/>
  <c r="J431" i="2"/>
  <c r="I431" i="2"/>
  <c r="H431" i="2"/>
  <c r="G431" i="2"/>
  <c r="F431" i="2"/>
  <c r="D431" i="2"/>
  <c r="E431" i="2" s="1"/>
  <c r="C431" i="2"/>
  <c r="B431" i="2"/>
  <c r="A431" i="2"/>
  <c r="N430" i="2"/>
  <c r="L430" i="2"/>
  <c r="K430" i="2"/>
  <c r="H430" i="2"/>
  <c r="I430" i="2" s="1"/>
  <c r="J430" i="2" s="1"/>
  <c r="G430" i="2"/>
  <c r="F430" i="2"/>
  <c r="E430" i="2"/>
  <c r="D430" i="2"/>
  <c r="C430" i="2"/>
  <c r="B430" i="2"/>
  <c r="A430" i="2"/>
  <c r="O429" i="2"/>
  <c r="L429" i="2"/>
  <c r="K429" i="2"/>
  <c r="H429" i="2"/>
  <c r="I429" i="2" s="1"/>
  <c r="J429" i="2" s="1"/>
  <c r="G429" i="2"/>
  <c r="F429" i="2"/>
  <c r="D429" i="2"/>
  <c r="C429" i="2"/>
  <c r="B429" i="2"/>
  <c r="A429" i="2"/>
  <c r="L428" i="2"/>
  <c r="K428" i="2"/>
  <c r="I428" i="2"/>
  <c r="J428" i="2" s="1"/>
  <c r="H428" i="2"/>
  <c r="G428" i="2"/>
  <c r="N428" i="2" s="1"/>
  <c r="F428" i="2"/>
  <c r="D428" i="2"/>
  <c r="E428" i="2" s="1"/>
  <c r="C428" i="2"/>
  <c r="B428" i="2"/>
  <c r="A428" i="2"/>
  <c r="L427" i="2"/>
  <c r="K427" i="2"/>
  <c r="H427" i="2"/>
  <c r="G427" i="2"/>
  <c r="F427" i="2"/>
  <c r="O427" i="2" s="1"/>
  <c r="E427" i="2"/>
  <c r="D427" i="2"/>
  <c r="C427" i="2"/>
  <c r="B427" i="2"/>
  <c r="A427" i="2"/>
  <c r="L426" i="2"/>
  <c r="N426" i="2" s="1"/>
  <c r="K426" i="2"/>
  <c r="H426" i="2"/>
  <c r="G426" i="2"/>
  <c r="F426" i="2"/>
  <c r="D426" i="2"/>
  <c r="E426" i="2" s="1"/>
  <c r="C426" i="2"/>
  <c r="B426" i="2"/>
  <c r="A426" i="2"/>
  <c r="L425" i="2"/>
  <c r="N425" i="2" s="1"/>
  <c r="K425" i="2"/>
  <c r="I425" i="2"/>
  <c r="J425" i="2" s="1"/>
  <c r="H425" i="2"/>
  <c r="G425" i="2"/>
  <c r="F425" i="2"/>
  <c r="D425" i="2"/>
  <c r="C425" i="2"/>
  <c r="B425" i="2"/>
  <c r="A425" i="2"/>
  <c r="L424" i="2"/>
  <c r="K424" i="2"/>
  <c r="H424" i="2"/>
  <c r="G424" i="2"/>
  <c r="F424" i="2"/>
  <c r="D424" i="2"/>
  <c r="E424" i="2" s="1"/>
  <c r="C424" i="2"/>
  <c r="B424" i="2"/>
  <c r="A424" i="2"/>
  <c r="L423" i="2"/>
  <c r="N423" i="2" s="1"/>
  <c r="K423" i="2"/>
  <c r="H423" i="2"/>
  <c r="G423" i="2"/>
  <c r="I423" i="2" s="1"/>
  <c r="J423" i="2" s="1"/>
  <c r="F423" i="2"/>
  <c r="D423" i="2"/>
  <c r="E423" i="2" s="1"/>
  <c r="C423" i="2"/>
  <c r="O423" i="2" s="1"/>
  <c r="B423" i="2"/>
  <c r="A423" i="2"/>
  <c r="N422" i="2"/>
  <c r="L422" i="2"/>
  <c r="K422" i="2"/>
  <c r="I422" i="2"/>
  <c r="J422" i="2" s="1"/>
  <c r="H422" i="2"/>
  <c r="G422" i="2"/>
  <c r="F422" i="2"/>
  <c r="E422" i="2"/>
  <c r="D422" i="2"/>
  <c r="C422" i="2"/>
  <c r="B422" i="2"/>
  <c r="A422" i="2"/>
  <c r="L421" i="2"/>
  <c r="K421" i="2"/>
  <c r="H421" i="2"/>
  <c r="I421" i="2" s="1"/>
  <c r="J421" i="2" s="1"/>
  <c r="G421" i="2"/>
  <c r="N421" i="2" s="1"/>
  <c r="F421" i="2"/>
  <c r="D421" i="2"/>
  <c r="E421" i="2" s="1"/>
  <c r="C421" i="2"/>
  <c r="B421" i="2"/>
  <c r="A421" i="2"/>
  <c r="N420" i="2"/>
  <c r="L420" i="2"/>
  <c r="K420" i="2"/>
  <c r="H420" i="2"/>
  <c r="G420" i="2"/>
  <c r="I420" i="2" s="1"/>
  <c r="J420" i="2" s="1"/>
  <c r="F420" i="2"/>
  <c r="D420" i="2"/>
  <c r="E420" i="2" s="1"/>
  <c r="C420" i="2"/>
  <c r="B420" i="2"/>
  <c r="A420" i="2"/>
  <c r="L419" i="2"/>
  <c r="K419" i="2"/>
  <c r="J419" i="2"/>
  <c r="H419" i="2"/>
  <c r="G419" i="2"/>
  <c r="I419" i="2" s="1"/>
  <c r="F419" i="2"/>
  <c r="E419" i="2"/>
  <c r="D419" i="2"/>
  <c r="C419" i="2"/>
  <c r="B419" i="2"/>
  <c r="A419" i="2"/>
  <c r="N418" i="2"/>
  <c r="L418" i="2"/>
  <c r="K418" i="2"/>
  <c r="I418" i="2"/>
  <c r="J418" i="2" s="1"/>
  <c r="H418" i="2"/>
  <c r="G418" i="2"/>
  <c r="F418" i="2"/>
  <c r="E418" i="2"/>
  <c r="D418" i="2"/>
  <c r="C418" i="2"/>
  <c r="B418" i="2"/>
  <c r="A418" i="2"/>
  <c r="N417" i="2"/>
  <c r="L417" i="2"/>
  <c r="K417" i="2"/>
  <c r="H417" i="2"/>
  <c r="I417" i="2" s="1"/>
  <c r="J417" i="2" s="1"/>
  <c r="G417" i="2"/>
  <c r="F417" i="2"/>
  <c r="E417" i="2"/>
  <c r="D417" i="2"/>
  <c r="C417" i="2"/>
  <c r="B417" i="2"/>
  <c r="A417" i="2"/>
  <c r="O416" i="2"/>
  <c r="L416" i="2"/>
  <c r="K416" i="2"/>
  <c r="H416" i="2"/>
  <c r="G416" i="2"/>
  <c r="F416" i="2"/>
  <c r="E416" i="2"/>
  <c r="D416" i="2"/>
  <c r="C416" i="2"/>
  <c r="B416" i="2"/>
  <c r="A416" i="2"/>
  <c r="N415" i="2"/>
  <c r="L415" i="2"/>
  <c r="K415" i="2"/>
  <c r="J415" i="2"/>
  <c r="I415" i="2"/>
  <c r="H415" i="2"/>
  <c r="G415" i="2"/>
  <c r="F415" i="2"/>
  <c r="D415" i="2"/>
  <c r="E415" i="2" s="1"/>
  <c r="C415" i="2"/>
  <c r="B415" i="2"/>
  <c r="A415" i="2"/>
  <c r="N414" i="2"/>
  <c r="L414" i="2"/>
  <c r="K414" i="2"/>
  <c r="H414" i="2"/>
  <c r="I414" i="2" s="1"/>
  <c r="J414" i="2" s="1"/>
  <c r="G414" i="2"/>
  <c r="F414" i="2"/>
  <c r="E414" i="2"/>
  <c r="D414" i="2"/>
  <c r="C414" i="2"/>
  <c r="B414" i="2"/>
  <c r="A414" i="2"/>
  <c r="O413" i="2"/>
  <c r="L413" i="2"/>
  <c r="K413" i="2"/>
  <c r="H413" i="2"/>
  <c r="I413" i="2" s="1"/>
  <c r="J413" i="2" s="1"/>
  <c r="G413" i="2"/>
  <c r="F413" i="2"/>
  <c r="D413" i="2"/>
  <c r="E413" i="2" s="1"/>
  <c r="C413" i="2"/>
  <c r="B413" i="2"/>
  <c r="A413" i="2"/>
  <c r="L412" i="2"/>
  <c r="K412" i="2"/>
  <c r="I412" i="2"/>
  <c r="J412" i="2" s="1"/>
  <c r="H412" i="2"/>
  <c r="G412" i="2"/>
  <c r="F412" i="2"/>
  <c r="D412" i="2"/>
  <c r="E412" i="2" s="1"/>
  <c r="C412" i="2"/>
  <c r="B412" i="2"/>
  <c r="A412" i="2"/>
  <c r="L411" i="2"/>
  <c r="K411" i="2"/>
  <c r="H411" i="2"/>
  <c r="G411" i="2"/>
  <c r="F411" i="2"/>
  <c r="O411" i="2" s="1"/>
  <c r="E411" i="2"/>
  <c r="D411" i="2"/>
  <c r="C411" i="2"/>
  <c r="B411" i="2"/>
  <c r="A411" i="2"/>
  <c r="O410" i="2"/>
  <c r="N410" i="2"/>
  <c r="L410" i="2"/>
  <c r="K410" i="2"/>
  <c r="H410" i="2"/>
  <c r="G410" i="2"/>
  <c r="I410" i="2" s="1"/>
  <c r="J410" i="2" s="1"/>
  <c r="F410" i="2"/>
  <c r="D410" i="2"/>
  <c r="E410" i="2" s="1"/>
  <c r="C410" i="2"/>
  <c r="B410" i="2"/>
  <c r="A410" i="2"/>
  <c r="L409" i="2"/>
  <c r="N409" i="2" s="1"/>
  <c r="K409" i="2"/>
  <c r="I409" i="2"/>
  <c r="J409" i="2" s="1"/>
  <c r="H409" i="2"/>
  <c r="G409" i="2"/>
  <c r="F409" i="2"/>
  <c r="D409" i="2"/>
  <c r="E409" i="2" s="1"/>
  <c r="C409" i="2"/>
  <c r="B409" i="2"/>
  <c r="A409" i="2"/>
  <c r="L408" i="2"/>
  <c r="K408" i="2"/>
  <c r="H408" i="2"/>
  <c r="G408" i="2"/>
  <c r="F408" i="2"/>
  <c r="D408" i="2"/>
  <c r="E408" i="2" s="1"/>
  <c r="C408" i="2"/>
  <c r="B408" i="2"/>
  <c r="A408" i="2"/>
  <c r="L407" i="2"/>
  <c r="K407" i="2"/>
  <c r="H407" i="2"/>
  <c r="G407" i="2"/>
  <c r="F407" i="2"/>
  <c r="O407" i="2" s="1"/>
  <c r="D407" i="2"/>
  <c r="E407" i="2" s="1"/>
  <c r="C407" i="2"/>
  <c r="B407" i="2"/>
  <c r="A407" i="2"/>
  <c r="N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L405" i="2"/>
  <c r="K405" i="2"/>
  <c r="H405" i="2"/>
  <c r="G405" i="2"/>
  <c r="F405" i="2"/>
  <c r="D405" i="2"/>
  <c r="E405" i="2" s="1"/>
  <c r="C405" i="2"/>
  <c r="B405" i="2"/>
  <c r="A405" i="2"/>
  <c r="L404" i="2"/>
  <c r="K404" i="2"/>
  <c r="H404" i="2"/>
  <c r="G404" i="2"/>
  <c r="F404" i="2"/>
  <c r="D404" i="2"/>
  <c r="E404" i="2" s="1"/>
  <c r="C404" i="2"/>
  <c r="O404" i="2" s="1"/>
  <c r="B404" i="2"/>
  <c r="A404" i="2"/>
  <c r="L403" i="2"/>
  <c r="K403" i="2"/>
  <c r="J403" i="2"/>
  <c r="H403" i="2"/>
  <c r="G403" i="2"/>
  <c r="I403" i="2" s="1"/>
  <c r="F403" i="2"/>
  <c r="E403" i="2"/>
  <c r="D403" i="2"/>
  <c r="C403" i="2"/>
  <c r="B403" i="2"/>
  <c r="A403" i="2"/>
  <c r="N402" i="2"/>
  <c r="L402" i="2"/>
  <c r="K402" i="2"/>
  <c r="I402" i="2"/>
  <c r="J402" i="2" s="1"/>
  <c r="H402" i="2"/>
  <c r="G402" i="2"/>
  <c r="F402" i="2"/>
  <c r="E402" i="2"/>
  <c r="D402" i="2"/>
  <c r="C402" i="2"/>
  <c r="B402" i="2"/>
  <c r="A402" i="2"/>
  <c r="N401" i="2"/>
  <c r="L401" i="2"/>
  <c r="K401" i="2"/>
  <c r="H401" i="2"/>
  <c r="I401" i="2" s="1"/>
  <c r="J401" i="2" s="1"/>
  <c r="G401" i="2"/>
  <c r="F401" i="2"/>
  <c r="E401" i="2"/>
  <c r="D401" i="2"/>
  <c r="C401" i="2"/>
  <c r="B401" i="2"/>
  <c r="A401" i="2"/>
  <c r="L400" i="2"/>
  <c r="K400" i="2"/>
  <c r="O400" i="2" s="1"/>
  <c r="H400" i="2"/>
  <c r="G400" i="2"/>
  <c r="F400" i="2"/>
  <c r="D400" i="2"/>
  <c r="C400" i="2"/>
  <c r="B400" i="2"/>
  <c r="A400" i="2"/>
  <c r="N399" i="2"/>
  <c r="L399" i="2"/>
  <c r="K399" i="2"/>
  <c r="I399" i="2"/>
  <c r="J399" i="2" s="1"/>
  <c r="H399" i="2"/>
  <c r="G399" i="2"/>
  <c r="F399" i="2"/>
  <c r="D399" i="2"/>
  <c r="E399" i="2" s="1"/>
  <c r="C399" i="2"/>
  <c r="B399" i="2"/>
  <c r="A399" i="2"/>
  <c r="N398" i="2"/>
  <c r="L398" i="2"/>
  <c r="K398" i="2"/>
  <c r="H398" i="2"/>
  <c r="I398" i="2" s="1"/>
  <c r="J398" i="2" s="1"/>
  <c r="G398" i="2"/>
  <c r="F398" i="2"/>
  <c r="E398" i="2"/>
  <c r="D398" i="2"/>
  <c r="C398" i="2"/>
  <c r="B398" i="2"/>
  <c r="A398" i="2"/>
  <c r="O397" i="2"/>
  <c r="L397" i="2"/>
  <c r="K397" i="2"/>
  <c r="H397" i="2"/>
  <c r="G397" i="2"/>
  <c r="F397" i="2"/>
  <c r="D397" i="2"/>
  <c r="E397" i="2" s="1"/>
  <c r="C397" i="2"/>
  <c r="B397" i="2"/>
  <c r="A397" i="2"/>
  <c r="L396" i="2"/>
  <c r="N396" i="2" s="1"/>
  <c r="K396" i="2"/>
  <c r="I396" i="2"/>
  <c r="J396" i="2" s="1"/>
  <c r="H396" i="2"/>
  <c r="G396" i="2"/>
  <c r="F396" i="2"/>
  <c r="D396" i="2"/>
  <c r="E396" i="2" s="1"/>
  <c r="C396" i="2"/>
  <c r="B396" i="2"/>
  <c r="A396" i="2"/>
  <c r="O395" i="2"/>
  <c r="N395" i="2"/>
  <c r="L395" i="2"/>
  <c r="K395" i="2"/>
  <c r="J395" i="2"/>
  <c r="H395" i="2"/>
  <c r="G395" i="2"/>
  <c r="I395" i="2" s="1"/>
  <c r="F395" i="2"/>
  <c r="E395" i="2"/>
  <c r="D395" i="2"/>
  <c r="C395" i="2"/>
  <c r="B395" i="2"/>
  <c r="A395" i="2"/>
  <c r="L394" i="2"/>
  <c r="K394" i="2"/>
  <c r="H394" i="2"/>
  <c r="G394" i="2"/>
  <c r="I394" i="2" s="1"/>
  <c r="J394" i="2" s="1"/>
  <c r="F394" i="2"/>
  <c r="O394" i="2" s="1"/>
  <c r="D394" i="2"/>
  <c r="E394" i="2" s="1"/>
  <c r="C394" i="2"/>
  <c r="B394" i="2"/>
  <c r="A394" i="2"/>
  <c r="L393" i="2"/>
  <c r="N393" i="2" s="1"/>
  <c r="K393" i="2"/>
  <c r="I393" i="2"/>
  <c r="J393" i="2" s="1"/>
  <c r="H393" i="2"/>
  <c r="G393" i="2"/>
  <c r="F393" i="2"/>
  <c r="E393" i="2"/>
  <c r="D393" i="2"/>
  <c r="C393" i="2"/>
  <c r="B393" i="2"/>
  <c r="A393" i="2"/>
  <c r="L392" i="2"/>
  <c r="K392" i="2"/>
  <c r="H392" i="2"/>
  <c r="G392" i="2"/>
  <c r="F392" i="2"/>
  <c r="D392" i="2"/>
  <c r="E392" i="2" s="1"/>
  <c r="C392" i="2"/>
  <c r="B392" i="2"/>
  <c r="A392" i="2"/>
  <c r="N391" i="2"/>
  <c r="L391" i="2"/>
  <c r="K391" i="2"/>
  <c r="H391" i="2"/>
  <c r="G391" i="2"/>
  <c r="I391" i="2" s="1"/>
  <c r="J391" i="2" s="1"/>
  <c r="F391" i="2"/>
  <c r="D391" i="2"/>
  <c r="E391" i="2" s="1"/>
  <c r="C391" i="2"/>
  <c r="O391" i="2" s="1"/>
  <c r="B391" i="2"/>
  <c r="A391" i="2"/>
  <c r="N390" i="2"/>
  <c r="L390" i="2"/>
  <c r="K390" i="2"/>
  <c r="I390" i="2"/>
  <c r="J390" i="2" s="1"/>
  <c r="H390" i="2"/>
  <c r="G390" i="2"/>
  <c r="F390" i="2"/>
  <c r="E390" i="2"/>
  <c r="D390" i="2"/>
  <c r="C390" i="2"/>
  <c r="B390" i="2"/>
  <c r="A390" i="2"/>
  <c r="L389" i="2"/>
  <c r="K389" i="2"/>
  <c r="H389" i="2"/>
  <c r="G389" i="2"/>
  <c r="F389" i="2"/>
  <c r="D389" i="2"/>
  <c r="E389" i="2" s="1"/>
  <c r="C389" i="2"/>
  <c r="B389" i="2"/>
  <c r="A389" i="2"/>
  <c r="L388" i="2"/>
  <c r="K388" i="2"/>
  <c r="H388" i="2"/>
  <c r="G388" i="2"/>
  <c r="F388" i="2"/>
  <c r="D388" i="2"/>
  <c r="E388" i="2" s="1"/>
  <c r="C388" i="2"/>
  <c r="O388" i="2" s="1"/>
  <c r="B388" i="2"/>
  <c r="A388" i="2"/>
  <c r="N387" i="2"/>
  <c r="L387" i="2"/>
  <c r="K387" i="2"/>
  <c r="J387" i="2"/>
  <c r="H387" i="2"/>
  <c r="G387" i="2"/>
  <c r="I387" i="2" s="1"/>
  <c r="F387" i="2"/>
  <c r="E387" i="2"/>
  <c r="D387" i="2"/>
  <c r="C387" i="2"/>
  <c r="B387" i="2"/>
  <c r="A387" i="2"/>
  <c r="L386" i="2"/>
  <c r="N386" i="2" s="1"/>
  <c r="K386" i="2"/>
  <c r="I386" i="2"/>
  <c r="J386" i="2" s="1"/>
  <c r="H386" i="2"/>
  <c r="G386" i="2"/>
  <c r="F386" i="2"/>
  <c r="D386" i="2"/>
  <c r="E386" i="2" s="1"/>
  <c r="C386" i="2"/>
  <c r="B386" i="2"/>
  <c r="A386" i="2"/>
  <c r="N385" i="2"/>
  <c r="L385" i="2"/>
  <c r="K385" i="2"/>
  <c r="H385" i="2"/>
  <c r="I385" i="2" s="1"/>
  <c r="J385" i="2" s="1"/>
  <c r="G385" i="2"/>
  <c r="F385" i="2"/>
  <c r="E385" i="2"/>
  <c r="D385" i="2"/>
  <c r="C385" i="2"/>
  <c r="B385" i="2"/>
  <c r="A385" i="2"/>
  <c r="L384" i="2"/>
  <c r="K384" i="2"/>
  <c r="O384" i="2" s="1"/>
  <c r="H384" i="2"/>
  <c r="G384" i="2"/>
  <c r="F384" i="2"/>
  <c r="D384" i="2"/>
  <c r="C384" i="2"/>
  <c r="B384" i="2"/>
  <c r="A384" i="2"/>
  <c r="L383" i="2"/>
  <c r="N383" i="2" s="1"/>
  <c r="K383" i="2"/>
  <c r="H383" i="2"/>
  <c r="I383" i="2" s="1"/>
  <c r="J383" i="2" s="1"/>
  <c r="G383" i="2"/>
  <c r="F383" i="2"/>
  <c r="D383" i="2"/>
  <c r="E383" i="2" s="1"/>
  <c r="C383" i="2"/>
  <c r="B383" i="2"/>
  <c r="A383" i="2"/>
  <c r="L382" i="2"/>
  <c r="K382" i="2"/>
  <c r="H382" i="2"/>
  <c r="G382" i="2"/>
  <c r="N382" i="2" s="1"/>
  <c r="F382" i="2"/>
  <c r="D382" i="2"/>
  <c r="E382" i="2" s="1"/>
  <c r="C382" i="2"/>
  <c r="O382" i="2" s="1"/>
  <c r="B382" i="2"/>
  <c r="A382" i="2"/>
  <c r="N381" i="2"/>
  <c r="L381" i="2"/>
  <c r="K381" i="2"/>
  <c r="I381" i="2"/>
  <c r="J381" i="2" s="1"/>
  <c r="H381" i="2"/>
  <c r="G381" i="2"/>
  <c r="F381" i="2"/>
  <c r="D381" i="2"/>
  <c r="E381" i="2" s="1"/>
  <c r="C381" i="2"/>
  <c r="B381" i="2"/>
  <c r="O381" i="2" s="1"/>
  <c r="A381" i="2"/>
  <c r="O380" i="2"/>
  <c r="L380" i="2"/>
  <c r="K380" i="2"/>
  <c r="I380" i="2"/>
  <c r="J380" i="2" s="1"/>
  <c r="H380" i="2"/>
  <c r="G380" i="2"/>
  <c r="N380" i="2" s="1"/>
  <c r="F380" i="2"/>
  <c r="E380" i="2"/>
  <c r="D380" i="2"/>
  <c r="C380" i="2"/>
  <c r="B380" i="2"/>
  <c r="A380" i="2"/>
  <c r="L379" i="2"/>
  <c r="K379" i="2"/>
  <c r="H379" i="2"/>
  <c r="G379" i="2"/>
  <c r="F379" i="2"/>
  <c r="O379" i="2" s="1"/>
  <c r="E379" i="2"/>
  <c r="D379" i="2"/>
  <c r="C379" i="2"/>
  <c r="B379" i="2"/>
  <c r="A379" i="2"/>
  <c r="O378" i="2"/>
  <c r="N378" i="2"/>
  <c r="L378" i="2"/>
  <c r="K378" i="2"/>
  <c r="H378" i="2"/>
  <c r="G378" i="2"/>
  <c r="I378" i="2" s="1"/>
  <c r="J378" i="2" s="1"/>
  <c r="F378" i="2"/>
  <c r="D378" i="2"/>
  <c r="E378" i="2" s="1"/>
  <c r="C378" i="2"/>
  <c r="B378" i="2"/>
  <c r="A378" i="2"/>
  <c r="N377" i="2"/>
  <c r="L377" i="2"/>
  <c r="K377" i="2"/>
  <c r="J377" i="2"/>
  <c r="H377" i="2"/>
  <c r="G377" i="2"/>
  <c r="I377" i="2" s="1"/>
  <c r="F377" i="2"/>
  <c r="E377" i="2"/>
  <c r="D377" i="2"/>
  <c r="C377" i="2"/>
  <c r="B377" i="2"/>
  <c r="O377" i="2" s="1"/>
  <c r="A377" i="2"/>
  <c r="L376" i="2"/>
  <c r="N376" i="2" s="1"/>
  <c r="K376" i="2"/>
  <c r="J376" i="2"/>
  <c r="I376" i="2"/>
  <c r="H376" i="2"/>
  <c r="G376" i="2"/>
  <c r="F376" i="2"/>
  <c r="E376" i="2"/>
  <c r="D376" i="2"/>
  <c r="C376" i="2"/>
  <c r="B376" i="2"/>
  <c r="A376" i="2"/>
  <c r="L375" i="2"/>
  <c r="N375" i="2" s="1"/>
  <c r="K375" i="2"/>
  <c r="I375" i="2"/>
  <c r="J375" i="2" s="1"/>
  <c r="H375" i="2"/>
  <c r="G375" i="2"/>
  <c r="F375" i="2"/>
  <c r="D375" i="2"/>
  <c r="E375" i="2" s="1"/>
  <c r="C375" i="2"/>
  <c r="B375" i="2"/>
  <c r="A375" i="2"/>
  <c r="L374" i="2"/>
  <c r="K374" i="2"/>
  <c r="I374" i="2"/>
  <c r="J374" i="2" s="1"/>
  <c r="H374" i="2"/>
  <c r="G374" i="2"/>
  <c r="F374" i="2"/>
  <c r="D374" i="2"/>
  <c r="E374" i="2" s="1"/>
  <c r="C374" i="2"/>
  <c r="O374" i="2" s="1"/>
  <c r="B374" i="2"/>
  <c r="A374" i="2"/>
  <c r="O373" i="2"/>
  <c r="N373" i="2"/>
  <c r="L373" i="2"/>
  <c r="K373" i="2"/>
  <c r="I373" i="2"/>
  <c r="J373" i="2" s="1"/>
  <c r="H373" i="2"/>
  <c r="G373" i="2"/>
  <c r="F373" i="2"/>
  <c r="D373" i="2"/>
  <c r="E373" i="2" s="1"/>
  <c r="C373" i="2"/>
  <c r="B373" i="2"/>
  <c r="A373" i="2"/>
  <c r="O372" i="2"/>
  <c r="L372" i="2"/>
  <c r="K372" i="2"/>
  <c r="I372" i="2"/>
  <c r="J372" i="2" s="1"/>
  <c r="H372" i="2"/>
  <c r="G372" i="2"/>
  <c r="N372" i="2" s="1"/>
  <c r="F372" i="2"/>
  <c r="E372" i="2"/>
  <c r="D372" i="2"/>
  <c r="C372" i="2"/>
  <c r="B372" i="2"/>
  <c r="A372" i="2"/>
  <c r="L371" i="2"/>
  <c r="K371" i="2"/>
  <c r="H371" i="2"/>
  <c r="G371" i="2"/>
  <c r="N371" i="2" s="1"/>
  <c r="F371" i="2"/>
  <c r="E371" i="2"/>
  <c r="D371" i="2"/>
  <c r="C371" i="2"/>
  <c r="B371" i="2"/>
  <c r="A371" i="2"/>
  <c r="O370" i="2"/>
  <c r="N370" i="2"/>
  <c r="L370" i="2"/>
  <c r="K370" i="2"/>
  <c r="H370" i="2"/>
  <c r="G370" i="2"/>
  <c r="I370" i="2" s="1"/>
  <c r="J370" i="2" s="1"/>
  <c r="F370" i="2"/>
  <c r="D370" i="2"/>
  <c r="C370" i="2"/>
  <c r="B370" i="2"/>
  <c r="A370" i="2"/>
  <c r="L369" i="2"/>
  <c r="N369" i="2" s="1"/>
  <c r="K369" i="2"/>
  <c r="J369" i="2"/>
  <c r="H369" i="2"/>
  <c r="G369" i="2"/>
  <c r="I369" i="2" s="1"/>
  <c r="F369" i="2"/>
  <c r="D369" i="2"/>
  <c r="E369" i="2" s="1"/>
  <c r="C369" i="2"/>
  <c r="B369" i="2"/>
  <c r="O369" i="2" s="1"/>
  <c r="A369" i="2"/>
  <c r="N368" i="2"/>
  <c r="L368" i="2"/>
  <c r="K368" i="2"/>
  <c r="I368" i="2"/>
  <c r="J368" i="2" s="1"/>
  <c r="H368" i="2"/>
  <c r="G368" i="2"/>
  <c r="F368" i="2"/>
  <c r="D368" i="2"/>
  <c r="E368" i="2" s="1"/>
  <c r="C368" i="2"/>
  <c r="B368" i="2"/>
  <c r="A368" i="2"/>
  <c r="L367" i="2"/>
  <c r="N367" i="2" s="1"/>
  <c r="K367" i="2"/>
  <c r="H367" i="2"/>
  <c r="I367" i="2" s="1"/>
  <c r="J367" i="2" s="1"/>
  <c r="G367" i="2"/>
  <c r="F367" i="2"/>
  <c r="E367" i="2"/>
  <c r="D367" i="2"/>
  <c r="C367" i="2"/>
  <c r="B367" i="2"/>
  <c r="A367" i="2"/>
  <c r="L366" i="2"/>
  <c r="K366" i="2"/>
  <c r="J366" i="2"/>
  <c r="H366" i="2"/>
  <c r="I366" i="2" s="1"/>
  <c r="G366" i="2"/>
  <c r="F366" i="2"/>
  <c r="D366" i="2"/>
  <c r="E366" i="2" s="1"/>
  <c r="C366" i="2"/>
  <c r="B366" i="2"/>
  <c r="O366" i="2" s="1"/>
  <c r="A366" i="2"/>
  <c r="L365" i="2"/>
  <c r="K365" i="2"/>
  <c r="H365" i="2"/>
  <c r="G365" i="2"/>
  <c r="I365" i="2" s="1"/>
  <c r="J365" i="2" s="1"/>
  <c r="F365" i="2"/>
  <c r="D365" i="2"/>
  <c r="E365" i="2" s="1"/>
  <c r="C365" i="2"/>
  <c r="B365" i="2"/>
  <c r="A365" i="2"/>
  <c r="O364" i="2"/>
  <c r="N364" i="2"/>
  <c r="L364" i="2"/>
  <c r="K364" i="2"/>
  <c r="H364" i="2"/>
  <c r="G364" i="2"/>
  <c r="I364" i="2" s="1"/>
  <c r="J364" i="2" s="1"/>
  <c r="F364" i="2"/>
  <c r="E364" i="2"/>
  <c r="D364" i="2"/>
  <c r="C364" i="2"/>
  <c r="B364" i="2"/>
  <c r="A364" i="2"/>
  <c r="L363" i="2"/>
  <c r="N363" i="2" s="1"/>
  <c r="K363" i="2"/>
  <c r="I363" i="2"/>
  <c r="J363" i="2" s="1"/>
  <c r="H363" i="2"/>
  <c r="G363" i="2"/>
  <c r="F363" i="2"/>
  <c r="D363" i="2"/>
  <c r="E363" i="2" s="1"/>
  <c r="C363" i="2"/>
  <c r="B363" i="2"/>
  <c r="A363" i="2"/>
  <c r="O363" i="2" s="1"/>
  <c r="L362" i="2"/>
  <c r="K362" i="2"/>
  <c r="H362" i="2"/>
  <c r="G362" i="2"/>
  <c r="F362" i="2"/>
  <c r="D362" i="2"/>
  <c r="E362" i="2" s="1"/>
  <c r="C362" i="2"/>
  <c r="O362" i="2" s="1"/>
  <c r="B362" i="2"/>
  <c r="A362" i="2"/>
  <c r="L361" i="2"/>
  <c r="K361" i="2"/>
  <c r="H361" i="2"/>
  <c r="G361" i="2"/>
  <c r="F361" i="2"/>
  <c r="O361" i="2" s="1"/>
  <c r="D361" i="2"/>
  <c r="E361" i="2" s="1"/>
  <c r="C361" i="2"/>
  <c r="B361" i="2"/>
  <c r="A361" i="2"/>
  <c r="N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L359" i="2"/>
  <c r="N359" i="2" s="1"/>
  <c r="K359" i="2"/>
  <c r="I359" i="2"/>
  <c r="J359" i="2" s="1"/>
  <c r="H359" i="2"/>
  <c r="G359" i="2"/>
  <c r="F359" i="2"/>
  <c r="D359" i="2"/>
  <c r="E359" i="2" s="1"/>
  <c r="C359" i="2"/>
  <c r="B359" i="2"/>
  <c r="A359" i="2"/>
  <c r="L358" i="2"/>
  <c r="K358" i="2"/>
  <c r="I358" i="2"/>
  <c r="J358" i="2" s="1"/>
  <c r="H358" i="2"/>
  <c r="G358" i="2"/>
  <c r="F358" i="2"/>
  <c r="D358" i="2"/>
  <c r="E358" i="2" s="1"/>
  <c r="C358" i="2"/>
  <c r="O358" i="2" s="1"/>
  <c r="B358" i="2"/>
  <c r="A358" i="2"/>
  <c r="O357" i="2"/>
  <c r="N357" i="2"/>
  <c r="L357" i="2"/>
  <c r="K357" i="2"/>
  <c r="I357" i="2"/>
  <c r="J357" i="2" s="1"/>
  <c r="H357" i="2"/>
  <c r="G357" i="2"/>
  <c r="F357" i="2"/>
  <c r="D357" i="2"/>
  <c r="E357" i="2" s="1"/>
  <c r="C357" i="2"/>
  <c r="B357" i="2"/>
  <c r="A357" i="2"/>
  <c r="O356" i="2"/>
  <c r="L356" i="2"/>
  <c r="K356" i="2"/>
  <c r="I356" i="2"/>
  <c r="J356" i="2" s="1"/>
  <c r="H356" i="2"/>
  <c r="G356" i="2"/>
  <c r="N356" i="2" s="1"/>
  <c r="F356" i="2"/>
  <c r="E356" i="2"/>
  <c r="D356" i="2"/>
  <c r="C356" i="2"/>
  <c r="B356" i="2"/>
  <c r="A356" i="2"/>
  <c r="L355" i="2"/>
  <c r="K355" i="2"/>
  <c r="H355" i="2"/>
  <c r="G355" i="2"/>
  <c r="N355" i="2" s="1"/>
  <c r="F355" i="2"/>
  <c r="E355" i="2"/>
  <c r="D355" i="2"/>
  <c r="C355" i="2"/>
  <c r="B355" i="2"/>
  <c r="A355" i="2"/>
  <c r="O354" i="2"/>
  <c r="N354" i="2"/>
  <c r="L354" i="2"/>
  <c r="K354" i="2"/>
  <c r="H354" i="2"/>
  <c r="G354" i="2"/>
  <c r="I354" i="2" s="1"/>
  <c r="J354" i="2" s="1"/>
  <c r="F354" i="2"/>
  <c r="D354" i="2"/>
  <c r="C354" i="2"/>
  <c r="B354" i="2"/>
  <c r="A354" i="2"/>
  <c r="L353" i="2"/>
  <c r="N353" i="2" s="1"/>
  <c r="K353" i="2"/>
  <c r="J353" i="2"/>
  <c r="H353" i="2"/>
  <c r="G353" i="2"/>
  <c r="I353" i="2" s="1"/>
  <c r="F353" i="2"/>
  <c r="D353" i="2"/>
  <c r="E353" i="2" s="1"/>
  <c r="C353" i="2"/>
  <c r="B353" i="2"/>
  <c r="O353" i="2" s="1"/>
  <c r="A353" i="2"/>
  <c r="N352" i="2"/>
  <c r="L352" i="2"/>
  <c r="K352" i="2"/>
  <c r="I352" i="2"/>
  <c r="J352" i="2" s="1"/>
  <c r="H352" i="2"/>
  <c r="G352" i="2"/>
  <c r="F352" i="2"/>
  <c r="D352" i="2"/>
  <c r="E352" i="2" s="1"/>
  <c r="C352" i="2"/>
  <c r="B352" i="2"/>
  <c r="A352" i="2"/>
  <c r="L351" i="2"/>
  <c r="N351" i="2" s="1"/>
  <c r="K351" i="2"/>
  <c r="H351" i="2"/>
  <c r="I351" i="2" s="1"/>
  <c r="J351" i="2" s="1"/>
  <c r="G351" i="2"/>
  <c r="F351" i="2"/>
  <c r="E351" i="2"/>
  <c r="D351" i="2"/>
  <c r="C351" i="2"/>
  <c r="B351" i="2"/>
  <c r="A351" i="2"/>
  <c r="L350" i="2"/>
  <c r="K350" i="2"/>
  <c r="J350" i="2"/>
  <c r="H350" i="2"/>
  <c r="I350" i="2" s="1"/>
  <c r="G350" i="2"/>
  <c r="F350" i="2"/>
  <c r="D350" i="2"/>
  <c r="E350" i="2" s="1"/>
  <c r="C350" i="2"/>
  <c r="B350" i="2"/>
  <c r="O350" i="2" s="1"/>
  <c r="A350" i="2"/>
  <c r="L349" i="2"/>
  <c r="K349" i="2"/>
  <c r="H349" i="2"/>
  <c r="G349" i="2"/>
  <c r="I349" i="2" s="1"/>
  <c r="J349" i="2" s="1"/>
  <c r="F349" i="2"/>
  <c r="D349" i="2"/>
  <c r="E349" i="2" s="1"/>
  <c r="C349" i="2"/>
  <c r="B349" i="2"/>
  <c r="A349" i="2"/>
  <c r="O348" i="2"/>
  <c r="N348" i="2"/>
  <c r="L348" i="2"/>
  <c r="K348" i="2"/>
  <c r="H348" i="2"/>
  <c r="G348" i="2"/>
  <c r="I348" i="2" s="1"/>
  <c r="J348" i="2" s="1"/>
  <c r="F348" i="2"/>
  <c r="E348" i="2"/>
  <c r="D348" i="2"/>
  <c r="C348" i="2"/>
  <c r="B348" i="2"/>
  <c r="A348" i="2"/>
  <c r="L347" i="2"/>
  <c r="N347" i="2" s="1"/>
  <c r="K347" i="2"/>
  <c r="I347" i="2"/>
  <c r="J347" i="2" s="1"/>
  <c r="H347" i="2"/>
  <c r="G347" i="2"/>
  <c r="F347" i="2"/>
  <c r="D347" i="2"/>
  <c r="E347" i="2" s="1"/>
  <c r="C347" i="2"/>
  <c r="B347" i="2"/>
  <c r="A347" i="2"/>
  <c r="O347" i="2" s="1"/>
  <c r="L346" i="2"/>
  <c r="K346" i="2"/>
  <c r="H346" i="2"/>
  <c r="G346" i="2"/>
  <c r="F346" i="2"/>
  <c r="D346" i="2"/>
  <c r="E346" i="2" s="1"/>
  <c r="C346" i="2"/>
  <c r="O346" i="2" s="1"/>
  <c r="B346" i="2"/>
  <c r="A346" i="2"/>
  <c r="L345" i="2"/>
  <c r="K345" i="2"/>
  <c r="H345" i="2"/>
  <c r="G345" i="2"/>
  <c r="F345" i="2"/>
  <c r="O345" i="2" s="1"/>
  <c r="D345" i="2"/>
  <c r="E345" i="2" s="1"/>
  <c r="C345" i="2"/>
  <c r="B345" i="2"/>
  <c r="A345" i="2"/>
  <c r="N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L343" i="2"/>
  <c r="N343" i="2" s="1"/>
  <c r="K343" i="2"/>
  <c r="I343" i="2"/>
  <c r="J343" i="2" s="1"/>
  <c r="H343" i="2"/>
  <c r="G343" i="2"/>
  <c r="F343" i="2"/>
  <c r="D343" i="2"/>
  <c r="E343" i="2" s="1"/>
  <c r="C343" i="2"/>
  <c r="B343" i="2"/>
  <c r="A343" i="2"/>
  <c r="L342" i="2"/>
  <c r="K342" i="2"/>
  <c r="I342" i="2"/>
  <c r="J342" i="2" s="1"/>
  <c r="H342" i="2"/>
  <c r="G342" i="2"/>
  <c r="F342" i="2"/>
  <c r="D342" i="2"/>
  <c r="E342" i="2" s="1"/>
  <c r="C342" i="2"/>
  <c r="O342" i="2" s="1"/>
  <c r="B342" i="2"/>
  <c r="A342" i="2"/>
  <c r="O341" i="2"/>
  <c r="N341" i="2"/>
  <c r="L341" i="2"/>
  <c r="K341" i="2"/>
  <c r="I341" i="2"/>
  <c r="J341" i="2" s="1"/>
  <c r="H341" i="2"/>
  <c r="G341" i="2"/>
  <c r="F341" i="2"/>
  <c r="D341" i="2"/>
  <c r="E341" i="2" s="1"/>
  <c r="C341" i="2"/>
  <c r="B341" i="2"/>
  <c r="A341" i="2"/>
  <c r="O340" i="2"/>
  <c r="L340" i="2"/>
  <c r="K340" i="2"/>
  <c r="I340" i="2"/>
  <c r="J340" i="2" s="1"/>
  <c r="H340" i="2"/>
  <c r="G340" i="2"/>
  <c r="N340" i="2" s="1"/>
  <c r="F340" i="2"/>
  <c r="E340" i="2"/>
  <c r="D340" i="2"/>
  <c r="C340" i="2"/>
  <c r="B340" i="2"/>
  <c r="A340" i="2"/>
  <c r="L339" i="2"/>
  <c r="K339" i="2"/>
  <c r="H339" i="2"/>
  <c r="G339" i="2"/>
  <c r="N339" i="2" s="1"/>
  <c r="F339" i="2"/>
  <c r="E339" i="2"/>
  <c r="D339" i="2"/>
  <c r="C339" i="2"/>
  <c r="B339" i="2"/>
  <c r="A339" i="2"/>
  <c r="O338" i="2"/>
  <c r="N338" i="2"/>
  <c r="L338" i="2"/>
  <c r="K338" i="2"/>
  <c r="H338" i="2"/>
  <c r="G338" i="2"/>
  <c r="I338" i="2" s="1"/>
  <c r="J338" i="2" s="1"/>
  <c r="F338" i="2"/>
  <c r="D338" i="2"/>
  <c r="C338" i="2"/>
  <c r="B338" i="2"/>
  <c r="A338" i="2"/>
  <c r="L337" i="2"/>
  <c r="N337" i="2" s="1"/>
  <c r="K337" i="2"/>
  <c r="J337" i="2"/>
  <c r="H337" i="2"/>
  <c r="G337" i="2"/>
  <c r="I337" i="2" s="1"/>
  <c r="F337" i="2"/>
  <c r="D337" i="2"/>
  <c r="E337" i="2" s="1"/>
  <c r="C337" i="2"/>
  <c r="B337" i="2"/>
  <c r="O337" i="2" s="1"/>
  <c r="A337" i="2"/>
  <c r="N336" i="2"/>
  <c r="L336" i="2"/>
  <c r="K336" i="2"/>
  <c r="I336" i="2"/>
  <c r="J336" i="2" s="1"/>
  <c r="H336" i="2"/>
  <c r="G336" i="2"/>
  <c r="F336" i="2"/>
  <c r="D336" i="2"/>
  <c r="E336" i="2" s="1"/>
  <c r="C336" i="2"/>
  <c r="B336" i="2"/>
  <c r="A336" i="2"/>
  <c r="L335" i="2"/>
  <c r="N335" i="2" s="1"/>
  <c r="K335" i="2"/>
  <c r="H335" i="2"/>
  <c r="I335" i="2" s="1"/>
  <c r="J335" i="2" s="1"/>
  <c r="G335" i="2"/>
  <c r="F335" i="2"/>
  <c r="E335" i="2"/>
  <c r="D335" i="2"/>
  <c r="C335" i="2"/>
  <c r="B335" i="2"/>
  <c r="A335" i="2"/>
  <c r="L334" i="2"/>
  <c r="K334" i="2"/>
  <c r="J334" i="2"/>
  <c r="H334" i="2"/>
  <c r="I334" i="2" s="1"/>
  <c r="G334" i="2"/>
  <c r="F334" i="2"/>
  <c r="D334" i="2"/>
  <c r="E334" i="2" s="1"/>
  <c r="C334" i="2"/>
  <c r="B334" i="2"/>
  <c r="O334" i="2" s="1"/>
  <c r="A334" i="2"/>
  <c r="L333" i="2"/>
  <c r="K333" i="2"/>
  <c r="H333" i="2"/>
  <c r="G333" i="2"/>
  <c r="I333" i="2" s="1"/>
  <c r="J333" i="2" s="1"/>
  <c r="F333" i="2"/>
  <c r="D333" i="2"/>
  <c r="E333" i="2" s="1"/>
  <c r="C333" i="2"/>
  <c r="B333" i="2"/>
  <c r="A333" i="2"/>
  <c r="O332" i="2"/>
  <c r="N332" i="2"/>
  <c r="L332" i="2"/>
  <c r="K332" i="2"/>
  <c r="H332" i="2"/>
  <c r="G332" i="2"/>
  <c r="I332" i="2" s="1"/>
  <c r="J332" i="2" s="1"/>
  <c r="F332" i="2"/>
  <c r="E332" i="2"/>
  <c r="D332" i="2"/>
  <c r="C332" i="2"/>
  <c r="B332" i="2"/>
  <c r="A332" i="2"/>
  <c r="L331" i="2"/>
  <c r="N331" i="2" s="1"/>
  <c r="K331" i="2"/>
  <c r="I331" i="2"/>
  <c r="J331" i="2" s="1"/>
  <c r="H331" i="2"/>
  <c r="G331" i="2"/>
  <c r="F331" i="2"/>
  <c r="D331" i="2"/>
  <c r="E331" i="2" s="1"/>
  <c r="C331" i="2"/>
  <c r="B331" i="2"/>
  <c r="A331" i="2"/>
  <c r="O331" i="2" s="1"/>
  <c r="L330" i="2"/>
  <c r="K330" i="2"/>
  <c r="H330" i="2"/>
  <c r="G330" i="2"/>
  <c r="F330" i="2"/>
  <c r="D330" i="2"/>
  <c r="E330" i="2" s="1"/>
  <c r="C330" i="2"/>
  <c r="O330" i="2" s="1"/>
  <c r="B330" i="2"/>
  <c r="A330" i="2"/>
  <c r="L329" i="2"/>
  <c r="K329" i="2"/>
  <c r="H329" i="2"/>
  <c r="G329" i="2"/>
  <c r="F329" i="2"/>
  <c r="O329" i="2" s="1"/>
  <c r="D329" i="2"/>
  <c r="E329" i="2" s="1"/>
  <c r="C329" i="2"/>
  <c r="B329" i="2"/>
  <c r="A329" i="2"/>
  <c r="N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L327" i="2"/>
  <c r="N327" i="2" s="1"/>
  <c r="K327" i="2"/>
  <c r="I327" i="2"/>
  <c r="J327" i="2" s="1"/>
  <c r="H327" i="2"/>
  <c r="G327" i="2"/>
  <c r="F327" i="2"/>
  <c r="D327" i="2"/>
  <c r="E327" i="2" s="1"/>
  <c r="C327" i="2"/>
  <c r="B327" i="2"/>
  <c r="A327" i="2"/>
  <c r="L326" i="2"/>
  <c r="K326" i="2"/>
  <c r="I326" i="2"/>
  <c r="J326" i="2" s="1"/>
  <c r="H326" i="2"/>
  <c r="G326" i="2"/>
  <c r="F326" i="2"/>
  <c r="D326" i="2"/>
  <c r="E326" i="2" s="1"/>
  <c r="C326" i="2"/>
  <c r="O326" i="2" s="1"/>
  <c r="B326" i="2"/>
  <c r="A326" i="2"/>
  <c r="O325" i="2"/>
  <c r="N325" i="2"/>
  <c r="L325" i="2"/>
  <c r="K325" i="2"/>
  <c r="I325" i="2"/>
  <c r="J325" i="2" s="1"/>
  <c r="H325" i="2"/>
  <c r="G325" i="2"/>
  <c r="F325" i="2"/>
  <c r="D325" i="2"/>
  <c r="E325" i="2" s="1"/>
  <c r="C325" i="2"/>
  <c r="B325" i="2"/>
  <c r="A325" i="2"/>
  <c r="O324" i="2"/>
  <c r="L324" i="2"/>
  <c r="K324" i="2"/>
  <c r="I324" i="2"/>
  <c r="J324" i="2" s="1"/>
  <c r="H324" i="2"/>
  <c r="G324" i="2"/>
  <c r="N324" i="2" s="1"/>
  <c r="F324" i="2"/>
  <c r="E324" i="2"/>
  <c r="D324" i="2"/>
  <c r="C324" i="2"/>
  <c r="B324" i="2"/>
  <c r="A324" i="2"/>
  <c r="L323" i="2"/>
  <c r="K323" i="2"/>
  <c r="H323" i="2"/>
  <c r="G323" i="2"/>
  <c r="N323" i="2" s="1"/>
  <c r="F323" i="2"/>
  <c r="E323" i="2"/>
  <c r="D323" i="2"/>
  <c r="C323" i="2"/>
  <c r="B323" i="2"/>
  <c r="A323" i="2"/>
  <c r="O322" i="2"/>
  <c r="N322" i="2"/>
  <c r="L322" i="2"/>
  <c r="K322" i="2"/>
  <c r="H322" i="2"/>
  <c r="G322" i="2"/>
  <c r="I322" i="2" s="1"/>
  <c r="J322" i="2" s="1"/>
  <c r="F322" i="2"/>
  <c r="D322" i="2"/>
  <c r="C322" i="2"/>
  <c r="B322" i="2"/>
  <c r="A322" i="2"/>
  <c r="L321" i="2"/>
  <c r="N321" i="2" s="1"/>
  <c r="K321" i="2"/>
  <c r="J321" i="2"/>
  <c r="H321" i="2"/>
  <c r="G321" i="2"/>
  <c r="I321" i="2" s="1"/>
  <c r="F321" i="2"/>
  <c r="D321" i="2"/>
  <c r="E321" i="2" s="1"/>
  <c r="C321" i="2"/>
  <c r="B321" i="2"/>
  <c r="O321" i="2" s="1"/>
  <c r="A321" i="2"/>
  <c r="N320" i="2"/>
  <c r="L320" i="2"/>
  <c r="K320" i="2"/>
  <c r="I320" i="2"/>
  <c r="J320" i="2" s="1"/>
  <c r="H320" i="2"/>
  <c r="G320" i="2"/>
  <c r="F320" i="2"/>
  <c r="D320" i="2"/>
  <c r="E320" i="2" s="1"/>
  <c r="C320" i="2"/>
  <c r="B320" i="2"/>
  <c r="A320" i="2"/>
  <c r="L319" i="2"/>
  <c r="N319" i="2" s="1"/>
  <c r="K319" i="2"/>
  <c r="H319" i="2"/>
  <c r="I319" i="2" s="1"/>
  <c r="J319" i="2" s="1"/>
  <c r="G319" i="2"/>
  <c r="F319" i="2"/>
  <c r="E319" i="2"/>
  <c r="D319" i="2"/>
  <c r="C319" i="2"/>
  <c r="B319" i="2"/>
  <c r="A319" i="2"/>
  <c r="L318" i="2"/>
  <c r="K318" i="2"/>
  <c r="J318" i="2"/>
  <c r="H318" i="2"/>
  <c r="I318" i="2" s="1"/>
  <c r="G318" i="2"/>
  <c r="F318" i="2"/>
  <c r="D318" i="2"/>
  <c r="E318" i="2" s="1"/>
  <c r="C318" i="2"/>
  <c r="B318" i="2"/>
  <c r="O318" i="2" s="1"/>
  <c r="A318" i="2"/>
  <c r="L317" i="2"/>
  <c r="K317" i="2"/>
  <c r="H317" i="2"/>
  <c r="G317" i="2"/>
  <c r="I317" i="2" s="1"/>
  <c r="J317" i="2" s="1"/>
  <c r="F317" i="2"/>
  <c r="D317" i="2"/>
  <c r="E317" i="2" s="1"/>
  <c r="C317" i="2"/>
  <c r="B317" i="2"/>
  <c r="A317" i="2"/>
  <c r="O316" i="2"/>
  <c r="N316" i="2"/>
  <c r="L316" i="2"/>
  <c r="K316" i="2"/>
  <c r="H316" i="2"/>
  <c r="G316" i="2"/>
  <c r="I316" i="2" s="1"/>
  <c r="J316" i="2" s="1"/>
  <c r="F316" i="2"/>
  <c r="E316" i="2"/>
  <c r="D316" i="2"/>
  <c r="C316" i="2"/>
  <c r="B316" i="2"/>
  <c r="A316" i="2"/>
  <c r="L315" i="2"/>
  <c r="N315" i="2" s="1"/>
  <c r="K315" i="2"/>
  <c r="I315" i="2"/>
  <c r="J315" i="2" s="1"/>
  <c r="H315" i="2"/>
  <c r="G315" i="2"/>
  <c r="F315" i="2"/>
  <c r="D315" i="2"/>
  <c r="E315" i="2" s="1"/>
  <c r="C315" i="2"/>
  <c r="B315" i="2"/>
  <c r="A315" i="2"/>
  <c r="O315" i="2" s="1"/>
  <c r="L314" i="2"/>
  <c r="K314" i="2"/>
  <c r="H314" i="2"/>
  <c r="G314" i="2"/>
  <c r="F314" i="2"/>
  <c r="D314" i="2"/>
  <c r="E314" i="2" s="1"/>
  <c r="C314" i="2"/>
  <c r="O314" i="2" s="1"/>
  <c r="B314" i="2"/>
  <c r="A314" i="2"/>
  <c r="L313" i="2"/>
  <c r="K313" i="2"/>
  <c r="H313" i="2"/>
  <c r="G313" i="2"/>
  <c r="F313" i="2"/>
  <c r="O313" i="2" s="1"/>
  <c r="D313" i="2"/>
  <c r="E313" i="2" s="1"/>
  <c r="C313" i="2"/>
  <c r="B313" i="2"/>
  <c r="A313" i="2"/>
  <c r="N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L311" i="2"/>
  <c r="N311" i="2" s="1"/>
  <c r="K311" i="2"/>
  <c r="I311" i="2"/>
  <c r="J311" i="2" s="1"/>
  <c r="H311" i="2"/>
  <c r="G311" i="2"/>
  <c r="F311" i="2"/>
  <c r="D311" i="2"/>
  <c r="E311" i="2" s="1"/>
  <c r="C311" i="2"/>
  <c r="B311" i="2"/>
  <c r="A311" i="2"/>
  <c r="L310" i="2"/>
  <c r="K310" i="2"/>
  <c r="I310" i="2"/>
  <c r="J310" i="2" s="1"/>
  <c r="H310" i="2"/>
  <c r="G310" i="2"/>
  <c r="F310" i="2"/>
  <c r="D310" i="2"/>
  <c r="E310" i="2" s="1"/>
  <c r="C310" i="2"/>
  <c r="O310" i="2" s="1"/>
  <c r="B310" i="2"/>
  <c r="A310" i="2"/>
  <c r="O309" i="2"/>
  <c r="N309" i="2"/>
  <c r="L309" i="2"/>
  <c r="K309" i="2"/>
  <c r="I309" i="2"/>
  <c r="J309" i="2" s="1"/>
  <c r="H309" i="2"/>
  <c r="G309" i="2"/>
  <c r="F309" i="2"/>
  <c r="D309" i="2"/>
  <c r="E309" i="2" s="1"/>
  <c r="C309" i="2"/>
  <c r="B309" i="2"/>
  <c r="A309" i="2"/>
  <c r="O308" i="2"/>
  <c r="L308" i="2"/>
  <c r="K308" i="2"/>
  <c r="I308" i="2"/>
  <c r="J308" i="2" s="1"/>
  <c r="H308" i="2"/>
  <c r="G308" i="2"/>
  <c r="N308" i="2" s="1"/>
  <c r="F308" i="2"/>
  <c r="E308" i="2"/>
  <c r="D308" i="2"/>
  <c r="C308" i="2"/>
  <c r="B308" i="2"/>
  <c r="A308" i="2"/>
  <c r="L307" i="2"/>
  <c r="K307" i="2"/>
  <c r="H307" i="2"/>
  <c r="G307" i="2"/>
  <c r="N307" i="2" s="1"/>
  <c r="F307" i="2"/>
  <c r="E307" i="2"/>
  <c r="D307" i="2"/>
  <c r="C307" i="2"/>
  <c r="B307" i="2"/>
  <c r="A307" i="2"/>
  <c r="O306" i="2"/>
  <c r="N306" i="2"/>
  <c r="L306" i="2"/>
  <c r="K306" i="2"/>
  <c r="H306" i="2"/>
  <c r="G306" i="2"/>
  <c r="I306" i="2" s="1"/>
  <c r="J306" i="2" s="1"/>
  <c r="F306" i="2"/>
  <c r="E306" i="2"/>
  <c r="D306" i="2"/>
  <c r="C306" i="2"/>
  <c r="B306" i="2"/>
  <c r="A306" i="2"/>
  <c r="L305" i="2"/>
  <c r="N305" i="2" s="1"/>
  <c r="K305" i="2"/>
  <c r="J305" i="2"/>
  <c r="H305" i="2"/>
  <c r="G305" i="2"/>
  <c r="I305" i="2" s="1"/>
  <c r="F305" i="2"/>
  <c r="D305" i="2"/>
  <c r="E305" i="2" s="1"/>
  <c r="C305" i="2"/>
  <c r="B305" i="2"/>
  <c r="O305" i="2" s="1"/>
  <c r="A305" i="2"/>
  <c r="N304" i="2"/>
  <c r="L304" i="2"/>
  <c r="K304" i="2"/>
  <c r="I304" i="2"/>
  <c r="J304" i="2" s="1"/>
  <c r="H304" i="2"/>
  <c r="G304" i="2"/>
  <c r="F304" i="2"/>
  <c r="D304" i="2"/>
  <c r="E304" i="2" s="1"/>
  <c r="C304" i="2"/>
  <c r="B304" i="2"/>
  <c r="A304" i="2"/>
  <c r="L303" i="2"/>
  <c r="N303" i="2" s="1"/>
  <c r="K303" i="2"/>
  <c r="H303" i="2"/>
  <c r="I303" i="2" s="1"/>
  <c r="J303" i="2" s="1"/>
  <c r="G303" i="2"/>
  <c r="F303" i="2"/>
  <c r="E303" i="2"/>
  <c r="D303" i="2"/>
  <c r="C303" i="2"/>
  <c r="B303" i="2"/>
  <c r="A303" i="2"/>
  <c r="L302" i="2"/>
  <c r="K302" i="2"/>
  <c r="J302" i="2"/>
  <c r="H302" i="2"/>
  <c r="I302" i="2" s="1"/>
  <c r="G302" i="2"/>
  <c r="F302" i="2"/>
  <c r="D302" i="2"/>
  <c r="E302" i="2" s="1"/>
  <c r="C302" i="2"/>
  <c r="B302" i="2"/>
  <c r="O302" i="2" s="1"/>
  <c r="A302" i="2"/>
  <c r="L301" i="2"/>
  <c r="K301" i="2"/>
  <c r="H301" i="2"/>
  <c r="G301" i="2"/>
  <c r="I301" i="2" s="1"/>
  <c r="J301" i="2" s="1"/>
  <c r="F301" i="2"/>
  <c r="D301" i="2"/>
  <c r="E301" i="2" s="1"/>
  <c r="C301" i="2"/>
  <c r="B301" i="2"/>
  <c r="A301" i="2"/>
  <c r="O300" i="2"/>
  <c r="N300" i="2"/>
  <c r="L300" i="2"/>
  <c r="K300" i="2"/>
  <c r="H300" i="2"/>
  <c r="G300" i="2"/>
  <c r="I300" i="2" s="1"/>
  <c r="J300" i="2" s="1"/>
  <c r="F300" i="2"/>
  <c r="E300" i="2"/>
  <c r="D300" i="2"/>
  <c r="C300" i="2"/>
  <c r="B300" i="2"/>
  <c r="A300" i="2"/>
  <c r="L299" i="2"/>
  <c r="N299" i="2" s="1"/>
  <c r="K299" i="2"/>
  <c r="I299" i="2"/>
  <c r="J299" i="2" s="1"/>
  <c r="H299" i="2"/>
  <c r="G299" i="2"/>
  <c r="F299" i="2"/>
  <c r="D299" i="2"/>
  <c r="E299" i="2" s="1"/>
  <c r="C299" i="2"/>
  <c r="B299" i="2"/>
  <c r="A299" i="2"/>
  <c r="O299" i="2" s="1"/>
  <c r="L298" i="2"/>
  <c r="K298" i="2"/>
  <c r="H298" i="2"/>
  <c r="G298" i="2"/>
  <c r="F298" i="2"/>
  <c r="D298" i="2"/>
  <c r="E298" i="2" s="1"/>
  <c r="C298" i="2"/>
  <c r="O298" i="2" s="1"/>
  <c r="B298" i="2"/>
  <c r="A298" i="2"/>
  <c r="L297" i="2"/>
  <c r="K297" i="2"/>
  <c r="H297" i="2"/>
  <c r="G297" i="2"/>
  <c r="F297" i="2"/>
  <c r="O297" i="2" s="1"/>
  <c r="D297" i="2"/>
  <c r="E297" i="2" s="1"/>
  <c r="C297" i="2"/>
  <c r="B297" i="2"/>
  <c r="A297" i="2"/>
  <c r="N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L295" i="2"/>
  <c r="N295" i="2" s="1"/>
  <c r="K295" i="2"/>
  <c r="I295" i="2"/>
  <c r="J295" i="2" s="1"/>
  <c r="H295" i="2"/>
  <c r="G295" i="2"/>
  <c r="F295" i="2"/>
  <c r="D295" i="2"/>
  <c r="E295" i="2" s="1"/>
  <c r="C295" i="2"/>
  <c r="B295" i="2"/>
  <c r="A295" i="2"/>
  <c r="L294" i="2"/>
  <c r="K294" i="2"/>
  <c r="I294" i="2"/>
  <c r="J294" i="2" s="1"/>
  <c r="H294" i="2"/>
  <c r="G294" i="2"/>
  <c r="F294" i="2"/>
  <c r="D294" i="2"/>
  <c r="E294" i="2" s="1"/>
  <c r="C294" i="2"/>
  <c r="O294" i="2" s="1"/>
  <c r="B294" i="2"/>
  <c r="A294" i="2"/>
  <c r="O293" i="2"/>
  <c r="N293" i="2"/>
  <c r="L293" i="2"/>
  <c r="K293" i="2"/>
  <c r="I293" i="2"/>
  <c r="J293" i="2" s="1"/>
  <c r="H293" i="2"/>
  <c r="G293" i="2"/>
  <c r="F293" i="2"/>
  <c r="D293" i="2"/>
  <c r="E293" i="2" s="1"/>
  <c r="C293" i="2"/>
  <c r="B293" i="2"/>
  <c r="A293" i="2"/>
  <c r="O292" i="2"/>
  <c r="L292" i="2"/>
  <c r="K292" i="2"/>
  <c r="I292" i="2"/>
  <c r="J292" i="2" s="1"/>
  <c r="H292" i="2"/>
  <c r="G292" i="2"/>
  <c r="N292" i="2" s="1"/>
  <c r="F292" i="2"/>
  <c r="E292" i="2"/>
  <c r="D292" i="2"/>
  <c r="C292" i="2"/>
  <c r="B292" i="2"/>
  <c r="A292" i="2"/>
  <c r="L291" i="2"/>
  <c r="K291" i="2"/>
  <c r="H291" i="2"/>
  <c r="G291" i="2"/>
  <c r="N291" i="2" s="1"/>
  <c r="F291" i="2"/>
  <c r="E291" i="2"/>
  <c r="D291" i="2"/>
  <c r="C291" i="2"/>
  <c r="B291" i="2"/>
  <c r="A291" i="2"/>
  <c r="O290" i="2"/>
  <c r="N290" i="2"/>
  <c r="L290" i="2"/>
  <c r="K290" i="2"/>
  <c r="H290" i="2"/>
  <c r="G290" i="2"/>
  <c r="I290" i="2" s="1"/>
  <c r="J290" i="2" s="1"/>
  <c r="F290" i="2"/>
  <c r="D290" i="2"/>
  <c r="C290" i="2"/>
  <c r="B290" i="2"/>
  <c r="A290" i="2"/>
  <c r="L289" i="2"/>
  <c r="N289" i="2" s="1"/>
  <c r="K289" i="2"/>
  <c r="J289" i="2"/>
  <c r="H289" i="2"/>
  <c r="G289" i="2"/>
  <c r="I289" i="2" s="1"/>
  <c r="F289" i="2"/>
  <c r="D289" i="2"/>
  <c r="E289" i="2" s="1"/>
  <c r="C289" i="2"/>
  <c r="B289" i="2"/>
  <c r="O289" i="2" s="1"/>
  <c r="A289" i="2"/>
  <c r="N288" i="2"/>
  <c r="L288" i="2"/>
  <c r="K288" i="2"/>
  <c r="I288" i="2"/>
  <c r="J288" i="2" s="1"/>
  <c r="H288" i="2"/>
  <c r="G288" i="2"/>
  <c r="F288" i="2"/>
  <c r="D288" i="2"/>
  <c r="E288" i="2" s="1"/>
  <c r="C288" i="2"/>
  <c r="B288" i="2"/>
  <c r="A288" i="2"/>
  <c r="L287" i="2"/>
  <c r="N287" i="2" s="1"/>
  <c r="K287" i="2"/>
  <c r="H287" i="2"/>
  <c r="I287" i="2" s="1"/>
  <c r="J287" i="2" s="1"/>
  <c r="G287" i="2"/>
  <c r="F287" i="2"/>
  <c r="E287" i="2"/>
  <c r="D287" i="2"/>
  <c r="C287" i="2"/>
  <c r="B287" i="2"/>
  <c r="A287" i="2"/>
  <c r="L286" i="2"/>
  <c r="K286" i="2"/>
  <c r="J286" i="2"/>
  <c r="H286" i="2"/>
  <c r="I286" i="2" s="1"/>
  <c r="G286" i="2"/>
  <c r="F286" i="2"/>
  <c r="D286" i="2"/>
  <c r="E286" i="2" s="1"/>
  <c r="C286" i="2"/>
  <c r="B286" i="2"/>
  <c r="O286" i="2" s="1"/>
  <c r="A286" i="2"/>
  <c r="L285" i="2"/>
  <c r="K285" i="2"/>
  <c r="H285" i="2"/>
  <c r="G285" i="2"/>
  <c r="I285" i="2" s="1"/>
  <c r="J285" i="2" s="1"/>
  <c r="F285" i="2"/>
  <c r="D285" i="2"/>
  <c r="E285" i="2" s="1"/>
  <c r="C285" i="2"/>
  <c r="B285" i="2"/>
  <c r="A285" i="2"/>
  <c r="O284" i="2"/>
  <c r="N284" i="2"/>
  <c r="L284" i="2"/>
  <c r="K284" i="2"/>
  <c r="H284" i="2"/>
  <c r="G284" i="2"/>
  <c r="I284" i="2" s="1"/>
  <c r="J284" i="2" s="1"/>
  <c r="F284" i="2"/>
  <c r="E284" i="2"/>
  <c r="D284" i="2"/>
  <c r="C284" i="2"/>
  <c r="B284" i="2"/>
  <c r="A284" i="2"/>
  <c r="L283" i="2"/>
  <c r="N283" i="2" s="1"/>
  <c r="K283" i="2"/>
  <c r="I283" i="2"/>
  <c r="J283" i="2" s="1"/>
  <c r="H283" i="2"/>
  <c r="G283" i="2"/>
  <c r="F283" i="2"/>
  <c r="D283" i="2"/>
  <c r="E283" i="2" s="1"/>
  <c r="C283" i="2"/>
  <c r="B283" i="2"/>
  <c r="A283" i="2"/>
  <c r="O283" i="2" s="1"/>
  <c r="L282" i="2"/>
  <c r="K282" i="2"/>
  <c r="H282" i="2"/>
  <c r="G282" i="2"/>
  <c r="F282" i="2"/>
  <c r="D282" i="2"/>
  <c r="E282" i="2" s="1"/>
  <c r="C282" i="2"/>
  <c r="O282" i="2" s="1"/>
  <c r="B282" i="2"/>
  <c r="A282" i="2"/>
  <c r="L281" i="2"/>
  <c r="K281" i="2"/>
  <c r="H281" i="2"/>
  <c r="G281" i="2"/>
  <c r="F281" i="2"/>
  <c r="O281" i="2" s="1"/>
  <c r="D281" i="2"/>
  <c r="E281" i="2" s="1"/>
  <c r="C281" i="2"/>
  <c r="B281" i="2"/>
  <c r="A281" i="2"/>
  <c r="N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L279" i="2"/>
  <c r="K279" i="2"/>
  <c r="I279" i="2"/>
  <c r="J279" i="2" s="1"/>
  <c r="H279" i="2"/>
  <c r="G279" i="2"/>
  <c r="N279" i="2" s="1"/>
  <c r="F279" i="2"/>
  <c r="D279" i="2"/>
  <c r="E279" i="2" s="1"/>
  <c r="C279" i="2"/>
  <c r="B279" i="2"/>
  <c r="A279" i="2"/>
  <c r="L278" i="2"/>
  <c r="K278" i="2"/>
  <c r="I278" i="2"/>
  <c r="J278" i="2" s="1"/>
  <c r="H278" i="2"/>
  <c r="G278" i="2"/>
  <c r="F278" i="2"/>
  <c r="D278" i="2"/>
  <c r="E278" i="2" s="1"/>
  <c r="C278" i="2"/>
  <c r="O278" i="2" s="1"/>
  <c r="B278" i="2"/>
  <c r="A278" i="2"/>
  <c r="O277" i="2"/>
  <c r="N277" i="2"/>
  <c r="L277" i="2"/>
  <c r="K277" i="2"/>
  <c r="I277" i="2"/>
  <c r="J277" i="2" s="1"/>
  <c r="H277" i="2"/>
  <c r="G277" i="2"/>
  <c r="F277" i="2"/>
  <c r="D277" i="2"/>
  <c r="E277" i="2" s="1"/>
  <c r="C277" i="2"/>
  <c r="B277" i="2"/>
  <c r="A277" i="2"/>
  <c r="O276" i="2"/>
  <c r="L276" i="2"/>
  <c r="K276" i="2"/>
  <c r="I276" i="2"/>
  <c r="J276" i="2" s="1"/>
  <c r="H276" i="2"/>
  <c r="G276" i="2"/>
  <c r="N276" i="2" s="1"/>
  <c r="F276" i="2"/>
  <c r="E276" i="2"/>
  <c r="D276" i="2"/>
  <c r="C276" i="2"/>
  <c r="B276" i="2"/>
  <c r="A276" i="2"/>
  <c r="L275" i="2"/>
  <c r="K275" i="2"/>
  <c r="H275" i="2"/>
  <c r="G275" i="2"/>
  <c r="N275" i="2" s="1"/>
  <c r="F275" i="2"/>
  <c r="E275" i="2"/>
  <c r="D275" i="2"/>
  <c r="C275" i="2"/>
  <c r="B275" i="2"/>
  <c r="A275" i="2"/>
  <c r="O274" i="2"/>
  <c r="N274" i="2"/>
  <c r="L274" i="2"/>
  <c r="K274" i="2"/>
  <c r="H274" i="2"/>
  <c r="G274" i="2"/>
  <c r="I274" i="2" s="1"/>
  <c r="J274" i="2" s="1"/>
  <c r="F274" i="2"/>
  <c r="D274" i="2"/>
  <c r="C274" i="2"/>
  <c r="B274" i="2"/>
  <c r="A274" i="2"/>
  <c r="L273" i="2"/>
  <c r="N273" i="2" s="1"/>
  <c r="K273" i="2"/>
  <c r="J273" i="2"/>
  <c r="H273" i="2"/>
  <c r="G273" i="2"/>
  <c r="I273" i="2" s="1"/>
  <c r="F273" i="2"/>
  <c r="D273" i="2"/>
  <c r="E273" i="2" s="1"/>
  <c r="C273" i="2"/>
  <c r="B273" i="2"/>
  <c r="O273" i="2" s="1"/>
  <c r="A273" i="2"/>
  <c r="N272" i="2"/>
  <c r="L272" i="2"/>
  <c r="K272" i="2"/>
  <c r="I272" i="2"/>
  <c r="J272" i="2" s="1"/>
  <c r="H272" i="2"/>
  <c r="G272" i="2"/>
  <c r="F272" i="2"/>
  <c r="D272" i="2"/>
  <c r="E272" i="2" s="1"/>
  <c r="C272" i="2"/>
  <c r="B272" i="2"/>
  <c r="A272" i="2"/>
  <c r="L271" i="2"/>
  <c r="N271" i="2" s="1"/>
  <c r="K271" i="2"/>
  <c r="H271" i="2"/>
  <c r="I271" i="2" s="1"/>
  <c r="J271" i="2" s="1"/>
  <c r="G271" i="2"/>
  <c r="F271" i="2"/>
  <c r="E271" i="2"/>
  <c r="D271" i="2"/>
  <c r="C271" i="2"/>
  <c r="B271" i="2"/>
  <c r="A271" i="2"/>
  <c r="L270" i="2"/>
  <c r="K270" i="2"/>
  <c r="J270" i="2"/>
  <c r="H270" i="2"/>
  <c r="I270" i="2" s="1"/>
  <c r="G270" i="2"/>
  <c r="F270" i="2"/>
  <c r="D270" i="2"/>
  <c r="E270" i="2" s="1"/>
  <c r="C270" i="2"/>
  <c r="B270" i="2"/>
  <c r="O270" i="2" s="1"/>
  <c r="A270" i="2"/>
  <c r="L269" i="2"/>
  <c r="K269" i="2"/>
  <c r="H269" i="2"/>
  <c r="G269" i="2"/>
  <c r="I269" i="2" s="1"/>
  <c r="J269" i="2" s="1"/>
  <c r="F269" i="2"/>
  <c r="D269" i="2"/>
  <c r="E269" i="2" s="1"/>
  <c r="C269" i="2"/>
  <c r="B269" i="2"/>
  <c r="A269" i="2"/>
  <c r="O268" i="2"/>
  <c r="N268" i="2"/>
  <c r="L268" i="2"/>
  <c r="K268" i="2"/>
  <c r="H268" i="2"/>
  <c r="G268" i="2"/>
  <c r="I268" i="2" s="1"/>
  <c r="J268" i="2" s="1"/>
  <c r="F268" i="2"/>
  <c r="E268" i="2"/>
  <c r="D268" i="2"/>
  <c r="C268" i="2"/>
  <c r="B268" i="2"/>
  <c r="A268" i="2"/>
  <c r="L267" i="2"/>
  <c r="N267" i="2" s="1"/>
  <c r="K267" i="2"/>
  <c r="I267" i="2"/>
  <c r="J267" i="2" s="1"/>
  <c r="H267" i="2"/>
  <c r="G267" i="2"/>
  <c r="F267" i="2"/>
  <c r="D267" i="2"/>
  <c r="E267" i="2" s="1"/>
  <c r="C267" i="2"/>
  <c r="B267" i="2"/>
  <c r="A267" i="2"/>
  <c r="O267" i="2" s="1"/>
  <c r="L266" i="2"/>
  <c r="K266" i="2"/>
  <c r="H266" i="2"/>
  <c r="G266" i="2"/>
  <c r="F266" i="2"/>
  <c r="D266" i="2"/>
  <c r="E266" i="2" s="1"/>
  <c r="C266" i="2"/>
  <c r="O266" i="2" s="1"/>
  <c r="B266" i="2"/>
  <c r="A266" i="2"/>
  <c r="L265" i="2"/>
  <c r="K265" i="2"/>
  <c r="H265" i="2"/>
  <c r="G265" i="2"/>
  <c r="F265" i="2"/>
  <c r="O265" i="2" s="1"/>
  <c r="D265" i="2"/>
  <c r="E265" i="2" s="1"/>
  <c r="C265" i="2"/>
  <c r="B265" i="2"/>
  <c r="A265" i="2"/>
  <c r="N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L263" i="2"/>
  <c r="N263" i="2" s="1"/>
  <c r="K263" i="2"/>
  <c r="I263" i="2"/>
  <c r="J263" i="2" s="1"/>
  <c r="H263" i="2"/>
  <c r="G263" i="2"/>
  <c r="F263" i="2"/>
  <c r="D263" i="2"/>
  <c r="E263" i="2" s="1"/>
  <c r="C263" i="2"/>
  <c r="B263" i="2"/>
  <c r="A263" i="2"/>
  <c r="L262" i="2"/>
  <c r="K262" i="2"/>
  <c r="I262" i="2"/>
  <c r="J262" i="2" s="1"/>
  <c r="H262" i="2"/>
  <c r="G262" i="2"/>
  <c r="F262" i="2"/>
  <c r="D262" i="2"/>
  <c r="E262" i="2" s="1"/>
  <c r="C262" i="2"/>
  <c r="O262" i="2" s="1"/>
  <c r="B262" i="2"/>
  <c r="A262" i="2"/>
  <c r="O261" i="2"/>
  <c r="N261" i="2"/>
  <c r="L261" i="2"/>
  <c r="K261" i="2"/>
  <c r="I261" i="2"/>
  <c r="J261" i="2" s="1"/>
  <c r="H261" i="2"/>
  <c r="G261" i="2"/>
  <c r="F261" i="2"/>
  <c r="D261" i="2"/>
  <c r="E261" i="2" s="1"/>
  <c r="C261" i="2"/>
  <c r="B261" i="2"/>
  <c r="A261" i="2"/>
  <c r="O260" i="2"/>
  <c r="L260" i="2"/>
  <c r="K260" i="2"/>
  <c r="I260" i="2"/>
  <c r="J260" i="2" s="1"/>
  <c r="H260" i="2"/>
  <c r="G260" i="2"/>
  <c r="N260" i="2" s="1"/>
  <c r="F260" i="2"/>
  <c r="E260" i="2"/>
  <c r="D260" i="2"/>
  <c r="C260" i="2"/>
  <c r="B260" i="2"/>
  <c r="A260" i="2"/>
  <c r="L259" i="2"/>
  <c r="K259" i="2"/>
  <c r="H259" i="2"/>
  <c r="G259" i="2"/>
  <c r="N259" i="2" s="1"/>
  <c r="F259" i="2"/>
  <c r="E259" i="2"/>
  <c r="D259" i="2"/>
  <c r="C259" i="2"/>
  <c r="B259" i="2"/>
  <c r="A259" i="2"/>
  <c r="O258" i="2"/>
  <c r="N258" i="2"/>
  <c r="L258" i="2"/>
  <c r="K258" i="2"/>
  <c r="H258" i="2"/>
  <c r="G258" i="2"/>
  <c r="I258" i="2" s="1"/>
  <c r="J258" i="2" s="1"/>
  <c r="F258" i="2"/>
  <c r="D258" i="2"/>
  <c r="E258" i="2" s="1"/>
  <c r="C258" i="2"/>
  <c r="B258" i="2"/>
  <c r="A258" i="2"/>
  <c r="L257" i="2"/>
  <c r="N257" i="2" s="1"/>
  <c r="K257" i="2"/>
  <c r="J257" i="2"/>
  <c r="H257" i="2"/>
  <c r="G257" i="2"/>
  <c r="I257" i="2" s="1"/>
  <c r="F257" i="2"/>
  <c r="D257" i="2"/>
  <c r="E257" i="2" s="1"/>
  <c r="C257" i="2"/>
  <c r="B257" i="2"/>
  <c r="O257" i="2" s="1"/>
  <c r="A257" i="2"/>
  <c r="N256" i="2"/>
  <c r="L256" i="2"/>
  <c r="K256" i="2"/>
  <c r="I256" i="2"/>
  <c r="J256" i="2" s="1"/>
  <c r="H256" i="2"/>
  <c r="G256" i="2"/>
  <c r="F256" i="2"/>
  <c r="D256" i="2"/>
  <c r="E256" i="2" s="1"/>
  <c r="C256" i="2"/>
  <c r="B256" i="2"/>
  <c r="A256" i="2"/>
  <c r="L255" i="2"/>
  <c r="K255" i="2"/>
  <c r="H255" i="2"/>
  <c r="I255" i="2" s="1"/>
  <c r="J255" i="2" s="1"/>
  <c r="G255" i="2"/>
  <c r="N255" i="2" s="1"/>
  <c r="F255" i="2"/>
  <c r="E255" i="2"/>
  <c r="D255" i="2"/>
  <c r="C255" i="2"/>
  <c r="B255" i="2"/>
  <c r="A255" i="2"/>
  <c r="L254" i="2"/>
  <c r="K254" i="2"/>
  <c r="J254" i="2"/>
  <c r="H254" i="2"/>
  <c r="I254" i="2" s="1"/>
  <c r="G254" i="2"/>
  <c r="F254" i="2"/>
  <c r="D254" i="2"/>
  <c r="E254" i="2" s="1"/>
  <c r="C254" i="2"/>
  <c r="B254" i="2"/>
  <c r="O254" i="2" s="1"/>
  <c r="A254" i="2"/>
  <c r="L253" i="2"/>
  <c r="K253" i="2"/>
  <c r="H253" i="2"/>
  <c r="G253" i="2"/>
  <c r="I253" i="2" s="1"/>
  <c r="J253" i="2" s="1"/>
  <c r="F253" i="2"/>
  <c r="D253" i="2"/>
  <c r="E253" i="2" s="1"/>
  <c r="C253" i="2"/>
  <c r="B253" i="2"/>
  <c r="A253" i="2"/>
  <c r="O252" i="2"/>
  <c r="N252" i="2"/>
  <c r="L252" i="2"/>
  <c r="K252" i="2"/>
  <c r="H252" i="2"/>
  <c r="G252" i="2"/>
  <c r="I252" i="2" s="1"/>
  <c r="J252" i="2" s="1"/>
  <c r="F252" i="2"/>
  <c r="E252" i="2"/>
  <c r="D252" i="2"/>
  <c r="C252" i="2"/>
  <c r="B252" i="2"/>
  <c r="A252" i="2"/>
  <c r="L251" i="2"/>
  <c r="N251" i="2" s="1"/>
  <c r="K251" i="2"/>
  <c r="I251" i="2"/>
  <c r="J251" i="2" s="1"/>
  <c r="H251" i="2"/>
  <c r="G251" i="2"/>
  <c r="F251" i="2"/>
  <c r="D251" i="2"/>
  <c r="E251" i="2" s="1"/>
  <c r="C251" i="2"/>
  <c r="B251" i="2"/>
  <c r="A251" i="2"/>
  <c r="O251" i="2" s="1"/>
  <c r="L250" i="2"/>
  <c r="K250" i="2"/>
  <c r="H250" i="2"/>
  <c r="G250" i="2"/>
  <c r="F250" i="2"/>
  <c r="D250" i="2"/>
  <c r="E250" i="2" s="1"/>
  <c r="C250" i="2"/>
  <c r="O250" i="2" s="1"/>
  <c r="B250" i="2"/>
  <c r="A250" i="2"/>
  <c r="L249" i="2"/>
  <c r="K249" i="2"/>
  <c r="H249" i="2"/>
  <c r="G249" i="2"/>
  <c r="F249" i="2"/>
  <c r="O249" i="2" s="1"/>
  <c r="D249" i="2"/>
  <c r="E249" i="2" s="1"/>
  <c r="C249" i="2"/>
  <c r="B249" i="2"/>
  <c r="A249" i="2"/>
  <c r="N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L247" i="2"/>
  <c r="K247" i="2"/>
  <c r="I247" i="2"/>
  <c r="J247" i="2" s="1"/>
  <c r="H247" i="2"/>
  <c r="G247" i="2"/>
  <c r="N247" i="2" s="1"/>
  <c r="F247" i="2"/>
  <c r="D247" i="2"/>
  <c r="E247" i="2" s="1"/>
  <c r="C247" i="2"/>
  <c r="B247" i="2"/>
  <c r="A247" i="2"/>
  <c r="L246" i="2"/>
  <c r="K246" i="2"/>
  <c r="I246" i="2"/>
  <c r="J246" i="2" s="1"/>
  <c r="H246" i="2"/>
  <c r="G246" i="2"/>
  <c r="F246" i="2"/>
  <c r="D246" i="2"/>
  <c r="E246" i="2" s="1"/>
  <c r="C246" i="2"/>
  <c r="O246" i="2" s="1"/>
  <c r="B246" i="2"/>
  <c r="A246" i="2"/>
  <c r="N245" i="2"/>
  <c r="L245" i="2"/>
  <c r="K245" i="2"/>
  <c r="I245" i="2"/>
  <c r="J245" i="2" s="1"/>
  <c r="H245" i="2"/>
  <c r="G245" i="2"/>
  <c r="F245" i="2"/>
  <c r="E245" i="2"/>
  <c r="D245" i="2"/>
  <c r="C245" i="2"/>
  <c r="B245" i="2"/>
  <c r="A245" i="2"/>
  <c r="O245" i="2" s="1"/>
  <c r="N244" i="2"/>
  <c r="L244" i="2"/>
  <c r="K244" i="2"/>
  <c r="H244" i="2"/>
  <c r="I244" i="2" s="1"/>
  <c r="J244" i="2" s="1"/>
  <c r="G244" i="2"/>
  <c r="F244" i="2"/>
  <c r="E244" i="2"/>
  <c r="D244" i="2"/>
  <c r="C244" i="2"/>
  <c r="B244" i="2"/>
  <c r="A244" i="2"/>
  <c r="L243" i="2"/>
  <c r="K243" i="2"/>
  <c r="H243" i="2"/>
  <c r="I243" i="2" s="1"/>
  <c r="J243" i="2" s="1"/>
  <c r="G243" i="2"/>
  <c r="F243" i="2"/>
  <c r="D243" i="2"/>
  <c r="E243" i="2" s="1"/>
  <c r="C243" i="2"/>
  <c r="B243" i="2"/>
  <c r="A243" i="2"/>
  <c r="L242" i="2"/>
  <c r="K242" i="2"/>
  <c r="H242" i="2"/>
  <c r="G242" i="2"/>
  <c r="F242" i="2"/>
  <c r="E242" i="2"/>
  <c r="D242" i="2"/>
  <c r="C242" i="2"/>
  <c r="O242" i="2" s="1"/>
  <c r="B242" i="2"/>
  <c r="A242" i="2"/>
  <c r="L241" i="2"/>
  <c r="N241" i="2" s="1"/>
  <c r="K241" i="2"/>
  <c r="J241" i="2"/>
  <c r="H241" i="2"/>
  <c r="G241" i="2"/>
  <c r="I241" i="2" s="1"/>
  <c r="F241" i="2"/>
  <c r="D241" i="2"/>
  <c r="M241" i="2" s="1"/>
  <c r="C241" i="2"/>
  <c r="O241" i="2" s="1"/>
  <c r="B241" i="2"/>
  <c r="A241" i="2"/>
  <c r="L240" i="2"/>
  <c r="N240" i="2" s="1"/>
  <c r="K240" i="2"/>
  <c r="I240" i="2"/>
  <c r="J240" i="2" s="1"/>
  <c r="H240" i="2"/>
  <c r="G240" i="2"/>
  <c r="F240" i="2"/>
  <c r="D240" i="2"/>
  <c r="E240" i="2" s="1"/>
  <c r="C240" i="2"/>
  <c r="B240" i="2"/>
  <c r="A240" i="2"/>
  <c r="L239" i="2"/>
  <c r="K239" i="2"/>
  <c r="H239" i="2"/>
  <c r="I239" i="2" s="1"/>
  <c r="J239" i="2" s="1"/>
  <c r="G239" i="2"/>
  <c r="N239" i="2" s="1"/>
  <c r="F239" i="2"/>
  <c r="D239" i="2"/>
  <c r="E239" i="2" s="1"/>
  <c r="C239" i="2"/>
  <c r="B239" i="2"/>
  <c r="A239" i="2"/>
  <c r="L238" i="2"/>
  <c r="K238" i="2"/>
  <c r="I238" i="2"/>
  <c r="J238" i="2" s="1"/>
  <c r="H238" i="2"/>
  <c r="G238" i="2"/>
  <c r="F238" i="2"/>
  <c r="D238" i="2"/>
  <c r="E238" i="2" s="1"/>
  <c r="C238" i="2"/>
  <c r="B238" i="2"/>
  <c r="O238" i="2" s="1"/>
  <c r="A238" i="2"/>
  <c r="L237" i="2"/>
  <c r="K237" i="2"/>
  <c r="H237" i="2"/>
  <c r="I237" i="2" s="1"/>
  <c r="J237" i="2" s="1"/>
  <c r="G237" i="2"/>
  <c r="N237" i="2" s="1"/>
  <c r="F237" i="2"/>
  <c r="E237" i="2"/>
  <c r="D237" i="2"/>
  <c r="C237" i="2"/>
  <c r="B237" i="2"/>
  <c r="A237" i="2"/>
  <c r="O237" i="2" s="1"/>
  <c r="O236" i="2"/>
  <c r="L236" i="2"/>
  <c r="K236" i="2"/>
  <c r="H236" i="2"/>
  <c r="G236" i="2"/>
  <c r="N236" i="2" s="1"/>
  <c r="F236" i="2"/>
  <c r="E236" i="2"/>
  <c r="D236" i="2"/>
  <c r="C236" i="2"/>
  <c r="B236" i="2"/>
  <c r="A236" i="2"/>
  <c r="L235" i="2"/>
  <c r="N235" i="2" s="1"/>
  <c r="K235" i="2"/>
  <c r="H235" i="2"/>
  <c r="G235" i="2"/>
  <c r="F235" i="2"/>
  <c r="O235" i="2" s="1"/>
  <c r="E235" i="2"/>
  <c r="D235" i="2"/>
  <c r="C235" i="2"/>
  <c r="B235" i="2"/>
  <c r="A235" i="2"/>
  <c r="O234" i="2"/>
  <c r="N234" i="2"/>
  <c r="L234" i="2"/>
  <c r="K234" i="2"/>
  <c r="H234" i="2"/>
  <c r="G234" i="2"/>
  <c r="F234" i="2"/>
  <c r="E234" i="2"/>
  <c r="D234" i="2"/>
  <c r="C234" i="2"/>
  <c r="B234" i="2"/>
  <c r="A234" i="2"/>
  <c r="L233" i="2"/>
  <c r="K233" i="2"/>
  <c r="J233" i="2"/>
  <c r="H233" i="2"/>
  <c r="G233" i="2"/>
  <c r="I233" i="2" s="1"/>
  <c r="F233" i="2"/>
  <c r="D233" i="2"/>
  <c r="E233" i="2" s="1"/>
  <c r="C233" i="2"/>
  <c r="B233" i="2"/>
  <c r="O233" i="2" s="1"/>
  <c r="A233" i="2"/>
  <c r="N232" i="2"/>
  <c r="L232" i="2"/>
  <c r="K232" i="2"/>
  <c r="I232" i="2"/>
  <c r="J232" i="2" s="1"/>
  <c r="H232" i="2"/>
  <c r="G232" i="2"/>
  <c r="F232" i="2"/>
  <c r="D232" i="2"/>
  <c r="E232" i="2" s="1"/>
  <c r="C232" i="2"/>
  <c r="B232" i="2"/>
  <c r="A232" i="2"/>
  <c r="L231" i="2"/>
  <c r="K231" i="2"/>
  <c r="I231" i="2"/>
  <c r="J231" i="2" s="1"/>
  <c r="H231" i="2"/>
  <c r="G231" i="2"/>
  <c r="F231" i="2"/>
  <c r="E231" i="2"/>
  <c r="D231" i="2"/>
  <c r="C231" i="2"/>
  <c r="B231" i="2"/>
  <c r="A231" i="2"/>
  <c r="O231" i="2" s="1"/>
  <c r="L230" i="2"/>
  <c r="K230" i="2"/>
  <c r="I230" i="2"/>
  <c r="J230" i="2" s="1"/>
  <c r="H230" i="2"/>
  <c r="G230" i="2"/>
  <c r="N230" i="2" s="1"/>
  <c r="F230" i="2"/>
  <c r="D230" i="2"/>
  <c r="E230" i="2" s="1"/>
  <c r="C230" i="2"/>
  <c r="B230" i="2"/>
  <c r="A230" i="2"/>
  <c r="L229" i="2"/>
  <c r="K229" i="2"/>
  <c r="H229" i="2"/>
  <c r="G229" i="2"/>
  <c r="I229" i="2" s="1"/>
  <c r="J229" i="2" s="1"/>
  <c r="F229" i="2"/>
  <c r="O229" i="2" s="1"/>
  <c r="E229" i="2"/>
  <c r="D229" i="2"/>
  <c r="C229" i="2"/>
  <c r="B229" i="2"/>
  <c r="A229" i="2"/>
  <c r="N228" i="2"/>
  <c r="L228" i="2"/>
  <c r="K228" i="2"/>
  <c r="H228" i="2"/>
  <c r="G228" i="2"/>
  <c r="I228" i="2" s="1"/>
  <c r="J228" i="2" s="1"/>
  <c r="F228" i="2"/>
  <c r="O228" i="2" s="1"/>
  <c r="E228" i="2"/>
  <c r="D228" i="2"/>
  <c r="C228" i="2"/>
  <c r="B228" i="2"/>
  <c r="A228" i="2"/>
  <c r="L227" i="2"/>
  <c r="N227" i="2" s="1"/>
  <c r="K227" i="2"/>
  <c r="H227" i="2"/>
  <c r="I227" i="2" s="1"/>
  <c r="J227" i="2" s="1"/>
  <c r="G227" i="2"/>
  <c r="F227" i="2"/>
  <c r="D227" i="2"/>
  <c r="E227" i="2" s="1"/>
  <c r="C227" i="2"/>
  <c r="B227" i="2"/>
  <c r="A227" i="2"/>
  <c r="O226" i="2"/>
  <c r="L226" i="2"/>
  <c r="K226" i="2"/>
  <c r="H226" i="2"/>
  <c r="G226" i="2"/>
  <c r="F226" i="2"/>
  <c r="E226" i="2"/>
  <c r="D226" i="2"/>
  <c r="C226" i="2"/>
  <c r="B226" i="2"/>
  <c r="A226" i="2"/>
  <c r="L225" i="2"/>
  <c r="K225" i="2"/>
  <c r="H225" i="2"/>
  <c r="G225" i="2"/>
  <c r="I225" i="2" s="1"/>
  <c r="J225" i="2" s="1"/>
  <c r="F225" i="2"/>
  <c r="E225" i="2"/>
  <c r="D225" i="2"/>
  <c r="C225" i="2"/>
  <c r="O225" i="2" s="1"/>
  <c r="B225" i="2"/>
  <c r="A225" i="2"/>
  <c r="N224" i="2"/>
  <c r="L224" i="2"/>
  <c r="K224" i="2"/>
  <c r="I224" i="2"/>
  <c r="J224" i="2" s="1"/>
  <c r="H224" i="2"/>
  <c r="G224" i="2"/>
  <c r="F224" i="2"/>
  <c r="D224" i="2"/>
  <c r="E224" i="2" s="1"/>
  <c r="C224" i="2"/>
  <c r="B224" i="2"/>
  <c r="A224" i="2"/>
  <c r="L223" i="2"/>
  <c r="K223" i="2"/>
  <c r="H223" i="2"/>
  <c r="I223" i="2" s="1"/>
  <c r="J223" i="2" s="1"/>
  <c r="G223" i="2"/>
  <c r="N223" i="2" s="1"/>
  <c r="F223" i="2"/>
  <c r="D223" i="2"/>
  <c r="E223" i="2" s="1"/>
  <c r="C223" i="2"/>
  <c r="B223" i="2"/>
  <c r="A223" i="2"/>
  <c r="L222" i="2"/>
  <c r="K222" i="2"/>
  <c r="H222" i="2"/>
  <c r="G222" i="2"/>
  <c r="F222" i="2"/>
  <c r="D222" i="2"/>
  <c r="E222" i="2" s="1"/>
  <c r="C222" i="2"/>
  <c r="B222" i="2"/>
  <c r="O222" i="2" s="1"/>
  <c r="A222" i="2"/>
  <c r="N221" i="2"/>
  <c r="L221" i="2"/>
  <c r="K221" i="2"/>
  <c r="H221" i="2"/>
  <c r="I221" i="2" s="1"/>
  <c r="J221" i="2" s="1"/>
  <c r="G221" i="2"/>
  <c r="F221" i="2"/>
  <c r="E221" i="2"/>
  <c r="D221" i="2"/>
  <c r="C221" i="2"/>
  <c r="B221" i="2"/>
  <c r="A221" i="2"/>
  <c r="L220" i="2"/>
  <c r="K220" i="2"/>
  <c r="J220" i="2"/>
  <c r="I220" i="2"/>
  <c r="H220" i="2"/>
  <c r="G220" i="2"/>
  <c r="N220" i="2" s="1"/>
  <c r="F220" i="2"/>
  <c r="E220" i="2"/>
  <c r="D220" i="2"/>
  <c r="C220" i="2"/>
  <c r="B220" i="2"/>
  <c r="O220" i="2" s="1"/>
  <c r="A220" i="2"/>
  <c r="L219" i="2"/>
  <c r="K219" i="2"/>
  <c r="H219" i="2"/>
  <c r="G219" i="2"/>
  <c r="I219" i="2" s="1"/>
  <c r="J219" i="2" s="1"/>
  <c r="F219" i="2"/>
  <c r="E219" i="2"/>
  <c r="D219" i="2"/>
  <c r="C219" i="2"/>
  <c r="B219" i="2"/>
  <c r="A219" i="2"/>
  <c r="O218" i="2"/>
  <c r="L218" i="2"/>
  <c r="N218" i="2" s="1"/>
  <c r="K218" i="2"/>
  <c r="H218" i="2"/>
  <c r="G218" i="2"/>
  <c r="I218" i="2" s="1"/>
  <c r="J218" i="2" s="1"/>
  <c r="F218" i="2"/>
  <c r="D218" i="2"/>
  <c r="C218" i="2"/>
  <c r="B218" i="2"/>
  <c r="A218" i="2"/>
  <c r="N217" i="2"/>
  <c r="L217" i="2"/>
  <c r="K217" i="2"/>
  <c r="J217" i="2"/>
  <c r="H217" i="2"/>
  <c r="G217" i="2"/>
  <c r="I217" i="2" s="1"/>
  <c r="F217" i="2"/>
  <c r="E217" i="2"/>
  <c r="D217" i="2"/>
  <c r="M217" i="2" s="1"/>
  <c r="C217" i="2"/>
  <c r="B217" i="2"/>
  <c r="O217" i="2" s="1"/>
  <c r="A217" i="2"/>
  <c r="N216" i="2"/>
  <c r="L216" i="2"/>
  <c r="K216" i="2"/>
  <c r="J216" i="2"/>
  <c r="I216" i="2"/>
  <c r="H216" i="2"/>
  <c r="G216" i="2"/>
  <c r="F216" i="2"/>
  <c r="D216" i="2"/>
  <c r="E216" i="2" s="1"/>
  <c r="C216" i="2"/>
  <c r="B216" i="2"/>
  <c r="A216" i="2"/>
  <c r="L215" i="2"/>
  <c r="K215" i="2"/>
  <c r="H215" i="2"/>
  <c r="I215" i="2" s="1"/>
  <c r="J215" i="2" s="1"/>
  <c r="G215" i="2"/>
  <c r="N215" i="2" s="1"/>
  <c r="F215" i="2"/>
  <c r="E215" i="2"/>
  <c r="D215" i="2"/>
  <c r="C215" i="2"/>
  <c r="B215" i="2"/>
  <c r="A215" i="2"/>
  <c r="L214" i="2"/>
  <c r="K214" i="2"/>
  <c r="H214" i="2"/>
  <c r="I214" i="2" s="1"/>
  <c r="J214" i="2" s="1"/>
  <c r="G214" i="2"/>
  <c r="F214" i="2"/>
  <c r="D214" i="2"/>
  <c r="E214" i="2" s="1"/>
  <c r="C214" i="2"/>
  <c r="B214" i="2"/>
  <c r="A214" i="2"/>
  <c r="L213" i="2"/>
  <c r="K213" i="2"/>
  <c r="H213" i="2"/>
  <c r="G213" i="2"/>
  <c r="I213" i="2" s="1"/>
  <c r="J213" i="2" s="1"/>
  <c r="F213" i="2"/>
  <c r="E213" i="2"/>
  <c r="D213" i="2"/>
  <c r="C213" i="2"/>
  <c r="B213" i="2"/>
  <c r="A213" i="2"/>
  <c r="O212" i="2"/>
  <c r="N212" i="2"/>
  <c r="L212" i="2"/>
  <c r="K212" i="2"/>
  <c r="I212" i="2"/>
  <c r="J212" i="2" s="1"/>
  <c r="H212" i="2"/>
  <c r="G212" i="2"/>
  <c r="F212" i="2"/>
  <c r="E212" i="2"/>
  <c r="D212" i="2"/>
  <c r="C212" i="2"/>
  <c r="B212" i="2"/>
  <c r="A212" i="2"/>
  <c r="N211" i="2"/>
  <c r="L211" i="2"/>
  <c r="K211" i="2"/>
  <c r="H211" i="2"/>
  <c r="G211" i="2"/>
  <c r="I211" i="2" s="1"/>
  <c r="J211" i="2" s="1"/>
  <c r="F211" i="2"/>
  <c r="O211" i="2" s="1"/>
  <c r="D211" i="2"/>
  <c r="E211" i="2" s="1"/>
  <c r="C211" i="2"/>
  <c r="B211" i="2"/>
  <c r="A211" i="2"/>
  <c r="N210" i="2"/>
  <c r="L210" i="2"/>
  <c r="K210" i="2"/>
  <c r="H210" i="2"/>
  <c r="G210" i="2"/>
  <c r="I210" i="2" s="1"/>
  <c r="J210" i="2" s="1"/>
  <c r="F210" i="2"/>
  <c r="D210" i="2"/>
  <c r="E210" i="2" s="1"/>
  <c r="C210" i="2"/>
  <c r="O210" i="2" s="1"/>
  <c r="B210" i="2"/>
  <c r="A210" i="2"/>
  <c r="L209" i="2"/>
  <c r="K209" i="2"/>
  <c r="H209" i="2"/>
  <c r="G209" i="2"/>
  <c r="I209" i="2" s="1"/>
  <c r="J209" i="2" s="1"/>
  <c r="F209" i="2"/>
  <c r="E209" i="2"/>
  <c r="D209" i="2"/>
  <c r="C209" i="2"/>
  <c r="B209" i="2"/>
  <c r="A209" i="2"/>
  <c r="N208" i="2"/>
  <c r="L208" i="2"/>
  <c r="K208" i="2"/>
  <c r="I208" i="2"/>
  <c r="J208" i="2" s="1"/>
  <c r="H208" i="2"/>
  <c r="G208" i="2"/>
  <c r="F208" i="2"/>
  <c r="E208" i="2"/>
  <c r="D208" i="2"/>
  <c r="C208" i="2"/>
  <c r="B208" i="2"/>
  <c r="A208" i="2"/>
  <c r="L207" i="2"/>
  <c r="K207" i="2"/>
  <c r="H207" i="2"/>
  <c r="I207" i="2" s="1"/>
  <c r="J207" i="2" s="1"/>
  <c r="G207" i="2"/>
  <c r="F207" i="2"/>
  <c r="D207" i="2"/>
  <c r="E207" i="2" s="1"/>
  <c r="C207" i="2"/>
  <c r="B207" i="2"/>
  <c r="A207" i="2"/>
  <c r="O206" i="2"/>
  <c r="L206" i="2"/>
  <c r="K206" i="2"/>
  <c r="H206" i="2"/>
  <c r="G206" i="2"/>
  <c r="N206" i="2" s="1"/>
  <c r="F206" i="2"/>
  <c r="D206" i="2"/>
  <c r="E206" i="2" s="1"/>
  <c r="C206" i="2"/>
  <c r="B206" i="2"/>
  <c r="A206" i="2"/>
  <c r="L205" i="2"/>
  <c r="K205" i="2"/>
  <c r="J205" i="2"/>
  <c r="H205" i="2"/>
  <c r="G205" i="2"/>
  <c r="I205" i="2" s="1"/>
  <c r="F205" i="2"/>
  <c r="E205" i="2"/>
  <c r="D205" i="2"/>
  <c r="C205" i="2"/>
  <c r="B205" i="2"/>
  <c r="O205" i="2" s="1"/>
  <c r="A205" i="2"/>
  <c r="N204" i="2"/>
  <c r="L204" i="2"/>
  <c r="K204" i="2"/>
  <c r="I204" i="2"/>
  <c r="J204" i="2" s="1"/>
  <c r="H204" i="2"/>
  <c r="G204" i="2"/>
  <c r="F204" i="2"/>
  <c r="E204" i="2"/>
  <c r="D204" i="2"/>
  <c r="C204" i="2"/>
  <c r="B204" i="2"/>
  <c r="A204" i="2"/>
  <c r="L203" i="2"/>
  <c r="K203" i="2"/>
  <c r="I203" i="2"/>
  <c r="J203" i="2" s="1"/>
  <c r="H203" i="2"/>
  <c r="G203" i="2"/>
  <c r="F203" i="2"/>
  <c r="D203" i="2"/>
  <c r="E203" i="2" s="1"/>
  <c r="C203" i="2"/>
  <c r="B203" i="2"/>
  <c r="A203" i="2"/>
  <c r="O203" i="2" s="1"/>
  <c r="L202" i="2"/>
  <c r="K202" i="2"/>
  <c r="H202" i="2"/>
  <c r="G202" i="2"/>
  <c r="I202" i="2" s="1"/>
  <c r="J202" i="2" s="1"/>
  <c r="F202" i="2"/>
  <c r="O202" i="2" s="1"/>
  <c r="D202" i="2"/>
  <c r="C202" i="2"/>
  <c r="B202" i="2"/>
  <c r="A202" i="2"/>
  <c r="N201" i="2"/>
  <c r="L201" i="2"/>
  <c r="K201" i="2"/>
  <c r="H201" i="2"/>
  <c r="G201" i="2"/>
  <c r="I201" i="2" s="1"/>
  <c r="J201" i="2" s="1"/>
  <c r="F201" i="2"/>
  <c r="D201" i="2"/>
  <c r="E201" i="2" s="1"/>
  <c r="C201" i="2"/>
  <c r="B201" i="2"/>
  <c r="O201" i="2" s="1"/>
  <c r="A201" i="2"/>
  <c r="L200" i="2"/>
  <c r="N200" i="2" s="1"/>
  <c r="K200" i="2"/>
  <c r="J200" i="2"/>
  <c r="I200" i="2"/>
  <c r="H200" i="2"/>
  <c r="G200" i="2"/>
  <c r="F200" i="2"/>
  <c r="E200" i="2"/>
  <c r="D200" i="2"/>
  <c r="C200" i="2"/>
  <c r="B200" i="2"/>
  <c r="A200" i="2"/>
  <c r="L199" i="2"/>
  <c r="K199" i="2"/>
  <c r="H199" i="2"/>
  <c r="I199" i="2" s="1"/>
  <c r="J199" i="2" s="1"/>
  <c r="G199" i="2"/>
  <c r="N199" i="2" s="1"/>
  <c r="F199" i="2"/>
  <c r="E199" i="2"/>
  <c r="D199" i="2"/>
  <c r="C199" i="2"/>
  <c r="B199" i="2"/>
  <c r="A199" i="2"/>
  <c r="L198" i="2"/>
  <c r="K198" i="2"/>
  <c r="H198" i="2"/>
  <c r="G198" i="2"/>
  <c r="O198" i="2" s="1"/>
  <c r="F198" i="2"/>
  <c r="D198" i="2"/>
  <c r="E198" i="2" s="1"/>
  <c r="C198" i="2"/>
  <c r="B198" i="2"/>
  <c r="A198" i="2"/>
  <c r="L197" i="2"/>
  <c r="K197" i="2"/>
  <c r="I197" i="2"/>
  <c r="J197" i="2" s="1"/>
  <c r="H197" i="2"/>
  <c r="G197" i="2"/>
  <c r="N197" i="2" s="1"/>
  <c r="F197" i="2"/>
  <c r="E197" i="2"/>
  <c r="D197" i="2"/>
  <c r="C197" i="2"/>
  <c r="B197" i="2"/>
  <c r="A197" i="2"/>
  <c r="N196" i="2"/>
  <c r="L196" i="2"/>
  <c r="K196" i="2"/>
  <c r="H196" i="2"/>
  <c r="I196" i="2" s="1"/>
  <c r="J196" i="2" s="1"/>
  <c r="G196" i="2"/>
  <c r="F196" i="2"/>
  <c r="E196" i="2"/>
  <c r="D196" i="2"/>
  <c r="C196" i="2"/>
  <c r="B196" i="2"/>
  <c r="A196" i="2"/>
  <c r="O195" i="2"/>
  <c r="L195" i="2"/>
  <c r="K195" i="2"/>
  <c r="I195" i="2"/>
  <c r="J195" i="2" s="1"/>
  <c r="H195" i="2"/>
  <c r="G195" i="2"/>
  <c r="N195" i="2" s="1"/>
  <c r="F195" i="2"/>
  <c r="D195" i="2"/>
  <c r="E195" i="2" s="1"/>
  <c r="C195" i="2"/>
  <c r="B195" i="2"/>
  <c r="A195" i="2"/>
  <c r="N194" i="2"/>
  <c r="L194" i="2"/>
  <c r="K194" i="2"/>
  <c r="O194" i="2" s="1"/>
  <c r="H194" i="2"/>
  <c r="G194" i="2"/>
  <c r="I194" i="2" s="1"/>
  <c r="J194" i="2" s="1"/>
  <c r="F194" i="2"/>
  <c r="E194" i="2"/>
  <c r="D194" i="2"/>
  <c r="C194" i="2"/>
  <c r="B194" i="2"/>
  <c r="A194" i="2"/>
  <c r="L193" i="2"/>
  <c r="K193" i="2"/>
  <c r="H193" i="2"/>
  <c r="G193" i="2"/>
  <c r="F193" i="2"/>
  <c r="D193" i="2"/>
  <c r="E193" i="2" s="1"/>
  <c r="C193" i="2"/>
  <c r="B193" i="2"/>
  <c r="O193" i="2" s="1"/>
  <c r="A193" i="2"/>
  <c r="N192" i="2"/>
  <c r="L192" i="2"/>
  <c r="K192" i="2"/>
  <c r="I192" i="2"/>
  <c r="J192" i="2" s="1"/>
  <c r="H192" i="2"/>
  <c r="G192" i="2"/>
  <c r="F192" i="2"/>
  <c r="E192" i="2"/>
  <c r="D192" i="2"/>
  <c r="C192" i="2"/>
  <c r="B192" i="2"/>
  <c r="A192" i="2"/>
  <c r="O192" i="2" s="1"/>
  <c r="L191" i="2"/>
  <c r="K191" i="2"/>
  <c r="H191" i="2"/>
  <c r="I191" i="2" s="1"/>
  <c r="J191" i="2" s="1"/>
  <c r="G191" i="2"/>
  <c r="N191" i="2" s="1"/>
  <c r="F191" i="2"/>
  <c r="D191" i="2"/>
  <c r="M191" i="2" s="1"/>
  <c r="C191" i="2"/>
  <c r="B191" i="2"/>
  <c r="A191" i="2"/>
  <c r="L190" i="2"/>
  <c r="K190" i="2"/>
  <c r="I190" i="2"/>
  <c r="J190" i="2" s="1"/>
  <c r="H190" i="2"/>
  <c r="G190" i="2"/>
  <c r="F190" i="2"/>
  <c r="D190" i="2"/>
  <c r="E190" i="2" s="1"/>
  <c r="C190" i="2"/>
  <c r="B190" i="2"/>
  <c r="A190" i="2"/>
  <c r="O189" i="2"/>
  <c r="L189" i="2"/>
  <c r="K189" i="2"/>
  <c r="I189" i="2"/>
  <c r="J189" i="2" s="1"/>
  <c r="H189" i="2"/>
  <c r="G189" i="2"/>
  <c r="N189" i="2" s="1"/>
  <c r="F189" i="2"/>
  <c r="E189" i="2"/>
  <c r="D189" i="2"/>
  <c r="C189" i="2"/>
  <c r="B189" i="2"/>
  <c r="A189" i="2"/>
  <c r="N188" i="2"/>
  <c r="L188" i="2"/>
  <c r="K188" i="2"/>
  <c r="H188" i="2"/>
  <c r="G188" i="2"/>
  <c r="F188" i="2"/>
  <c r="O188" i="2" s="1"/>
  <c r="E188" i="2"/>
  <c r="D188" i="2"/>
  <c r="C188" i="2"/>
  <c r="B188" i="2"/>
  <c r="A188" i="2"/>
  <c r="N187" i="2"/>
  <c r="L187" i="2"/>
  <c r="K187" i="2"/>
  <c r="I187" i="2"/>
  <c r="J187" i="2" s="1"/>
  <c r="H187" i="2"/>
  <c r="G187" i="2"/>
  <c r="F187" i="2"/>
  <c r="O187" i="2" s="1"/>
  <c r="D187" i="2"/>
  <c r="E187" i="2" s="1"/>
  <c r="C187" i="2"/>
  <c r="B187" i="2"/>
  <c r="A187" i="2"/>
  <c r="L186" i="2"/>
  <c r="K186" i="2"/>
  <c r="H186" i="2"/>
  <c r="G186" i="2"/>
  <c r="F186" i="2"/>
  <c r="D186" i="2"/>
  <c r="E186" i="2" s="1"/>
  <c r="C186" i="2"/>
  <c r="B186" i="2"/>
  <c r="A186" i="2"/>
  <c r="O185" i="2"/>
  <c r="L185" i="2"/>
  <c r="K185" i="2"/>
  <c r="H185" i="2"/>
  <c r="G185" i="2"/>
  <c r="F185" i="2"/>
  <c r="D185" i="2"/>
  <c r="E185" i="2" s="1"/>
  <c r="C185" i="2"/>
  <c r="B185" i="2"/>
  <c r="A185" i="2"/>
  <c r="L184" i="2"/>
  <c r="N184" i="2" s="1"/>
  <c r="K184" i="2"/>
  <c r="J184" i="2"/>
  <c r="I184" i="2"/>
  <c r="H184" i="2"/>
  <c r="G184" i="2"/>
  <c r="F184" i="2"/>
  <c r="D184" i="2"/>
  <c r="M184" i="2" s="1"/>
  <c r="C184" i="2"/>
  <c r="B184" i="2"/>
  <c r="A184" i="2"/>
  <c r="L183" i="2"/>
  <c r="K183" i="2"/>
  <c r="I183" i="2"/>
  <c r="J183" i="2" s="1"/>
  <c r="H183" i="2"/>
  <c r="G183" i="2"/>
  <c r="N183" i="2" s="1"/>
  <c r="F183" i="2"/>
  <c r="D183" i="2"/>
  <c r="E183" i="2" s="1"/>
  <c r="C183" i="2"/>
  <c r="B183" i="2"/>
  <c r="A183" i="2"/>
  <c r="L182" i="2"/>
  <c r="K182" i="2"/>
  <c r="H182" i="2"/>
  <c r="I182" i="2" s="1"/>
  <c r="J182" i="2" s="1"/>
  <c r="G182" i="2"/>
  <c r="F182" i="2"/>
  <c r="D182" i="2"/>
  <c r="E182" i="2" s="1"/>
  <c r="C182" i="2"/>
  <c r="B182" i="2"/>
  <c r="A182" i="2"/>
  <c r="O181" i="2"/>
  <c r="N181" i="2"/>
  <c r="L181" i="2"/>
  <c r="K181" i="2"/>
  <c r="I181" i="2"/>
  <c r="J181" i="2" s="1"/>
  <c r="H181" i="2"/>
  <c r="G181" i="2"/>
  <c r="F181" i="2"/>
  <c r="E181" i="2"/>
  <c r="D181" i="2"/>
  <c r="C181" i="2"/>
  <c r="B181" i="2"/>
  <c r="A181" i="2"/>
  <c r="L180" i="2"/>
  <c r="N180" i="2" s="1"/>
  <c r="K180" i="2"/>
  <c r="H180" i="2"/>
  <c r="I180" i="2" s="1"/>
  <c r="J180" i="2" s="1"/>
  <c r="G180" i="2"/>
  <c r="F180" i="2"/>
  <c r="D180" i="2"/>
  <c r="E180" i="2" s="1"/>
  <c r="C180" i="2"/>
  <c r="B180" i="2"/>
  <c r="A180" i="2"/>
  <c r="O179" i="2"/>
  <c r="L179" i="2"/>
  <c r="K179" i="2"/>
  <c r="H179" i="2"/>
  <c r="I179" i="2" s="1"/>
  <c r="J179" i="2" s="1"/>
  <c r="G179" i="2"/>
  <c r="N179" i="2" s="1"/>
  <c r="F179" i="2"/>
  <c r="D179" i="2"/>
  <c r="E179" i="2" s="1"/>
  <c r="C179" i="2"/>
  <c r="B179" i="2"/>
  <c r="A179" i="2"/>
  <c r="L178" i="2"/>
  <c r="K178" i="2"/>
  <c r="H178" i="2"/>
  <c r="G178" i="2"/>
  <c r="F178" i="2"/>
  <c r="O178" i="2" s="1"/>
  <c r="D178" i="2"/>
  <c r="E178" i="2" s="1"/>
  <c r="C178" i="2"/>
  <c r="B178" i="2"/>
  <c r="A178" i="2"/>
  <c r="O177" i="2"/>
  <c r="N177" i="2"/>
  <c r="L177" i="2"/>
  <c r="K177" i="2"/>
  <c r="H177" i="2"/>
  <c r="G177" i="2"/>
  <c r="I177" i="2" s="1"/>
  <c r="J177" i="2" s="1"/>
  <c r="F177" i="2"/>
  <c r="E177" i="2"/>
  <c r="D177" i="2"/>
  <c r="C177" i="2"/>
  <c r="B177" i="2"/>
  <c r="A177" i="2"/>
  <c r="L176" i="2"/>
  <c r="N176" i="2" s="1"/>
  <c r="K176" i="2"/>
  <c r="I176" i="2"/>
  <c r="J176" i="2" s="1"/>
  <c r="H176" i="2"/>
  <c r="G176" i="2"/>
  <c r="F176" i="2"/>
  <c r="D176" i="2"/>
  <c r="E176" i="2" s="1"/>
  <c r="C176" i="2"/>
  <c r="B176" i="2"/>
  <c r="A176" i="2"/>
  <c r="O176" i="2" s="1"/>
  <c r="L175" i="2"/>
  <c r="K175" i="2"/>
  <c r="H175" i="2"/>
  <c r="G175" i="2"/>
  <c r="N175" i="2" s="1"/>
  <c r="F175" i="2"/>
  <c r="D175" i="2"/>
  <c r="E175" i="2" s="1"/>
  <c r="C175" i="2"/>
  <c r="B175" i="2"/>
  <c r="A175" i="2"/>
  <c r="N174" i="2"/>
  <c r="L174" i="2"/>
  <c r="K174" i="2"/>
  <c r="I174" i="2"/>
  <c r="J174" i="2" s="1"/>
  <c r="H174" i="2"/>
  <c r="G174" i="2"/>
  <c r="F174" i="2"/>
  <c r="D174" i="2"/>
  <c r="E174" i="2" s="1"/>
  <c r="C174" i="2"/>
  <c r="B174" i="2"/>
  <c r="A174" i="2"/>
  <c r="O173" i="2"/>
  <c r="L173" i="2"/>
  <c r="K173" i="2"/>
  <c r="H173" i="2"/>
  <c r="G173" i="2"/>
  <c r="N173" i="2" s="1"/>
  <c r="F173" i="2"/>
  <c r="E173" i="2"/>
  <c r="D173" i="2"/>
  <c r="C173" i="2"/>
  <c r="B173" i="2"/>
  <c r="A173" i="2"/>
  <c r="M173" i="2" s="1"/>
  <c r="O172" i="2"/>
  <c r="L172" i="2"/>
  <c r="N172" i="2" s="1"/>
  <c r="K172" i="2"/>
  <c r="I172" i="2"/>
  <c r="J172" i="2" s="1"/>
  <c r="H172" i="2"/>
  <c r="G172" i="2"/>
  <c r="F172" i="2"/>
  <c r="D172" i="2"/>
  <c r="E172" i="2" s="1"/>
  <c r="C172" i="2"/>
  <c r="B172" i="2"/>
  <c r="A172" i="2"/>
  <c r="L171" i="2"/>
  <c r="K171" i="2"/>
  <c r="H171" i="2"/>
  <c r="G171" i="2"/>
  <c r="I171" i="2" s="1"/>
  <c r="J171" i="2" s="1"/>
  <c r="F171" i="2"/>
  <c r="E171" i="2"/>
  <c r="D171" i="2"/>
  <c r="C171" i="2"/>
  <c r="B171" i="2"/>
  <c r="A171" i="2"/>
  <c r="N170" i="2"/>
  <c r="L170" i="2"/>
  <c r="K170" i="2"/>
  <c r="H170" i="2"/>
  <c r="G170" i="2"/>
  <c r="I170" i="2" s="1"/>
  <c r="J170" i="2" s="1"/>
  <c r="F170" i="2"/>
  <c r="O170" i="2" s="1"/>
  <c r="E170" i="2"/>
  <c r="D170" i="2"/>
  <c r="M170" i="2" s="1"/>
  <c r="C170" i="2"/>
  <c r="B170" i="2"/>
  <c r="A170" i="2"/>
  <c r="L169" i="2"/>
  <c r="N169" i="2" s="1"/>
  <c r="K169" i="2"/>
  <c r="I169" i="2"/>
  <c r="J169" i="2" s="1"/>
  <c r="H169" i="2"/>
  <c r="G169" i="2"/>
  <c r="F169" i="2"/>
  <c r="D169" i="2"/>
  <c r="E169" i="2" s="1"/>
  <c r="C169" i="2"/>
  <c r="B169" i="2"/>
  <c r="A169" i="2"/>
  <c r="L168" i="2"/>
  <c r="N168" i="2" s="1"/>
  <c r="K168" i="2"/>
  <c r="H168" i="2"/>
  <c r="I168" i="2" s="1"/>
  <c r="J168" i="2" s="1"/>
  <c r="G168" i="2"/>
  <c r="F168" i="2"/>
  <c r="D168" i="2"/>
  <c r="E168" i="2" s="1"/>
  <c r="C168" i="2"/>
  <c r="B168" i="2"/>
  <c r="A168" i="2"/>
  <c r="L167" i="2"/>
  <c r="K167" i="2"/>
  <c r="I167" i="2"/>
  <c r="J167" i="2" s="1"/>
  <c r="H167" i="2"/>
  <c r="G167" i="2"/>
  <c r="F167" i="2"/>
  <c r="D167" i="2"/>
  <c r="E167" i="2" s="1"/>
  <c r="C167" i="2"/>
  <c r="B167" i="2"/>
  <c r="O167" i="2" s="1"/>
  <c r="A167" i="2"/>
  <c r="N166" i="2"/>
  <c r="L166" i="2"/>
  <c r="K166" i="2"/>
  <c r="H166" i="2"/>
  <c r="I166" i="2" s="1"/>
  <c r="J166" i="2" s="1"/>
  <c r="G166" i="2"/>
  <c r="F166" i="2"/>
  <c r="D166" i="2"/>
  <c r="E166" i="2" s="1"/>
  <c r="C166" i="2"/>
  <c r="B166" i="2"/>
  <c r="A166" i="2"/>
  <c r="O165" i="2"/>
  <c r="L165" i="2"/>
  <c r="K165" i="2"/>
  <c r="H165" i="2"/>
  <c r="G165" i="2"/>
  <c r="N165" i="2" s="1"/>
  <c r="F165" i="2"/>
  <c r="E165" i="2"/>
  <c r="D165" i="2"/>
  <c r="C165" i="2"/>
  <c r="B165" i="2"/>
  <c r="A165" i="2"/>
  <c r="L164" i="2"/>
  <c r="K164" i="2"/>
  <c r="I164" i="2"/>
  <c r="J164" i="2" s="1"/>
  <c r="H164" i="2"/>
  <c r="G164" i="2"/>
  <c r="N164" i="2" s="1"/>
  <c r="F164" i="2"/>
  <c r="D164" i="2"/>
  <c r="E164" i="2" s="1"/>
  <c r="C164" i="2"/>
  <c r="B164" i="2"/>
  <c r="A164" i="2"/>
  <c r="O163" i="2"/>
  <c r="L163" i="2"/>
  <c r="K163" i="2"/>
  <c r="H163" i="2"/>
  <c r="G163" i="2"/>
  <c r="I163" i="2" s="1"/>
  <c r="J163" i="2" s="1"/>
  <c r="F163" i="2"/>
  <c r="E163" i="2"/>
  <c r="D163" i="2"/>
  <c r="C163" i="2"/>
  <c r="B163" i="2"/>
  <c r="A163" i="2"/>
  <c r="L162" i="2"/>
  <c r="N162" i="2" s="1"/>
  <c r="K162" i="2"/>
  <c r="J162" i="2"/>
  <c r="H162" i="2"/>
  <c r="G162" i="2"/>
  <c r="I162" i="2" s="1"/>
  <c r="F162" i="2"/>
  <c r="O162" i="2" s="1"/>
  <c r="D162" i="2"/>
  <c r="M162" i="2" s="1"/>
  <c r="C162" i="2"/>
  <c r="B162" i="2"/>
  <c r="A162" i="2"/>
  <c r="L161" i="2"/>
  <c r="N161" i="2" s="1"/>
  <c r="K161" i="2"/>
  <c r="I161" i="2"/>
  <c r="J161" i="2" s="1"/>
  <c r="H161" i="2"/>
  <c r="G161" i="2"/>
  <c r="F161" i="2"/>
  <c r="D161" i="2"/>
  <c r="E161" i="2" s="1"/>
  <c r="C161" i="2"/>
  <c r="B161" i="2"/>
  <c r="A161" i="2"/>
  <c r="O161" i="2" s="1"/>
  <c r="L160" i="2"/>
  <c r="N160" i="2" s="1"/>
  <c r="K160" i="2"/>
  <c r="H160" i="2"/>
  <c r="I160" i="2" s="1"/>
  <c r="J160" i="2" s="1"/>
  <c r="G160" i="2"/>
  <c r="F160" i="2"/>
  <c r="D160" i="2"/>
  <c r="E160" i="2" s="1"/>
  <c r="C160" i="2"/>
  <c r="B160" i="2"/>
  <c r="A160" i="2"/>
  <c r="L159" i="2"/>
  <c r="K159" i="2"/>
  <c r="I159" i="2"/>
  <c r="J159" i="2" s="1"/>
  <c r="H159" i="2"/>
  <c r="G159" i="2"/>
  <c r="N159" i="2" s="1"/>
  <c r="F159" i="2"/>
  <c r="D159" i="2"/>
  <c r="E159" i="2" s="1"/>
  <c r="C159" i="2"/>
  <c r="B159" i="2"/>
  <c r="A159" i="2"/>
  <c r="N158" i="2"/>
  <c r="L158" i="2"/>
  <c r="K158" i="2"/>
  <c r="H158" i="2"/>
  <c r="I158" i="2" s="1"/>
  <c r="J158" i="2" s="1"/>
  <c r="G158" i="2"/>
  <c r="F158" i="2"/>
  <c r="D158" i="2"/>
  <c r="E158" i="2" s="1"/>
  <c r="C158" i="2"/>
  <c r="B158" i="2"/>
  <c r="A158" i="2"/>
  <c r="L157" i="2"/>
  <c r="K157" i="2"/>
  <c r="H157" i="2"/>
  <c r="I157" i="2" s="1"/>
  <c r="J157" i="2" s="1"/>
  <c r="G157" i="2"/>
  <c r="N157" i="2" s="1"/>
  <c r="F157" i="2"/>
  <c r="E157" i="2"/>
  <c r="D157" i="2"/>
  <c r="C157" i="2"/>
  <c r="B157" i="2"/>
  <c r="O157" i="2" s="1"/>
  <c r="A157" i="2"/>
  <c r="L156" i="2"/>
  <c r="K156" i="2"/>
  <c r="H156" i="2"/>
  <c r="G156" i="2"/>
  <c r="N156" i="2" s="1"/>
  <c r="F156" i="2"/>
  <c r="D156" i="2"/>
  <c r="E156" i="2" s="1"/>
  <c r="C156" i="2"/>
  <c r="B156" i="2"/>
  <c r="A156" i="2"/>
  <c r="N155" i="2"/>
  <c r="M155" i="2"/>
  <c r="L155" i="2"/>
  <c r="K155" i="2"/>
  <c r="H155" i="2"/>
  <c r="G155" i="2"/>
  <c r="I155" i="2" s="1"/>
  <c r="J155" i="2" s="1"/>
  <c r="F155" i="2"/>
  <c r="E155" i="2"/>
  <c r="D155" i="2"/>
  <c r="C155" i="2"/>
  <c r="O155" i="2" s="1"/>
  <c r="B155" i="2"/>
  <c r="A155" i="2"/>
  <c r="L154" i="2"/>
  <c r="K154" i="2"/>
  <c r="J154" i="2"/>
  <c r="H154" i="2"/>
  <c r="G154" i="2"/>
  <c r="I154" i="2" s="1"/>
  <c r="F154" i="2"/>
  <c r="D154" i="2"/>
  <c r="E154" i="2" s="1"/>
  <c r="C154" i="2"/>
  <c r="B154" i="2"/>
  <c r="O154" i="2" s="1"/>
  <c r="A154" i="2"/>
  <c r="N153" i="2"/>
  <c r="L153" i="2"/>
  <c r="K153" i="2"/>
  <c r="I153" i="2"/>
  <c r="J153" i="2" s="1"/>
  <c r="H153" i="2"/>
  <c r="G153" i="2"/>
  <c r="F153" i="2"/>
  <c r="D153" i="2"/>
  <c r="E153" i="2" s="1"/>
  <c r="C153" i="2"/>
  <c r="B153" i="2"/>
  <c r="A153" i="2"/>
  <c r="L152" i="2"/>
  <c r="N152" i="2" s="1"/>
  <c r="K152" i="2"/>
  <c r="H152" i="2"/>
  <c r="I152" i="2" s="1"/>
  <c r="J152" i="2" s="1"/>
  <c r="G152" i="2"/>
  <c r="F152" i="2"/>
  <c r="D152" i="2"/>
  <c r="E152" i="2" s="1"/>
  <c r="C152" i="2"/>
  <c r="B152" i="2"/>
  <c r="A152" i="2"/>
  <c r="L151" i="2"/>
  <c r="K151" i="2"/>
  <c r="H151" i="2"/>
  <c r="G151" i="2"/>
  <c r="N151" i="2" s="1"/>
  <c r="F151" i="2"/>
  <c r="D151" i="2"/>
  <c r="E151" i="2" s="1"/>
  <c r="C151" i="2"/>
  <c r="B151" i="2"/>
  <c r="A151" i="2"/>
  <c r="N150" i="2"/>
  <c r="L150" i="2"/>
  <c r="K150" i="2"/>
  <c r="I150" i="2"/>
  <c r="J150" i="2" s="1"/>
  <c r="H150" i="2"/>
  <c r="G150" i="2"/>
  <c r="F150" i="2"/>
  <c r="D150" i="2"/>
  <c r="E150" i="2" s="1"/>
  <c r="C150" i="2"/>
  <c r="B150" i="2"/>
  <c r="A150" i="2"/>
  <c r="L149" i="2"/>
  <c r="K149" i="2"/>
  <c r="H149" i="2"/>
  <c r="I149" i="2" s="1"/>
  <c r="J149" i="2" s="1"/>
  <c r="G149" i="2"/>
  <c r="N149" i="2" s="1"/>
  <c r="F149" i="2"/>
  <c r="E149" i="2"/>
  <c r="D149" i="2"/>
  <c r="C149" i="2"/>
  <c r="B149" i="2"/>
  <c r="A149" i="2"/>
  <c r="M149" i="2" s="1"/>
  <c r="O148" i="2"/>
  <c r="L148" i="2"/>
  <c r="K148" i="2"/>
  <c r="H148" i="2"/>
  <c r="G148" i="2"/>
  <c r="I148" i="2" s="1"/>
  <c r="J148" i="2" s="1"/>
  <c r="F148" i="2"/>
  <c r="D148" i="2"/>
  <c r="E148" i="2" s="1"/>
  <c r="C148" i="2"/>
  <c r="B148" i="2"/>
  <c r="A148" i="2"/>
  <c r="L147" i="2"/>
  <c r="K147" i="2"/>
  <c r="H147" i="2"/>
  <c r="G147" i="2"/>
  <c r="I147" i="2" s="1"/>
  <c r="J147" i="2" s="1"/>
  <c r="F147" i="2"/>
  <c r="E147" i="2"/>
  <c r="D147" i="2"/>
  <c r="C147" i="2"/>
  <c r="O147" i="2" s="1"/>
  <c r="B147" i="2"/>
  <c r="A147" i="2"/>
  <c r="L146" i="2"/>
  <c r="K146" i="2"/>
  <c r="H146" i="2"/>
  <c r="G146" i="2"/>
  <c r="I146" i="2" s="1"/>
  <c r="J146" i="2" s="1"/>
  <c r="F146" i="2"/>
  <c r="E146" i="2"/>
  <c r="D146" i="2"/>
  <c r="M146" i="2" s="1"/>
  <c r="C146" i="2"/>
  <c r="B146" i="2"/>
  <c r="O146" i="2" s="1"/>
  <c r="A146" i="2"/>
  <c r="N145" i="2"/>
  <c r="L145" i="2"/>
  <c r="K145" i="2"/>
  <c r="I145" i="2"/>
  <c r="J145" i="2" s="1"/>
  <c r="H145" i="2"/>
  <c r="G145" i="2"/>
  <c r="F145" i="2"/>
  <c r="D145" i="2"/>
  <c r="E145" i="2" s="1"/>
  <c r="C145" i="2"/>
  <c r="B145" i="2"/>
  <c r="A145" i="2"/>
  <c r="L144" i="2"/>
  <c r="N144" i="2" s="1"/>
  <c r="K144" i="2"/>
  <c r="H144" i="2"/>
  <c r="I144" i="2" s="1"/>
  <c r="J144" i="2" s="1"/>
  <c r="G144" i="2"/>
  <c r="F144" i="2"/>
  <c r="D144" i="2"/>
  <c r="E144" i="2" s="1"/>
  <c r="C144" i="2"/>
  <c r="B144" i="2"/>
  <c r="A144" i="2"/>
  <c r="O143" i="2"/>
  <c r="L143" i="2"/>
  <c r="K143" i="2"/>
  <c r="H143" i="2"/>
  <c r="G143" i="2"/>
  <c r="N143" i="2" s="1"/>
  <c r="F143" i="2"/>
  <c r="D143" i="2"/>
  <c r="E143" i="2" s="1"/>
  <c r="C143" i="2"/>
  <c r="B143" i="2"/>
  <c r="A143" i="2"/>
  <c r="N142" i="2"/>
  <c r="L142" i="2"/>
  <c r="K142" i="2"/>
  <c r="I142" i="2"/>
  <c r="J142" i="2" s="1"/>
  <c r="H142" i="2"/>
  <c r="G142" i="2"/>
  <c r="F142" i="2"/>
  <c r="D142" i="2"/>
  <c r="E142" i="2" s="1"/>
  <c r="C142" i="2"/>
  <c r="B142" i="2"/>
  <c r="A142" i="2"/>
  <c r="O141" i="2"/>
  <c r="L141" i="2"/>
  <c r="K141" i="2"/>
  <c r="H141" i="2"/>
  <c r="G141" i="2"/>
  <c r="N141" i="2" s="1"/>
  <c r="F141" i="2"/>
  <c r="E141" i="2"/>
  <c r="D141" i="2"/>
  <c r="C141" i="2"/>
  <c r="B141" i="2"/>
  <c r="A141" i="2"/>
  <c r="M141" i="2" s="1"/>
  <c r="O140" i="2"/>
  <c r="L140" i="2"/>
  <c r="N140" i="2" s="1"/>
  <c r="K140" i="2"/>
  <c r="I140" i="2"/>
  <c r="J140" i="2" s="1"/>
  <c r="H140" i="2"/>
  <c r="G140" i="2"/>
  <c r="F140" i="2"/>
  <c r="D140" i="2"/>
  <c r="E140" i="2" s="1"/>
  <c r="C140" i="2"/>
  <c r="B140" i="2"/>
  <c r="A140" i="2"/>
  <c r="L139" i="2"/>
  <c r="K139" i="2"/>
  <c r="H139" i="2"/>
  <c r="G139" i="2"/>
  <c r="I139" i="2" s="1"/>
  <c r="J139" i="2" s="1"/>
  <c r="F139" i="2"/>
  <c r="E139" i="2"/>
  <c r="D139" i="2"/>
  <c r="C139" i="2"/>
  <c r="B139" i="2"/>
  <c r="A139" i="2"/>
  <c r="O138" i="2"/>
  <c r="N138" i="2"/>
  <c r="L138" i="2"/>
  <c r="K138" i="2"/>
  <c r="H138" i="2"/>
  <c r="G138" i="2"/>
  <c r="I138" i="2" s="1"/>
  <c r="J138" i="2" s="1"/>
  <c r="F138" i="2"/>
  <c r="E138" i="2"/>
  <c r="D138" i="2"/>
  <c r="M138" i="2" s="1"/>
  <c r="C138" i="2"/>
  <c r="B138" i="2"/>
  <c r="A138" i="2"/>
  <c r="L137" i="2"/>
  <c r="N137" i="2" s="1"/>
  <c r="K137" i="2"/>
  <c r="I137" i="2"/>
  <c r="J137" i="2" s="1"/>
  <c r="H137" i="2"/>
  <c r="G137" i="2"/>
  <c r="F137" i="2"/>
  <c r="D137" i="2"/>
  <c r="M137" i="2" s="1"/>
  <c r="C137" i="2"/>
  <c r="B137" i="2"/>
  <c r="A137" i="2"/>
  <c r="L136" i="2"/>
  <c r="N136" i="2" s="1"/>
  <c r="K136" i="2"/>
  <c r="H136" i="2"/>
  <c r="I136" i="2" s="1"/>
  <c r="J136" i="2" s="1"/>
  <c r="G136" i="2"/>
  <c r="F136" i="2"/>
  <c r="D136" i="2"/>
  <c r="E136" i="2" s="1"/>
  <c r="C136" i="2"/>
  <c r="B136" i="2"/>
  <c r="A136" i="2"/>
  <c r="L135" i="2"/>
  <c r="K135" i="2"/>
  <c r="I135" i="2"/>
  <c r="J135" i="2" s="1"/>
  <c r="H135" i="2"/>
  <c r="G135" i="2"/>
  <c r="F135" i="2"/>
  <c r="D135" i="2"/>
  <c r="E135" i="2" s="1"/>
  <c r="C135" i="2"/>
  <c r="B135" i="2"/>
  <c r="O135" i="2" s="1"/>
  <c r="A135" i="2"/>
  <c r="N134" i="2"/>
  <c r="L134" i="2"/>
  <c r="K134" i="2"/>
  <c r="H134" i="2"/>
  <c r="I134" i="2" s="1"/>
  <c r="J134" i="2" s="1"/>
  <c r="G134" i="2"/>
  <c r="F134" i="2"/>
  <c r="D134" i="2"/>
  <c r="E134" i="2" s="1"/>
  <c r="C134" i="2"/>
  <c r="B134" i="2"/>
  <c r="A134" i="2"/>
  <c r="O133" i="2"/>
  <c r="L133" i="2"/>
  <c r="K133" i="2"/>
  <c r="H133" i="2"/>
  <c r="G133" i="2"/>
  <c r="N133" i="2" s="1"/>
  <c r="F133" i="2"/>
  <c r="E133" i="2"/>
  <c r="D133" i="2"/>
  <c r="C133" i="2"/>
  <c r="B133" i="2"/>
  <c r="A133" i="2"/>
  <c r="L132" i="2"/>
  <c r="K132" i="2"/>
  <c r="I132" i="2"/>
  <c r="J132" i="2" s="1"/>
  <c r="H132" i="2"/>
  <c r="G132" i="2"/>
  <c r="N132" i="2" s="1"/>
  <c r="F132" i="2"/>
  <c r="D132" i="2"/>
  <c r="E132" i="2" s="1"/>
  <c r="C132" i="2"/>
  <c r="B132" i="2"/>
  <c r="A132" i="2"/>
  <c r="O131" i="2"/>
  <c r="L131" i="2"/>
  <c r="K131" i="2"/>
  <c r="H131" i="2"/>
  <c r="G131" i="2"/>
  <c r="I131" i="2" s="1"/>
  <c r="J131" i="2" s="1"/>
  <c r="F131" i="2"/>
  <c r="E131" i="2"/>
  <c r="D131" i="2"/>
  <c r="C131" i="2"/>
  <c r="B131" i="2"/>
  <c r="A131" i="2"/>
  <c r="L130" i="2"/>
  <c r="N130" i="2" s="1"/>
  <c r="K130" i="2"/>
  <c r="J130" i="2"/>
  <c r="H130" i="2"/>
  <c r="G130" i="2"/>
  <c r="I130" i="2" s="1"/>
  <c r="F130" i="2"/>
  <c r="O130" i="2" s="1"/>
  <c r="D130" i="2"/>
  <c r="M130" i="2" s="1"/>
  <c r="C130" i="2"/>
  <c r="B130" i="2"/>
  <c r="A130" i="2"/>
  <c r="L129" i="2"/>
  <c r="N129" i="2" s="1"/>
  <c r="K129" i="2"/>
  <c r="I129" i="2"/>
  <c r="J129" i="2" s="1"/>
  <c r="H129" i="2"/>
  <c r="G129" i="2"/>
  <c r="F129" i="2"/>
  <c r="D129" i="2"/>
  <c r="E129" i="2" s="1"/>
  <c r="C129" i="2"/>
  <c r="B129" i="2"/>
  <c r="A129" i="2"/>
  <c r="O129" i="2" s="1"/>
  <c r="L128" i="2"/>
  <c r="N128" i="2" s="1"/>
  <c r="K128" i="2"/>
  <c r="H128" i="2"/>
  <c r="I128" i="2" s="1"/>
  <c r="J128" i="2" s="1"/>
  <c r="G128" i="2"/>
  <c r="F128" i="2"/>
  <c r="D128" i="2"/>
  <c r="E128" i="2" s="1"/>
  <c r="C128" i="2"/>
  <c r="B128" i="2"/>
  <c r="A128" i="2"/>
  <c r="L127" i="2"/>
  <c r="K127" i="2"/>
  <c r="I127" i="2"/>
  <c r="J127" i="2" s="1"/>
  <c r="H127" i="2"/>
  <c r="G127" i="2"/>
  <c r="N127" i="2" s="1"/>
  <c r="F127" i="2"/>
  <c r="D127" i="2"/>
  <c r="E127" i="2" s="1"/>
  <c r="C127" i="2"/>
  <c r="B127" i="2"/>
  <c r="A127" i="2"/>
  <c r="N126" i="2"/>
  <c r="L126" i="2"/>
  <c r="K126" i="2"/>
  <c r="H126" i="2"/>
  <c r="I126" i="2" s="1"/>
  <c r="J126" i="2" s="1"/>
  <c r="G126" i="2"/>
  <c r="F126" i="2"/>
  <c r="D126" i="2"/>
  <c r="E126" i="2" s="1"/>
  <c r="C126" i="2"/>
  <c r="B126" i="2"/>
  <c r="A126" i="2"/>
  <c r="L125" i="2"/>
  <c r="K125" i="2"/>
  <c r="H125" i="2"/>
  <c r="G125" i="2"/>
  <c r="N125" i="2" s="1"/>
  <c r="F125" i="2"/>
  <c r="E125" i="2"/>
  <c r="D125" i="2"/>
  <c r="C125" i="2"/>
  <c r="B125" i="2"/>
  <c r="O125" i="2" s="1"/>
  <c r="A125" i="2"/>
  <c r="L124" i="2"/>
  <c r="K124" i="2"/>
  <c r="H124" i="2"/>
  <c r="G124" i="2"/>
  <c r="N124" i="2" s="1"/>
  <c r="F124" i="2"/>
  <c r="D124" i="2"/>
  <c r="E124" i="2" s="1"/>
  <c r="C124" i="2"/>
  <c r="B124" i="2"/>
  <c r="A124" i="2"/>
  <c r="N123" i="2"/>
  <c r="L123" i="2"/>
  <c r="K123" i="2"/>
  <c r="H123" i="2"/>
  <c r="G123" i="2"/>
  <c r="I123" i="2" s="1"/>
  <c r="J123" i="2" s="1"/>
  <c r="F123" i="2"/>
  <c r="E123" i="2"/>
  <c r="D123" i="2"/>
  <c r="C123" i="2"/>
  <c r="O123" i="2" s="1"/>
  <c r="B123" i="2"/>
  <c r="A123" i="2"/>
  <c r="L122" i="2"/>
  <c r="K122" i="2"/>
  <c r="J122" i="2"/>
  <c r="H122" i="2"/>
  <c r="G122" i="2"/>
  <c r="I122" i="2" s="1"/>
  <c r="F122" i="2"/>
  <c r="D122" i="2"/>
  <c r="E122" i="2" s="1"/>
  <c r="C122" i="2"/>
  <c r="B122" i="2"/>
  <c r="O122" i="2" s="1"/>
  <c r="A122" i="2"/>
  <c r="L121" i="2"/>
  <c r="N121" i="2" s="1"/>
  <c r="K121" i="2"/>
  <c r="I121" i="2"/>
  <c r="J121" i="2" s="1"/>
  <c r="H121" i="2"/>
  <c r="G121" i="2"/>
  <c r="F121" i="2"/>
  <c r="D121" i="2"/>
  <c r="E121" i="2" s="1"/>
  <c r="C121" i="2"/>
  <c r="B121" i="2"/>
  <c r="A121" i="2"/>
  <c r="L120" i="2"/>
  <c r="N120" i="2" s="1"/>
  <c r="K120" i="2"/>
  <c r="H120" i="2"/>
  <c r="I120" i="2" s="1"/>
  <c r="J120" i="2" s="1"/>
  <c r="G120" i="2"/>
  <c r="F120" i="2"/>
  <c r="D120" i="2"/>
  <c r="E120" i="2" s="1"/>
  <c r="C120" i="2"/>
  <c r="B120" i="2"/>
  <c r="A120" i="2"/>
  <c r="L119" i="2"/>
  <c r="K119" i="2"/>
  <c r="H119" i="2"/>
  <c r="G119" i="2"/>
  <c r="N119" i="2" s="1"/>
  <c r="F119" i="2"/>
  <c r="D119" i="2"/>
  <c r="E119" i="2" s="1"/>
  <c r="C119" i="2"/>
  <c r="B119" i="2"/>
  <c r="A119" i="2"/>
  <c r="N118" i="2"/>
  <c r="L118" i="2"/>
  <c r="K118" i="2"/>
  <c r="I118" i="2"/>
  <c r="J118" i="2" s="1"/>
  <c r="H118" i="2"/>
  <c r="G118" i="2"/>
  <c r="F118" i="2"/>
  <c r="D118" i="2"/>
  <c r="E118" i="2" s="1"/>
  <c r="C118" i="2"/>
  <c r="B118" i="2"/>
  <c r="A118" i="2"/>
  <c r="L117" i="2"/>
  <c r="K117" i="2"/>
  <c r="H117" i="2"/>
  <c r="I117" i="2" s="1"/>
  <c r="J117" i="2" s="1"/>
  <c r="G117" i="2"/>
  <c r="N117" i="2" s="1"/>
  <c r="F117" i="2"/>
  <c r="E117" i="2"/>
  <c r="D117" i="2"/>
  <c r="C117" i="2"/>
  <c r="B117" i="2"/>
  <c r="A117" i="2"/>
  <c r="M117" i="2" s="1"/>
  <c r="O116" i="2"/>
  <c r="L116" i="2"/>
  <c r="K116" i="2"/>
  <c r="H116" i="2"/>
  <c r="G116" i="2"/>
  <c r="I116" i="2" s="1"/>
  <c r="J116" i="2" s="1"/>
  <c r="F116" i="2"/>
  <c r="D116" i="2"/>
  <c r="E116" i="2" s="1"/>
  <c r="C116" i="2"/>
  <c r="B116" i="2"/>
  <c r="A116" i="2"/>
  <c r="L115" i="2"/>
  <c r="K115" i="2"/>
  <c r="H115" i="2"/>
  <c r="G115" i="2"/>
  <c r="I115" i="2" s="1"/>
  <c r="J115" i="2" s="1"/>
  <c r="F115" i="2"/>
  <c r="E115" i="2"/>
  <c r="D115" i="2"/>
  <c r="C115" i="2"/>
  <c r="O115" i="2" s="1"/>
  <c r="B115" i="2"/>
  <c r="A115" i="2"/>
  <c r="L114" i="2"/>
  <c r="K114" i="2"/>
  <c r="H114" i="2"/>
  <c r="G114" i="2"/>
  <c r="I114" i="2" s="1"/>
  <c r="J114" i="2" s="1"/>
  <c r="F114" i="2"/>
  <c r="E114" i="2"/>
  <c r="D114" i="2"/>
  <c r="M114" i="2" s="1"/>
  <c r="C114" i="2"/>
  <c r="B114" i="2"/>
  <c r="O114" i="2" s="1"/>
  <c r="A114" i="2"/>
  <c r="N113" i="2"/>
  <c r="L113" i="2"/>
  <c r="K113" i="2"/>
  <c r="I113" i="2"/>
  <c r="J113" i="2" s="1"/>
  <c r="H113" i="2"/>
  <c r="G113" i="2"/>
  <c r="F113" i="2"/>
  <c r="D113" i="2"/>
  <c r="E113" i="2" s="1"/>
  <c r="C113" i="2"/>
  <c r="B113" i="2"/>
  <c r="A113" i="2"/>
  <c r="L112" i="2"/>
  <c r="N112" i="2" s="1"/>
  <c r="K112" i="2"/>
  <c r="H112" i="2"/>
  <c r="I112" i="2" s="1"/>
  <c r="J112" i="2" s="1"/>
  <c r="G112" i="2"/>
  <c r="F112" i="2"/>
  <c r="D112" i="2"/>
  <c r="E112" i="2" s="1"/>
  <c r="C112" i="2"/>
  <c r="B112" i="2"/>
  <c r="A112" i="2"/>
  <c r="O111" i="2"/>
  <c r="L111" i="2"/>
  <c r="K111" i="2"/>
  <c r="H111" i="2"/>
  <c r="G111" i="2"/>
  <c r="N111" i="2" s="1"/>
  <c r="F111" i="2"/>
  <c r="D111" i="2"/>
  <c r="E111" i="2" s="1"/>
  <c r="C111" i="2"/>
  <c r="B111" i="2"/>
  <c r="A111" i="2"/>
  <c r="N110" i="2"/>
  <c r="L110" i="2"/>
  <c r="K110" i="2"/>
  <c r="I110" i="2"/>
  <c r="J110" i="2" s="1"/>
  <c r="H110" i="2"/>
  <c r="G110" i="2"/>
  <c r="F110" i="2"/>
  <c r="D110" i="2"/>
  <c r="E110" i="2" s="1"/>
  <c r="C110" i="2"/>
  <c r="B110" i="2"/>
  <c r="A110" i="2"/>
  <c r="O109" i="2"/>
  <c r="L109" i="2"/>
  <c r="K109" i="2"/>
  <c r="H109" i="2"/>
  <c r="G109" i="2"/>
  <c r="N109" i="2" s="1"/>
  <c r="F109" i="2"/>
  <c r="E109" i="2"/>
  <c r="D109" i="2"/>
  <c r="C109" i="2"/>
  <c r="B109" i="2"/>
  <c r="A109" i="2"/>
  <c r="M109" i="2" s="1"/>
  <c r="O108" i="2"/>
  <c r="L108" i="2"/>
  <c r="N108" i="2" s="1"/>
  <c r="K108" i="2"/>
  <c r="I108" i="2"/>
  <c r="J108" i="2" s="1"/>
  <c r="H108" i="2"/>
  <c r="G108" i="2"/>
  <c r="F108" i="2"/>
  <c r="D108" i="2"/>
  <c r="E108" i="2" s="1"/>
  <c r="C108" i="2"/>
  <c r="B108" i="2"/>
  <c r="A108" i="2"/>
  <c r="L107" i="2"/>
  <c r="K107" i="2"/>
  <c r="H107" i="2"/>
  <c r="G107" i="2"/>
  <c r="I107" i="2" s="1"/>
  <c r="J107" i="2" s="1"/>
  <c r="F107" i="2"/>
  <c r="E107" i="2"/>
  <c r="D107" i="2"/>
  <c r="C107" i="2"/>
  <c r="B107" i="2"/>
  <c r="A107" i="2"/>
  <c r="N106" i="2"/>
  <c r="L106" i="2"/>
  <c r="K106" i="2"/>
  <c r="H106" i="2"/>
  <c r="G106" i="2"/>
  <c r="I106" i="2" s="1"/>
  <c r="J106" i="2" s="1"/>
  <c r="F106" i="2"/>
  <c r="O106" i="2" s="1"/>
  <c r="E106" i="2"/>
  <c r="D106" i="2"/>
  <c r="M106" i="2" s="1"/>
  <c r="C106" i="2"/>
  <c r="B106" i="2"/>
  <c r="A106" i="2"/>
  <c r="L105" i="2"/>
  <c r="N105" i="2" s="1"/>
  <c r="K105" i="2"/>
  <c r="I105" i="2"/>
  <c r="J105" i="2" s="1"/>
  <c r="H105" i="2"/>
  <c r="G105" i="2"/>
  <c r="F105" i="2"/>
  <c r="D105" i="2"/>
  <c r="E105" i="2" s="1"/>
  <c r="C105" i="2"/>
  <c r="B105" i="2"/>
  <c r="A105" i="2"/>
  <c r="L104" i="2"/>
  <c r="N104" i="2" s="1"/>
  <c r="K104" i="2"/>
  <c r="H104" i="2"/>
  <c r="I104" i="2" s="1"/>
  <c r="J104" i="2" s="1"/>
  <c r="G104" i="2"/>
  <c r="F104" i="2"/>
  <c r="D104" i="2"/>
  <c r="E104" i="2" s="1"/>
  <c r="C104" i="2"/>
  <c r="B104" i="2"/>
  <c r="A104" i="2"/>
  <c r="L103" i="2"/>
  <c r="K103" i="2"/>
  <c r="I103" i="2"/>
  <c r="J103" i="2" s="1"/>
  <c r="H103" i="2"/>
  <c r="G103" i="2"/>
  <c r="F103" i="2"/>
  <c r="D103" i="2"/>
  <c r="E103" i="2" s="1"/>
  <c r="C103" i="2"/>
  <c r="B103" i="2"/>
  <c r="O103" i="2" s="1"/>
  <c r="A103" i="2"/>
  <c r="N102" i="2"/>
  <c r="L102" i="2"/>
  <c r="K102" i="2"/>
  <c r="H102" i="2"/>
  <c r="I102" i="2" s="1"/>
  <c r="J102" i="2" s="1"/>
  <c r="G102" i="2"/>
  <c r="F102" i="2"/>
  <c r="D102" i="2"/>
  <c r="E102" i="2" s="1"/>
  <c r="C102" i="2"/>
  <c r="B102" i="2"/>
  <c r="A102" i="2"/>
  <c r="O101" i="2"/>
  <c r="L101" i="2"/>
  <c r="K101" i="2"/>
  <c r="H101" i="2"/>
  <c r="G101" i="2"/>
  <c r="N101" i="2" s="1"/>
  <c r="F101" i="2"/>
  <c r="E101" i="2"/>
  <c r="D101" i="2"/>
  <c r="C101" i="2"/>
  <c r="B101" i="2"/>
  <c r="A101" i="2"/>
  <c r="L100" i="2"/>
  <c r="K100" i="2"/>
  <c r="I100" i="2"/>
  <c r="J100" i="2" s="1"/>
  <c r="H100" i="2"/>
  <c r="G100" i="2"/>
  <c r="N100" i="2" s="1"/>
  <c r="F100" i="2"/>
  <c r="D100" i="2"/>
  <c r="E100" i="2" s="1"/>
  <c r="C100" i="2"/>
  <c r="B100" i="2"/>
  <c r="A100" i="2"/>
  <c r="O99" i="2"/>
  <c r="L99" i="2"/>
  <c r="K99" i="2"/>
  <c r="H99" i="2"/>
  <c r="G99" i="2"/>
  <c r="I99" i="2" s="1"/>
  <c r="J99" i="2" s="1"/>
  <c r="F99" i="2"/>
  <c r="E99" i="2"/>
  <c r="D99" i="2"/>
  <c r="C99" i="2"/>
  <c r="B99" i="2"/>
  <c r="A99" i="2"/>
  <c r="L98" i="2"/>
  <c r="N98" i="2" s="1"/>
  <c r="K98" i="2"/>
  <c r="J98" i="2"/>
  <c r="H98" i="2"/>
  <c r="G98" i="2"/>
  <c r="I98" i="2" s="1"/>
  <c r="F98" i="2"/>
  <c r="O98" i="2" s="1"/>
  <c r="D98" i="2"/>
  <c r="E98" i="2" s="1"/>
  <c r="C98" i="2"/>
  <c r="B98" i="2"/>
  <c r="A98" i="2"/>
  <c r="L97" i="2"/>
  <c r="N97" i="2" s="1"/>
  <c r="K97" i="2"/>
  <c r="I97" i="2"/>
  <c r="J97" i="2" s="1"/>
  <c r="H97" i="2"/>
  <c r="G97" i="2"/>
  <c r="F97" i="2"/>
  <c r="D97" i="2"/>
  <c r="E97" i="2" s="1"/>
  <c r="C97" i="2"/>
  <c r="B97" i="2"/>
  <c r="A97" i="2"/>
  <c r="O97" i="2" s="1"/>
  <c r="L96" i="2"/>
  <c r="N96" i="2" s="1"/>
  <c r="K96" i="2"/>
  <c r="H96" i="2"/>
  <c r="I96" i="2" s="1"/>
  <c r="J96" i="2" s="1"/>
  <c r="G96" i="2"/>
  <c r="F96" i="2"/>
  <c r="D96" i="2"/>
  <c r="M96" i="2" s="1"/>
  <c r="C96" i="2"/>
  <c r="B96" i="2"/>
  <c r="A96" i="2"/>
  <c r="L95" i="2"/>
  <c r="K95" i="2"/>
  <c r="I95" i="2"/>
  <c r="J95" i="2" s="1"/>
  <c r="H95" i="2"/>
  <c r="G95" i="2"/>
  <c r="N95" i="2" s="1"/>
  <c r="F95" i="2"/>
  <c r="D95" i="2"/>
  <c r="E95" i="2" s="1"/>
  <c r="C95" i="2"/>
  <c r="B95" i="2"/>
  <c r="A95" i="2"/>
  <c r="N94" i="2"/>
  <c r="L94" i="2"/>
  <c r="K94" i="2"/>
  <c r="H94" i="2"/>
  <c r="I94" i="2" s="1"/>
  <c r="J94" i="2" s="1"/>
  <c r="G94" i="2"/>
  <c r="F94" i="2"/>
  <c r="D94" i="2"/>
  <c r="E94" i="2" s="1"/>
  <c r="C94" i="2"/>
  <c r="B94" i="2"/>
  <c r="A94" i="2"/>
  <c r="L93" i="2"/>
  <c r="K93" i="2"/>
  <c r="H93" i="2"/>
  <c r="G93" i="2"/>
  <c r="N93" i="2" s="1"/>
  <c r="F93" i="2"/>
  <c r="E93" i="2"/>
  <c r="D93" i="2"/>
  <c r="C93" i="2"/>
  <c r="B93" i="2"/>
  <c r="O93" i="2" s="1"/>
  <c r="A93" i="2"/>
  <c r="L92" i="2"/>
  <c r="K92" i="2"/>
  <c r="H92" i="2"/>
  <c r="G92" i="2"/>
  <c r="N92" i="2" s="1"/>
  <c r="F92" i="2"/>
  <c r="D92" i="2"/>
  <c r="E92" i="2" s="1"/>
  <c r="C92" i="2"/>
  <c r="B92" i="2"/>
  <c r="A92" i="2"/>
  <c r="N91" i="2"/>
  <c r="L91" i="2"/>
  <c r="K91" i="2"/>
  <c r="H91" i="2"/>
  <c r="G91" i="2"/>
  <c r="I91" i="2" s="1"/>
  <c r="J91" i="2" s="1"/>
  <c r="F91" i="2"/>
  <c r="E91" i="2"/>
  <c r="D91" i="2"/>
  <c r="C91" i="2"/>
  <c r="O91" i="2" s="1"/>
  <c r="B91" i="2"/>
  <c r="A91" i="2"/>
  <c r="L90" i="2"/>
  <c r="K90" i="2"/>
  <c r="J90" i="2"/>
  <c r="H90" i="2"/>
  <c r="G90" i="2"/>
  <c r="I90" i="2" s="1"/>
  <c r="F90" i="2"/>
  <c r="D90" i="2"/>
  <c r="E90" i="2" s="1"/>
  <c r="C90" i="2"/>
  <c r="B90" i="2"/>
  <c r="O90" i="2" s="1"/>
  <c r="A90" i="2"/>
  <c r="L89" i="2"/>
  <c r="N89" i="2" s="1"/>
  <c r="K89" i="2"/>
  <c r="I89" i="2"/>
  <c r="J89" i="2" s="1"/>
  <c r="H89" i="2"/>
  <c r="G89" i="2"/>
  <c r="F89" i="2"/>
  <c r="D89" i="2"/>
  <c r="E89" i="2" s="1"/>
  <c r="C89" i="2"/>
  <c r="B89" i="2"/>
  <c r="A89" i="2"/>
  <c r="L88" i="2"/>
  <c r="N88" i="2" s="1"/>
  <c r="K88" i="2"/>
  <c r="H88" i="2"/>
  <c r="I88" i="2" s="1"/>
  <c r="J88" i="2" s="1"/>
  <c r="G88" i="2"/>
  <c r="F88" i="2"/>
  <c r="D88" i="2"/>
  <c r="E88" i="2" s="1"/>
  <c r="C88" i="2"/>
  <c r="B88" i="2"/>
  <c r="A88" i="2"/>
  <c r="L87" i="2"/>
  <c r="K87" i="2"/>
  <c r="H87" i="2"/>
  <c r="G87" i="2"/>
  <c r="N87" i="2" s="1"/>
  <c r="F87" i="2"/>
  <c r="D87" i="2"/>
  <c r="E87" i="2" s="1"/>
  <c r="C87" i="2"/>
  <c r="B87" i="2"/>
  <c r="A87" i="2"/>
  <c r="N86" i="2"/>
  <c r="L86" i="2"/>
  <c r="K86" i="2"/>
  <c r="I86" i="2"/>
  <c r="J86" i="2" s="1"/>
  <c r="H86" i="2"/>
  <c r="G86" i="2"/>
  <c r="F86" i="2"/>
  <c r="D86" i="2"/>
  <c r="E86" i="2" s="1"/>
  <c r="C86" i="2"/>
  <c r="B86" i="2"/>
  <c r="A86" i="2"/>
  <c r="L85" i="2"/>
  <c r="K85" i="2"/>
  <c r="H85" i="2"/>
  <c r="I85" i="2" s="1"/>
  <c r="J85" i="2" s="1"/>
  <c r="G85" i="2"/>
  <c r="N85" i="2" s="1"/>
  <c r="F85" i="2"/>
  <c r="E85" i="2"/>
  <c r="D85" i="2"/>
  <c r="C85" i="2"/>
  <c r="B85" i="2"/>
  <c r="A85" i="2"/>
  <c r="M85" i="2" s="1"/>
  <c r="O84" i="2"/>
  <c r="L84" i="2"/>
  <c r="K84" i="2"/>
  <c r="H84" i="2"/>
  <c r="G84" i="2"/>
  <c r="I84" i="2" s="1"/>
  <c r="J84" i="2" s="1"/>
  <c r="F84" i="2"/>
  <c r="D84" i="2"/>
  <c r="E84" i="2" s="1"/>
  <c r="C84" i="2"/>
  <c r="B84" i="2"/>
  <c r="A84" i="2"/>
  <c r="L83" i="2"/>
  <c r="K83" i="2"/>
  <c r="H83" i="2"/>
  <c r="G83" i="2"/>
  <c r="I83" i="2" s="1"/>
  <c r="J83" i="2" s="1"/>
  <c r="F83" i="2"/>
  <c r="E83" i="2"/>
  <c r="D83" i="2"/>
  <c r="C83" i="2"/>
  <c r="O83" i="2" s="1"/>
  <c r="B83" i="2"/>
  <c r="A83" i="2"/>
  <c r="L82" i="2"/>
  <c r="K82" i="2"/>
  <c r="H82" i="2"/>
  <c r="G82" i="2"/>
  <c r="I82" i="2" s="1"/>
  <c r="J82" i="2" s="1"/>
  <c r="F82" i="2"/>
  <c r="E82" i="2"/>
  <c r="D82" i="2"/>
  <c r="M82" i="2" s="1"/>
  <c r="C82" i="2"/>
  <c r="B82" i="2"/>
  <c r="O82" i="2" s="1"/>
  <c r="A82" i="2"/>
  <c r="N81" i="2"/>
  <c r="L81" i="2"/>
  <c r="K81" i="2"/>
  <c r="I81" i="2"/>
  <c r="J81" i="2" s="1"/>
  <c r="H81" i="2"/>
  <c r="G81" i="2"/>
  <c r="F81" i="2"/>
  <c r="D81" i="2"/>
  <c r="E81" i="2" s="1"/>
  <c r="C81" i="2"/>
  <c r="B81" i="2"/>
  <c r="A81" i="2"/>
  <c r="L80" i="2"/>
  <c r="N80" i="2" s="1"/>
  <c r="K80" i="2"/>
  <c r="H80" i="2"/>
  <c r="I80" i="2" s="1"/>
  <c r="J80" i="2" s="1"/>
  <c r="G80" i="2"/>
  <c r="F80" i="2"/>
  <c r="D80" i="2"/>
  <c r="E80" i="2" s="1"/>
  <c r="C80" i="2"/>
  <c r="B80" i="2"/>
  <c r="A80" i="2"/>
  <c r="O79" i="2"/>
  <c r="L79" i="2"/>
  <c r="K79" i="2"/>
  <c r="H79" i="2"/>
  <c r="G79" i="2"/>
  <c r="N79" i="2" s="1"/>
  <c r="F79" i="2"/>
  <c r="D79" i="2"/>
  <c r="E79" i="2" s="1"/>
  <c r="C79" i="2"/>
  <c r="B79" i="2"/>
  <c r="A79" i="2"/>
  <c r="N78" i="2"/>
  <c r="L78" i="2"/>
  <c r="K78" i="2"/>
  <c r="I78" i="2"/>
  <c r="J78" i="2" s="1"/>
  <c r="H78" i="2"/>
  <c r="G78" i="2"/>
  <c r="F78" i="2"/>
  <c r="D78" i="2"/>
  <c r="E78" i="2" s="1"/>
  <c r="C78" i="2"/>
  <c r="B78" i="2"/>
  <c r="A78" i="2"/>
  <c r="O77" i="2"/>
  <c r="L77" i="2"/>
  <c r="K77" i="2"/>
  <c r="H77" i="2"/>
  <c r="G77" i="2"/>
  <c r="N77" i="2" s="1"/>
  <c r="F77" i="2"/>
  <c r="E77" i="2"/>
  <c r="D77" i="2"/>
  <c r="C77" i="2"/>
  <c r="B77" i="2"/>
  <c r="A77" i="2"/>
  <c r="M77" i="2" s="1"/>
  <c r="O76" i="2"/>
  <c r="L76" i="2"/>
  <c r="N76" i="2" s="1"/>
  <c r="K76" i="2"/>
  <c r="I76" i="2"/>
  <c r="J76" i="2" s="1"/>
  <c r="H76" i="2"/>
  <c r="G76" i="2"/>
  <c r="F76" i="2"/>
  <c r="D76" i="2"/>
  <c r="E76" i="2" s="1"/>
  <c r="C76" i="2"/>
  <c r="B76" i="2"/>
  <c r="A76" i="2"/>
  <c r="L75" i="2"/>
  <c r="K75" i="2"/>
  <c r="H75" i="2"/>
  <c r="G75" i="2"/>
  <c r="I75" i="2" s="1"/>
  <c r="J75" i="2" s="1"/>
  <c r="F75" i="2"/>
  <c r="E75" i="2"/>
  <c r="D75" i="2"/>
  <c r="C75" i="2"/>
  <c r="B75" i="2"/>
  <c r="A75" i="2"/>
  <c r="O74" i="2"/>
  <c r="N74" i="2"/>
  <c r="L74" i="2"/>
  <c r="K74" i="2"/>
  <c r="H74" i="2"/>
  <c r="G74" i="2"/>
  <c r="I74" i="2" s="1"/>
  <c r="J74" i="2" s="1"/>
  <c r="F74" i="2"/>
  <c r="E74" i="2"/>
  <c r="D74" i="2"/>
  <c r="M74" i="2" s="1"/>
  <c r="C74" i="2"/>
  <c r="B74" i="2"/>
  <c r="A74" i="2"/>
  <c r="L73" i="2"/>
  <c r="N73" i="2" s="1"/>
  <c r="K73" i="2"/>
  <c r="I73" i="2"/>
  <c r="J73" i="2" s="1"/>
  <c r="H73" i="2"/>
  <c r="G73" i="2"/>
  <c r="F73" i="2"/>
  <c r="D73" i="2"/>
  <c r="E73" i="2" s="1"/>
  <c r="C73" i="2"/>
  <c r="B73" i="2"/>
  <c r="A73" i="2"/>
  <c r="L72" i="2"/>
  <c r="N72" i="2" s="1"/>
  <c r="K72" i="2"/>
  <c r="H72" i="2"/>
  <c r="I72" i="2" s="1"/>
  <c r="J72" i="2" s="1"/>
  <c r="G72" i="2"/>
  <c r="F72" i="2"/>
  <c r="D72" i="2"/>
  <c r="E72" i="2" s="1"/>
  <c r="C72" i="2"/>
  <c r="B72" i="2"/>
  <c r="A72" i="2"/>
  <c r="L71" i="2"/>
  <c r="K71" i="2"/>
  <c r="I71" i="2"/>
  <c r="J71" i="2" s="1"/>
  <c r="H71" i="2"/>
  <c r="G71" i="2"/>
  <c r="F71" i="2"/>
  <c r="D71" i="2"/>
  <c r="E71" i="2" s="1"/>
  <c r="C71" i="2"/>
  <c r="B71" i="2"/>
  <c r="O71" i="2" s="1"/>
  <c r="A71" i="2"/>
  <c r="N70" i="2"/>
  <c r="L70" i="2"/>
  <c r="K70" i="2"/>
  <c r="H70" i="2"/>
  <c r="I70" i="2" s="1"/>
  <c r="J70" i="2" s="1"/>
  <c r="G70" i="2"/>
  <c r="F70" i="2"/>
  <c r="D70" i="2"/>
  <c r="E70" i="2" s="1"/>
  <c r="C70" i="2"/>
  <c r="B70" i="2"/>
  <c r="A70" i="2"/>
  <c r="O69" i="2"/>
  <c r="L69" i="2"/>
  <c r="K69" i="2"/>
  <c r="H69" i="2"/>
  <c r="G69" i="2"/>
  <c r="N69" i="2" s="1"/>
  <c r="F69" i="2"/>
  <c r="E69" i="2"/>
  <c r="D69" i="2"/>
  <c r="C69" i="2"/>
  <c r="B69" i="2"/>
  <c r="A69" i="2"/>
  <c r="L68" i="2"/>
  <c r="K68" i="2"/>
  <c r="I68" i="2"/>
  <c r="J68" i="2" s="1"/>
  <c r="H68" i="2"/>
  <c r="G68" i="2"/>
  <c r="N68" i="2" s="1"/>
  <c r="F68" i="2"/>
  <c r="D68" i="2"/>
  <c r="E68" i="2" s="1"/>
  <c r="C68" i="2"/>
  <c r="B68" i="2"/>
  <c r="A68" i="2"/>
  <c r="O67" i="2"/>
  <c r="L67" i="2"/>
  <c r="K67" i="2"/>
  <c r="H67" i="2"/>
  <c r="G67" i="2"/>
  <c r="I67" i="2" s="1"/>
  <c r="J67" i="2" s="1"/>
  <c r="F67" i="2"/>
  <c r="E67" i="2"/>
  <c r="D67" i="2"/>
  <c r="C67" i="2"/>
  <c r="B67" i="2"/>
  <c r="A67" i="2"/>
  <c r="L66" i="2"/>
  <c r="N66" i="2" s="1"/>
  <c r="K66" i="2"/>
  <c r="J66" i="2"/>
  <c r="H66" i="2"/>
  <c r="G66" i="2"/>
  <c r="I66" i="2" s="1"/>
  <c r="F66" i="2"/>
  <c r="O66" i="2" s="1"/>
  <c r="D66" i="2"/>
  <c r="E66" i="2" s="1"/>
  <c r="C66" i="2"/>
  <c r="B66" i="2"/>
  <c r="A66" i="2"/>
  <c r="L65" i="2"/>
  <c r="N65" i="2" s="1"/>
  <c r="K65" i="2"/>
  <c r="I65" i="2"/>
  <c r="J65" i="2" s="1"/>
  <c r="H65" i="2"/>
  <c r="G65" i="2"/>
  <c r="F65" i="2"/>
  <c r="D65" i="2"/>
  <c r="E65" i="2" s="1"/>
  <c r="C65" i="2"/>
  <c r="B65" i="2"/>
  <c r="A65" i="2"/>
  <c r="O65" i="2" s="1"/>
  <c r="L64" i="2"/>
  <c r="N64" i="2" s="1"/>
  <c r="K64" i="2"/>
  <c r="H64" i="2"/>
  <c r="I64" i="2" s="1"/>
  <c r="J64" i="2" s="1"/>
  <c r="G64" i="2"/>
  <c r="F64" i="2"/>
  <c r="D64" i="2"/>
  <c r="M64" i="2" s="1"/>
  <c r="C64" i="2"/>
  <c r="B64" i="2"/>
  <c r="A64" i="2"/>
  <c r="L63" i="2"/>
  <c r="K63" i="2"/>
  <c r="I63" i="2"/>
  <c r="J63" i="2" s="1"/>
  <c r="H63" i="2"/>
  <c r="G63" i="2"/>
  <c r="N63" i="2" s="1"/>
  <c r="F63" i="2"/>
  <c r="D63" i="2"/>
  <c r="E63" i="2" s="1"/>
  <c r="C63" i="2"/>
  <c r="B63" i="2"/>
  <c r="A63" i="2"/>
  <c r="N62" i="2"/>
  <c r="L62" i="2"/>
  <c r="K62" i="2"/>
  <c r="H62" i="2"/>
  <c r="I62" i="2" s="1"/>
  <c r="J62" i="2" s="1"/>
  <c r="G62" i="2"/>
  <c r="F62" i="2"/>
  <c r="D62" i="2"/>
  <c r="E62" i="2" s="1"/>
  <c r="C62" i="2"/>
  <c r="B62" i="2"/>
  <c r="A62" i="2"/>
  <c r="L61" i="2"/>
  <c r="K61" i="2"/>
  <c r="H61" i="2"/>
  <c r="G61" i="2"/>
  <c r="N61" i="2" s="1"/>
  <c r="F61" i="2"/>
  <c r="E61" i="2"/>
  <c r="D61" i="2"/>
  <c r="C61" i="2"/>
  <c r="B61" i="2"/>
  <c r="O61" i="2" s="1"/>
  <c r="A61" i="2"/>
  <c r="L60" i="2"/>
  <c r="K60" i="2"/>
  <c r="H60" i="2"/>
  <c r="G60" i="2"/>
  <c r="N60" i="2" s="1"/>
  <c r="F60" i="2"/>
  <c r="D60" i="2"/>
  <c r="E60" i="2" s="1"/>
  <c r="C60" i="2"/>
  <c r="B60" i="2"/>
  <c r="A60" i="2"/>
  <c r="N59" i="2"/>
  <c r="L59" i="2"/>
  <c r="K59" i="2"/>
  <c r="H59" i="2"/>
  <c r="G59" i="2"/>
  <c r="I59" i="2" s="1"/>
  <c r="J59" i="2" s="1"/>
  <c r="F59" i="2"/>
  <c r="E59" i="2"/>
  <c r="D59" i="2"/>
  <c r="C59" i="2"/>
  <c r="O59" i="2" s="1"/>
  <c r="B59" i="2"/>
  <c r="A59" i="2"/>
  <c r="L58" i="2"/>
  <c r="K58" i="2"/>
  <c r="J58" i="2"/>
  <c r="H58" i="2"/>
  <c r="G58" i="2"/>
  <c r="I58" i="2" s="1"/>
  <c r="F58" i="2"/>
  <c r="D58" i="2"/>
  <c r="E58" i="2" s="1"/>
  <c r="C58" i="2"/>
  <c r="B58" i="2"/>
  <c r="O58" i="2" s="1"/>
  <c r="A58" i="2"/>
  <c r="L57" i="2"/>
  <c r="N57" i="2" s="1"/>
  <c r="K57" i="2"/>
  <c r="I57" i="2"/>
  <c r="J57" i="2" s="1"/>
  <c r="H57" i="2"/>
  <c r="G57" i="2"/>
  <c r="F57" i="2"/>
  <c r="D57" i="2"/>
  <c r="E57" i="2" s="1"/>
  <c r="C57" i="2"/>
  <c r="B57" i="2"/>
  <c r="A57" i="2"/>
  <c r="L56" i="2"/>
  <c r="N56" i="2" s="1"/>
  <c r="K56" i="2"/>
  <c r="H56" i="2"/>
  <c r="I56" i="2" s="1"/>
  <c r="J56" i="2" s="1"/>
  <c r="G56" i="2"/>
  <c r="F56" i="2"/>
  <c r="D56" i="2"/>
  <c r="E56" i="2" s="1"/>
  <c r="C56" i="2"/>
  <c r="B56" i="2"/>
  <c r="A56" i="2"/>
  <c r="L55" i="2"/>
  <c r="K55" i="2"/>
  <c r="H55" i="2"/>
  <c r="G55" i="2"/>
  <c r="N55" i="2" s="1"/>
  <c r="F55" i="2"/>
  <c r="D55" i="2"/>
  <c r="E55" i="2" s="1"/>
  <c r="C55" i="2"/>
  <c r="B55" i="2"/>
  <c r="A55" i="2"/>
  <c r="N54" i="2"/>
  <c r="L54" i="2"/>
  <c r="K54" i="2"/>
  <c r="I54" i="2"/>
  <c r="J54" i="2" s="1"/>
  <c r="H54" i="2"/>
  <c r="G54" i="2"/>
  <c r="F54" i="2"/>
  <c r="D54" i="2"/>
  <c r="E54" i="2" s="1"/>
  <c r="C54" i="2"/>
  <c r="B54" i="2"/>
  <c r="A54" i="2"/>
  <c r="L53" i="2"/>
  <c r="K53" i="2"/>
  <c r="H53" i="2"/>
  <c r="I53" i="2" s="1"/>
  <c r="J53" i="2" s="1"/>
  <c r="G53" i="2"/>
  <c r="N53" i="2" s="1"/>
  <c r="F53" i="2"/>
  <c r="E53" i="2"/>
  <c r="D53" i="2"/>
  <c r="C53" i="2"/>
  <c r="B53" i="2"/>
  <c r="A53" i="2"/>
  <c r="M53" i="2" s="1"/>
  <c r="O52" i="2"/>
  <c r="L52" i="2"/>
  <c r="K52" i="2"/>
  <c r="H52" i="2"/>
  <c r="G52" i="2"/>
  <c r="I52" i="2" s="1"/>
  <c r="J52" i="2" s="1"/>
  <c r="F52" i="2"/>
  <c r="D52" i="2"/>
  <c r="E52" i="2" s="1"/>
  <c r="C52" i="2"/>
  <c r="B52" i="2"/>
  <c r="A52" i="2"/>
  <c r="L51" i="2"/>
  <c r="K51" i="2"/>
  <c r="H51" i="2"/>
  <c r="G51" i="2"/>
  <c r="I51" i="2" s="1"/>
  <c r="J51" i="2" s="1"/>
  <c r="F51" i="2"/>
  <c r="E51" i="2"/>
  <c r="D51" i="2"/>
  <c r="C51" i="2"/>
  <c r="O51" i="2" s="1"/>
  <c r="B51" i="2"/>
  <c r="A51" i="2"/>
  <c r="L50" i="2"/>
  <c r="K50" i="2"/>
  <c r="H50" i="2"/>
  <c r="G50" i="2"/>
  <c r="I50" i="2" s="1"/>
  <c r="J50" i="2" s="1"/>
  <c r="F50" i="2"/>
  <c r="E50" i="2"/>
  <c r="D50" i="2"/>
  <c r="M50" i="2" s="1"/>
  <c r="C50" i="2"/>
  <c r="B50" i="2"/>
  <c r="O50" i="2" s="1"/>
  <c r="A50" i="2"/>
  <c r="N49" i="2"/>
  <c r="L49" i="2"/>
  <c r="K49" i="2"/>
  <c r="I49" i="2"/>
  <c r="J49" i="2" s="1"/>
  <c r="H49" i="2"/>
  <c r="G49" i="2"/>
  <c r="F49" i="2"/>
  <c r="D49" i="2"/>
  <c r="E49" i="2" s="1"/>
  <c r="C49" i="2"/>
  <c r="B49" i="2"/>
  <c r="A49" i="2"/>
  <c r="L48" i="2"/>
  <c r="N48" i="2" s="1"/>
  <c r="K48" i="2"/>
  <c r="H48" i="2"/>
  <c r="I48" i="2" s="1"/>
  <c r="J48" i="2" s="1"/>
  <c r="G48" i="2"/>
  <c r="F48" i="2"/>
  <c r="D48" i="2"/>
  <c r="E48" i="2" s="1"/>
  <c r="C48" i="2"/>
  <c r="B48" i="2"/>
  <c r="A48" i="2"/>
  <c r="O47" i="2"/>
  <c r="L47" i="2"/>
  <c r="K47" i="2"/>
  <c r="H47" i="2"/>
  <c r="G47" i="2"/>
  <c r="N47" i="2" s="1"/>
  <c r="F47" i="2"/>
  <c r="D47" i="2"/>
  <c r="E47" i="2" s="1"/>
  <c r="C47" i="2"/>
  <c r="B47" i="2"/>
  <c r="A47" i="2"/>
  <c r="N46" i="2"/>
  <c r="L46" i="2"/>
  <c r="K46" i="2"/>
  <c r="I46" i="2"/>
  <c r="J46" i="2" s="1"/>
  <c r="H46" i="2"/>
  <c r="G46" i="2"/>
  <c r="F46" i="2"/>
  <c r="D46" i="2"/>
  <c r="E46" i="2" s="1"/>
  <c r="C46" i="2"/>
  <c r="B46" i="2"/>
  <c r="A46" i="2"/>
  <c r="O45" i="2"/>
  <c r="L45" i="2"/>
  <c r="K45" i="2"/>
  <c r="H45" i="2"/>
  <c r="G45" i="2"/>
  <c r="N45" i="2" s="1"/>
  <c r="F45" i="2"/>
  <c r="E45" i="2"/>
  <c r="D45" i="2"/>
  <c r="C45" i="2"/>
  <c r="B45" i="2"/>
  <c r="A45" i="2"/>
  <c r="M45" i="2" s="1"/>
  <c r="O44" i="2"/>
  <c r="L44" i="2"/>
  <c r="N44" i="2" s="1"/>
  <c r="K44" i="2"/>
  <c r="I44" i="2"/>
  <c r="J44" i="2" s="1"/>
  <c r="H44" i="2"/>
  <c r="G44" i="2"/>
  <c r="F44" i="2"/>
  <c r="D44" i="2"/>
  <c r="E44" i="2" s="1"/>
  <c r="C44" i="2"/>
  <c r="B44" i="2"/>
  <c r="A44" i="2"/>
  <c r="L43" i="2"/>
  <c r="K43" i="2"/>
  <c r="H43" i="2"/>
  <c r="G43" i="2"/>
  <c r="I43" i="2" s="1"/>
  <c r="J43" i="2" s="1"/>
  <c r="F43" i="2"/>
  <c r="E43" i="2"/>
  <c r="D43" i="2"/>
  <c r="C43" i="2"/>
  <c r="B43" i="2"/>
  <c r="A43" i="2"/>
  <c r="N42" i="2"/>
  <c r="L42" i="2"/>
  <c r="K42" i="2"/>
  <c r="H42" i="2"/>
  <c r="G42" i="2"/>
  <c r="I42" i="2" s="1"/>
  <c r="J42" i="2" s="1"/>
  <c r="F42" i="2"/>
  <c r="O42" i="2" s="1"/>
  <c r="E42" i="2"/>
  <c r="D42" i="2"/>
  <c r="M42" i="2" s="1"/>
  <c r="C42" i="2"/>
  <c r="B42" i="2"/>
  <c r="A42" i="2"/>
  <c r="L41" i="2"/>
  <c r="N41" i="2" s="1"/>
  <c r="K41" i="2"/>
  <c r="I41" i="2"/>
  <c r="J41" i="2" s="1"/>
  <c r="H41" i="2"/>
  <c r="G41" i="2"/>
  <c r="F41" i="2"/>
  <c r="D41" i="2"/>
  <c r="M41" i="2" s="1"/>
  <c r="C41" i="2"/>
  <c r="B41" i="2"/>
  <c r="A41" i="2"/>
  <c r="L40" i="2"/>
  <c r="N40" i="2" s="1"/>
  <c r="K40" i="2"/>
  <c r="H40" i="2"/>
  <c r="I40" i="2" s="1"/>
  <c r="J40" i="2" s="1"/>
  <c r="G40" i="2"/>
  <c r="F40" i="2"/>
  <c r="D40" i="2"/>
  <c r="E40" i="2" s="1"/>
  <c r="C40" i="2"/>
  <c r="B40" i="2"/>
  <c r="A40" i="2"/>
  <c r="L39" i="2"/>
  <c r="K39" i="2"/>
  <c r="I39" i="2"/>
  <c r="J39" i="2" s="1"/>
  <c r="H39" i="2"/>
  <c r="G39" i="2"/>
  <c r="F39" i="2"/>
  <c r="D39" i="2"/>
  <c r="E39" i="2" s="1"/>
  <c r="C39" i="2"/>
  <c r="B39" i="2"/>
  <c r="O39" i="2" s="1"/>
  <c r="A39" i="2"/>
  <c r="N38" i="2"/>
  <c r="L38" i="2"/>
  <c r="K38" i="2"/>
  <c r="H38" i="2"/>
  <c r="I38" i="2" s="1"/>
  <c r="J38" i="2" s="1"/>
  <c r="G38" i="2"/>
  <c r="F38" i="2"/>
  <c r="D38" i="2"/>
  <c r="E38" i="2" s="1"/>
  <c r="C38" i="2"/>
  <c r="B38" i="2"/>
  <c r="A38" i="2"/>
  <c r="O37" i="2"/>
  <c r="L37" i="2"/>
  <c r="K37" i="2"/>
  <c r="H37" i="2"/>
  <c r="G37" i="2"/>
  <c r="N37" i="2" s="1"/>
  <c r="F37" i="2"/>
  <c r="E37" i="2"/>
  <c r="D37" i="2"/>
  <c r="C37" i="2"/>
  <c r="B37" i="2"/>
  <c r="A37" i="2"/>
  <c r="L36" i="2"/>
  <c r="K36" i="2"/>
  <c r="I36" i="2"/>
  <c r="J36" i="2" s="1"/>
  <c r="H36" i="2"/>
  <c r="G36" i="2"/>
  <c r="N36" i="2" s="1"/>
  <c r="F36" i="2"/>
  <c r="D36" i="2"/>
  <c r="E36" i="2" s="1"/>
  <c r="C36" i="2"/>
  <c r="B36" i="2"/>
  <c r="A36" i="2"/>
  <c r="O35" i="2"/>
  <c r="L35" i="2"/>
  <c r="K35" i="2"/>
  <c r="H35" i="2"/>
  <c r="G35" i="2"/>
  <c r="I35" i="2" s="1"/>
  <c r="J35" i="2" s="1"/>
  <c r="F35" i="2"/>
  <c r="E35" i="2"/>
  <c r="D35" i="2"/>
  <c r="C35" i="2"/>
  <c r="B35" i="2"/>
  <c r="A35" i="2"/>
  <c r="L34" i="2"/>
  <c r="N34" i="2" s="1"/>
  <c r="K34" i="2"/>
  <c r="J34" i="2"/>
  <c r="H34" i="2"/>
  <c r="G34" i="2"/>
  <c r="I34" i="2" s="1"/>
  <c r="F34" i="2"/>
  <c r="O34" i="2" s="1"/>
  <c r="D34" i="2"/>
  <c r="E34" i="2" s="1"/>
  <c r="C34" i="2"/>
  <c r="B34" i="2"/>
  <c r="A34" i="2"/>
  <c r="L33" i="2"/>
  <c r="N33" i="2" s="1"/>
  <c r="K33" i="2"/>
  <c r="I33" i="2"/>
  <c r="J33" i="2" s="1"/>
  <c r="H33" i="2"/>
  <c r="G33" i="2"/>
  <c r="F33" i="2"/>
  <c r="D33" i="2"/>
  <c r="E33" i="2" s="1"/>
  <c r="C33" i="2"/>
  <c r="B33" i="2"/>
  <c r="A33" i="2"/>
  <c r="O33" i="2" s="1"/>
  <c r="L32" i="2"/>
  <c r="N32" i="2" s="1"/>
  <c r="K32" i="2"/>
  <c r="H32" i="2"/>
  <c r="I32" i="2" s="1"/>
  <c r="J32" i="2" s="1"/>
  <c r="G32" i="2"/>
  <c r="F32" i="2"/>
  <c r="D32" i="2"/>
  <c r="E32" i="2" s="1"/>
  <c r="C32" i="2"/>
  <c r="B32" i="2"/>
  <c r="A32" i="2"/>
  <c r="L31" i="2"/>
  <c r="K31" i="2"/>
  <c r="I31" i="2"/>
  <c r="J31" i="2" s="1"/>
  <c r="H31" i="2"/>
  <c r="G31" i="2"/>
  <c r="N31" i="2" s="1"/>
  <c r="F31" i="2"/>
  <c r="D31" i="2"/>
  <c r="E31" i="2" s="1"/>
  <c r="C31" i="2"/>
  <c r="B31" i="2"/>
  <c r="A31" i="2"/>
  <c r="N30" i="2"/>
  <c r="L30" i="2"/>
  <c r="K30" i="2"/>
  <c r="H30" i="2"/>
  <c r="I30" i="2" s="1"/>
  <c r="J30" i="2" s="1"/>
  <c r="G30" i="2"/>
  <c r="F30" i="2"/>
  <c r="D30" i="2"/>
  <c r="E30" i="2" s="1"/>
  <c r="C30" i="2"/>
  <c r="B30" i="2"/>
  <c r="A30" i="2"/>
  <c r="L29" i="2"/>
  <c r="K29" i="2"/>
  <c r="H29" i="2"/>
  <c r="G29" i="2"/>
  <c r="N29" i="2" s="1"/>
  <c r="F29" i="2"/>
  <c r="E29" i="2"/>
  <c r="D29" i="2"/>
  <c r="C29" i="2"/>
  <c r="B29" i="2"/>
  <c r="O29" i="2" s="1"/>
  <c r="A29" i="2"/>
  <c r="L28" i="2"/>
  <c r="K28" i="2"/>
  <c r="H28" i="2"/>
  <c r="G28" i="2"/>
  <c r="N28" i="2" s="1"/>
  <c r="F28" i="2"/>
  <c r="D28" i="2"/>
  <c r="E28" i="2" s="1"/>
  <c r="C28" i="2"/>
  <c r="B28" i="2"/>
  <c r="A28" i="2"/>
  <c r="N27" i="2"/>
  <c r="L27" i="2"/>
  <c r="K27" i="2"/>
  <c r="H27" i="2"/>
  <c r="G27" i="2"/>
  <c r="I27" i="2" s="1"/>
  <c r="J27" i="2" s="1"/>
  <c r="F27" i="2"/>
  <c r="E27" i="2"/>
  <c r="D27" i="2"/>
  <c r="C27" i="2"/>
  <c r="O27" i="2" s="1"/>
  <c r="B27" i="2"/>
  <c r="A27" i="2"/>
  <c r="L26" i="2"/>
  <c r="K26" i="2"/>
  <c r="J26" i="2"/>
  <c r="H26" i="2"/>
  <c r="G26" i="2"/>
  <c r="I26" i="2" s="1"/>
  <c r="F26" i="2"/>
  <c r="D26" i="2"/>
  <c r="E26" i="2" s="1"/>
  <c r="C26" i="2"/>
  <c r="B26" i="2"/>
  <c r="O26" i="2" s="1"/>
  <c r="A26" i="2"/>
  <c r="L25" i="2"/>
  <c r="N25" i="2" s="1"/>
  <c r="K25" i="2"/>
  <c r="I25" i="2"/>
  <c r="J25" i="2" s="1"/>
  <c r="H25" i="2"/>
  <c r="G25" i="2"/>
  <c r="F25" i="2"/>
  <c r="D25" i="2"/>
  <c r="E25" i="2" s="1"/>
  <c r="C25" i="2"/>
  <c r="B25" i="2"/>
  <c r="A25" i="2"/>
  <c r="L24" i="2"/>
  <c r="N24" i="2" s="1"/>
  <c r="K24" i="2"/>
  <c r="H24" i="2"/>
  <c r="I24" i="2" s="1"/>
  <c r="J24" i="2" s="1"/>
  <c r="G24" i="2"/>
  <c r="F24" i="2"/>
  <c r="D24" i="2"/>
  <c r="E24" i="2" s="1"/>
  <c r="C24" i="2"/>
  <c r="B24" i="2"/>
  <c r="A24" i="2"/>
  <c r="L23" i="2"/>
  <c r="K23" i="2"/>
  <c r="H23" i="2"/>
  <c r="G23" i="2"/>
  <c r="N23" i="2" s="1"/>
  <c r="F23" i="2"/>
  <c r="D23" i="2"/>
  <c r="E23" i="2" s="1"/>
  <c r="C23" i="2"/>
  <c r="B23" i="2"/>
  <c r="A23" i="2"/>
  <c r="N22" i="2"/>
  <c r="L22" i="2"/>
  <c r="K22" i="2"/>
  <c r="I22" i="2"/>
  <c r="J22" i="2" s="1"/>
  <c r="H22" i="2"/>
  <c r="G22" i="2"/>
  <c r="F22" i="2"/>
  <c r="D22" i="2"/>
  <c r="E22" i="2" s="1"/>
  <c r="C22" i="2"/>
  <c r="B22" i="2"/>
  <c r="A22" i="2"/>
  <c r="L21" i="2"/>
  <c r="K21" i="2"/>
  <c r="H21" i="2"/>
  <c r="I21" i="2" s="1"/>
  <c r="J21" i="2" s="1"/>
  <c r="G21" i="2"/>
  <c r="N21" i="2" s="1"/>
  <c r="F21" i="2"/>
  <c r="E21" i="2"/>
  <c r="D21" i="2"/>
  <c r="C21" i="2"/>
  <c r="B21" i="2"/>
  <c r="A21" i="2"/>
  <c r="M21" i="2" s="1"/>
  <c r="O20" i="2"/>
  <c r="L20" i="2"/>
  <c r="K20" i="2"/>
  <c r="H20" i="2"/>
  <c r="G20" i="2"/>
  <c r="I20" i="2" s="1"/>
  <c r="J20" i="2" s="1"/>
  <c r="F20" i="2"/>
  <c r="D20" i="2"/>
  <c r="E20" i="2" s="1"/>
  <c r="C20" i="2"/>
  <c r="B20" i="2"/>
  <c r="A20" i="2"/>
  <c r="L19" i="2"/>
  <c r="K19" i="2"/>
  <c r="H19" i="2"/>
  <c r="G19" i="2"/>
  <c r="I19" i="2" s="1"/>
  <c r="J19" i="2" s="1"/>
  <c r="F19" i="2"/>
  <c r="E19" i="2"/>
  <c r="D19" i="2"/>
  <c r="C19" i="2"/>
  <c r="O19" i="2" s="1"/>
  <c r="B19" i="2"/>
  <c r="A19" i="2"/>
  <c r="L18" i="2"/>
  <c r="K18" i="2"/>
  <c r="H18" i="2"/>
  <c r="G18" i="2"/>
  <c r="I18" i="2" s="1"/>
  <c r="J18" i="2" s="1"/>
  <c r="F18" i="2"/>
  <c r="E18" i="2"/>
  <c r="D18" i="2"/>
  <c r="M18" i="2" s="1"/>
  <c r="C18" i="2"/>
  <c r="B18" i="2"/>
  <c r="O18" i="2" s="1"/>
  <c r="A18" i="2"/>
  <c r="N17" i="2"/>
  <c r="M17" i="2"/>
  <c r="L17" i="2"/>
  <c r="K17" i="2"/>
  <c r="I17" i="2"/>
  <c r="J17" i="2" s="1"/>
  <c r="H17" i="2"/>
  <c r="G17" i="2"/>
  <c r="F17" i="2"/>
  <c r="D17" i="2"/>
  <c r="E17" i="2" s="1"/>
  <c r="C17" i="2"/>
  <c r="B17" i="2"/>
  <c r="A17" i="2"/>
  <c r="L16" i="2"/>
  <c r="N16" i="2" s="1"/>
  <c r="K16" i="2"/>
  <c r="H16" i="2"/>
  <c r="I16" i="2" s="1"/>
  <c r="J16" i="2" s="1"/>
  <c r="G16" i="2"/>
  <c r="F16" i="2"/>
  <c r="D16" i="2"/>
  <c r="E16" i="2" s="1"/>
  <c r="C16" i="2"/>
  <c r="B16" i="2"/>
  <c r="A16" i="2"/>
  <c r="O15" i="2"/>
  <c r="L15" i="2"/>
  <c r="K15" i="2"/>
  <c r="H15" i="2"/>
  <c r="G15" i="2"/>
  <c r="N15" i="2" s="1"/>
  <c r="F15" i="2"/>
  <c r="D15" i="2"/>
  <c r="E15" i="2" s="1"/>
  <c r="C15" i="2"/>
  <c r="B15" i="2"/>
  <c r="A15" i="2"/>
  <c r="N14" i="2"/>
  <c r="L14" i="2"/>
  <c r="K14" i="2"/>
  <c r="I14" i="2"/>
  <c r="J14" i="2" s="1"/>
  <c r="H14" i="2"/>
  <c r="G14" i="2"/>
  <c r="F14" i="2"/>
  <c r="D14" i="2"/>
  <c r="E14" i="2" s="1"/>
  <c r="C14" i="2"/>
  <c r="B14" i="2"/>
  <c r="A14" i="2"/>
  <c r="O13" i="2"/>
  <c r="L13" i="2"/>
  <c r="K13" i="2"/>
  <c r="H13" i="2"/>
  <c r="G13" i="2"/>
  <c r="N13" i="2" s="1"/>
  <c r="F13" i="2"/>
  <c r="E13" i="2"/>
  <c r="D13" i="2"/>
  <c r="C13" i="2"/>
  <c r="B13" i="2"/>
  <c r="A13" i="2"/>
  <c r="M13" i="2" s="1"/>
  <c r="O12" i="2"/>
  <c r="L12" i="2"/>
  <c r="N12" i="2" s="1"/>
  <c r="K12" i="2"/>
  <c r="I12" i="2"/>
  <c r="J12" i="2" s="1"/>
  <c r="H12" i="2"/>
  <c r="G12" i="2"/>
  <c r="F12" i="2"/>
  <c r="D12" i="2"/>
  <c r="E12" i="2" s="1"/>
  <c r="C12" i="2"/>
  <c r="B12" i="2"/>
  <c r="A12" i="2"/>
  <c r="L11" i="2"/>
  <c r="K11" i="2"/>
  <c r="H11" i="2"/>
  <c r="G11" i="2"/>
  <c r="I11" i="2" s="1"/>
  <c r="J11" i="2" s="1"/>
  <c r="F11" i="2"/>
  <c r="E11" i="2"/>
  <c r="D11" i="2"/>
  <c r="C11" i="2"/>
  <c r="B11" i="2"/>
  <c r="A11" i="2"/>
  <c r="N10" i="2"/>
  <c r="L10" i="2"/>
  <c r="K10" i="2"/>
  <c r="H10" i="2"/>
  <c r="G10" i="2"/>
  <c r="I10" i="2" s="1"/>
  <c r="J10" i="2" s="1"/>
  <c r="F10" i="2"/>
  <c r="O10" i="2" s="1"/>
  <c r="E10" i="2"/>
  <c r="D10" i="2"/>
  <c r="M10" i="2" s="1"/>
  <c r="C10" i="2"/>
  <c r="B10" i="2"/>
  <c r="A10" i="2"/>
  <c r="L9" i="2"/>
  <c r="N9" i="2" s="1"/>
  <c r="K9" i="2"/>
  <c r="I9" i="2"/>
  <c r="J9" i="2" s="1"/>
  <c r="H9" i="2"/>
  <c r="G9" i="2"/>
  <c r="F9" i="2"/>
  <c r="D9" i="2"/>
  <c r="E9" i="2" s="1"/>
  <c r="C9" i="2"/>
  <c r="B9" i="2"/>
  <c r="A9" i="2"/>
  <c r="L8" i="2"/>
  <c r="N8" i="2" s="1"/>
  <c r="K8" i="2"/>
  <c r="H8" i="2"/>
  <c r="I8" i="2" s="1"/>
  <c r="J8" i="2" s="1"/>
  <c r="G8" i="2"/>
  <c r="F8" i="2"/>
  <c r="D8" i="2"/>
  <c r="E8" i="2" s="1"/>
  <c r="C8" i="2"/>
  <c r="B8" i="2"/>
  <c r="A8" i="2"/>
  <c r="L7" i="2"/>
  <c r="K7" i="2"/>
  <c r="I7" i="2"/>
  <c r="J7" i="2" s="1"/>
  <c r="H7" i="2"/>
  <c r="G7" i="2"/>
  <c r="F7" i="2"/>
  <c r="D7" i="2"/>
  <c r="E7" i="2" s="1"/>
  <c r="C7" i="2"/>
  <c r="B7" i="2"/>
  <c r="O7" i="2" s="1"/>
  <c r="A7" i="2"/>
  <c r="N6" i="2"/>
  <c r="L6" i="2"/>
  <c r="K6" i="2"/>
  <c r="H6" i="2"/>
  <c r="I6" i="2" s="1"/>
  <c r="J6" i="2" s="1"/>
  <c r="G6" i="2"/>
  <c r="F6" i="2"/>
  <c r="D6" i="2"/>
  <c r="E6" i="2" s="1"/>
  <c r="C6" i="2"/>
  <c r="B6" i="2"/>
  <c r="A6" i="2"/>
  <c r="O5" i="2"/>
  <c r="L5" i="2"/>
  <c r="K5" i="2"/>
  <c r="H5" i="2"/>
  <c r="G5" i="2"/>
  <c r="N5" i="2" s="1"/>
  <c r="F5" i="2"/>
  <c r="E5" i="2"/>
  <c r="D5" i="2"/>
  <c r="C5" i="2"/>
  <c r="B5" i="2"/>
  <c r="A5" i="2"/>
  <c r="L4" i="2"/>
  <c r="K4" i="2"/>
  <c r="I4" i="2"/>
  <c r="J4" i="2" s="1"/>
  <c r="H4" i="2"/>
  <c r="G4" i="2"/>
  <c r="N4" i="2" s="1"/>
  <c r="F4" i="2"/>
  <c r="D4" i="2"/>
  <c r="E4" i="2" s="1"/>
  <c r="C4" i="2"/>
  <c r="B4" i="2"/>
  <c r="A4" i="2"/>
  <c r="O3" i="2"/>
  <c r="L3" i="2"/>
  <c r="K3" i="2"/>
  <c r="H3" i="2"/>
  <c r="G3" i="2"/>
  <c r="I3" i="2" s="1"/>
  <c r="J3" i="2" s="1"/>
  <c r="F3" i="2"/>
  <c r="E3" i="2"/>
  <c r="D3" i="2"/>
  <c r="C3" i="2"/>
  <c r="B3" i="2"/>
  <c r="A3" i="2"/>
  <c r="L2" i="2"/>
  <c r="N2" i="2" s="1"/>
  <c r="K2" i="2"/>
  <c r="H2" i="2"/>
  <c r="G2" i="2"/>
  <c r="F2" i="2"/>
  <c r="D2" i="2"/>
  <c r="M69" i="2" s="1"/>
  <c r="C2" i="2"/>
  <c r="B2" i="2"/>
  <c r="A2" i="2"/>
  <c r="M27" i="2" l="1"/>
  <c r="M49" i="2"/>
  <c r="M81" i="2"/>
  <c r="M113" i="2"/>
  <c r="M160" i="2"/>
  <c r="M2" i="2"/>
  <c r="M602" i="2"/>
  <c r="M620" i="2"/>
  <c r="M552" i="2"/>
  <c r="M520" i="2"/>
  <c r="M483" i="2"/>
  <c r="M477" i="2"/>
  <c r="M446" i="2"/>
  <c r="M638" i="2"/>
  <c r="M547" i="2"/>
  <c r="M448" i="2"/>
  <c r="M660" i="2"/>
  <c r="M632" i="2"/>
  <c r="M610" i="2"/>
  <c r="M604" i="2"/>
  <c r="M634" i="2"/>
  <c r="M606" i="2"/>
  <c r="M589" i="2"/>
  <c r="M579" i="2"/>
  <c r="M670" i="2"/>
  <c r="M546" i="2"/>
  <c r="M541" i="2"/>
  <c r="M4" i="2"/>
  <c r="M36" i="2"/>
  <c r="O48" i="2"/>
  <c r="E64" i="2"/>
  <c r="M78" i="2"/>
  <c r="O78" i="2"/>
  <c r="M95" i="2"/>
  <c r="E96" i="2"/>
  <c r="M100" i="2"/>
  <c r="O144" i="2"/>
  <c r="M159" i="2"/>
  <c r="M164" i="2"/>
  <c r="M174" i="2"/>
  <c r="O174" i="2"/>
  <c r="E2" i="2"/>
  <c r="I23" i="2"/>
  <c r="J23" i="2" s="1"/>
  <c r="M24" i="2"/>
  <c r="M88" i="2"/>
  <c r="I92" i="2"/>
  <c r="J92" i="2" s="1"/>
  <c r="M105" i="2"/>
  <c r="I119" i="2"/>
  <c r="J119" i="2" s="1"/>
  <c r="M120" i="2"/>
  <c r="M147" i="2"/>
  <c r="E162" i="2"/>
  <c r="M218" i="2"/>
  <c r="O223" i="2"/>
  <c r="M223" i="2"/>
  <c r="M243" i="2"/>
  <c r="M275" i="2"/>
  <c r="O275" i="2"/>
  <c r="M844" i="2"/>
  <c r="M3" i="2"/>
  <c r="M8" i="2"/>
  <c r="N18" i="2"/>
  <c r="O21" i="2"/>
  <c r="O23" i="2"/>
  <c r="M35" i="2"/>
  <c r="O43" i="2"/>
  <c r="O53" i="2"/>
  <c r="O55" i="2"/>
  <c r="M67" i="2"/>
  <c r="M72" i="2"/>
  <c r="O75" i="2"/>
  <c r="N82" i="2"/>
  <c r="O85" i="2"/>
  <c r="O87" i="2"/>
  <c r="N114" i="2"/>
  <c r="O117" i="2"/>
  <c r="O119" i="2"/>
  <c r="M136" i="2"/>
  <c r="O139" i="2"/>
  <c r="O149" i="2"/>
  <c r="M168" i="2"/>
  <c r="O171" i="2"/>
  <c r="M189" i="2"/>
  <c r="M204" i="2"/>
  <c r="M212" i="2"/>
  <c r="M234" i="2"/>
  <c r="N253" i="2"/>
  <c r="N269" i="2"/>
  <c r="M276" i="2"/>
  <c r="N285" i="2"/>
  <c r="M292" i="2"/>
  <c r="N301" i="2"/>
  <c r="N317" i="2"/>
  <c r="M324" i="2"/>
  <c r="M356" i="2"/>
  <c r="M372" i="2"/>
  <c r="M431" i="2"/>
  <c r="O431" i="2"/>
  <c r="O439" i="2"/>
  <c r="M461" i="2"/>
  <c r="M554" i="2"/>
  <c r="M599" i="2"/>
  <c r="O599" i="2"/>
  <c r="M618" i="2"/>
  <c r="M630" i="2"/>
  <c r="O712" i="2"/>
  <c r="M712" i="2"/>
  <c r="M906" i="2"/>
  <c r="M32" i="2"/>
  <c r="M59" i="2"/>
  <c r="M145" i="2"/>
  <c r="M5" i="2"/>
  <c r="M34" i="2"/>
  <c r="M46" i="2"/>
  <c r="O46" i="2"/>
  <c r="M66" i="2"/>
  <c r="O112" i="2"/>
  <c r="M127" i="2"/>
  <c r="M165" i="2"/>
  <c r="E191" i="2"/>
  <c r="M195" i="2"/>
  <c r="M9" i="2"/>
  <c r="M56" i="2"/>
  <c r="I87" i="2"/>
  <c r="J87" i="2" s="1"/>
  <c r="I156" i="2"/>
  <c r="J156" i="2" s="1"/>
  <c r="M186" i="2"/>
  <c r="I259" i="2"/>
  <c r="J259" i="2" s="1"/>
  <c r="I275" i="2"/>
  <c r="J275" i="2" s="1"/>
  <c r="O11" i="2"/>
  <c r="M25" i="2"/>
  <c r="O28" i="2"/>
  <c r="M40" i="2"/>
  <c r="N50" i="2"/>
  <c r="M57" i="2"/>
  <c r="O60" i="2"/>
  <c r="M89" i="2"/>
  <c r="O92" i="2"/>
  <c r="M99" i="2"/>
  <c r="M104" i="2"/>
  <c r="O107" i="2"/>
  <c r="M121" i="2"/>
  <c r="O124" i="2"/>
  <c r="M131" i="2"/>
  <c r="N146" i="2"/>
  <c r="O151" i="2"/>
  <c r="M153" i="2"/>
  <c r="O156" i="2"/>
  <c r="M163" i="2"/>
  <c r="M179" i="2"/>
  <c r="M187" i="2"/>
  <c r="O216" i="2"/>
  <c r="M216" i="2"/>
  <c r="N219" i="2"/>
  <c r="O232" i="2"/>
  <c r="M232" i="2"/>
  <c r="M260" i="2"/>
  <c r="M308" i="2"/>
  <c r="N333" i="2"/>
  <c r="M340" i="2"/>
  <c r="N349" i="2"/>
  <c r="N365" i="2"/>
  <c r="M380" i="2"/>
  <c r="O408" i="2"/>
  <c r="O409" i="2"/>
  <c r="M409" i="2"/>
  <c r="M428" i="2"/>
  <c r="O428" i="2"/>
  <c r="M445" i="2"/>
  <c r="O459" i="2"/>
  <c r="I490" i="2"/>
  <c r="J490" i="2" s="1"/>
  <c r="O490" i="2"/>
  <c r="N490" i="2"/>
  <c r="M498" i="2"/>
  <c r="O498" i="2"/>
  <c r="N534" i="2"/>
  <c r="I534" i="2"/>
  <c r="J534" i="2" s="1"/>
  <c r="N3" i="2"/>
  <c r="M7" i="2"/>
  <c r="O9" i="2"/>
  <c r="M12" i="2"/>
  <c r="N20" i="2"/>
  <c r="M22" i="2"/>
  <c r="O22" i="2"/>
  <c r="O24" i="2"/>
  <c r="I29" i="2"/>
  <c r="J29" i="2" s="1"/>
  <c r="N35" i="2"/>
  <c r="M39" i="2"/>
  <c r="O41" i="2"/>
  <c r="M44" i="2"/>
  <c r="N52" i="2"/>
  <c r="M54" i="2"/>
  <c r="O54" i="2"/>
  <c r="O56" i="2"/>
  <c r="I61" i="2"/>
  <c r="J61" i="2" s="1"/>
  <c r="N67" i="2"/>
  <c r="M71" i="2"/>
  <c r="O73" i="2"/>
  <c r="M76" i="2"/>
  <c r="N84" i="2"/>
  <c r="M86" i="2"/>
  <c r="O86" i="2"/>
  <c r="O88" i="2"/>
  <c r="I93" i="2"/>
  <c r="J93" i="2" s="1"/>
  <c r="N99" i="2"/>
  <c r="M103" i="2"/>
  <c r="O105" i="2"/>
  <c r="M108" i="2"/>
  <c r="N116" i="2"/>
  <c r="M118" i="2"/>
  <c r="O118" i="2"/>
  <c r="O120" i="2"/>
  <c r="I125" i="2"/>
  <c r="J125" i="2" s="1"/>
  <c r="N131" i="2"/>
  <c r="M135" i="2"/>
  <c r="O137" i="2"/>
  <c r="M140" i="2"/>
  <c r="N148" i="2"/>
  <c r="M150" i="2"/>
  <c r="O150" i="2"/>
  <c r="O152" i="2"/>
  <c r="N163" i="2"/>
  <c r="M167" i="2"/>
  <c r="O169" i="2"/>
  <c r="M172" i="2"/>
  <c r="M177" i="2"/>
  <c r="I178" i="2"/>
  <c r="J178" i="2" s="1"/>
  <c r="N178" i="2"/>
  <c r="N182" i="2"/>
  <c r="M185" i="2"/>
  <c r="I188" i="2"/>
  <c r="J188" i="2" s="1"/>
  <c r="N190" i="2"/>
  <c r="O199" i="2"/>
  <c r="N202" i="2"/>
  <c r="M210" i="2"/>
  <c r="N213" i="2"/>
  <c r="M220" i="2"/>
  <c r="M230" i="2"/>
  <c r="O230" i="2"/>
  <c r="I235" i="2"/>
  <c r="J235" i="2" s="1"/>
  <c r="N243" i="2"/>
  <c r="I249" i="2"/>
  <c r="J249" i="2" s="1"/>
  <c r="N249" i="2"/>
  <c r="M250" i="2"/>
  <c r="M254" i="2"/>
  <c r="I265" i="2"/>
  <c r="J265" i="2" s="1"/>
  <c r="N265" i="2"/>
  <c r="M266" i="2"/>
  <c r="M270" i="2"/>
  <c r="I281" i="2"/>
  <c r="J281" i="2" s="1"/>
  <c r="N281" i="2"/>
  <c r="M282" i="2"/>
  <c r="M286" i="2"/>
  <c r="I297" i="2"/>
  <c r="J297" i="2" s="1"/>
  <c r="N297" i="2"/>
  <c r="M298" i="2"/>
  <c r="M302" i="2"/>
  <c r="I313" i="2"/>
  <c r="J313" i="2" s="1"/>
  <c r="N313" i="2"/>
  <c r="M314" i="2"/>
  <c r="M318" i="2"/>
  <c r="I329" i="2"/>
  <c r="J329" i="2" s="1"/>
  <c r="N329" i="2"/>
  <c r="M330" i="2"/>
  <c r="M334" i="2"/>
  <c r="I345" i="2"/>
  <c r="J345" i="2" s="1"/>
  <c r="N345" i="2"/>
  <c r="M346" i="2"/>
  <c r="M350" i="2"/>
  <c r="I361" i="2"/>
  <c r="J361" i="2" s="1"/>
  <c r="N361" i="2"/>
  <c r="M362" i="2"/>
  <c r="M366" i="2"/>
  <c r="M378" i="2"/>
  <c r="M386" i="2"/>
  <c r="O386" i="2"/>
  <c r="M393" i="2"/>
  <c r="M396" i="2"/>
  <c r="O396" i="2"/>
  <c r="M400" i="2"/>
  <c r="E400" i="2"/>
  <c r="O403" i="2"/>
  <c r="I404" i="2"/>
  <c r="J404" i="2" s="1"/>
  <c r="N404" i="2"/>
  <c r="I407" i="2"/>
  <c r="J407" i="2" s="1"/>
  <c r="N407" i="2"/>
  <c r="M416" i="2"/>
  <c r="O419" i="2"/>
  <c r="E445" i="2"/>
  <c r="M458" i="2"/>
  <c r="M480" i="2"/>
  <c r="O493" i="2"/>
  <c r="M493" i="2"/>
  <c r="E497" i="2"/>
  <c r="M508" i="2"/>
  <c r="E508" i="2"/>
  <c r="M538" i="2"/>
  <c r="M557" i="2"/>
  <c r="N558" i="2"/>
  <c r="I558" i="2"/>
  <c r="J558" i="2" s="1"/>
  <c r="M644" i="2"/>
  <c r="O649" i="2"/>
  <c r="M649" i="2"/>
  <c r="N650" i="2"/>
  <c r="I650" i="2"/>
  <c r="J650" i="2" s="1"/>
  <c r="N710" i="2"/>
  <c r="I710" i="2"/>
  <c r="J710" i="2" s="1"/>
  <c r="O728" i="2"/>
  <c r="M728" i="2"/>
  <c r="M123" i="2"/>
  <c r="M197" i="2"/>
  <c r="O197" i="2"/>
  <c r="M200" i="2"/>
  <c r="M208" i="2"/>
  <c r="M214" i="2"/>
  <c r="M224" i="2"/>
  <c r="M228" i="2"/>
  <c r="M242" i="2"/>
  <c r="M244" i="2"/>
  <c r="M248" i="2"/>
  <c r="M252" i="2"/>
  <c r="M264" i="2"/>
  <c r="M268" i="2"/>
  <c r="M280" i="2"/>
  <c r="M284" i="2"/>
  <c r="M296" i="2"/>
  <c r="M300" i="2"/>
  <c r="M312" i="2"/>
  <c r="M316" i="2"/>
  <c r="M328" i="2"/>
  <c r="M332" i="2"/>
  <c r="M344" i="2"/>
  <c r="M348" i="2"/>
  <c r="M360" i="2"/>
  <c r="M364" i="2"/>
  <c r="M376" i="2"/>
  <c r="I379" i="2"/>
  <c r="J379" i="2" s="1"/>
  <c r="N379" i="2"/>
  <c r="M383" i="2"/>
  <c r="O383" i="2"/>
  <c r="O389" i="2"/>
  <c r="M389" i="2"/>
  <c r="N405" i="2"/>
  <c r="I405" i="2"/>
  <c r="J405" i="2" s="1"/>
  <c r="M415" i="2"/>
  <c r="O415" i="2"/>
  <c r="M435" i="2"/>
  <c r="I442" i="2"/>
  <c r="J442" i="2" s="1"/>
  <c r="N442" i="2"/>
  <c r="M449" i="2"/>
  <c r="M450" i="2"/>
  <c r="O450" i="2"/>
  <c r="M479" i="2"/>
  <c r="O479" i="2"/>
  <c r="M506" i="2"/>
  <c r="M525" i="2"/>
  <c r="I542" i="2"/>
  <c r="J542" i="2" s="1"/>
  <c r="N542" i="2"/>
  <c r="O545" i="2"/>
  <c r="M545" i="2"/>
  <c r="O561" i="2"/>
  <c r="M561" i="2"/>
  <c r="M564" i="2"/>
  <c r="O568" i="2"/>
  <c r="M568" i="2"/>
  <c r="M573" i="2"/>
  <c r="M616" i="2"/>
  <c r="M628" i="2"/>
  <c r="I766" i="2"/>
  <c r="J766" i="2" s="1"/>
  <c r="N766" i="2"/>
  <c r="I843" i="2"/>
  <c r="J843" i="2" s="1"/>
  <c r="N843" i="2"/>
  <c r="D7" i="4"/>
  <c r="M37" i="2"/>
  <c r="O227" i="2"/>
  <c r="M236" i="2"/>
  <c r="O247" i="2"/>
  <c r="M247" i="2"/>
  <c r="M258" i="2"/>
  <c r="O263" i="2"/>
  <c r="M263" i="2"/>
  <c r="M274" i="2"/>
  <c r="O279" i="2"/>
  <c r="M279" i="2"/>
  <c r="M290" i="2"/>
  <c r="O295" i="2"/>
  <c r="M295" i="2"/>
  <c r="M306" i="2"/>
  <c r="O311" i="2"/>
  <c r="M311" i="2"/>
  <c r="M322" i="2"/>
  <c r="O327" i="2"/>
  <c r="M327" i="2"/>
  <c r="M338" i="2"/>
  <c r="O343" i="2"/>
  <c r="M343" i="2"/>
  <c r="M354" i="2"/>
  <c r="O359" i="2"/>
  <c r="M359" i="2"/>
  <c r="M370" i="2"/>
  <c r="O375" i="2"/>
  <c r="M375" i="2"/>
  <c r="M394" i="2"/>
  <c r="M401" i="2"/>
  <c r="M402" i="2"/>
  <c r="O402" i="2"/>
  <c r="M403" i="2"/>
  <c r="N408" i="2"/>
  <c r="I408" i="2"/>
  <c r="J408" i="2" s="1"/>
  <c r="N424" i="2"/>
  <c r="I424" i="2"/>
  <c r="J424" i="2" s="1"/>
  <c r="E425" i="2"/>
  <c r="M425" i="2"/>
  <c r="M426" i="2"/>
  <c r="I427" i="2"/>
  <c r="J427" i="2" s="1"/>
  <c r="N427" i="2"/>
  <c r="M433" i="2"/>
  <c r="M434" i="2"/>
  <c r="O434" i="2"/>
  <c r="M441" i="2"/>
  <c r="M444" i="2"/>
  <c r="O444" i="2"/>
  <c r="M464" i="2"/>
  <c r="E464" i="2"/>
  <c r="M467" i="2"/>
  <c r="N469" i="2"/>
  <c r="I469" i="2"/>
  <c r="J469" i="2" s="1"/>
  <c r="N488" i="2"/>
  <c r="I488" i="2"/>
  <c r="J488" i="2" s="1"/>
  <c r="E489" i="2"/>
  <c r="M489" i="2"/>
  <c r="I563" i="2"/>
  <c r="J563" i="2" s="1"/>
  <c r="N563" i="2"/>
  <c r="M128" i="2"/>
  <c r="M31" i="2"/>
  <c r="M68" i="2"/>
  <c r="I28" i="2"/>
  <c r="J28" i="2" s="1"/>
  <c r="M51" i="2"/>
  <c r="M115" i="2"/>
  <c r="E130" i="2"/>
  <c r="I151" i="2"/>
  <c r="J151" i="2" s="1"/>
  <c r="O214" i="2"/>
  <c r="M245" i="2"/>
  <c r="E274" i="2"/>
  <c r="M307" i="2"/>
  <c r="O307" i="2"/>
  <c r="I307" i="2"/>
  <c r="J307" i="2" s="1"/>
  <c r="E322" i="2"/>
  <c r="M323" i="2"/>
  <c r="O323" i="2"/>
  <c r="I323" i="2"/>
  <c r="J323" i="2" s="1"/>
  <c r="E338" i="2"/>
  <c r="M339" i="2"/>
  <c r="O339" i="2"/>
  <c r="I339" i="2"/>
  <c r="J339" i="2" s="1"/>
  <c r="E354" i="2"/>
  <c r="M355" i="2"/>
  <c r="O355" i="2"/>
  <c r="I355" i="2"/>
  <c r="J355" i="2" s="1"/>
  <c r="E370" i="2"/>
  <c r="M371" i="2"/>
  <c r="O371" i="2"/>
  <c r="I371" i="2"/>
  <c r="J371" i="2" s="1"/>
  <c r="O390" i="2"/>
  <c r="M390" i="2"/>
  <c r="M410" i="2"/>
  <c r="N472" i="2"/>
  <c r="I472" i="2"/>
  <c r="J472" i="2" s="1"/>
  <c r="M490" i="2"/>
  <c r="M523" i="2"/>
  <c r="O524" i="2"/>
  <c r="M524" i="2"/>
  <c r="M526" i="2"/>
  <c r="O526" i="2"/>
  <c r="I526" i="2"/>
  <c r="J526" i="2" s="1"/>
  <c r="O534" i="2"/>
  <c r="O673" i="2"/>
  <c r="M673" i="2"/>
  <c r="N703" i="2"/>
  <c r="I703" i="2"/>
  <c r="J703" i="2" s="1"/>
  <c r="M787" i="2"/>
  <c r="I788" i="2"/>
  <c r="J788" i="2" s="1"/>
  <c r="N788" i="2"/>
  <c r="M98" i="2"/>
  <c r="M132" i="2"/>
  <c r="M169" i="2"/>
  <c r="D8" i="4"/>
  <c r="N19" i="2"/>
  <c r="O57" i="2"/>
  <c r="M61" i="2"/>
  <c r="I77" i="2"/>
  <c r="J77" i="2" s="1"/>
  <c r="N83" i="2"/>
  <c r="M87" i="2"/>
  <c r="O89" i="2"/>
  <c r="M90" i="2"/>
  <c r="M92" i="2"/>
  <c r="M93" i="2"/>
  <c r="M102" i="2"/>
  <c r="O102" i="2"/>
  <c r="O104" i="2"/>
  <c r="I109" i="2"/>
  <c r="J109" i="2" s="1"/>
  <c r="N115" i="2"/>
  <c r="M119" i="2"/>
  <c r="O121" i="2"/>
  <c r="M122" i="2"/>
  <c r="M124" i="2"/>
  <c r="M125" i="2"/>
  <c r="M134" i="2"/>
  <c r="O134" i="2"/>
  <c r="O136" i="2"/>
  <c r="E137" i="2"/>
  <c r="O153" i="2"/>
  <c r="M156" i="2"/>
  <c r="I173" i="2"/>
  <c r="J173" i="2" s="1"/>
  <c r="E184" i="2"/>
  <c r="M227" i="2"/>
  <c r="M251" i="2"/>
  <c r="M397" i="2"/>
  <c r="M456" i="2"/>
  <c r="M539" i="2"/>
  <c r="M556" i="2"/>
  <c r="M581" i="2"/>
  <c r="M636" i="2"/>
  <c r="N758" i="2"/>
  <c r="I758" i="2"/>
  <c r="J758" i="2" s="1"/>
  <c r="O16" i="2"/>
  <c r="M63" i="2"/>
  <c r="O80" i="2"/>
  <c r="M101" i="2"/>
  <c r="M110" i="2"/>
  <c r="O110" i="2"/>
  <c r="M193" i="2"/>
  <c r="N198" i="2"/>
  <c r="I198" i="2"/>
  <c r="J198" i="2" s="1"/>
  <c r="M202" i="2"/>
  <c r="E202" i="2"/>
  <c r="M19" i="2"/>
  <c r="I55" i="2"/>
  <c r="J55" i="2" s="1"/>
  <c r="I60" i="2"/>
  <c r="J60" i="2" s="1"/>
  <c r="M73" i="2"/>
  <c r="M83" i="2"/>
  <c r="I124" i="2"/>
  <c r="J124" i="2" s="1"/>
  <c r="M152" i="2"/>
  <c r="I185" i="2"/>
  <c r="J185" i="2" s="1"/>
  <c r="N185" i="2"/>
  <c r="M190" i="2"/>
  <c r="O190" i="2"/>
  <c r="M203" i="2"/>
  <c r="M259" i="2"/>
  <c r="O259" i="2"/>
  <c r="E290" i="2"/>
  <c r="M291" i="2"/>
  <c r="O291" i="2"/>
  <c r="I291" i="2"/>
  <c r="J291" i="2" s="1"/>
  <c r="O2" i="2"/>
  <c r="M6" i="2"/>
  <c r="O6" i="2"/>
  <c r="O8" i="2"/>
  <c r="I13" i="2"/>
  <c r="J13" i="2" s="1"/>
  <c r="M23" i="2"/>
  <c r="O25" i="2"/>
  <c r="M26" i="2"/>
  <c r="M28" i="2"/>
  <c r="M29" i="2"/>
  <c r="M38" i="2"/>
  <c r="O38" i="2"/>
  <c r="O40" i="2"/>
  <c r="E41" i="2"/>
  <c r="I45" i="2"/>
  <c r="J45" i="2" s="1"/>
  <c r="N51" i="2"/>
  <c r="M55" i="2"/>
  <c r="M58" i="2"/>
  <c r="M60" i="2"/>
  <c r="M70" i="2"/>
  <c r="O70" i="2"/>
  <c r="O72" i="2"/>
  <c r="I141" i="2"/>
  <c r="J141" i="2" s="1"/>
  <c r="N147" i="2"/>
  <c r="M151" i="2"/>
  <c r="M154" i="2"/>
  <c r="M188" i="2"/>
  <c r="M201" i="2"/>
  <c r="N205" i="2"/>
  <c r="O209" i="2"/>
  <c r="M237" i="2"/>
  <c r="O239" i="2"/>
  <c r="M239" i="2"/>
  <c r="M253" i="2"/>
  <c r="O253" i="2"/>
  <c r="M269" i="2"/>
  <c r="O269" i="2"/>
  <c r="M283" i="2"/>
  <c r="M301" i="2"/>
  <c r="O301" i="2"/>
  <c r="M315" i="2"/>
  <c r="M333" i="2"/>
  <c r="O333" i="2"/>
  <c r="M347" i="2"/>
  <c r="M349" i="2"/>
  <c r="O349" i="2"/>
  <c r="M365" i="2"/>
  <c r="O365" i="2"/>
  <c r="O392" i="2"/>
  <c r="M413" i="2"/>
  <c r="O420" i="2"/>
  <c r="O421" i="2"/>
  <c r="M421" i="2"/>
  <c r="M429" i="2"/>
  <c r="E429" i="2"/>
  <c r="N440" i="2"/>
  <c r="I440" i="2"/>
  <c r="J440" i="2" s="1"/>
  <c r="O454" i="2"/>
  <c r="M454" i="2"/>
  <c r="O457" i="2"/>
  <c r="M457" i="2"/>
  <c r="I458" i="2"/>
  <c r="J458" i="2" s="1"/>
  <c r="N458" i="2"/>
  <c r="M465" i="2"/>
  <c r="M466" i="2"/>
  <c r="O466" i="2"/>
  <c r="M474" i="2"/>
  <c r="M11" i="2"/>
  <c r="N26" i="2"/>
  <c r="O31" i="2"/>
  <c r="M33" i="2"/>
  <c r="M43" i="2"/>
  <c r="N58" i="2"/>
  <c r="O63" i="2"/>
  <c r="M65" i="2"/>
  <c r="O68" i="2"/>
  <c r="N71" i="2"/>
  <c r="M75" i="2"/>
  <c r="I79" i="2"/>
  <c r="J79" i="2" s="1"/>
  <c r="M80" i="2"/>
  <c r="N90" i="2"/>
  <c r="M97" i="2"/>
  <c r="O100" i="2"/>
  <c r="M107" i="2"/>
  <c r="I111" i="2"/>
  <c r="J111" i="2" s="1"/>
  <c r="M112" i="2"/>
  <c r="N122" i="2"/>
  <c r="O127" i="2"/>
  <c r="M129" i="2"/>
  <c r="O132" i="2"/>
  <c r="N135" i="2"/>
  <c r="M139" i="2"/>
  <c r="I143" i="2"/>
  <c r="J143" i="2" s="1"/>
  <c r="M144" i="2"/>
  <c r="N154" i="2"/>
  <c r="O159" i="2"/>
  <c r="M161" i="2"/>
  <c r="O164" i="2"/>
  <c r="N167" i="2"/>
  <c r="M171" i="2"/>
  <c r="I175" i="2"/>
  <c r="J175" i="2" s="1"/>
  <c r="M178" i="2"/>
  <c r="M180" i="2"/>
  <c r="O182" i="2"/>
  <c r="O183" i="2"/>
  <c r="M183" i="2"/>
  <c r="I193" i="2"/>
  <c r="J193" i="2" s="1"/>
  <c r="N193" i="2"/>
  <c r="M194" i="2"/>
  <c r="M198" i="2"/>
  <c r="I206" i="2"/>
  <c r="J206" i="2" s="1"/>
  <c r="M207" i="2"/>
  <c r="N225" i="2"/>
  <c r="I226" i="2"/>
  <c r="J226" i="2" s="1"/>
  <c r="N226" i="2"/>
  <c r="M235" i="2"/>
  <c r="E241" i="2"/>
  <c r="I242" i="2"/>
  <c r="J242" i="2" s="1"/>
  <c r="N242" i="2"/>
  <c r="O243" i="2"/>
  <c r="N246" i="2"/>
  <c r="M249" i="2"/>
  <c r="M255" i="2"/>
  <c r="M257" i="2"/>
  <c r="N262" i="2"/>
  <c r="M265" i="2"/>
  <c r="M271" i="2"/>
  <c r="M273" i="2"/>
  <c r="N278" i="2"/>
  <c r="M281" i="2"/>
  <c r="M287" i="2"/>
  <c r="M289" i="2"/>
  <c r="N294" i="2"/>
  <c r="M297" i="2"/>
  <c r="M303" i="2"/>
  <c r="M305" i="2"/>
  <c r="N310" i="2"/>
  <c r="M313" i="2"/>
  <c r="M319" i="2"/>
  <c r="M321" i="2"/>
  <c r="N326" i="2"/>
  <c r="M329" i="2"/>
  <c r="M335" i="2"/>
  <c r="M337" i="2"/>
  <c r="N342" i="2"/>
  <c r="M345" i="2"/>
  <c r="M351" i="2"/>
  <c r="M353" i="2"/>
  <c r="N358" i="2"/>
  <c r="M361" i="2"/>
  <c r="M367" i="2"/>
  <c r="M369" i="2"/>
  <c r="N374" i="2"/>
  <c r="M377" i="2"/>
  <c r="M379" i="2"/>
  <c r="I388" i="2"/>
  <c r="J388" i="2" s="1"/>
  <c r="N388" i="2"/>
  <c r="M430" i="2"/>
  <c r="M432" i="2"/>
  <c r="O437" i="2"/>
  <c r="M437" i="2"/>
  <c r="O442" i="2"/>
  <c r="I455" i="2"/>
  <c r="J455" i="2" s="1"/>
  <c r="N455" i="2"/>
  <c r="O468" i="2"/>
  <c r="O471" i="2"/>
  <c r="I475" i="2"/>
  <c r="J475" i="2" s="1"/>
  <c r="N475" i="2"/>
  <c r="O486" i="2"/>
  <c r="M486" i="2"/>
  <c r="M503" i="2"/>
  <c r="O503" i="2"/>
  <c r="M505" i="2"/>
  <c r="N506" i="2"/>
  <c r="I506" i="2"/>
  <c r="J506" i="2" s="1"/>
  <c r="N511" i="2"/>
  <c r="M532" i="2"/>
  <c r="N560" i="2"/>
  <c r="I560" i="2"/>
  <c r="J560" i="2" s="1"/>
  <c r="M566" i="2"/>
  <c r="M680" i="2"/>
  <c r="M699" i="2"/>
  <c r="M748" i="2"/>
  <c r="M91" i="2"/>
  <c r="M14" i="2"/>
  <c r="O14" i="2"/>
  <c r="M133" i="2"/>
  <c r="M142" i="2"/>
  <c r="O142" i="2"/>
  <c r="O180" i="2"/>
  <c r="M157" i="2"/>
  <c r="M166" i="2"/>
  <c r="O166" i="2"/>
  <c r="O168" i="2"/>
  <c r="M176" i="2"/>
  <c r="O186" i="2"/>
  <c r="M196" i="2"/>
  <c r="O196" i="2"/>
  <c r="M199" i="2"/>
  <c r="O204" i="2"/>
  <c r="M211" i="2"/>
  <c r="M213" i="2"/>
  <c r="O213" i="2"/>
  <c r="E218" i="2"/>
  <c r="M219" i="2"/>
  <c r="O219" i="2"/>
  <c r="M267" i="2"/>
  <c r="M285" i="2"/>
  <c r="O285" i="2"/>
  <c r="M299" i="2"/>
  <c r="M317" i="2"/>
  <c r="O317" i="2"/>
  <c r="M331" i="2"/>
  <c r="M363" i="2"/>
  <c r="O405" i="2"/>
  <c r="M405" i="2"/>
  <c r="I411" i="2"/>
  <c r="J411" i="2" s="1"/>
  <c r="N411" i="2"/>
  <c r="D4" i="4"/>
  <c r="I2" i="2"/>
  <c r="O4" i="2"/>
  <c r="N7" i="2"/>
  <c r="I15" i="2"/>
  <c r="J15" i="2" s="1"/>
  <c r="M16" i="2"/>
  <c r="O36" i="2"/>
  <c r="N39" i="2"/>
  <c r="I47" i="2"/>
  <c r="J47" i="2" s="1"/>
  <c r="M48" i="2"/>
  <c r="O95" i="2"/>
  <c r="N103" i="2"/>
  <c r="I5" i="2"/>
  <c r="J5" i="2" s="1"/>
  <c r="N11" i="2"/>
  <c r="M15" i="2"/>
  <c r="O17" i="2"/>
  <c r="M20" i="2"/>
  <c r="M30" i="2"/>
  <c r="O30" i="2"/>
  <c r="O32" i="2"/>
  <c r="I37" i="2"/>
  <c r="J37" i="2" s="1"/>
  <c r="N43" i="2"/>
  <c r="M47" i="2"/>
  <c r="O49" i="2"/>
  <c r="M52" i="2"/>
  <c r="M62" i="2"/>
  <c r="O62" i="2"/>
  <c r="O64" i="2"/>
  <c r="I69" i="2"/>
  <c r="J69" i="2" s="1"/>
  <c r="N75" i="2"/>
  <c r="M79" i="2"/>
  <c r="O81" i="2"/>
  <c r="M84" i="2"/>
  <c r="M94" i="2"/>
  <c r="O94" i="2"/>
  <c r="O96" i="2"/>
  <c r="I101" i="2"/>
  <c r="J101" i="2" s="1"/>
  <c r="N107" i="2"/>
  <c r="M111" i="2"/>
  <c r="O113" i="2"/>
  <c r="M116" i="2"/>
  <c r="M126" i="2"/>
  <c r="O126" i="2"/>
  <c r="O128" i="2"/>
  <c r="I133" i="2"/>
  <c r="J133" i="2" s="1"/>
  <c r="N139" i="2"/>
  <c r="M143" i="2"/>
  <c r="O145" i="2"/>
  <c r="M148" i="2"/>
  <c r="M158" i="2"/>
  <c r="O158" i="2"/>
  <c r="O160" i="2"/>
  <c r="I165" i="2"/>
  <c r="J165" i="2" s="1"/>
  <c r="N171" i="2"/>
  <c r="O175" i="2"/>
  <c r="M175" i="2"/>
  <c r="M181" i="2"/>
  <c r="M192" i="2"/>
  <c r="N203" i="2"/>
  <c r="M206" i="2"/>
  <c r="M209" i="2"/>
  <c r="N209" i="2"/>
  <c r="M215" i="2"/>
  <c r="N222" i="2"/>
  <c r="I222" i="2"/>
  <c r="J222" i="2" s="1"/>
  <c r="O224" i="2"/>
  <c r="M225" i="2"/>
  <c r="N229" i="2"/>
  <c r="M231" i="2"/>
  <c r="I236" i="2"/>
  <c r="J236" i="2" s="1"/>
  <c r="O240" i="2"/>
  <c r="M240" i="2"/>
  <c r="O244" i="2"/>
  <c r="O256" i="2"/>
  <c r="M256" i="2"/>
  <c r="O272" i="2"/>
  <c r="M272" i="2"/>
  <c r="O288" i="2"/>
  <c r="M288" i="2"/>
  <c r="O304" i="2"/>
  <c r="M304" i="2"/>
  <c r="O320" i="2"/>
  <c r="M320" i="2"/>
  <c r="O336" i="2"/>
  <c r="M336" i="2"/>
  <c r="O352" i="2"/>
  <c r="M352" i="2"/>
  <c r="O368" i="2"/>
  <c r="M368" i="2"/>
  <c r="I382" i="2"/>
  <c r="J382" i="2" s="1"/>
  <c r="M384" i="2"/>
  <c r="E384" i="2"/>
  <c r="M387" i="2"/>
  <c r="N389" i="2"/>
  <c r="I389" i="2"/>
  <c r="J389" i="2" s="1"/>
  <c r="O398" i="2"/>
  <c r="M398" i="2"/>
  <c r="O406" i="2"/>
  <c r="M406" i="2"/>
  <c r="O422" i="2"/>
  <c r="M422" i="2"/>
  <c r="I426" i="2"/>
  <c r="J426" i="2" s="1"/>
  <c r="O426" i="2"/>
  <c r="O448" i="2"/>
  <c r="O470" i="2"/>
  <c r="M470" i="2"/>
  <c r="I484" i="2"/>
  <c r="J484" i="2" s="1"/>
  <c r="N484" i="2"/>
  <c r="M499" i="2"/>
  <c r="M500" i="2"/>
  <c r="O500" i="2"/>
  <c r="O509" i="2"/>
  <c r="M509" i="2"/>
  <c r="M515" i="2"/>
  <c r="M529" i="2"/>
  <c r="M533" i="2"/>
  <c r="O533" i="2"/>
  <c r="I555" i="2"/>
  <c r="J555" i="2" s="1"/>
  <c r="N555" i="2"/>
  <c r="M713" i="2"/>
  <c r="D10" i="4"/>
  <c r="I186" i="2"/>
  <c r="J186" i="2" s="1"/>
  <c r="O200" i="2"/>
  <c r="O207" i="2"/>
  <c r="M221" i="2"/>
  <c r="M238" i="2"/>
  <c r="I250" i="2"/>
  <c r="J250" i="2" s="1"/>
  <c r="M261" i="2"/>
  <c r="I266" i="2"/>
  <c r="J266" i="2" s="1"/>
  <c r="M277" i="2"/>
  <c r="I282" i="2"/>
  <c r="J282" i="2" s="1"/>
  <c r="M293" i="2"/>
  <c r="I298" i="2"/>
  <c r="J298" i="2" s="1"/>
  <c r="M309" i="2"/>
  <c r="I314" i="2"/>
  <c r="J314" i="2" s="1"/>
  <c r="M325" i="2"/>
  <c r="I330" i="2"/>
  <c r="J330" i="2" s="1"/>
  <c r="M341" i="2"/>
  <c r="I346" i="2"/>
  <c r="J346" i="2" s="1"/>
  <c r="M357" i="2"/>
  <c r="I362" i="2"/>
  <c r="J362" i="2" s="1"/>
  <c r="M373" i="2"/>
  <c r="M381" i="2"/>
  <c r="O385" i="2"/>
  <c r="M385" i="2"/>
  <c r="O387" i="2"/>
  <c r="N392" i="2"/>
  <c r="I392" i="2"/>
  <c r="J392" i="2" s="1"/>
  <c r="M399" i="2"/>
  <c r="O399" i="2"/>
  <c r="M412" i="2"/>
  <c r="O412" i="2"/>
  <c r="M414" i="2"/>
  <c r="O440" i="2"/>
  <c r="O441" i="2"/>
  <c r="M451" i="2"/>
  <c r="I459" i="2"/>
  <c r="J459" i="2" s="1"/>
  <c r="M463" i="2"/>
  <c r="O463" i="2"/>
  <c r="O467" i="2"/>
  <c r="M476" i="2"/>
  <c r="O476" i="2"/>
  <c r="M478" i="2"/>
  <c r="O485" i="2"/>
  <c r="M485" i="2"/>
  <c r="O491" i="2"/>
  <c r="M492" i="2"/>
  <c r="O502" i="2"/>
  <c r="M502" i="2"/>
  <c r="M512" i="2"/>
  <c r="O512" i="2"/>
  <c r="M519" i="2"/>
  <c r="O519" i="2"/>
  <c r="N520" i="2"/>
  <c r="I520" i="2"/>
  <c r="J520" i="2" s="1"/>
  <c r="M535" i="2"/>
  <c r="O535" i="2"/>
  <c r="M551" i="2"/>
  <c r="O551" i="2"/>
  <c r="M555" i="2"/>
  <c r="N562" i="2"/>
  <c r="M565" i="2"/>
  <c r="O565" i="2"/>
  <c r="M576" i="2"/>
  <c r="O576" i="2"/>
  <c r="N584" i="2"/>
  <c r="I584" i="2"/>
  <c r="J584" i="2" s="1"/>
  <c r="N607" i="2"/>
  <c r="I607" i="2"/>
  <c r="J607" i="2" s="1"/>
  <c r="O611" i="2"/>
  <c r="O617" i="2"/>
  <c r="M617" i="2"/>
  <c r="I627" i="2"/>
  <c r="J627" i="2" s="1"/>
  <c r="N627" i="2"/>
  <c r="M629" i="2"/>
  <c r="O629" i="2"/>
  <c r="M637" i="2"/>
  <c r="O641" i="2"/>
  <c r="M641" i="2"/>
  <c r="M657" i="2"/>
  <c r="M658" i="2"/>
  <c r="M664" i="2"/>
  <c r="M675" i="2"/>
  <c r="O681" i="2"/>
  <c r="M681" i="2"/>
  <c r="O683" i="2"/>
  <c r="I692" i="2"/>
  <c r="J692" i="2" s="1"/>
  <c r="O692" i="2"/>
  <c r="N692" i="2"/>
  <c r="M702" i="2"/>
  <c r="M720" i="2"/>
  <c r="N726" i="2"/>
  <c r="I726" i="2"/>
  <c r="J726" i="2" s="1"/>
  <c r="O726" i="2"/>
  <c r="M733" i="2"/>
  <c r="M738" i="2"/>
  <c r="M747" i="2"/>
  <c r="M753" i="2"/>
  <c r="M760" i="2"/>
  <c r="M778" i="2"/>
  <c r="I789" i="2"/>
  <c r="J789" i="2" s="1"/>
  <c r="N789" i="2"/>
  <c r="O789" i="2"/>
  <c r="O556" i="2"/>
  <c r="M558" i="2"/>
  <c r="O558" i="2"/>
  <c r="M586" i="2"/>
  <c r="N592" i="2"/>
  <c r="I592" i="2"/>
  <c r="J592" i="2" s="1"/>
  <c r="M676" i="2"/>
  <c r="M686" i="2"/>
  <c r="M688" i="2"/>
  <c r="O710" i="2"/>
  <c r="M710" i="2"/>
  <c r="O737" i="2"/>
  <c r="M737" i="2"/>
  <c r="I746" i="2"/>
  <c r="J746" i="2" s="1"/>
  <c r="O746" i="2"/>
  <c r="N746" i="2"/>
  <c r="O758" i="2"/>
  <c r="M758" i="2"/>
  <c r="O791" i="2"/>
  <c r="M818" i="2"/>
  <c r="O560" i="2"/>
  <c r="I574" i="2"/>
  <c r="J574" i="2" s="1"/>
  <c r="N574" i="2"/>
  <c r="O605" i="2"/>
  <c r="N613" i="2"/>
  <c r="I613" i="2"/>
  <c r="J613" i="2" s="1"/>
  <c r="O613" i="2"/>
  <c r="M615" i="2"/>
  <c r="O615" i="2"/>
  <c r="M622" i="2"/>
  <c r="O622" i="2"/>
  <c r="O632" i="2"/>
  <c r="N639" i="2"/>
  <c r="I639" i="2"/>
  <c r="J639" i="2" s="1"/>
  <c r="O646" i="2"/>
  <c r="M646" i="2"/>
  <c r="I647" i="2"/>
  <c r="J647" i="2" s="1"/>
  <c r="N647" i="2"/>
  <c r="O650" i="2"/>
  <c r="M656" i="2"/>
  <c r="O656" i="2"/>
  <c r="I690" i="2"/>
  <c r="J690" i="2" s="1"/>
  <c r="N690" i="2"/>
  <c r="M691" i="2"/>
  <c r="E691" i="2"/>
  <c r="M700" i="2"/>
  <c r="N716" i="2"/>
  <c r="I716" i="2"/>
  <c r="J716" i="2" s="1"/>
  <c r="I719" i="2"/>
  <c r="J719" i="2" s="1"/>
  <c r="N719" i="2"/>
  <c r="I735" i="2"/>
  <c r="J735" i="2" s="1"/>
  <c r="N735" i="2"/>
  <c r="M745" i="2"/>
  <c r="I747" i="2"/>
  <c r="J747" i="2" s="1"/>
  <c r="N747" i="2"/>
  <c r="M816" i="2"/>
  <c r="M846" i="2"/>
  <c r="I572" i="2"/>
  <c r="J572" i="2" s="1"/>
  <c r="N572" i="2"/>
  <c r="O582" i="2"/>
  <c r="M582" i="2"/>
  <c r="I605" i="2"/>
  <c r="J605" i="2" s="1"/>
  <c r="N605" i="2"/>
  <c r="I611" i="2"/>
  <c r="J611" i="2" s="1"/>
  <c r="N611" i="2"/>
  <c r="N648" i="2"/>
  <c r="I648" i="2"/>
  <c r="J648" i="2" s="1"/>
  <c r="M663" i="2"/>
  <c r="O663" i="2"/>
  <c r="M671" i="2"/>
  <c r="O671" i="2"/>
  <c r="N672" i="2"/>
  <c r="I672" i="2"/>
  <c r="J672" i="2" s="1"/>
  <c r="O684" i="2"/>
  <c r="O698" i="2"/>
  <c r="M698" i="2"/>
  <c r="M715" i="2"/>
  <c r="M718" i="2"/>
  <c r="M731" i="2"/>
  <c r="M755" i="2"/>
  <c r="M779" i="2"/>
  <c r="O453" i="2"/>
  <c r="M453" i="2"/>
  <c r="M517" i="2"/>
  <c r="N652" i="2"/>
  <c r="I652" i="2"/>
  <c r="J652" i="2" s="1"/>
  <c r="E659" i="2"/>
  <c r="M659" i="2"/>
  <c r="M667" i="2"/>
  <c r="O669" i="2"/>
  <c r="M669" i="2"/>
  <c r="M677" i="2"/>
  <c r="E684" i="2"/>
  <c r="M684" i="2"/>
  <c r="M730" i="2"/>
  <c r="E731" i="2"/>
  <c r="M756" i="2"/>
  <c r="O756" i="2"/>
  <c r="M773" i="2"/>
  <c r="I775" i="2"/>
  <c r="J775" i="2" s="1"/>
  <c r="N775" i="2"/>
  <c r="M790" i="2"/>
  <c r="O790" i="2"/>
  <c r="N815" i="2"/>
  <c r="I815" i="2"/>
  <c r="J815" i="2" s="1"/>
  <c r="M472" i="2"/>
  <c r="I491" i="2"/>
  <c r="J491" i="2" s="1"/>
  <c r="N491" i="2"/>
  <c r="M522" i="2"/>
  <c r="I523" i="2"/>
  <c r="J523" i="2" s="1"/>
  <c r="N523" i="2"/>
  <c r="N532" i="2"/>
  <c r="I532" i="2"/>
  <c r="J532" i="2" s="1"/>
  <c r="O540" i="2"/>
  <c r="M587" i="2"/>
  <c r="M590" i="2"/>
  <c r="I590" i="2"/>
  <c r="J590" i="2" s="1"/>
  <c r="M598" i="2"/>
  <c r="O598" i="2"/>
  <c r="I598" i="2"/>
  <c r="J598" i="2" s="1"/>
  <c r="M182" i="2"/>
  <c r="N186" i="2"/>
  <c r="O208" i="2"/>
  <c r="O215" i="2"/>
  <c r="O221" i="2"/>
  <c r="M226" i="2"/>
  <c r="M229" i="2"/>
  <c r="N231" i="2"/>
  <c r="M233" i="2"/>
  <c r="N238" i="2"/>
  <c r="M246" i="2"/>
  <c r="N250" i="2"/>
  <c r="O255" i="2"/>
  <c r="M262" i="2"/>
  <c r="N266" i="2"/>
  <c r="O271" i="2"/>
  <c r="M278" i="2"/>
  <c r="N282" i="2"/>
  <c r="O287" i="2"/>
  <c r="M294" i="2"/>
  <c r="N298" i="2"/>
  <c r="O303" i="2"/>
  <c r="M310" i="2"/>
  <c r="N314" i="2"/>
  <c r="O319" i="2"/>
  <c r="M326" i="2"/>
  <c r="N330" i="2"/>
  <c r="O335" i="2"/>
  <c r="M342" i="2"/>
  <c r="N346" i="2"/>
  <c r="O351" i="2"/>
  <c r="M358" i="2"/>
  <c r="N362" i="2"/>
  <c r="O367" i="2"/>
  <c r="M374" i="2"/>
  <c r="M382" i="2"/>
  <c r="O393" i="2"/>
  <c r="N394" i="2"/>
  <c r="N397" i="2"/>
  <c r="I397" i="2"/>
  <c r="J397" i="2" s="1"/>
  <c r="N412" i="2"/>
  <c r="M417" i="2"/>
  <c r="M418" i="2"/>
  <c r="O418" i="2"/>
  <c r="M419" i="2"/>
  <c r="M442" i="2"/>
  <c r="N456" i="2"/>
  <c r="I456" i="2"/>
  <c r="J456" i="2" s="1"/>
  <c r="N476" i="2"/>
  <c r="M481" i="2"/>
  <c r="M482" i="2"/>
  <c r="O482" i="2"/>
  <c r="O488" i="2"/>
  <c r="O496" i="2"/>
  <c r="O504" i="2"/>
  <c r="M504" i="2"/>
  <c r="M510" i="2"/>
  <c r="M513" i="2"/>
  <c r="I514" i="2"/>
  <c r="J514" i="2" s="1"/>
  <c r="N514" i="2"/>
  <c r="O521" i="2"/>
  <c r="M521" i="2"/>
  <c r="O531" i="2"/>
  <c r="M536" i="2"/>
  <c r="O547" i="2"/>
  <c r="I551" i="2"/>
  <c r="J551" i="2" s="1"/>
  <c r="N551" i="2"/>
  <c r="O553" i="2"/>
  <c r="M553" i="2"/>
  <c r="M563" i="2"/>
  <c r="I565" i="2"/>
  <c r="J565" i="2" s="1"/>
  <c r="N565" i="2"/>
  <c r="M571" i="2"/>
  <c r="N576" i="2"/>
  <c r="I576" i="2"/>
  <c r="J576" i="2" s="1"/>
  <c r="O592" i="2"/>
  <c r="O596" i="2"/>
  <c r="M596" i="2"/>
  <c r="O600" i="2"/>
  <c r="I619" i="2"/>
  <c r="J619" i="2" s="1"/>
  <c r="N619" i="2"/>
  <c r="I631" i="2"/>
  <c r="J631" i="2" s="1"/>
  <c r="N631" i="2"/>
  <c r="O643" i="2"/>
  <c r="M647" i="2"/>
  <c r="O647" i="2"/>
  <c r="M651" i="2"/>
  <c r="M661" i="2"/>
  <c r="O661" i="2"/>
  <c r="M685" i="2"/>
  <c r="N686" i="2"/>
  <c r="I686" i="2"/>
  <c r="J686" i="2" s="1"/>
  <c r="M696" i="2"/>
  <c r="O696" i="2"/>
  <c r="O707" i="2"/>
  <c r="M708" i="2"/>
  <c r="M741" i="2"/>
  <c r="O744" i="2"/>
  <c r="M744" i="2"/>
  <c r="E773" i="2"/>
  <c r="I812" i="2"/>
  <c r="J812" i="2" s="1"/>
  <c r="O812" i="2"/>
  <c r="N812" i="2"/>
  <c r="I828" i="2"/>
  <c r="J828" i="2" s="1"/>
  <c r="N828" i="2"/>
  <c r="M549" i="2"/>
  <c r="M580" i="2"/>
  <c r="O580" i="2"/>
  <c r="M1797" i="2"/>
  <c r="M1798" i="2"/>
  <c r="M1728" i="2"/>
  <c r="M1781" i="2"/>
  <c r="M1771" i="2"/>
  <c r="M1765" i="2"/>
  <c r="M1678" i="2"/>
  <c r="M1669" i="2"/>
  <c r="M1787" i="2"/>
  <c r="M1738" i="2"/>
  <c r="M1707" i="2"/>
  <c r="M1685" i="2"/>
  <c r="M1789" i="2"/>
  <c r="M1780" i="2"/>
  <c r="M1749" i="2"/>
  <c r="M1701" i="2"/>
  <c r="M1679" i="2"/>
  <c r="M1796" i="2"/>
  <c r="M1748" i="2"/>
  <c r="M1763" i="2"/>
  <c r="M1706" i="2"/>
  <c r="M1661" i="2"/>
  <c r="M1710" i="2"/>
  <c r="M1633" i="2"/>
  <c r="M1624" i="2"/>
  <c r="M1582" i="2"/>
  <c r="M1733" i="2"/>
  <c r="M1731" i="2"/>
  <c r="M1683" i="2"/>
  <c r="M1645" i="2"/>
  <c r="M1617" i="2"/>
  <c r="M1784" i="2"/>
  <c r="M1776" i="2"/>
  <c r="M1774" i="2"/>
  <c r="M1700" i="2"/>
  <c r="M1695" i="2"/>
  <c r="M1744" i="2"/>
  <c r="M1677" i="2"/>
  <c r="M1625" i="2"/>
  <c r="M1518" i="2"/>
  <c r="M1755" i="2"/>
  <c r="M1720" i="2"/>
  <c r="M1704" i="2"/>
  <c r="M1644" i="2"/>
  <c r="M1638" i="2"/>
  <c r="M1732" i="2"/>
  <c r="M1714" i="2"/>
  <c r="M1682" i="2"/>
  <c r="M1640" i="2"/>
  <c r="M1608" i="2"/>
  <c r="M1757" i="2"/>
  <c r="M1690" i="2"/>
  <c r="M1659" i="2"/>
  <c r="M1639" i="2"/>
  <c r="M1572" i="2"/>
  <c r="M1734" i="2"/>
  <c r="M1629" i="2"/>
  <c r="M1564" i="2"/>
  <c r="M1490" i="2"/>
  <c r="M1668" i="2"/>
  <c r="M1596" i="2"/>
  <c r="M1569" i="2"/>
  <c r="M1555" i="2"/>
  <c r="M1664" i="2"/>
  <c r="M1571" i="2"/>
  <c r="M1606" i="2"/>
  <c r="M1574" i="2"/>
  <c r="M1494" i="2"/>
  <c r="M1688" i="2"/>
  <c r="M1588" i="2"/>
  <c r="M1576" i="2"/>
  <c r="M1630" i="2"/>
  <c r="M1565" i="2"/>
  <c r="M1546" i="2"/>
  <c r="M1590" i="2"/>
  <c r="M1654" i="2"/>
  <c r="M1620" i="2"/>
  <c r="M1558" i="2"/>
  <c r="M1725" i="2"/>
  <c r="M1550" i="2"/>
  <c r="M1514" i="2"/>
  <c r="M1464" i="2"/>
  <c r="M1458" i="2"/>
  <c r="M1448" i="2"/>
  <c r="M1418" i="2"/>
  <c r="M1402" i="2"/>
  <c r="M1386" i="2"/>
  <c r="M1370" i="2"/>
  <c r="M1354" i="2"/>
  <c r="M1338" i="2"/>
  <c r="M1372" i="2"/>
  <c r="M1516" i="2"/>
  <c r="M1499" i="2"/>
  <c r="M1399" i="2"/>
  <c r="M1388" i="2"/>
  <c r="M1548" i="2"/>
  <c r="M1532" i="2"/>
  <c r="M1513" i="2"/>
  <c r="M1404" i="2"/>
  <c r="M1310" i="2"/>
  <c r="M1294" i="2"/>
  <c r="M1278" i="2"/>
  <c r="M1262" i="2"/>
  <c r="M1246" i="2"/>
  <c r="M1563" i="2"/>
  <c r="M1560" i="2"/>
  <c r="M1541" i="2"/>
  <c r="M1522" i="2"/>
  <c r="M1480" i="2"/>
  <c r="M1470" i="2"/>
  <c r="M1447" i="2"/>
  <c r="M1431" i="2"/>
  <c r="M1420" i="2"/>
  <c r="M1394" i="2"/>
  <c r="M1318" i="2"/>
  <c r="M1450" i="2"/>
  <c r="M1432" i="2"/>
  <c r="M1472" i="2"/>
  <c r="M1452" i="2"/>
  <c r="M1330" i="2"/>
  <c r="M1315" i="2"/>
  <c r="M1254" i="2"/>
  <c r="M1238" i="2"/>
  <c r="M1177" i="2"/>
  <c r="M1539" i="2"/>
  <c r="M1489" i="2"/>
  <c r="M1484" i="2"/>
  <c r="M1727" i="2"/>
  <c r="M1444" i="2"/>
  <c r="M1270" i="2"/>
  <c r="M1434" i="2"/>
  <c r="M1382" i="2"/>
  <c r="M1362" i="2"/>
  <c r="M1442" i="2"/>
  <c r="M1430" i="2"/>
  <c r="M1359" i="2"/>
  <c r="M1398" i="2"/>
  <c r="M1342" i="2"/>
  <c r="M1340" i="2"/>
  <c r="M1265" i="2"/>
  <c r="M1267" i="2"/>
  <c r="M1423" i="2"/>
  <c r="M1391" i="2"/>
  <c r="M1302" i="2"/>
  <c r="M1259" i="2"/>
  <c r="M1251" i="2"/>
  <c r="M1201" i="2"/>
  <c r="M1153" i="2"/>
  <c r="M1323" i="2"/>
  <c r="M1280" i="2"/>
  <c r="M1305" i="2"/>
  <c r="M1308" i="2"/>
  <c r="M1377" i="2"/>
  <c r="M1356" i="2"/>
  <c r="M1384" i="2"/>
  <c r="M1425" i="2"/>
  <c r="M1317" i="2"/>
  <c r="M1393" i="2"/>
  <c r="M1378" i="2"/>
  <c r="M1375" i="2"/>
  <c r="M1368" i="2"/>
  <c r="M1243" i="2"/>
  <c r="M1172" i="2"/>
  <c r="M1145" i="2"/>
  <c r="M1121" i="2"/>
  <c r="M1096" i="2"/>
  <c r="M1367" i="2"/>
  <c r="M1209" i="2"/>
  <c r="M1335" i="2"/>
  <c r="M1203" i="2"/>
  <c r="M1281" i="2"/>
  <c r="M1292" i="2"/>
  <c r="M1286" i="2"/>
  <c r="M1192" i="2"/>
  <c r="M1256" i="2"/>
  <c r="M1235" i="2"/>
  <c r="M1222" i="2"/>
  <c r="M1120" i="2"/>
  <c r="M1092" i="2"/>
  <c r="M1015" i="2"/>
  <c r="M1237" i="2"/>
  <c r="M1062" i="2"/>
  <c r="M1119" i="2"/>
  <c r="M1115" i="2"/>
  <c r="M1079" i="2"/>
  <c r="M1260" i="2"/>
  <c r="M1327" i="2"/>
  <c r="M1050" i="2"/>
  <c r="M893" i="2"/>
  <c r="M1198" i="2"/>
  <c r="M1111" i="2"/>
  <c r="M1038" i="2"/>
  <c r="M955" i="2"/>
  <c r="M1106" i="2"/>
  <c r="M1076" i="2"/>
  <c r="M1071" i="2"/>
  <c r="M1069" i="2"/>
  <c r="M1065" i="2"/>
  <c r="M1056" i="2"/>
  <c r="M1224" i="2"/>
  <c r="M1175" i="2"/>
  <c r="M1102" i="2"/>
  <c r="M1040" i="2"/>
  <c r="M1030" i="2"/>
  <c r="M1005" i="2"/>
  <c r="M999" i="2"/>
  <c r="M1085" i="2"/>
  <c r="M1064" i="2"/>
  <c r="M1001" i="2"/>
  <c r="M965" i="2"/>
  <c r="M1105" i="2"/>
  <c r="M1082" i="2"/>
  <c r="M1025" i="2"/>
  <c r="M1143" i="2"/>
  <c r="M1128" i="2"/>
  <c r="M1112" i="2"/>
  <c r="M1087" i="2"/>
  <c r="M1070" i="2"/>
  <c r="M1066" i="2"/>
  <c r="M1028" i="2"/>
  <c r="M983" i="2"/>
  <c r="M761" i="2"/>
  <c r="M1022" i="2"/>
  <c r="M997" i="2"/>
  <c r="M895" i="2"/>
  <c r="M784" i="2"/>
  <c r="M766" i="2"/>
  <c r="M927" i="2"/>
  <c r="M811" i="2"/>
  <c r="M776" i="2"/>
  <c r="M770" i="2"/>
  <c r="M749" i="2"/>
  <c r="M694" i="2"/>
  <c r="M627" i="2"/>
  <c r="M569" i="2"/>
  <c r="M954" i="2"/>
  <c r="M939" i="2"/>
  <c r="M889" i="2"/>
  <c r="M1016" i="2"/>
  <c r="M911" i="2"/>
  <c r="M802" i="2"/>
  <c r="M752" i="2"/>
  <c r="M963" i="2"/>
  <c r="M881" i="2"/>
  <c r="M837" i="2"/>
  <c r="M808" i="2"/>
  <c r="M785" i="2"/>
  <c r="M764" i="2"/>
  <c r="M736" i="2"/>
  <c r="M734" i="2"/>
  <c r="M722" i="2"/>
  <c r="M981" i="2"/>
  <c r="M1048" i="2"/>
  <c r="M1014" i="2"/>
  <c r="M989" i="2"/>
  <c r="M946" i="2"/>
  <c r="M537" i="2"/>
  <c r="M957" i="2"/>
  <c r="M901" i="2"/>
  <c r="M854" i="2"/>
  <c r="M843" i="2"/>
  <c r="M809" i="2"/>
  <c r="M780" i="2"/>
  <c r="M769" i="2"/>
  <c r="M739" i="2"/>
  <c r="M716" i="2"/>
  <c r="M633" i="2"/>
  <c r="M613" i="2"/>
  <c r="M611" i="2"/>
  <c r="M605" i="2"/>
  <c r="M584" i="2"/>
  <c r="M578" i="2"/>
  <c r="M574" i="2"/>
  <c r="M542" i="2"/>
  <c r="M528" i="2"/>
  <c r="M491" i="2"/>
  <c r="M959" i="2"/>
  <c r="M903" i="2"/>
  <c r="M624" i="2"/>
  <c r="M601" i="2"/>
  <c r="M572" i="2"/>
  <c r="M496" i="2"/>
  <c r="M869" i="2"/>
  <c r="M814" i="2"/>
  <c r="M795" i="2"/>
  <c r="M962" i="2"/>
  <c r="M840" i="2"/>
  <c r="M835" i="2"/>
  <c r="M822" i="2"/>
  <c r="M820" i="2"/>
  <c r="M781" i="2"/>
  <c r="M765" i="2"/>
  <c r="M750" i="2"/>
  <c r="M973" i="2"/>
  <c r="M935" i="2"/>
  <c r="M873" i="2"/>
  <c r="M866" i="2"/>
  <c r="M858" i="2"/>
  <c r="M921" i="2"/>
  <c r="M697" i="2"/>
  <c r="M674" i="2"/>
  <c r="M592" i="2"/>
  <c r="M475" i="2"/>
  <c r="M459" i="2"/>
  <c r="M443" i="2"/>
  <c r="M427" i="2"/>
  <c r="M411" i="2"/>
  <c r="M395" i="2"/>
  <c r="M877" i="2"/>
  <c r="M672" i="2"/>
  <c r="M654" i="2"/>
  <c r="M652" i="2"/>
  <c r="M560" i="2"/>
  <c r="M514" i="2"/>
  <c r="O184" i="2"/>
  <c r="O191" i="2"/>
  <c r="M205" i="2"/>
  <c r="N207" i="2"/>
  <c r="N214" i="2"/>
  <c r="M222" i="2"/>
  <c r="N233" i="2"/>
  <c r="I234" i="2"/>
  <c r="J234" i="2" s="1"/>
  <c r="O248" i="2"/>
  <c r="N254" i="2"/>
  <c r="O264" i="2"/>
  <c r="N270" i="2"/>
  <c r="O280" i="2"/>
  <c r="N286" i="2"/>
  <c r="O296" i="2"/>
  <c r="N302" i="2"/>
  <c r="O312" i="2"/>
  <c r="N318" i="2"/>
  <c r="O328" i="2"/>
  <c r="N334" i="2"/>
  <c r="O344" i="2"/>
  <c r="N350" i="2"/>
  <c r="O360" i="2"/>
  <c r="N366" i="2"/>
  <c r="O376" i="2"/>
  <c r="O424" i="2"/>
  <c r="O425" i="2"/>
  <c r="O438" i="2"/>
  <c r="M438" i="2"/>
  <c r="I443" i="2"/>
  <c r="J443" i="2" s="1"/>
  <c r="M447" i="2"/>
  <c r="O447" i="2"/>
  <c r="O451" i="2"/>
  <c r="M460" i="2"/>
  <c r="O460" i="2"/>
  <c r="M462" i="2"/>
  <c r="O469" i="2"/>
  <c r="M469" i="2"/>
  <c r="M473" i="2"/>
  <c r="M488" i="2"/>
  <c r="O489" i="2"/>
  <c r="M518" i="2"/>
  <c r="N528" i="2"/>
  <c r="I528" i="2"/>
  <c r="J528" i="2" s="1"/>
  <c r="M531" i="2"/>
  <c r="M534" i="2"/>
  <c r="M540" i="2"/>
  <c r="O542" i="2"/>
  <c r="M543" i="2"/>
  <c r="O543" i="2"/>
  <c r="M550" i="2"/>
  <c r="O567" i="2"/>
  <c r="M570" i="2"/>
  <c r="O570" i="2"/>
  <c r="O572" i="2"/>
  <c r="O574" i="2"/>
  <c r="M575" i="2"/>
  <c r="O575" i="2"/>
  <c r="M588" i="2"/>
  <c r="O588" i="2"/>
  <c r="O593" i="2"/>
  <c r="M593" i="2"/>
  <c r="I594" i="2"/>
  <c r="J594" i="2" s="1"/>
  <c r="N594" i="2"/>
  <c r="M595" i="2"/>
  <c r="E595" i="2"/>
  <c r="M600" i="2"/>
  <c r="O609" i="2"/>
  <c r="M609" i="2"/>
  <c r="O621" i="2"/>
  <c r="M621" i="2"/>
  <c r="E635" i="2"/>
  <c r="M635" i="2"/>
  <c r="M640" i="2"/>
  <c r="I645" i="2"/>
  <c r="J645" i="2" s="1"/>
  <c r="N645" i="2"/>
  <c r="I659" i="2"/>
  <c r="J659" i="2" s="1"/>
  <c r="N659" i="2"/>
  <c r="O672" i="2"/>
  <c r="M682" i="2"/>
  <c r="N684" i="2"/>
  <c r="I684" i="2"/>
  <c r="J684" i="2" s="1"/>
  <c r="O690" i="2"/>
  <c r="N694" i="2"/>
  <c r="I694" i="2"/>
  <c r="J694" i="2" s="1"/>
  <c r="O705" i="2"/>
  <c r="M705" i="2"/>
  <c r="O719" i="2"/>
  <c r="O738" i="2"/>
  <c r="I739" i="2"/>
  <c r="J739" i="2" s="1"/>
  <c r="N739" i="2"/>
  <c r="M742" i="2"/>
  <c r="O742" i="2"/>
  <c r="M772" i="2"/>
  <c r="O772" i="2"/>
  <c r="O795" i="2"/>
  <c r="M388" i="2"/>
  <c r="M391" i="2"/>
  <c r="M392" i="2"/>
  <c r="M404" i="2"/>
  <c r="M407" i="2"/>
  <c r="M408" i="2"/>
  <c r="M420" i="2"/>
  <c r="M423" i="2"/>
  <c r="M424" i="2"/>
  <c r="M436" i="2"/>
  <c r="M439" i="2"/>
  <c r="M440" i="2"/>
  <c r="I451" i="2"/>
  <c r="J451" i="2" s="1"/>
  <c r="M452" i="2"/>
  <c r="M455" i="2"/>
  <c r="I467" i="2"/>
  <c r="J467" i="2" s="1"/>
  <c r="M468" i="2"/>
  <c r="M471" i="2"/>
  <c r="I483" i="2"/>
  <c r="J483" i="2" s="1"/>
  <c r="M484" i="2"/>
  <c r="M487" i="2"/>
  <c r="O497" i="2"/>
  <c r="M511" i="2"/>
  <c r="O511" i="2"/>
  <c r="O513" i="2"/>
  <c r="O522" i="2"/>
  <c r="N524" i="2"/>
  <c r="O546" i="2"/>
  <c r="O550" i="2"/>
  <c r="O554" i="2"/>
  <c r="N556" i="2"/>
  <c r="E563" i="2"/>
  <c r="O564" i="2"/>
  <c r="O577" i="2"/>
  <c r="M577" i="2"/>
  <c r="O585" i="2"/>
  <c r="M585" i="2"/>
  <c r="I595" i="2"/>
  <c r="J595" i="2" s="1"/>
  <c r="M603" i="2"/>
  <c r="I606" i="2"/>
  <c r="J606" i="2" s="1"/>
  <c r="M607" i="2"/>
  <c r="O607" i="2"/>
  <c r="N608" i="2"/>
  <c r="I608" i="2"/>
  <c r="J608" i="2" s="1"/>
  <c r="O625" i="2"/>
  <c r="M625" i="2"/>
  <c r="N630" i="2"/>
  <c r="I630" i="2"/>
  <c r="J630" i="2" s="1"/>
  <c r="M662" i="2"/>
  <c r="M666" i="2"/>
  <c r="O666" i="2"/>
  <c r="E667" i="2"/>
  <c r="I675" i="2"/>
  <c r="J675" i="2" s="1"/>
  <c r="N675" i="2"/>
  <c r="I677" i="2"/>
  <c r="J677" i="2" s="1"/>
  <c r="N677" i="2"/>
  <c r="I691" i="2"/>
  <c r="J691" i="2" s="1"/>
  <c r="M704" i="2"/>
  <c r="E707" i="2"/>
  <c r="M707" i="2"/>
  <c r="M714" i="2"/>
  <c r="O716" i="2"/>
  <c r="N738" i="2"/>
  <c r="I738" i="2"/>
  <c r="J738" i="2" s="1"/>
  <c r="I741" i="2"/>
  <c r="J741" i="2" s="1"/>
  <c r="N741" i="2"/>
  <c r="E753" i="2"/>
  <c r="I755" i="2"/>
  <c r="J755" i="2" s="1"/>
  <c r="N755" i="2"/>
  <c r="N768" i="2"/>
  <c r="I771" i="2"/>
  <c r="J771" i="2" s="1"/>
  <c r="N771" i="2"/>
  <c r="M775" i="2"/>
  <c r="N782" i="2"/>
  <c r="M789" i="2"/>
  <c r="O801" i="2"/>
  <c r="M801" i="2"/>
  <c r="M810" i="2"/>
  <c r="O810" i="2"/>
  <c r="I811" i="2"/>
  <c r="J811" i="2" s="1"/>
  <c r="N811" i="2"/>
  <c r="E825" i="2"/>
  <c r="M825" i="2"/>
  <c r="N847" i="2"/>
  <c r="I847" i="2"/>
  <c r="J847" i="2" s="1"/>
  <c r="N853" i="2"/>
  <c r="I859" i="2"/>
  <c r="J859" i="2" s="1"/>
  <c r="N859" i="2"/>
  <c r="M864" i="2"/>
  <c r="O864" i="2"/>
  <c r="M868" i="2"/>
  <c r="I869" i="2"/>
  <c r="J869" i="2" s="1"/>
  <c r="N869" i="2"/>
  <c r="M882" i="2"/>
  <c r="N884" i="2"/>
  <c r="I884" i="2"/>
  <c r="J884" i="2" s="1"/>
  <c r="O892" i="2"/>
  <c r="M899" i="2"/>
  <c r="O907" i="2"/>
  <c r="M907" i="2"/>
  <c r="E937" i="2"/>
  <c r="M937" i="2"/>
  <c r="O499" i="2"/>
  <c r="M501" i="2"/>
  <c r="O508" i="2"/>
  <c r="N517" i="2"/>
  <c r="I517" i="2"/>
  <c r="J517" i="2" s="1"/>
  <c r="I519" i="2"/>
  <c r="J519" i="2" s="1"/>
  <c r="O529" i="2"/>
  <c r="I531" i="2"/>
  <c r="J531" i="2" s="1"/>
  <c r="I540" i="2"/>
  <c r="J540" i="2" s="1"/>
  <c r="N540" i="2"/>
  <c r="I547" i="2"/>
  <c r="J547" i="2" s="1"/>
  <c r="N547" i="2"/>
  <c r="I575" i="2"/>
  <c r="J575" i="2" s="1"/>
  <c r="M583" i="2"/>
  <c r="M612" i="2"/>
  <c r="O612" i="2"/>
  <c r="O614" i="2"/>
  <c r="M614" i="2"/>
  <c r="O616" i="2"/>
  <c r="M619" i="2"/>
  <c r="N624" i="2"/>
  <c r="I624" i="2"/>
  <c r="J624" i="2" s="1"/>
  <c r="I632" i="2"/>
  <c r="J632" i="2" s="1"/>
  <c r="I634" i="2"/>
  <c r="J634" i="2" s="1"/>
  <c r="M642" i="2"/>
  <c r="E643" i="2"/>
  <c r="M643" i="2"/>
  <c r="O644" i="2"/>
  <c r="M645" i="2"/>
  <c r="O652" i="2"/>
  <c r="O653" i="2"/>
  <c r="M653" i="2"/>
  <c r="I671" i="2"/>
  <c r="J671" i="2" s="1"/>
  <c r="N671" i="2"/>
  <c r="I683" i="2"/>
  <c r="J683" i="2" s="1"/>
  <c r="N683" i="2"/>
  <c r="M692" i="2"/>
  <c r="N698" i="2"/>
  <c r="O702" i="2"/>
  <c r="M706" i="2"/>
  <c r="O706" i="2"/>
  <c r="M711" i="2"/>
  <c r="O711" i="2"/>
  <c r="O713" i="2"/>
  <c r="M725" i="2"/>
  <c r="O731" i="2"/>
  <c r="O745" i="2"/>
  <c r="O747" i="2"/>
  <c r="N776" i="2"/>
  <c r="I776" i="2"/>
  <c r="J776" i="2" s="1"/>
  <c r="I779" i="2"/>
  <c r="J779" i="2" s="1"/>
  <c r="N779" i="2"/>
  <c r="N784" i="2"/>
  <c r="I784" i="2"/>
  <c r="J784" i="2" s="1"/>
  <c r="M788" i="2"/>
  <c r="M806" i="2"/>
  <c r="O806" i="2"/>
  <c r="M817" i="2"/>
  <c r="M832" i="2"/>
  <c r="O846" i="2"/>
  <c r="M852" i="2"/>
  <c r="O858" i="2"/>
  <c r="N875" i="2"/>
  <c r="O902" i="2"/>
  <c r="O919" i="2"/>
  <c r="M919" i="2"/>
  <c r="M979" i="2"/>
  <c r="I980" i="2"/>
  <c r="J980" i="2" s="1"/>
  <c r="N980" i="2"/>
  <c r="M849" i="2"/>
  <c r="O865" i="2"/>
  <c r="M865" i="2"/>
  <c r="O755" i="2"/>
  <c r="N780" i="2"/>
  <c r="I780" i="2"/>
  <c r="J780" i="2" s="1"/>
  <c r="M803" i="2"/>
  <c r="O804" i="2"/>
  <c r="M804" i="2"/>
  <c r="N836" i="2"/>
  <c r="I836" i="2"/>
  <c r="J836" i="2" s="1"/>
  <c r="M838" i="2"/>
  <c r="M850" i="2"/>
  <c r="O850" i="2"/>
  <c r="O930" i="2"/>
  <c r="N951" i="2"/>
  <c r="I951" i="2"/>
  <c r="J951" i="2" s="1"/>
  <c r="M968" i="2"/>
  <c r="O968" i="2"/>
  <c r="O845" i="2"/>
  <c r="O857" i="2"/>
  <c r="M857" i="2"/>
  <c r="M860" i="2"/>
  <c r="O860" i="2"/>
  <c r="N861" i="2"/>
  <c r="I861" i="2"/>
  <c r="J861" i="2" s="1"/>
  <c r="O891" i="2"/>
  <c r="M891" i="2"/>
  <c r="O917" i="2"/>
  <c r="M917" i="2"/>
  <c r="M924" i="2"/>
  <c r="E924" i="2"/>
  <c r="M941" i="2"/>
  <c r="O941" i="2"/>
  <c r="I948" i="2"/>
  <c r="J948" i="2" s="1"/>
  <c r="N948" i="2"/>
  <c r="O948" i="2"/>
  <c r="M970" i="2"/>
  <c r="O798" i="2"/>
  <c r="M798" i="2"/>
  <c r="O800" i="2"/>
  <c r="M800" i="2"/>
  <c r="M805" i="2"/>
  <c r="M821" i="2"/>
  <c r="O841" i="2"/>
  <c r="M841" i="2"/>
  <c r="N864" i="2"/>
  <c r="I864" i="2"/>
  <c r="J864" i="2" s="1"/>
  <c r="M890" i="2"/>
  <c r="E890" i="2"/>
  <c r="M908" i="2"/>
  <c r="I909" i="2"/>
  <c r="J909" i="2" s="1"/>
  <c r="O909" i="2"/>
  <c r="N909" i="2"/>
  <c r="N961" i="2"/>
  <c r="I961" i="2"/>
  <c r="J961" i="2" s="1"/>
  <c r="O961" i="2"/>
  <c r="O401" i="2"/>
  <c r="N403" i="2"/>
  <c r="N413" i="2"/>
  <c r="O414" i="2"/>
  <c r="O417" i="2"/>
  <c r="N419" i="2"/>
  <c r="N429" i="2"/>
  <c r="O430" i="2"/>
  <c r="O433" i="2"/>
  <c r="N435" i="2"/>
  <c r="N445" i="2"/>
  <c r="O446" i="2"/>
  <c r="O449" i="2"/>
  <c r="N451" i="2"/>
  <c r="N461" i="2"/>
  <c r="O462" i="2"/>
  <c r="O465" i="2"/>
  <c r="N467" i="2"/>
  <c r="N477" i="2"/>
  <c r="O478" i="2"/>
  <c r="O481" i="2"/>
  <c r="N483" i="2"/>
  <c r="N494" i="2"/>
  <c r="N510" i="2"/>
  <c r="M516" i="2"/>
  <c r="N519" i="2"/>
  <c r="O525" i="2"/>
  <c r="M530" i="2"/>
  <c r="N531" i="2"/>
  <c r="M544" i="2"/>
  <c r="M567" i="2"/>
  <c r="I579" i="2"/>
  <c r="J579" i="2" s="1"/>
  <c r="N579" i="2"/>
  <c r="M594" i="2"/>
  <c r="N602" i="2"/>
  <c r="I602" i="2"/>
  <c r="J602" i="2" s="1"/>
  <c r="N606" i="2"/>
  <c r="N638" i="2"/>
  <c r="N658" i="2"/>
  <c r="N660" i="2"/>
  <c r="I660" i="2"/>
  <c r="J660" i="2" s="1"/>
  <c r="I668" i="2"/>
  <c r="J668" i="2" s="1"/>
  <c r="N668" i="2"/>
  <c r="M678" i="2"/>
  <c r="O680" i="2"/>
  <c r="M683" i="2"/>
  <c r="M690" i="2"/>
  <c r="O694" i="2"/>
  <c r="O715" i="2"/>
  <c r="O723" i="2"/>
  <c r="M724" i="2"/>
  <c r="M726" i="2"/>
  <c r="M732" i="2"/>
  <c r="O733" i="2"/>
  <c r="N748" i="2"/>
  <c r="I748" i="2"/>
  <c r="J748" i="2" s="1"/>
  <c r="O780" i="2"/>
  <c r="I786" i="2"/>
  <c r="J786" i="2" s="1"/>
  <c r="N786" i="2"/>
  <c r="M829" i="2"/>
  <c r="M831" i="2"/>
  <c r="O831" i="2"/>
  <c r="M836" i="2"/>
  <c r="O838" i="2"/>
  <c r="M845" i="2"/>
  <c r="I846" i="2"/>
  <c r="J846" i="2" s="1"/>
  <c r="N846" i="2"/>
  <c r="O851" i="2"/>
  <c r="I855" i="2"/>
  <c r="J855" i="2" s="1"/>
  <c r="N855" i="2"/>
  <c r="M872" i="2"/>
  <c r="O873" i="2"/>
  <c r="M874" i="2"/>
  <c r="N889" i="2"/>
  <c r="I889" i="2"/>
  <c r="J889" i="2" s="1"/>
  <c r="O923" i="2"/>
  <c r="M923" i="2"/>
  <c r="I924" i="2"/>
  <c r="J924" i="2" s="1"/>
  <c r="N924" i="2"/>
  <c r="E940" i="2"/>
  <c r="M940" i="2"/>
  <c r="N384" i="2"/>
  <c r="I384" i="2"/>
  <c r="J384" i="2" s="1"/>
  <c r="N400" i="2"/>
  <c r="I400" i="2"/>
  <c r="J400" i="2" s="1"/>
  <c r="N416" i="2"/>
  <c r="I416" i="2"/>
  <c r="J416" i="2" s="1"/>
  <c r="N432" i="2"/>
  <c r="I432" i="2"/>
  <c r="J432" i="2" s="1"/>
  <c r="N448" i="2"/>
  <c r="I448" i="2"/>
  <c r="J448" i="2" s="1"/>
  <c r="N464" i="2"/>
  <c r="I464" i="2"/>
  <c r="J464" i="2" s="1"/>
  <c r="N480" i="2"/>
  <c r="I480" i="2"/>
  <c r="J480" i="2" s="1"/>
  <c r="N492" i="2"/>
  <c r="N503" i="2"/>
  <c r="O506" i="2"/>
  <c r="M507" i="2"/>
  <c r="I515" i="2"/>
  <c r="J515" i="2" s="1"/>
  <c r="N515" i="2"/>
  <c r="O520" i="2"/>
  <c r="M548" i="2"/>
  <c r="N552" i="2"/>
  <c r="I552" i="2"/>
  <c r="J552" i="2" s="1"/>
  <c r="M562" i="2"/>
  <c r="N616" i="2"/>
  <c r="O637" i="2"/>
  <c r="N640" i="2"/>
  <c r="I640" i="2"/>
  <c r="J640" i="2" s="1"/>
  <c r="O648" i="2"/>
  <c r="M648" i="2"/>
  <c r="M650" i="2"/>
  <c r="I655" i="2"/>
  <c r="J655" i="2" s="1"/>
  <c r="N655" i="2"/>
  <c r="O676" i="2"/>
  <c r="O701" i="2"/>
  <c r="M701" i="2"/>
  <c r="O708" i="2"/>
  <c r="M721" i="2"/>
  <c r="E723" i="2"/>
  <c r="M723" i="2"/>
  <c r="M735" i="2"/>
  <c r="O735" i="2"/>
  <c r="M746" i="2"/>
  <c r="M762" i="2"/>
  <c r="O766" i="2"/>
  <c r="I770" i="2"/>
  <c r="J770" i="2" s="1"/>
  <c r="N770" i="2"/>
  <c r="M796" i="2"/>
  <c r="O796" i="2"/>
  <c r="M812" i="2"/>
  <c r="M839" i="2"/>
  <c r="O839" i="2"/>
  <c r="M848" i="2"/>
  <c r="O859" i="2"/>
  <c r="O867" i="2"/>
  <c r="I883" i="2"/>
  <c r="J883" i="2" s="1"/>
  <c r="N883" i="2"/>
  <c r="M909" i="2"/>
  <c r="M494" i="2"/>
  <c r="N496" i="2"/>
  <c r="I496" i="2"/>
  <c r="J496" i="2" s="1"/>
  <c r="N512" i="2"/>
  <c r="O518" i="2"/>
  <c r="N538" i="2"/>
  <c r="N549" i="2"/>
  <c r="I549" i="2"/>
  <c r="J549" i="2" s="1"/>
  <c r="O552" i="2"/>
  <c r="O557" i="2"/>
  <c r="O563" i="2"/>
  <c r="N567" i="2"/>
  <c r="I583" i="2"/>
  <c r="J583" i="2" s="1"/>
  <c r="O586" i="2"/>
  <c r="N588" i="2"/>
  <c r="M597" i="2"/>
  <c r="M608" i="2"/>
  <c r="E619" i="2"/>
  <c r="M626" i="2"/>
  <c r="I628" i="2"/>
  <c r="J628" i="2" s="1"/>
  <c r="E657" i="2"/>
  <c r="O659" i="2"/>
  <c r="M668" i="2"/>
  <c r="N674" i="2"/>
  <c r="I674" i="2"/>
  <c r="J674" i="2" s="1"/>
  <c r="M695" i="2"/>
  <c r="O718" i="2"/>
  <c r="O729" i="2"/>
  <c r="M729" i="2"/>
  <c r="N732" i="2"/>
  <c r="N733" i="2"/>
  <c r="O734" i="2"/>
  <c r="E747" i="2"/>
  <c r="O751" i="2"/>
  <c r="N752" i="2"/>
  <c r="I752" i="2"/>
  <c r="J752" i="2" s="1"/>
  <c r="M759" i="2"/>
  <c r="M767" i="2"/>
  <c r="O767" i="2"/>
  <c r="O769" i="2"/>
  <c r="O777" i="2"/>
  <c r="M777" i="2"/>
  <c r="O785" i="2"/>
  <c r="O803" i="2"/>
  <c r="O826" i="2"/>
  <c r="O836" i="2"/>
  <c r="M856" i="2"/>
  <c r="M870" i="2"/>
  <c r="O885" i="2"/>
  <c r="M885" i="2"/>
  <c r="I902" i="2"/>
  <c r="J902" i="2" s="1"/>
  <c r="M913" i="2"/>
  <c r="O913" i="2"/>
  <c r="M915" i="2"/>
  <c r="N945" i="2"/>
  <c r="O949" i="2"/>
  <c r="M949" i="2"/>
  <c r="I950" i="2"/>
  <c r="J950" i="2" s="1"/>
  <c r="I963" i="2"/>
  <c r="J963" i="2" s="1"/>
  <c r="N963" i="2"/>
  <c r="N993" i="2"/>
  <c r="I993" i="2"/>
  <c r="J993" i="2" s="1"/>
  <c r="M1021" i="2"/>
  <c r="M972" i="2"/>
  <c r="N977" i="2"/>
  <c r="I977" i="2"/>
  <c r="J977" i="2" s="1"/>
  <c r="M1061" i="2"/>
  <c r="O1032" i="2"/>
  <c r="M1032" i="2"/>
  <c r="M987" i="2"/>
  <c r="M993" i="2"/>
  <c r="O993" i="2"/>
  <c r="M709" i="2"/>
  <c r="O717" i="2"/>
  <c r="M717" i="2"/>
  <c r="I723" i="2"/>
  <c r="J723" i="2" s="1"/>
  <c r="N727" i="2"/>
  <c r="O740" i="2"/>
  <c r="O764" i="2"/>
  <c r="M768" i="2"/>
  <c r="E771" i="2"/>
  <c r="M771" i="2"/>
  <c r="O774" i="2"/>
  <c r="M792" i="2"/>
  <c r="N797" i="2"/>
  <c r="M813" i="2"/>
  <c r="M827" i="2"/>
  <c r="M861" i="2"/>
  <c r="M867" i="2"/>
  <c r="M875" i="2"/>
  <c r="N876" i="2"/>
  <c r="M886" i="2"/>
  <c r="O886" i="2"/>
  <c r="M894" i="2"/>
  <c r="O894" i="2"/>
  <c r="O933" i="2"/>
  <c r="M933" i="2"/>
  <c r="I934" i="2"/>
  <c r="J934" i="2" s="1"/>
  <c r="N934" i="2"/>
  <c r="M936" i="2"/>
  <c r="O936" i="2"/>
  <c r="O939" i="2"/>
  <c r="I940" i="2"/>
  <c r="J940" i="2" s="1"/>
  <c r="N940" i="2"/>
  <c r="M947" i="2"/>
  <c r="O950" i="2"/>
  <c r="M961" i="2"/>
  <c r="M971" i="2"/>
  <c r="I972" i="2"/>
  <c r="J972" i="2" s="1"/>
  <c r="N972" i="2"/>
  <c r="M977" i="2"/>
  <c r="O977" i="2"/>
  <c r="N1020" i="2"/>
  <c r="I1020" i="2"/>
  <c r="J1020" i="2" s="1"/>
  <c r="O1020" i="2"/>
  <c r="N759" i="2"/>
  <c r="I759" i="2"/>
  <c r="J759" i="2" s="1"/>
  <c r="M782" i="2"/>
  <c r="O782" i="2"/>
  <c r="M786" i="2"/>
  <c r="O788" i="2"/>
  <c r="M794" i="2"/>
  <c r="I795" i="2"/>
  <c r="J795" i="2" s="1"/>
  <c r="O805" i="2"/>
  <c r="M819" i="2"/>
  <c r="I822" i="2"/>
  <c r="J822" i="2" s="1"/>
  <c r="M828" i="2"/>
  <c r="O828" i="2"/>
  <c r="M847" i="2"/>
  <c r="M853" i="2"/>
  <c r="M855" i="2"/>
  <c r="O855" i="2"/>
  <c r="N856" i="2"/>
  <c r="I856" i="2"/>
  <c r="J856" i="2" s="1"/>
  <c r="O866" i="2"/>
  <c r="N870" i="2"/>
  <c r="M884" i="2"/>
  <c r="N899" i="2"/>
  <c r="I899" i="2"/>
  <c r="J899" i="2" s="1"/>
  <c r="O905" i="2"/>
  <c r="N913" i="2"/>
  <c r="I913" i="2"/>
  <c r="J913" i="2" s="1"/>
  <c r="O922" i="2"/>
  <c r="M956" i="2"/>
  <c r="M985" i="2"/>
  <c r="O986" i="2"/>
  <c r="M1004" i="2"/>
  <c r="O898" i="2"/>
  <c r="O906" i="2"/>
  <c r="M920" i="2"/>
  <c r="O920" i="2"/>
  <c r="I955" i="2"/>
  <c r="J955" i="2" s="1"/>
  <c r="N955" i="2"/>
  <c r="O967" i="2"/>
  <c r="M967" i="2"/>
  <c r="O974" i="2"/>
  <c r="M975" i="2"/>
  <c r="O978" i="2"/>
  <c r="O990" i="2"/>
  <c r="O1003" i="2"/>
  <c r="M1003" i="2"/>
  <c r="N570" i="2"/>
  <c r="N581" i="2"/>
  <c r="I581" i="2"/>
  <c r="J581" i="2" s="1"/>
  <c r="O584" i="2"/>
  <c r="O589" i="2"/>
  <c r="O595" i="2"/>
  <c r="N599" i="2"/>
  <c r="O618" i="2"/>
  <c r="N620" i="2"/>
  <c r="M631" i="2"/>
  <c r="O654" i="2"/>
  <c r="O665" i="2"/>
  <c r="M665" i="2"/>
  <c r="N669" i="2"/>
  <c r="O670" i="2"/>
  <c r="O687" i="2"/>
  <c r="O689" i="2"/>
  <c r="M689" i="2"/>
  <c r="M693" i="2"/>
  <c r="N704" i="2"/>
  <c r="M727" i="2"/>
  <c r="N736" i="2"/>
  <c r="I736" i="2"/>
  <c r="J736" i="2" s="1"/>
  <c r="M740" i="2"/>
  <c r="O753" i="2"/>
  <c r="M757" i="2"/>
  <c r="O768" i="2"/>
  <c r="M774" i="2"/>
  <c r="I787" i="2"/>
  <c r="J787" i="2" s="1"/>
  <c r="O797" i="2"/>
  <c r="M797" i="2"/>
  <c r="M799" i="2"/>
  <c r="N804" i="2"/>
  <c r="M807" i="2"/>
  <c r="O807" i="2"/>
  <c r="N808" i="2"/>
  <c r="I808" i="2"/>
  <c r="J808" i="2" s="1"/>
  <c r="O814" i="2"/>
  <c r="O820" i="2"/>
  <c r="M824" i="2"/>
  <c r="I827" i="2"/>
  <c r="J827" i="2" s="1"/>
  <c r="N827" i="2"/>
  <c r="M834" i="2"/>
  <c r="E834" i="2"/>
  <c r="M842" i="2"/>
  <c r="N850" i="2"/>
  <c r="O853" i="2"/>
  <c r="M859" i="2"/>
  <c r="N860" i="2"/>
  <c r="O862" i="2"/>
  <c r="M862" i="2"/>
  <c r="I867" i="2"/>
  <c r="J867" i="2" s="1"/>
  <c r="N867" i="2"/>
  <c r="I870" i="2"/>
  <c r="J870" i="2" s="1"/>
  <c r="M871" i="2"/>
  <c r="M876" i="2"/>
  <c r="O880" i="2"/>
  <c r="M880" i="2"/>
  <c r="O884" i="2"/>
  <c r="M887" i="2"/>
  <c r="M892" i="2"/>
  <c r="I893" i="2"/>
  <c r="J893" i="2" s="1"/>
  <c r="M925" i="2"/>
  <c r="O925" i="2"/>
  <c r="O927" i="2"/>
  <c r="O932" i="2"/>
  <c r="M934" i="2"/>
  <c r="O957" i="2"/>
  <c r="I957" i="2"/>
  <c r="J957" i="2" s="1"/>
  <c r="O964" i="2"/>
  <c r="M969" i="2"/>
  <c r="N1018" i="2"/>
  <c r="I1018" i="2"/>
  <c r="J1018" i="2" s="1"/>
  <c r="M1036" i="2"/>
  <c r="M495" i="2"/>
  <c r="I507" i="2"/>
  <c r="J507" i="2" s="1"/>
  <c r="M527" i="2"/>
  <c r="I539" i="2"/>
  <c r="J539" i="2" s="1"/>
  <c r="M559" i="2"/>
  <c r="I571" i="2"/>
  <c r="J571" i="2" s="1"/>
  <c r="M591" i="2"/>
  <c r="I603" i="2"/>
  <c r="J603" i="2" s="1"/>
  <c r="M623" i="2"/>
  <c r="O633" i="2"/>
  <c r="I636" i="2"/>
  <c r="J636" i="2" s="1"/>
  <c r="I643" i="2"/>
  <c r="J643" i="2" s="1"/>
  <c r="N643" i="2"/>
  <c r="O657" i="2"/>
  <c r="O697" i="2"/>
  <c r="I700" i="2"/>
  <c r="J700" i="2" s="1"/>
  <c r="I707" i="2"/>
  <c r="J707" i="2" s="1"/>
  <c r="N707" i="2"/>
  <c r="O721" i="2"/>
  <c r="M754" i="2"/>
  <c r="M763" i="2"/>
  <c r="I764" i="2"/>
  <c r="J764" i="2" s="1"/>
  <c r="M791" i="2"/>
  <c r="O793" i="2"/>
  <c r="M793" i="2"/>
  <c r="O809" i="2"/>
  <c r="N813" i="2"/>
  <c r="N818" i="2"/>
  <c r="I818" i="2"/>
  <c r="J818" i="2" s="1"/>
  <c r="M823" i="2"/>
  <c r="O825" i="2"/>
  <c r="M826" i="2"/>
  <c r="O830" i="2"/>
  <c r="M830" i="2"/>
  <c r="O837" i="2"/>
  <c r="O854" i="2"/>
  <c r="M878" i="2"/>
  <c r="M910" i="2"/>
  <c r="O910" i="2"/>
  <c r="O916" i="2"/>
  <c r="O924" i="2"/>
  <c r="I932" i="2"/>
  <c r="J932" i="2" s="1"/>
  <c r="N932" i="2"/>
  <c r="N935" i="2"/>
  <c r="I935" i="2"/>
  <c r="J935" i="2" s="1"/>
  <c r="O943" i="2"/>
  <c r="M943" i="2"/>
  <c r="M951" i="2"/>
  <c r="O951" i="2"/>
  <c r="O970" i="2"/>
  <c r="I996" i="2"/>
  <c r="J996" i="2" s="1"/>
  <c r="N1001" i="2"/>
  <c r="I1001" i="2"/>
  <c r="J1001" i="2" s="1"/>
  <c r="M1010" i="2"/>
  <c r="E1010" i="2"/>
  <c r="I1043" i="2"/>
  <c r="J1043" i="2" s="1"/>
  <c r="N1043" i="2"/>
  <c r="M998" i="2"/>
  <c r="O998" i="2"/>
  <c r="I1025" i="2"/>
  <c r="J1025" i="2" s="1"/>
  <c r="N1025" i="2"/>
  <c r="M1052" i="2"/>
  <c r="E1052" i="2"/>
  <c r="M1109" i="2"/>
  <c r="N504" i="2"/>
  <c r="O505" i="2"/>
  <c r="N536" i="2"/>
  <c r="O537" i="2"/>
  <c r="N568" i="2"/>
  <c r="O569" i="2"/>
  <c r="N600" i="2"/>
  <c r="O601" i="2"/>
  <c r="N636" i="2"/>
  <c r="M639" i="2"/>
  <c r="O639" i="2"/>
  <c r="I651" i="2"/>
  <c r="J651" i="2" s="1"/>
  <c r="N664" i="2"/>
  <c r="M679" i="2"/>
  <c r="O685" i="2"/>
  <c r="N700" i="2"/>
  <c r="M703" i="2"/>
  <c r="O703" i="2"/>
  <c r="I715" i="2"/>
  <c r="J715" i="2" s="1"/>
  <c r="N728" i="2"/>
  <c r="M743" i="2"/>
  <c r="O749" i="2"/>
  <c r="N762" i="2"/>
  <c r="N764" i="2"/>
  <c r="N773" i="2"/>
  <c r="I773" i="2"/>
  <c r="J773" i="2" s="1"/>
  <c r="O776" i="2"/>
  <c r="O781" i="2"/>
  <c r="O787" i="2"/>
  <c r="N791" i="2"/>
  <c r="N799" i="2"/>
  <c r="N800" i="2"/>
  <c r="M815" i="2"/>
  <c r="O822" i="2"/>
  <c r="I823" i="2"/>
  <c r="J823" i="2" s="1"/>
  <c r="N832" i="2"/>
  <c r="O833" i="2"/>
  <c r="M833" i="2"/>
  <c r="N840" i="2"/>
  <c r="I840" i="2"/>
  <c r="J840" i="2" s="1"/>
  <c r="I854" i="2"/>
  <c r="J854" i="2" s="1"/>
  <c r="I878" i="2"/>
  <c r="J878" i="2" s="1"/>
  <c r="N903" i="2"/>
  <c r="I903" i="2"/>
  <c r="J903" i="2" s="1"/>
  <c r="I916" i="2"/>
  <c r="J916" i="2" s="1"/>
  <c r="N916" i="2"/>
  <c r="M918" i="2"/>
  <c r="O918" i="2"/>
  <c r="M931" i="2"/>
  <c r="O935" i="2"/>
  <c r="O938" i="2"/>
  <c r="N974" i="2"/>
  <c r="I974" i="2"/>
  <c r="J974" i="2" s="1"/>
  <c r="I982" i="2"/>
  <c r="J982" i="2" s="1"/>
  <c r="N982" i="2"/>
  <c r="E988" i="2"/>
  <c r="M988" i="2"/>
  <c r="M995" i="2"/>
  <c r="M996" i="2"/>
  <c r="N996" i="2"/>
  <c r="O1013" i="2"/>
  <c r="M1013" i="2"/>
  <c r="O1017" i="2"/>
  <c r="E1024" i="2"/>
  <c r="M1024" i="2"/>
  <c r="O1043" i="2"/>
  <c r="M1046" i="2"/>
  <c r="M1072" i="2"/>
  <c r="N1083" i="2"/>
  <c r="I1083" i="2"/>
  <c r="J1083" i="2" s="1"/>
  <c r="M1095" i="2"/>
  <c r="I1096" i="2"/>
  <c r="J1096" i="2" s="1"/>
  <c r="N1096" i="2"/>
  <c r="O1101" i="2"/>
  <c r="I1102" i="2"/>
  <c r="J1102" i="2" s="1"/>
  <c r="N1102" i="2"/>
  <c r="E1103" i="2"/>
  <c r="M1103" i="2"/>
  <c r="O1108" i="2"/>
  <c r="M1108" i="2"/>
  <c r="M1141" i="2"/>
  <c r="O1141" i="2"/>
  <c r="E1158" i="2"/>
  <c r="M1158" i="2"/>
  <c r="N1160" i="2"/>
  <c r="I1160" i="2"/>
  <c r="J1160" i="2" s="1"/>
  <c r="M1195" i="2"/>
  <c r="O1199" i="2"/>
  <c r="M1199" i="2"/>
  <c r="I635" i="2"/>
  <c r="J635" i="2" s="1"/>
  <c r="M655" i="2"/>
  <c r="I667" i="2"/>
  <c r="J667" i="2" s="1"/>
  <c r="M687" i="2"/>
  <c r="I699" i="2"/>
  <c r="J699" i="2" s="1"/>
  <c r="M719" i="2"/>
  <c r="I731" i="2"/>
  <c r="J731" i="2" s="1"/>
  <c r="M751" i="2"/>
  <c r="I763" i="2"/>
  <c r="J763" i="2" s="1"/>
  <c r="M783" i="2"/>
  <c r="N824" i="2"/>
  <c r="O834" i="2"/>
  <c r="I851" i="2"/>
  <c r="J851" i="2" s="1"/>
  <c r="N873" i="2"/>
  <c r="O877" i="2"/>
  <c r="M879" i="2"/>
  <c r="I894" i="2"/>
  <c r="J894" i="2" s="1"/>
  <c r="O901" i="2"/>
  <c r="N910" i="2"/>
  <c r="M948" i="2"/>
  <c r="N953" i="2"/>
  <c r="I953" i="2"/>
  <c r="J953" i="2" s="1"/>
  <c r="M958" i="2"/>
  <c r="O962" i="2"/>
  <c r="I964" i="2"/>
  <c r="J964" i="2" s="1"/>
  <c r="N964" i="2"/>
  <c r="I966" i="2"/>
  <c r="J966" i="2" s="1"/>
  <c r="O973" i="2"/>
  <c r="O981" i="2"/>
  <c r="O983" i="2"/>
  <c r="O985" i="2"/>
  <c r="O991" i="2"/>
  <c r="M991" i="2"/>
  <c r="O1001" i="2"/>
  <c r="M1009" i="2"/>
  <c r="M1011" i="2"/>
  <c r="O1011" i="2"/>
  <c r="N1022" i="2"/>
  <c r="I1022" i="2"/>
  <c r="J1022" i="2" s="1"/>
  <c r="O1037" i="2"/>
  <c r="M1037" i="2"/>
  <c r="O1045" i="2"/>
  <c r="M1045" i="2"/>
  <c r="M1051" i="2"/>
  <c r="O1051" i="2"/>
  <c r="O1053" i="2"/>
  <c r="M1053" i="2"/>
  <c r="M1054" i="2"/>
  <c r="M1057" i="2"/>
  <c r="O1069" i="2"/>
  <c r="I1071" i="2"/>
  <c r="J1071" i="2" s="1"/>
  <c r="M1074" i="2"/>
  <c r="M1101" i="2"/>
  <c r="O1103" i="2"/>
  <c r="M1126" i="2"/>
  <c r="M1148" i="2"/>
  <c r="M1181" i="2"/>
  <c r="E1181" i="2"/>
  <c r="I988" i="2"/>
  <c r="J988" i="2" s="1"/>
  <c r="N988" i="2"/>
  <c r="I998" i="2"/>
  <c r="J998" i="2" s="1"/>
  <c r="N998" i="2"/>
  <c r="O1007" i="2"/>
  <c r="M1018" i="2"/>
  <c r="O1018" i="2"/>
  <c r="M1020" i="2"/>
  <c r="M1026" i="2"/>
  <c r="O1031" i="2"/>
  <c r="N1050" i="2"/>
  <c r="I1050" i="2"/>
  <c r="J1050" i="2" s="1"/>
  <c r="N1057" i="2"/>
  <c r="O1060" i="2"/>
  <c r="M1060" i="2"/>
  <c r="I1067" i="2"/>
  <c r="J1067" i="2" s="1"/>
  <c r="O1072" i="2"/>
  <c r="M1080" i="2"/>
  <c r="O1080" i="2"/>
  <c r="I1103" i="2"/>
  <c r="J1103" i="2" s="1"/>
  <c r="N1103" i="2"/>
  <c r="M1118" i="2"/>
  <c r="I1120" i="2"/>
  <c r="J1120" i="2" s="1"/>
  <c r="N1120" i="2"/>
  <c r="M1122" i="2"/>
  <c r="O1122" i="2"/>
  <c r="I1031" i="2"/>
  <c r="J1031" i="2" s="1"/>
  <c r="N1031" i="2"/>
  <c r="O1035" i="2"/>
  <c r="O1049" i="2"/>
  <c r="M1055" i="2"/>
  <c r="M1098" i="2"/>
  <c r="N1107" i="2"/>
  <c r="I1107" i="2"/>
  <c r="J1107" i="2" s="1"/>
  <c r="O1112" i="2"/>
  <c r="O1316" i="2"/>
  <c r="M1316" i="2"/>
  <c r="O1012" i="2"/>
  <c r="I1017" i="2"/>
  <c r="J1017" i="2" s="1"/>
  <c r="O1025" i="2"/>
  <c r="N1044" i="2"/>
  <c r="I1044" i="2"/>
  <c r="J1044" i="2" s="1"/>
  <c r="M1058" i="2"/>
  <c r="O1058" i="2"/>
  <c r="M1078" i="2"/>
  <c r="I1087" i="2"/>
  <c r="J1087" i="2" s="1"/>
  <c r="N1087" i="2"/>
  <c r="E1088" i="2"/>
  <c r="M1088" i="2"/>
  <c r="N1112" i="2"/>
  <c r="I1112" i="2"/>
  <c r="J1112" i="2" s="1"/>
  <c r="M1114" i="2"/>
  <c r="O1114" i="2"/>
  <c r="I1225" i="2"/>
  <c r="J1225" i="2" s="1"/>
  <c r="N1225" i="2"/>
  <c r="O1068" i="2"/>
  <c r="M1068" i="2"/>
  <c r="I1079" i="2"/>
  <c r="J1079" i="2" s="1"/>
  <c r="N1079" i="2"/>
  <c r="O1089" i="2"/>
  <c r="N1092" i="2"/>
  <c r="I1092" i="2"/>
  <c r="J1092" i="2" s="1"/>
  <c r="O1092" i="2"/>
  <c r="O1094" i="2"/>
  <c r="M1094" i="2"/>
  <c r="M1097" i="2"/>
  <c r="O1097" i="2"/>
  <c r="I1100" i="2"/>
  <c r="J1100" i="2" s="1"/>
  <c r="O1111" i="2"/>
  <c r="I1135" i="2"/>
  <c r="J1135" i="2" s="1"/>
  <c r="N1135" i="2"/>
  <c r="M1146" i="2"/>
  <c r="O1146" i="2"/>
  <c r="M1163" i="2"/>
  <c r="M1186" i="2"/>
  <c r="O1186" i="2"/>
  <c r="E1191" i="2"/>
  <c r="M1191" i="2"/>
  <c r="E1200" i="2"/>
  <c r="M1200" i="2"/>
  <c r="M1212" i="2"/>
  <c r="N760" i="2"/>
  <c r="O761" i="2"/>
  <c r="N792" i="2"/>
  <c r="O802" i="2"/>
  <c r="I819" i="2"/>
  <c r="J819" i="2" s="1"/>
  <c r="O843" i="2"/>
  <c r="M851" i="2"/>
  <c r="M863" i="2"/>
  <c r="O875" i="2"/>
  <c r="I877" i="2"/>
  <c r="J877" i="2" s="1"/>
  <c r="I882" i="2"/>
  <c r="J882" i="2" s="1"/>
  <c r="M883" i="2"/>
  <c r="O883" i="2"/>
  <c r="M888" i="2"/>
  <c r="O888" i="2"/>
  <c r="M898" i="2"/>
  <c r="M902" i="2"/>
  <c r="M905" i="2"/>
  <c r="M914" i="2"/>
  <c r="N921" i="2"/>
  <c r="I921" i="2"/>
  <c r="J921" i="2" s="1"/>
  <c r="N929" i="2"/>
  <c r="I929" i="2"/>
  <c r="J929" i="2" s="1"/>
  <c r="M930" i="2"/>
  <c r="N937" i="2"/>
  <c r="I937" i="2"/>
  <c r="J937" i="2" s="1"/>
  <c r="O946" i="2"/>
  <c r="M953" i="2"/>
  <c r="N958" i="2"/>
  <c r="I958" i="2"/>
  <c r="J958" i="2" s="1"/>
  <c r="N969" i="2"/>
  <c r="I969" i="2"/>
  <c r="J969" i="2" s="1"/>
  <c r="M978" i="2"/>
  <c r="M982" i="2"/>
  <c r="N985" i="2"/>
  <c r="I985" i="2"/>
  <c r="J985" i="2" s="1"/>
  <c r="M986" i="2"/>
  <c r="O988" i="2"/>
  <c r="M994" i="2"/>
  <c r="O996" i="2"/>
  <c r="M1002" i="2"/>
  <c r="M1006" i="2"/>
  <c r="M1007" i="2"/>
  <c r="O1014" i="2"/>
  <c r="M1019" i="2"/>
  <c r="O1019" i="2"/>
  <c r="O1021" i="2"/>
  <c r="O1026" i="2"/>
  <c r="O1029" i="2"/>
  <c r="M1029" i="2"/>
  <c r="M1034" i="2"/>
  <c r="O1039" i="2"/>
  <c r="N1042" i="2"/>
  <c r="I1042" i="2"/>
  <c r="J1042" i="2" s="1"/>
  <c r="M1047" i="2"/>
  <c r="O1056" i="2"/>
  <c r="O1077" i="2"/>
  <c r="M1077" i="2"/>
  <c r="O1090" i="2"/>
  <c r="M1090" i="2"/>
  <c r="I1090" i="2"/>
  <c r="J1090" i="2" s="1"/>
  <c r="O1104" i="2"/>
  <c r="M1107" i="2"/>
  <c r="O1107" i="2"/>
  <c r="O1120" i="2"/>
  <c r="N1131" i="2"/>
  <c r="I1131" i="2"/>
  <c r="J1131" i="2" s="1"/>
  <c r="O1131" i="2"/>
  <c r="M1134" i="2"/>
  <c r="M1142" i="2"/>
  <c r="M1150" i="2"/>
  <c r="O1170" i="2"/>
  <c r="O1184" i="2"/>
  <c r="M1184" i="2"/>
  <c r="N1231" i="2"/>
  <c r="I1231" i="2"/>
  <c r="J1231" i="2" s="1"/>
  <c r="M897" i="2"/>
  <c r="M900" i="2"/>
  <c r="M904" i="2"/>
  <c r="O904" i="2"/>
  <c r="O915" i="2"/>
  <c r="M916" i="2"/>
  <c r="M922" i="2"/>
  <c r="M926" i="2"/>
  <c r="M932" i="2"/>
  <c r="M938" i="2"/>
  <c r="M942" i="2"/>
  <c r="M952" i="2"/>
  <c r="O952" i="2"/>
  <c r="O953" i="2"/>
  <c r="O965" i="2"/>
  <c r="O980" i="2"/>
  <c r="N1011" i="2"/>
  <c r="M1012" i="2"/>
  <c r="M1027" i="2"/>
  <c r="O1027" i="2"/>
  <c r="M1033" i="2"/>
  <c r="N1038" i="2"/>
  <c r="I1039" i="2"/>
  <c r="J1039" i="2" s="1"/>
  <c r="N1039" i="2"/>
  <c r="E1047" i="2"/>
  <c r="I1049" i="2"/>
  <c r="J1049" i="2" s="1"/>
  <c r="M1059" i="2"/>
  <c r="O1059" i="2"/>
  <c r="O1067" i="2"/>
  <c r="I1072" i="2"/>
  <c r="J1072" i="2" s="1"/>
  <c r="I1075" i="2"/>
  <c r="J1075" i="2" s="1"/>
  <c r="N1075" i="2"/>
  <c r="M1084" i="2"/>
  <c r="O1087" i="2"/>
  <c r="M1104" i="2"/>
  <c r="E1109" i="2"/>
  <c r="O1124" i="2"/>
  <c r="M1124" i="2"/>
  <c r="M1133" i="2"/>
  <c r="O1133" i="2"/>
  <c r="M1140" i="2"/>
  <c r="I1144" i="2"/>
  <c r="J1144" i="2" s="1"/>
  <c r="N1144" i="2"/>
  <c r="I1149" i="2"/>
  <c r="J1149" i="2" s="1"/>
  <c r="N1149" i="2"/>
  <c r="O1171" i="2"/>
  <c r="O1187" i="2"/>
  <c r="M1187" i="2"/>
  <c r="O1325" i="2"/>
  <c r="M1325" i="2"/>
  <c r="I1328" i="2"/>
  <c r="J1328" i="2" s="1"/>
  <c r="N1328" i="2"/>
  <c r="O1328" i="2"/>
  <c r="N1261" i="2"/>
  <c r="I1261" i="2"/>
  <c r="J1261" i="2" s="1"/>
  <c r="N816" i="2"/>
  <c r="O817" i="2"/>
  <c r="N848" i="2"/>
  <c r="O849" i="2"/>
  <c r="I874" i="2"/>
  <c r="J874" i="2" s="1"/>
  <c r="O890" i="2"/>
  <c r="N897" i="2"/>
  <c r="I900" i="2"/>
  <c r="J900" i="2" s="1"/>
  <c r="N905" i="2"/>
  <c r="I905" i="2"/>
  <c r="J905" i="2" s="1"/>
  <c r="I918" i="2"/>
  <c r="J918" i="2" s="1"/>
  <c r="N942" i="2"/>
  <c r="M945" i="2"/>
  <c r="M966" i="2"/>
  <c r="O971" i="2"/>
  <c r="M980" i="2"/>
  <c r="M990" i="2"/>
  <c r="M1000" i="2"/>
  <c r="O1000" i="2"/>
  <c r="O1010" i="2"/>
  <c r="E1023" i="2"/>
  <c r="M1023" i="2"/>
  <c r="M1031" i="2"/>
  <c r="M1044" i="2"/>
  <c r="N1046" i="2"/>
  <c r="I1046" i="2"/>
  <c r="J1046" i="2" s="1"/>
  <c r="I1048" i="2"/>
  <c r="J1048" i="2" s="1"/>
  <c r="O1048" i="2"/>
  <c r="N1080" i="2"/>
  <c r="M1081" i="2"/>
  <c r="I1082" i="2"/>
  <c r="J1082" i="2" s="1"/>
  <c r="O1082" i="2"/>
  <c r="O1083" i="2"/>
  <c r="M1086" i="2"/>
  <c r="O1086" i="2"/>
  <c r="O1093" i="2"/>
  <c r="M1093" i="2"/>
  <c r="M1100" i="2"/>
  <c r="O1100" i="2"/>
  <c r="I1106" i="2"/>
  <c r="J1106" i="2" s="1"/>
  <c r="N1106" i="2"/>
  <c r="M1117" i="2"/>
  <c r="O1192" i="2"/>
  <c r="N926" i="2"/>
  <c r="M929" i="2"/>
  <c r="M950" i="2"/>
  <c r="O955" i="2"/>
  <c r="M964" i="2"/>
  <c r="M974" i="2"/>
  <c r="M984" i="2"/>
  <c r="O984" i="2"/>
  <c r="O994" i="2"/>
  <c r="O997" i="2"/>
  <c r="O1002" i="2"/>
  <c r="N1009" i="2"/>
  <c r="N1028" i="2"/>
  <c r="I1028" i="2"/>
  <c r="J1028" i="2" s="1"/>
  <c r="M1039" i="2"/>
  <c r="O1042" i="2"/>
  <c r="M1042" i="2"/>
  <c r="N1052" i="2"/>
  <c r="I1052" i="2"/>
  <c r="J1052" i="2" s="1"/>
  <c r="I1063" i="2"/>
  <c r="J1063" i="2" s="1"/>
  <c r="N1063" i="2"/>
  <c r="O1076" i="2"/>
  <c r="I1118" i="2"/>
  <c r="J1118" i="2" s="1"/>
  <c r="N1118" i="2"/>
  <c r="O1135" i="2"/>
  <c r="M1137" i="2"/>
  <c r="O1137" i="2"/>
  <c r="I1154" i="2"/>
  <c r="J1154" i="2" s="1"/>
  <c r="N1154" i="2"/>
  <c r="O1154" i="2"/>
  <c r="M1161" i="2"/>
  <c r="O1161" i="2"/>
  <c r="O1166" i="2"/>
  <c r="M1178" i="2"/>
  <c r="O1178" i="2"/>
  <c r="O1207" i="2"/>
  <c r="M1207" i="2"/>
  <c r="O1225" i="2"/>
  <c r="I1238" i="2"/>
  <c r="J1238" i="2" s="1"/>
  <c r="N1238" i="2"/>
  <c r="N1259" i="2"/>
  <c r="I1259" i="2"/>
  <c r="J1259" i="2" s="1"/>
  <c r="M1017" i="2"/>
  <c r="O1028" i="2"/>
  <c r="O1033" i="2"/>
  <c r="M1041" i="2"/>
  <c r="O1041" i="2"/>
  <c r="M1073" i="2"/>
  <c r="O1073" i="2"/>
  <c r="M1110" i="2"/>
  <c r="M1127" i="2"/>
  <c r="O1127" i="2"/>
  <c r="M1129" i="2"/>
  <c r="O1129" i="2"/>
  <c r="O1153" i="2"/>
  <c r="M1171" i="2"/>
  <c r="N1195" i="2"/>
  <c r="I1195" i="2"/>
  <c r="J1195" i="2" s="1"/>
  <c r="M1197" i="2"/>
  <c r="O1197" i="2"/>
  <c r="M1204" i="2"/>
  <c r="M1210" i="2"/>
  <c r="O1210" i="2"/>
  <c r="O1229" i="2"/>
  <c r="O1249" i="2"/>
  <c r="M1249" i="2"/>
  <c r="N871" i="2"/>
  <c r="O872" i="2"/>
  <c r="M896" i="2"/>
  <c r="O896" i="2"/>
  <c r="I898" i="2"/>
  <c r="J898" i="2" s="1"/>
  <c r="M912" i="2"/>
  <c r="O912" i="2"/>
  <c r="M928" i="2"/>
  <c r="O928" i="2"/>
  <c r="M944" i="2"/>
  <c r="O944" i="2"/>
  <c r="M960" i="2"/>
  <c r="O960" i="2"/>
  <c r="M976" i="2"/>
  <c r="O976" i="2"/>
  <c r="M992" i="2"/>
  <c r="O992" i="2"/>
  <c r="M1008" i="2"/>
  <c r="O1008" i="2"/>
  <c r="I1016" i="2"/>
  <c r="J1016" i="2" s="1"/>
  <c r="N1032" i="2"/>
  <c r="M1049" i="2"/>
  <c r="O1055" i="2"/>
  <c r="O1064" i="2"/>
  <c r="M1091" i="2"/>
  <c r="O1113" i="2"/>
  <c r="M1113" i="2"/>
  <c r="M1116" i="2"/>
  <c r="I1121" i="2"/>
  <c r="J1121" i="2" s="1"/>
  <c r="N1121" i="2"/>
  <c r="M1135" i="2"/>
  <c r="M1139" i="2"/>
  <c r="M1147" i="2"/>
  <c r="O1147" i="2"/>
  <c r="N1155" i="2"/>
  <c r="I1155" i="2"/>
  <c r="J1155" i="2" s="1"/>
  <c r="M1157" i="2"/>
  <c r="M1160" i="2"/>
  <c r="O1160" i="2"/>
  <c r="M1166" i="2"/>
  <c r="O1180" i="2"/>
  <c r="M1180" i="2"/>
  <c r="O1185" i="2"/>
  <c r="M1185" i="2"/>
  <c r="O1202" i="2"/>
  <c r="M1208" i="2"/>
  <c r="O1208" i="2"/>
  <c r="M1227" i="2"/>
  <c r="O1230" i="2"/>
  <c r="M1231" i="2"/>
  <c r="O1231" i="2"/>
  <c r="M1261" i="2"/>
  <c r="O1261" i="2"/>
  <c r="O1263" i="2"/>
  <c r="O1264" i="2"/>
  <c r="M1264" i="2"/>
  <c r="M1125" i="2"/>
  <c r="N1128" i="2"/>
  <c r="I1128" i="2"/>
  <c r="J1128" i="2" s="1"/>
  <c r="O1132" i="2"/>
  <c r="M1132" i="2"/>
  <c r="I1145" i="2"/>
  <c r="J1145" i="2" s="1"/>
  <c r="N1145" i="2"/>
  <c r="N1151" i="2"/>
  <c r="M1183" i="2"/>
  <c r="O1183" i="2"/>
  <c r="N1219" i="2"/>
  <c r="I1219" i="2"/>
  <c r="J1219" i="2" s="1"/>
  <c r="O1228" i="2"/>
  <c r="M1228" i="2"/>
  <c r="O1257" i="2"/>
  <c r="M1257" i="2"/>
  <c r="O1134" i="2"/>
  <c r="I1143" i="2"/>
  <c r="J1143" i="2" s="1"/>
  <c r="N1143" i="2"/>
  <c r="M1152" i="2"/>
  <c r="O1152" i="2"/>
  <c r="O1168" i="2"/>
  <c r="M1168" i="2"/>
  <c r="O1177" i="2"/>
  <c r="M1190" i="2"/>
  <c r="N1190" i="2"/>
  <c r="I1206" i="2"/>
  <c r="J1206" i="2" s="1"/>
  <c r="N1206" i="2"/>
  <c r="I1214" i="2"/>
  <c r="J1214" i="2" s="1"/>
  <c r="N1214" i="2"/>
  <c r="E1230" i="2"/>
  <c r="M1230" i="2"/>
  <c r="M1239" i="2"/>
  <c r="O1254" i="2"/>
  <c r="N1291" i="2"/>
  <c r="I1291" i="2"/>
  <c r="J1291" i="2" s="1"/>
  <c r="M1293" i="2"/>
  <c r="O1293" i="2"/>
  <c r="M1296" i="2"/>
  <c r="I1360" i="2"/>
  <c r="J1360" i="2" s="1"/>
  <c r="N1360" i="2"/>
  <c r="M1130" i="2"/>
  <c r="M1136" i="2"/>
  <c r="O1136" i="2"/>
  <c r="O1162" i="2"/>
  <c r="M1173" i="2"/>
  <c r="M1174" i="2"/>
  <c r="N1179" i="2"/>
  <c r="I1179" i="2"/>
  <c r="J1179" i="2" s="1"/>
  <c r="O1189" i="2"/>
  <c r="M1189" i="2"/>
  <c r="N1202" i="2"/>
  <c r="I1202" i="2"/>
  <c r="J1202" i="2" s="1"/>
  <c r="M1205" i="2"/>
  <c r="M1216" i="2"/>
  <c r="N1240" i="2"/>
  <c r="I1240" i="2"/>
  <c r="J1240" i="2" s="1"/>
  <c r="N1243" i="2"/>
  <c r="I1243" i="2"/>
  <c r="J1243" i="2" s="1"/>
  <c r="M1244" i="2"/>
  <c r="M1247" i="2"/>
  <c r="O1247" i="2"/>
  <c r="M1283" i="2"/>
  <c r="E1283" i="2"/>
  <c r="M1290" i="2"/>
  <c r="O1297" i="2"/>
  <c r="M1297" i="2"/>
  <c r="M1339" i="2"/>
  <c r="O1339" i="2"/>
  <c r="O1212" i="2"/>
  <c r="M1213" i="2"/>
  <c r="M1221" i="2"/>
  <c r="E1221" i="2"/>
  <c r="M1226" i="2"/>
  <c r="O1226" i="2"/>
  <c r="I1229" i="2"/>
  <c r="J1229" i="2" s="1"/>
  <c r="O1239" i="2"/>
  <c r="M1245" i="2"/>
  <c r="O1245" i="2"/>
  <c r="M1248" i="2"/>
  <c r="O1248" i="2"/>
  <c r="M1277" i="2"/>
  <c r="O1277" i="2"/>
  <c r="M1282" i="2"/>
  <c r="O1282" i="2"/>
  <c r="E1307" i="2"/>
  <c r="M1307" i="2"/>
  <c r="O1321" i="2"/>
  <c r="M1321" i="2"/>
  <c r="M1169" i="2"/>
  <c r="O1169" i="2"/>
  <c r="O1233" i="2"/>
  <c r="M1233" i="2"/>
  <c r="O1269" i="2"/>
  <c r="M1269" i="2"/>
  <c r="N1272" i="2"/>
  <c r="I1272" i="2"/>
  <c r="J1272" i="2" s="1"/>
  <c r="O1288" i="2"/>
  <c r="M1288" i="2"/>
  <c r="O1294" i="2"/>
  <c r="M1329" i="2"/>
  <c r="I1331" i="2"/>
  <c r="J1331" i="2" s="1"/>
  <c r="N1331" i="2"/>
  <c r="N1060" i="2"/>
  <c r="O1061" i="2"/>
  <c r="M1063" i="2"/>
  <c r="O1085" i="2"/>
  <c r="N1094" i="2"/>
  <c r="N1108" i="2"/>
  <c r="N1114" i="2"/>
  <c r="I1114" i="2"/>
  <c r="J1114" i="2" s="1"/>
  <c r="M1123" i="2"/>
  <c r="O1126" i="2"/>
  <c r="M1144" i="2"/>
  <c r="M1149" i="2"/>
  <c r="M1159" i="2"/>
  <c r="N1163" i="2"/>
  <c r="I1163" i="2"/>
  <c r="J1163" i="2" s="1"/>
  <c r="O1174" i="2"/>
  <c r="O1182" i="2"/>
  <c r="O1188" i="2"/>
  <c r="M1188" i="2"/>
  <c r="M1215" i="2"/>
  <c r="O1215" i="2"/>
  <c r="M1219" i="2"/>
  <c r="I1222" i="2"/>
  <c r="J1222" i="2" s="1"/>
  <c r="N1222" i="2"/>
  <c r="N1232" i="2"/>
  <c r="I1232" i="2"/>
  <c r="J1232" i="2" s="1"/>
  <c r="O1238" i="2"/>
  <c r="M1255" i="2"/>
  <c r="O1255" i="2"/>
  <c r="O1273" i="2"/>
  <c r="M1273" i="2"/>
  <c r="O1289" i="2"/>
  <c r="M1289" i="2"/>
  <c r="N1293" i="2"/>
  <c r="I1293" i="2"/>
  <c r="J1293" i="2" s="1"/>
  <c r="O1320" i="2"/>
  <c r="M1320" i="2"/>
  <c r="M1326" i="2"/>
  <c r="O1326" i="2"/>
  <c r="O1341" i="2"/>
  <c r="M1341" i="2"/>
  <c r="N1363" i="2"/>
  <c r="I1363" i="2"/>
  <c r="J1363" i="2" s="1"/>
  <c r="O1375" i="2"/>
  <c r="I1376" i="2"/>
  <c r="J1376" i="2" s="1"/>
  <c r="N1376" i="2"/>
  <c r="N1394" i="2"/>
  <c r="I1394" i="2"/>
  <c r="J1394" i="2" s="1"/>
  <c r="I1023" i="2"/>
  <c r="J1023" i="2" s="1"/>
  <c r="M1043" i="2"/>
  <c r="I1055" i="2"/>
  <c r="J1055" i="2" s="1"/>
  <c r="M1075" i="2"/>
  <c r="O1081" i="2"/>
  <c r="M1099" i="2"/>
  <c r="O1099" i="2"/>
  <c r="I1111" i="2"/>
  <c r="J1111" i="2" s="1"/>
  <c r="N1119" i="2"/>
  <c r="M1131" i="2"/>
  <c r="O1142" i="2"/>
  <c r="I1150" i="2"/>
  <c r="J1150" i="2" s="1"/>
  <c r="M1155" i="2"/>
  <c r="O1157" i="2"/>
  <c r="M1165" i="2"/>
  <c r="O1165" i="2"/>
  <c r="E1166" i="2"/>
  <c r="M1167" i="2"/>
  <c r="I1182" i="2"/>
  <c r="J1182" i="2" s="1"/>
  <c r="M1194" i="2"/>
  <c r="O1194" i="2"/>
  <c r="O1203" i="2"/>
  <c r="M1211" i="2"/>
  <c r="O1213" i="2"/>
  <c r="N1216" i="2"/>
  <c r="I1216" i="2"/>
  <c r="J1216" i="2" s="1"/>
  <c r="O1227" i="2"/>
  <c r="N1242" i="2"/>
  <c r="I1242" i="2"/>
  <c r="J1242" i="2" s="1"/>
  <c r="N1251" i="2"/>
  <c r="I1251" i="2"/>
  <c r="J1251" i="2" s="1"/>
  <c r="O1253" i="2"/>
  <c r="M1253" i="2"/>
  <c r="O1304" i="2"/>
  <c r="M1304" i="2"/>
  <c r="I1318" i="2"/>
  <c r="J1318" i="2" s="1"/>
  <c r="N1318" i="2"/>
  <c r="N1426" i="2"/>
  <c r="I1426" i="2"/>
  <c r="J1426" i="2" s="1"/>
  <c r="M1366" i="2"/>
  <c r="I1386" i="2"/>
  <c r="J1386" i="2" s="1"/>
  <c r="N1386" i="2"/>
  <c r="M1376" i="2"/>
  <c r="E1416" i="2"/>
  <c r="M1416" i="2"/>
  <c r="N1312" i="2"/>
  <c r="I1312" i="2"/>
  <c r="J1312" i="2" s="1"/>
  <c r="O1312" i="2"/>
  <c r="O1381" i="2"/>
  <c r="M1381" i="2"/>
  <c r="O1392" i="2"/>
  <c r="I1015" i="2"/>
  <c r="J1015" i="2" s="1"/>
  <c r="N1023" i="2"/>
  <c r="M1035" i="2"/>
  <c r="I1047" i="2"/>
  <c r="J1047" i="2" s="1"/>
  <c r="N1055" i="2"/>
  <c r="M1067" i="2"/>
  <c r="M1089" i="2"/>
  <c r="I1105" i="2"/>
  <c r="J1105" i="2" s="1"/>
  <c r="O1109" i="2"/>
  <c r="N1111" i="2"/>
  <c r="M1138" i="2"/>
  <c r="N1146" i="2"/>
  <c r="I1146" i="2"/>
  <c r="J1146" i="2" s="1"/>
  <c r="M1151" i="2"/>
  <c r="O1151" i="2"/>
  <c r="I1153" i="2"/>
  <c r="J1153" i="2" s="1"/>
  <c r="N1158" i="2"/>
  <c r="M1162" i="2"/>
  <c r="M1170" i="2"/>
  <c r="M1176" i="2"/>
  <c r="E1182" i="2"/>
  <c r="M1182" i="2"/>
  <c r="M1214" i="2"/>
  <c r="O1217" i="2"/>
  <c r="M1217" i="2"/>
  <c r="M1223" i="2"/>
  <c r="M1225" i="2"/>
  <c r="O1241" i="2"/>
  <c r="M1241" i="2"/>
  <c r="N1296" i="2"/>
  <c r="I1296" i="2"/>
  <c r="J1296" i="2" s="1"/>
  <c r="M1309" i="2"/>
  <c r="E1353" i="2"/>
  <c r="M1353" i="2"/>
  <c r="M1232" i="2"/>
  <c r="O1236" i="2"/>
  <c r="M1236" i="2"/>
  <c r="O1240" i="2"/>
  <c r="N1248" i="2"/>
  <c r="O1251" i="2"/>
  <c r="E1275" i="2"/>
  <c r="M1275" i="2"/>
  <c r="M1331" i="2"/>
  <c r="O1354" i="2"/>
  <c r="M1355" i="2"/>
  <c r="O1355" i="2"/>
  <c r="N1356" i="2"/>
  <c r="I1356" i="2"/>
  <c r="J1356" i="2" s="1"/>
  <c r="M1358" i="2"/>
  <c r="O1358" i="2"/>
  <c r="I1370" i="2"/>
  <c r="J1370" i="2" s="1"/>
  <c r="N1370" i="2"/>
  <c r="M1385" i="2"/>
  <c r="O1391" i="2"/>
  <c r="I1392" i="2"/>
  <c r="J1392" i="2" s="1"/>
  <c r="N1392" i="2"/>
  <c r="N1404" i="2"/>
  <c r="I1404" i="2"/>
  <c r="J1404" i="2" s="1"/>
  <c r="O1429" i="2"/>
  <c r="M1429" i="2"/>
  <c r="O1175" i="2"/>
  <c r="I1177" i="2"/>
  <c r="J1177" i="2" s="1"/>
  <c r="O1196" i="2"/>
  <c r="M1196" i="2"/>
  <c r="I1209" i="2"/>
  <c r="J1209" i="2" s="1"/>
  <c r="I1211" i="2"/>
  <c r="J1211" i="2" s="1"/>
  <c r="I1246" i="2"/>
  <c r="J1246" i="2" s="1"/>
  <c r="O1281" i="2"/>
  <c r="N1283" i="2"/>
  <c r="I1283" i="2"/>
  <c r="J1283" i="2" s="1"/>
  <c r="O1285" i="2"/>
  <c r="M1285" i="2"/>
  <c r="O1291" i="2"/>
  <c r="M1299" i="2"/>
  <c r="E1299" i="2"/>
  <c r="O1310" i="2"/>
  <c r="O1313" i="2"/>
  <c r="M1313" i="2"/>
  <c r="N1315" i="2"/>
  <c r="I1315" i="2"/>
  <c r="J1315" i="2" s="1"/>
  <c r="O1318" i="2"/>
  <c r="N1322" i="2"/>
  <c r="I1322" i="2"/>
  <c r="J1322" i="2" s="1"/>
  <c r="O1324" i="2"/>
  <c r="M1324" i="2"/>
  <c r="N1332" i="2"/>
  <c r="I1332" i="2"/>
  <c r="J1332" i="2" s="1"/>
  <c r="M1348" i="2"/>
  <c r="O1348" i="2"/>
  <c r="M1364" i="2"/>
  <c r="O1364" i="2"/>
  <c r="O1373" i="2"/>
  <c r="M1373" i="2"/>
  <c r="N1416" i="2"/>
  <c r="I1416" i="2"/>
  <c r="J1416" i="2" s="1"/>
  <c r="M1417" i="2"/>
  <c r="I1424" i="2"/>
  <c r="J1424" i="2" s="1"/>
  <c r="N1424" i="2"/>
  <c r="O1426" i="2"/>
  <c r="M1426" i="2"/>
  <c r="M1457" i="2"/>
  <c r="E1457" i="2"/>
  <c r="O1482" i="2"/>
  <c r="M1482" i="2"/>
  <c r="O1252" i="2"/>
  <c r="M1252" i="2"/>
  <c r="O1256" i="2"/>
  <c r="I1256" i="2"/>
  <c r="J1256" i="2" s="1"/>
  <c r="O1272" i="2"/>
  <c r="M1272" i="2"/>
  <c r="N1275" i="2"/>
  <c r="I1275" i="2"/>
  <c r="J1275" i="2" s="1"/>
  <c r="M1276" i="2"/>
  <c r="O1296" i="2"/>
  <c r="M1298" i="2"/>
  <c r="O1308" i="2"/>
  <c r="N1320" i="2"/>
  <c r="I1320" i="2"/>
  <c r="J1320" i="2" s="1"/>
  <c r="M1328" i="2"/>
  <c r="O1331" i="2"/>
  <c r="O1345" i="2"/>
  <c r="M1346" i="2"/>
  <c r="O1352" i="2"/>
  <c r="M1352" i="2"/>
  <c r="E1366" i="2"/>
  <c r="O1404" i="2"/>
  <c r="O1408" i="2"/>
  <c r="M1409" i="2"/>
  <c r="E1409" i="2"/>
  <c r="M1414" i="2"/>
  <c r="M1446" i="2"/>
  <c r="E1446" i="2"/>
  <c r="O1447" i="2"/>
  <c r="O1451" i="2"/>
  <c r="M1451" i="2"/>
  <c r="M1455" i="2"/>
  <c r="N1456" i="2"/>
  <c r="I1456" i="2"/>
  <c r="J1456" i="2" s="1"/>
  <c r="O1458" i="2"/>
  <c r="N1726" i="2"/>
  <c r="I1726" i="2"/>
  <c r="J1726" i="2" s="1"/>
  <c r="M1083" i="2"/>
  <c r="I1095" i="2"/>
  <c r="J1095" i="2" s="1"/>
  <c r="N1123" i="2"/>
  <c r="O1143" i="2"/>
  <c r="M1154" i="2"/>
  <c r="O1156" i="2"/>
  <c r="M1156" i="2"/>
  <c r="O1164" i="2"/>
  <c r="M1164" i="2"/>
  <c r="N1187" i="2"/>
  <c r="O1190" i="2"/>
  <c r="M1193" i="2"/>
  <c r="I1193" i="2"/>
  <c r="J1193" i="2" s="1"/>
  <c r="M1202" i="2"/>
  <c r="O1220" i="2"/>
  <c r="M1220" i="2"/>
  <c r="I1224" i="2"/>
  <c r="J1224" i="2" s="1"/>
  <c r="M1229" i="2"/>
  <c r="O1232" i="2"/>
  <c r="N1235" i="2"/>
  <c r="I1235" i="2"/>
  <c r="J1235" i="2" s="1"/>
  <c r="M1240" i="2"/>
  <c r="I1262" i="2"/>
  <c r="J1262" i="2" s="1"/>
  <c r="I1264" i="2"/>
  <c r="J1264" i="2" s="1"/>
  <c r="N1274" i="2"/>
  <c r="E1291" i="2"/>
  <c r="M1291" i="2"/>
  <c r="N1299" i="2"/>
  <c r="I1299" i="2"/>
  <c r="J1299" i="2" s="1"/>
  <c r="O1301" i="2"/>
  <c r="M1311" i="2"/>
  <c r="M1319" i="2"/>
  <c r="O1319" i="2"/>
  <c r="N1336" i="2"/>
  <c r="M1337" i="2"/>
  <c r="E1337" i="2"/>
  <c r="M1361" i="2"/>
  <c r="O1363" i="2"/>
  <c r="M1369" i="2"/>
  <c r="E1369" i="2"/>
  <c r="M1374" i="2"/>
  <c r="O1374" i="2"/>
  <c r="O1386" i="2"/>
  <c r="I1399" i="2"/>
  <c r="J1399" i="2" s="1"/>
  <c r="E1400" i="2"/>
  <c r="M1400" i="2"/>
  <c r="E1414" i="2"/>
  <c r="N1428" i="2"/>
  <c r="I1428" i="2"/>
  <c r="J1428" i="2" s="1"/>
  <c r="M1439" i="2"/>
  <c r="O1413" i="2"/>
  <c r="M1413" i="2"/>
  <c r="M1427" i="2"/>
  <c r="O1427" i="2"/>
  <c r="M1497" i="2"/>
  <c r="E1497" i="2"/>
  <c r="O1498" i="2"/>
  <c r="M1498" i="2"/>
  <c r="O1505" i="2"/>
  <c r="M1505" i="2"/>
  <c r="O1553" i="2"/>
  <c r="M1553" i="2"/>
  <c r="O1362" i="2"/>
  <c r="N1400" i="2"/>
  <c r="I1400" i="2"/>
  <c r="J1400" i="2" s="1"/>
  <c r="M1411" i="2"/>
  <c r="O1411" i="2"/>
  <c r="N1414" i="2"/>
  <c r="I1414" i="2"/>
  <c r="J1414" i="2" s="1"/>
  <c r="N1432" i="2"/>
  <c r="I1432" i="2"/>
  <c r="J1432" i="2" s="1"/>
  <c r="O1448" i="2"/>
  <c r="M1460" i="2"/>
  <c r="O1460" i="2"/>
  <c r="O1467" i="2"/>
  <c r="M1467" i="2"/>
  <c r="O1275" i="2"/>
  <c r="M1306" i="2"/>
  <c r="O1306" i="2"/>
  <c r="I1361" i="2"/>
  <c r="J1361" i="2" s="1"/>
  <c r="N1361" i="2"/>
  <c r="O1376" i="2"/>
  <c r="O1394" i="2"/>
  <c r="M1407" i="2"/>
  <c r="E1407" i="2"/>
  <c r="M1474" i="2"/>
  <c r="M1487" i="2"/>
  <c r="O1487" i="2"/>
  <c r="N1115" i="2"/>
  <c r="O1116" i="2"/>
  <c r="N1147" i="2"/>
  <c r="O1148" i="2"/>
  <c r="I1174" i="2"/>
  <c r="J1174" i="2" s="1"/>
  <c r="O1198" i="2"/>
  <c r="M1206" i="2"/>
  <c r="M1218" i="2"/>
  <c r="N1227" i="2"/>
  <c r="I1227" i="2"/>
  <c r="J1227" i="2" s="1"/>
  <c r="I1230" i="2"/>
  <c r="J1230" i="2" s="1"/>
  <c r="M1234" i="2"/>
  <c r="M1242" i="2"/>
  <c r="O1244" i="2"/>
  <c r="M1250" i="2"/>
  <c r="M1258" i="2"/>
  <c r="O1260" i="2"/>
  <c r="O1265" i="2"/>
  <c r="N1267" i="2"/>
  <c r="I1267" i="2"/>
  <c r="J1267" i="2" s="1"/>
  <c r="M1274" i="2"/>
  <c r="O1280" i="2"/>
  <c r="O1292" i="2"/>
  <c r="I1294" i="2"/>
  <c r="J1294" i="2" s="1"/>
  <c r="N1294" i="2"/>
  <c r="M1301" i="2"/>
  <c r="E1301" i="2"/>
  <c r="O1307" i="2"/>
  <c r="O1334" i="2"/>
  <c r="M1334" i="2"/>
  <c r="I1338" i="2"/>
  <c r="J1338" i="2" s="1"/>
  <c r="N1338" i="2"/>
  <c r="O1344" i="2"/>
  <c r="O1350" i="2"/>
  <c r="M1350" i="2"/>
  <c r="I1354" i="2"/>
  <c r="J1354" i="2" s="1"/>
  <c r="N1354" i="2"/>
  <c r="I1367" i="2"/>
  <c r="J1367" i="2" s="1"/>
  <c r="I1383" i="2"/>
  <c r="J1383" i="2" s="1"/>
  <c r="N1388" i="2"/>
  <c r="I1388" i="2"/>
  <c r="J1388" i="2" s="1"/>
  <c r="O1390" i="2"/>
  <c r="M1390" i="2"/>
  <c r="O1424" i="2"/>
  <c r="O1432" i="2"/>
  <c r="O1437" i="2"/>
  <c r="N1438" i="2"/>
  <c r="I1438" i="2"/>
  <c r="J1438" i="2" s="1"/>
  <c r="M1440" i="2"/>
  <c r="M1527" i="2"/>
  <c r="O1527" i="2"/>
  <c r="M1554" i="2"/>
  <c r="N1490" i="2"/>
  <c r="I1490" i="2"/>
  <c r="J1490" i="2" s="1"/>
  <c r="O1490" i="2"/>
  <c r="N1509" i="2"/>
  <c r="I1509" i="2"/>
  <c r="J1509" i="2" s="1"/>
  <c r="O1511" i="2"/>
  <c r="N1430" i="2"/>
  <c r="I1430" i="2"/>
  <c r="J1430" i="2" s="1"/>
  <c r="O1430" i="2"/>
  <c r="N1454" i="2"/>
  <c r="I1454" i="2"/>
  <c r="J1454" i="2" s="1"/>
  <c r="O1456" i="2"/>
  <c r="M1456" i="2"/>
  <c r="M1471" i="2"/>
  <c r="E1471" i="2"/>
  <c r="O1488" i="2"/>
  <c r="M1488" i="2"/>
  <c r="N1139" i="2"/>
  <c r="O1140" i="2"/>
  <c r="N1171" i="2"/>
  <c r="O1172" i="2"/>
  <c r="M1179" i="2"/>
  <c r="N1211" i="2"/>
  <c r="O1221" i="2"/>
  <c r="O1243" i="2"/>
  <c r="O1259" i="2"/>
  <c r="M1266" i="2"/>
  <c r="O1276" i="2"/>
  <c r="I1278" i="2"/>
  <c r="J1278" i="2" s="1"/>
  <c r="N1278" i="2"/>
  <c r="N1288" i="2"/>
  <c r="I1310" i="2"/>
  <c r="J1310" i="2" s="1"/>
  <c r="M1312" i="2"/>
  <c r="O1336" i="2"/>
  <c r="M1336" i="2"/>
  <c r="O1343" i="2"/>
  <c r="O1360" i="2"/>
  <c r="M1363" i="2"/>
  <c r="O1366" i="2"/>
  <c r="O1371" i="2"/>
  <c r="N1372" i="2"/>
  <c r="I1372" i="2"/>
  <c r="J1372" i="2" s="1"/>
  <c r="M1380" i="2"/>
  <c r="E1383" i="2"/>
  <c r="M1383" i="2"/>
  <c r="O1385" i="2"/>
  <c r="N1395" i="2"/>
  <c r="N1398" i="2"/>
  <c r="I1398" i="2"/>
  <c r="J1398" i="2" s="1"/>
  <c r="O1406" i="2"/>
  <c r="M1406" i="2"/>
  <c r="O1416" i="2"/>
  <c r="O1422" i="2"/>
  <c r="M1422" i="2"/>
  <c r="I1447" i="2"/>
  <c r="J1447" i="2" s="1"/>
  <c r="O1449" i="2"/>
  <c r="M1462" i="2"/>
  <c r="M1481" i="2"/>
  <c r="M1263" i="2"/>
  <c r="O1268" i="2"/>
  <c r="M1268" i="2"/>
  <c r="M1271" i="2"/>
  <c r="M1279" i="2"/>
  <c r="O1284" i="2"/>
  <c r="M1284" i="2"/>
  <c r="M1287" i="2"/>
  <c r="M1295" i="2"/>
  <c r="O1300" i="2"/>
  <c r="M1300" i="2"/>
  <c r="M1303" i="2"/>
  <c r="O1303" i="2"/>
  <c r="O1305" i="2"/>
  <c r="M1314" i="2"/>
  <c r="I1327" i="2"/>
  <c r="J1327" i="2" s="1"/>
  <c r="I1329" i="2"/>
  <c r="J1329" i="2" s="1"/>
  <c r="M1344" i="2"/>
  <c r="O1357" i="2"/>
  <c r="M1357" i="2"/>
  <c r="O1361" i="2"/>
  <c r="O1377" i="2"/>
  <c r="N1378" i="2"/>
  <c r="I1378" i="2"/>
  <c r="J1378" i="2" s="1"/>
  <c r="M1395" i="2"/>
  <c r="O1395" i="2"/>
  <c r="I1408" i="2"/>
  <c r="J1408" i="2" s="1"/>
  <c r="N1408" i="2"/>
  <c r="M1410" i="2"/>
  <c r="M1438" i="2"/>
  <c r="N1442" i="2"/>
  <c r="I1442" i="2"/>
  <c r="J1442" i="2" s="1"/>
  <c r="N1458" i="2"/>
  <c r="I1458" i="2"/>
  <c r="J1458" i="2" s="1"/>
  <c r="O1469" i="2"/>
  <c r="I1473" i="2"/>
  <c r="J1473" i="2" s="1"/>
  <c r="O1473" i="2"/>
  <c r="N1473" i="2"/>
  <c r="M1486" i="2"/>
  <c r="O1443" i="2"/>
  <c r="M1443" i="2"/>
  <c r="N1446" i="2"/>
  <c r="I1446" i="2"/>
  <c r="J1446" i="2" s="1"/>
  <c r="O1453" i="2"/>
  <c r="N1466" i="2"/>
  <c r="I1466" i="2"/>
  <c r="J1466" i="2" s="1"/>
  <c r="I1481" i="2"/>
  <c r="J1481" i="2" s="1"/>
  <c r="N1481" i="2"/>
  <c r="O1501" i="2"/>
  <c r="M1501" i="2"/>
  <c r="M1523" i="2"/>
  <c r="M1534" i="2"/>
  <c r="O1534" i="2"/>
  <c r="M1322" i="2"/>
  <c r="O1330" i="2"/>
  <c r="M1332" i="2"/>
  <c r="N1340" i="2"/>
  <c r="I1340" i="2"/>
  <c r="J1340" i="2" s="1"/>
  <c r="I1345" i="2"/>
  <c r="J1345" i="2" s="1"/>
  <c r="N1345" i="2"/>
  <c r="M1351" i="2"/>
  <c r="I1359" i="2"/>
  <c r="J1359" i="2" s="1"/>
  <c r="M1360" i="2"/>
  <c r="O1370" i="2"/>
  <c r="M1379" i="2"/>
  <c r="O1379" i="2"/>
  <c r="O1397" i="2"/>
  <c r="M1397" i="2"/>
  <c r="N1412" i="2"/>
  <c r="I1412" i="2"/>
  <c r="J1412" i="2" s="1"/>
  <c r="M1419" i="2"/>
  <c r="O1454" i="2"/>
  <c r="M1454" i="2"/>
  <c r="M1473" i="2"/>
  <c r="M1479" i="2"/>
  <c r="N1528" i="2"/>
  <c r="I1528" i="2"/>
  <c r="J1528" i="2" s="1"/>
  <c r="N1452" i="2"/>
  <c r="I1452" i="2"/>
  <c r="J1452" i="2" s="1"/>
  <c r="M1466" i="2"/>
  <c r="O1468" i="2"/>
  <c r="M1468" i="2"/>
  <c r="M1485" i="2"/>
  <c r="N1500" i="2"/>
  <c r="I1500" i="2"/>
  <c r="J1500" i="2" s="1"/>
  <c r="N1517" i="2"/>
  <c r="I1517" i="2"/>
  <c r="J1517" i="2" s="1"/>
  <c r="M1589" i="2"/>
  <c r="O1589" i="2"/>
  <c r="N1203" i="2"/>
  <c r="O1204" i="2"/>
  <c r="O1327" i="2"/>
  <c r="O1329" i="2"/>
  <c r="I1335" i="2"/>
  <c r="J1335" i="2" s="1"/>
  <c r="M1343" i="2"/>
  <c r="M1347" i="2"/>
  <c r="O1356" i="2"/>
  <c r="O1365" i="2"/>
  <c r="M1365" i="2"/>
  <c r="N1382" i="2"/>
  <c r="N1384" i="2"/>
  <c r="M1403" i="2"/>
  <c r="I1407" i="2"/>
  <c r="J1407" i="2" s="1"/>
  <c r="I1409" i="2"/>
  <c r="J1409" i="2" s="1"/>
  <c r="M1415" i="2"/>
  <c r="O1421" i="2"/>
  <c r="M1421" i="2"/>
  <c r="M1424" i="2"/>
  <c r="M1428" i="2"/>
  <c r="M1433" i="2"/>
  <c r="E1433" i="2"/>
  <c r="O1442" i="2"/>
  <c r="M1449" i="2"/>
  <c r="E1449" i="2"/>
  <c r="I1457" i="2"/>
  <c r="J1457" i="2" s="1"/>
  <c r="M1463" i="2"/>
  <c r="M1465" i="2"/>
  <c r="E1465" i="2"/>
  <c r="E1485" i="2"/>
  <c r="O1495" i="2"/>
  <c r="E1504" i="2"/>
  <c r="M1504" i="2"/>
  <c r="I1507" i="2"/>
  <c r="J1507" i="2" s="1"/>
  <c r="N1507" i="2"/>
  <c r="E1508" i="2"/>
  <c r="M1508" i="2"/>
  <c r="N1514" i="2"/>
  <c r="I1514" i="2"/>
  <c r="J1514" i="2" s="1"/>
  <c r="N1536" i="2"/>
  <c r="I1536" i="2"/>
  <c r="J1536" i="2" s="1"/>
  <c r="M1542" i="2"/>
  <c r="N1546" i="2"/>
  <c r="I1546" i="2"/>
  <c r="J1546" i="2" s="1"/>
  <c r="O1546" i="2"/>
  <c r="O1584" i="2"/>
  <c r="M1584" i="2"/>
  <c r="M1587" i="2"/>
  <c r="O1587" i="2"/>
  <c r="O1340" i="2"/>
  <c r="M1345" i="2"/>
  <c r="O1349" i="2"/>
  <c r="M1349" i="2"/>
  <c r="N1366" i="2"/>
  <c r="N1368" i="2"/>
  <c r="M1387" i="2"/>
  <c r="M1401" i="2"/>
  <c r="O1405" i="2"/>
  <c r="M1405" i="2"/>
  <c r="M1408" i="2"/>
  <c r="M1412" i="2"/>
  <c r="I1434" i="2"/>
  <c r="J1434" i="2" s="1"/>
  <c r="M1436" i="2"/>
  <c r="I1436" i="2"/>
  <c r="J1436" i="2" s="1"/>
  <c r="O1452" i="2"/>
  <c r="O1459" i="2"/>
  <c r="M1459" i="2"/>
  <c r="O1461" i="2"/>
  <c r="N1462" i="2"/>
  <c r="O1465" i="2"/>
  <c r="N1495" i="2"/>
  <c r="I1495" i="2"/>
  <c r="J1495" i="2" s="1"/>
  <c r="O1510" i="2"/>
  <c r="M1510" i="2"/>
  <c r="M1525" i="2"/>
  <c r="N1307" i="2"/>
  <c r="I1307" i="2"/>
  <c r="J1307" i="2" s="1"/>
  <c r="N1323" i="2"/>
  <c r="I1323" i="2"/>
  <c r="J1323" i="2" s="1"/>
  <c r="O1333" i="2"/>
  <c r="M1333" i="2"/>
  <c r="N1350" i="2"/>
  <c r="N1352" i="2"/>
  <c r="M1371" i="2"/>
  <c r="I1375" i="2"/>
  <c r="J1375" i="2" s="1"/>
  <c r="I1377" i="2"/>
  <c r="J1377" i="2" s="1"/>
  <c r="O1389" i="2"/>
  <c r="M1389" i="2"/>
  <c r="M1392" i="2"/>
  <c r="M1396" i="2"/>
  <c r="I1402" i="2"/>
  <c r="J1402" i="2" s="1"/>
  <c r="N1420" i="2"/>
  <c r="I1420" i="2"/>
  <c r="J1420" i="2" s="1"/>
  <c r="O1423" i="2"/>
  <c r="O1425" i="2"/>
  <c r="I1431" i="2"/>
  <c r="J1431" i="2" s="1"/>
  <c r="I1441" i="2"/>
  <c r="J1441" i="2" s="1"/>
  <c r="O1455" i="2"/>
  <c r="O1466" i="2"/>
  <c r="N1470" i="2"/>
  <c r="O1476" i="2"/>
  <c r="M1476" i="2"/>
  <c r="M1478" i="2"/>
  <c r="M1533" i="2"/>
  <c r="N1540" i="2"/>
  <c r="I1540" i="2"/>
  <c r="J1540" i="2" s="1"/>
  <c r="O1435" i="2"/>
  <c r="M1435" i="2"/>
  <c r="I1439" i="2"/>
  <c r="J1439" i="2" s="1"/>
  <c r="M1441" i="2"/>
  <c r="E1441" i="2"/>
  <c r="O1445" i="2"/>
  <c r="I1449" i="2"/>
  <c r="J1449" i="2" s="1"/>
  <c r="I1465" i="2"/>
  <c r="J1465" i="2" s="1"/>
  <c r="O1475" i="2"/>
  <c r="M1475" i="2"/>
  <c r="O1477" i="2"/>
  <c r="N1478" i="2"/>
  <c r="E1492" i="2"/>
  <c r="M1492" i="2"/>
  <c r="O1493" i="2"/>
  <c r="O1496" i="2"/>
  <c r="M1496" i="2"/>
  <c r="I1503" i="2"/>
  <c r="J1503" i="2" s="1"/>
  <c r="O1503" i="2"/>
  <c r="O1531" i="2"/>
  <c r="I1559" i="2"/>
  <c r="J1559" i="2" s="1"/>
  <c r="N1559" i="2"/>
  <c r="O1561" i="2"/>
  <c r="M1561" i="2"/>
  <c r="E1568" i="2"/>
  <c r="M1568" i="2"/>
  <c r="I1582" i="2"/>
  <c r="J1582" i="2" s="1"/>
  <c r="N1582" i="2"/>
  <c r="M1592" i="2"/>
  <c r="O1593" i="2"/>
  <c r="M1593" i="2"/>
  <c r="O1747" i="2"/>
  <c r="M1747" i="2"/>
  <c r="M1567" i="2"/>
  <c r="O1567" i="2"/>
  <c r="N1618" i="2"/>
  <c r="I1618" i="2"/>
  <c r="J1618" i="2" s="1"/>
  <c r="I1655" i="2"/>
  <c r="J1655" i="2" s="1"/>
  <c r="N1655" i="2"/>
  <c r="I1662" i="2"/>
  <c r="J1662" i="2" s="1"/>
  <c r="N1662" i="2"/>
  <c r="M1702" i="2"/>
  <c r="O1702" i="2"/>
  <c r="E1718" i="2"/>
  <c r="M1718" i="2"/>
  <c r="O1494" i="2"/>
  <c r="E1500" i="2"/>
  <c r="M1500" i="2"/>
  <c r="O1512" i="2"/>
  <c r="O1529" i="2"/>
  <c r="M1529" i="2"/>
  <c r="M1551" i="2"/>
  <c r="O1551" i="2"/>
  <c r="O1575" i="2"/>
  <c r="M1549" i="2"/>
  <c r="O1549" i="2"/>
  <c r="M1557" i="2"/>
  <c r="O1557" i="2"/>
  <c r="N1580" i="2"/>
  <c r="I1580" i="2"/>
  <c r="J1580" i="2" s="1"/>
  <c r="O1603" i="2"/>
  <c r="M1603" i="2"/>
  <c r="O1637" i="2"/>
  <c r="M1637" i="2"/>
  <c r="N1658" i="2"/>
  <c r="I1658" i="2"/>
  <c r="J1658" i="2" s="1"/>
  <c r="M1524" i="2"/>
  <c r="O1524" i="2"/>
  <c r="N1533" i="2"/>
  <c r="I1533" i="2"/>
  <c r="J1533" i="2" s="1"/>
  <c r="M1536" i="2"/>
  <c r="O1540" i="2"/>
  <c r="M1641" i="2"/>
  <c r="O1641" i="2"/>
  <c r="O1335" i="2"/>
  <c r="I1337" i="2"/>
  <c r="J1337" i="2" s="1"/>
  <c r="O1351" i="2"/>
  <c r="I1353" i="2"/>
  <c r="J1353" i="2" s="1"/>
  <c r="O1367" i="2"/>
  <c r="I1369" i="2"/>
  <c r="J1369" i="2" s="1"/>
  <c r="O1383" i="2"/>
  <c r="I1385" i="2"/>
  <c r="J1385" i="2" s="1"/>
  <c r="O1399" i="2"/>
  <c r="I1401" i="2"/>
  <c r="J1401" i="2" s="1"/>
  <c r="O1415" i="2"/>
  <c r="I1417" i="2"/>
  <c r="J1417" i="2" s="1"/>
  <c r="O1431" i="2"/>
  <c r="N1449" i="2"/>
  <c r="O1462" i="2"/>
  <c r="N1480" i="2"/>
  <c r="O1483" i="2"/>
  <c r="M1483" i="2"/>
  <c r="I1486" i="2"/>
  <c r="J1486" i="2" s="1"/>
  <c r="O1499" i="2"/>
  <c r="N1542" i="2"/>
  <c r="I1542" i="2"/>
  <c r="J1542" i="2" s="1"/>
  <c r="N1572" i="2"/>
  <c r="I1572" i="2"/>
  <c r="J1572" i="2" s="1"/>
  <c r="O1601" i="2"/>
  <c r="M1601" i="2"/>
  <c r="O1628" i="2"/>
  <c r="M1628" i="2"/>
  <c r="M1437" i="2"/>
  <c r="M1445" i="2"/>
  <c r="M1453" i="2"/>
  <c r="M1461" i="2"/>
  <c r="M1469" i="2"/>
  <c r="M1477" i="2"/>
  <c r="M1491" i="2"/>
  <c r="N1499" i="2"/>
  <c r="M1503" i="2"/>
  <c r="O1515" i="2"/>
  <c r="M1517" i="2"/>
  <c r="N1518" i="2"/>
  <c r="O1521" i="2"/>
  <c r="M1521" i="2"/>
  <c r="O1526" i="2"/>
  <c r="O1528" i="2"/>
  <c r="M1531" i="2"/>
  <c r="M1538" i="2"/>
  <c r="O1538" i="2"/>
  <c r="M1545" i="2"/>
  <c r="N1560" i="2"/>
  <c r="I1560" i="2"/>
  <c r="J1560" i="2" s="1"/>
  <c r="O1562" i="2"/>
  <c r="M1562" i="2"/>
  <c r="M1573" i="2"/>
  <c r="M1579" i="2"/>
  <c r="I1597" i="2"/>
  <c r="J1597" i="2" s="1"/>
  <c r="N1597" i="2"/>
  <c r="O1604" i="2"/>
  <c r="M1604" i="2"/>
  <c r="M1635" i="2"/>
  <c r="O1635" i="2"/>
  <c r="N1665" i="2"/>
  <c r="I1665" i="2"/>
  <c r="J1665" i="2" s="1"/>
  <c r="M1671" i="2"/>
  <c r="O1671" i="2"/>
  <c r="M1691" i="2"/>
  <c r="E1691" i="2"/>
  <c r="M1737" i="2"/>
  <c r="O1737" i="2"/>
  <c r="N1738" i="2"/>
  <c r="I1738" i="2"/>
  <c r="J1738" i="2" s="1"/>
  <c r="O1740" i="2"/>
  <c r="M1740" i="2"/>
  <c r="M1493" i="2"/>
  <c r="N1504" i="2"/>
  <c r="I1504" i="2"/>
  <c r="J1504" i="2" s="1"/>
  <c r="O1507" i="2"/>
  <c r="M1519" i="2"/>
  <c r="N1525" i="2"/>
  <c r="N1531" i="2"/>
  <c r="I1554" i="2"/>
  <c r="J1554" i="2" s="1"/>
  <c r="N1554" i="2"/>
  <c r="O1564" i="2"/>
  <c r="O1578" i="2"/>
  <c r="M1578" i="2"/>
  <c r="O1580" i="2"/>
  <c r="M1580" i="2"/>
  <c r="O1585" i="2"/>
  <c r="M1585" i="2"/>
  <c r="M1607" i="2"/>
  <c r="O1607" i="2"/>
  <c r="O1612" i="2"/>
  <c r="M1612" i="2"/>
  <c r="M1618" i="2"/>
  <c r="O1618" i="2"/>
  <c r="I1669" i="2"/>
  <c r="J1669" i="2" s="1"/>
  <c r="O1669" i="2"/>
  <c r="I1484" i="2"/>
  <c r="J1484" i="2" s="1"/>
  <c r="O1489" i="2"/>
  <c r="O1497" i="2"/>
  <c r="M1507" i="2"/>
  <c r="M1515" i="2"/>
  <c r="I1527" i="2"/>
  <c r="J1527" i="2" s="1"/>
  <c r="M1547" i="2"/>
  <c r="I1552" i="2"/>
  <c r="J1552" i="2" s="1"/>
  <c r="I1556" i="2"/>
  <c r="J1556" i="2" s="1"/>
  <c r="N1556" i="2"/>
  <c r="O1560" i="2"/>
  <c r="I1563" i="2"/>
  <c r="J1563" i="2" s="1"/>
  <c r="N1563" i="2"/>
  <c r="O1572" i="2"/>
  <c r="M1577" i="2"/>
  <c r="M1583" i="2"/>
  <c r="O1583" i="2"/>
  <c r="O1588" i="2"/>
  <c r="M1597" i="2"/>
  <c r="M1614" i="2"/>
  <c r="I1622" i="2"/>
  <c r="J1622" i="2" s="1"/>
  <c r="N1622" i="2"/>
  <c r="E1623" i="2"/>
  <c r="M1623" i="2"/>
  <c r="N1643" i="2"/>
  <c r="O1653" i="2"/>
  <c r="M1663" i="2"/>
  <c r="M1686" i="2"/>
  <c r="N1735" i="2"/>
  <c r="I1735" i="2"/>
  <c r="J1735" i="2" s="1"/>
  <c r="I1491" i="2"/>
  <c r="J1491" i="2" s="1"/>
  <c r="N1491" i="2"/>
  <c r="M1502" i="2"/>
  <c r="O1502" i="2"/>
  <c r="O1508" i="2"/>
  <c r="M1509" i="2"/>
  <c r="I1511" i="2"/>
  <c r="J1511" i="2" s="1"/>
  <c r="M1512" i="2"/>
  <c r="O1516" i="2"/>
  <c r="M1526" i="2"/>
  <c r="M1535" i="2"/>
  <c r="O1535" i="2"/>
  <c r="M1540" i="2"/>
  <c r="N1543" i="2"/>
  <c r="M1552" i="2"/>
  <c r="M1570" i="2"/>
  <c r="M1602" i="2"/>
  <c r="O1602" i="2"/>
  <c r="O1605" i="2"/>
  <c r="M1605" i="2"/>
  <c r="O1615" i="2"/>
  <c r="I1640" i="2"/>
  <c r="J1640" i="2" s="1"/>
  <c r="N1640" i="2"/>
  <c r="O1645" i="2"/>
  <c r="O1651" i="2"/>
  <c r="M1651" i="2"/>
  <c r="O1672" i="2"/>
  <c r="M1672" i="2"/>
  <c r="I1685" i="2"/>
  <c r="J1685" i="2" s="1"/>
  <c r="N1685" i="2"/>
  <c r="E1473" i="2"/>
  <c r="E1481" i="2"/>
  <c r="E1486" i="2"/>
  <c r="M1506" i="2"/>
  <c r="M1511" i="2"/>
  <c r="O1517" i="2"/>
  <c r="O1519" i="2"/>
  <c r="M1528" i="2"/>
  <c r="M1530" i="2"/>
  <c r="O1537" i="2"/>
  <c r="M1537" i="2"/>
  <c r="M1544" i="2"/>
  <c r="N1551" i="2"/>
  <c r="M1581" i="2"/>
  <c r="O1581" i="2"/>
  <c r="O1595" i="2"/>
  <c r="M1595" i="2"/>
  <c r="O1642" i="2"/>
  <c r="M1649" i="2"/>
  <c r="M1666" i="2"/>
  <c r="M1674" i="2"/>
  <c r="N1694" i="2"/>
  <c r="I1694" i="2"/>
  <c r="J1694" i="2" s="1"/>
  <c r="O1770" i="2"/>
  <c r="M1770" i="2"/>
  <c r="O1772" i="2"/>
  <c r="M1772" i="2"/>
  <c r="N1780" i="2"/>
  <c r="I1780" i="2"/>
  <c r="J1780" i="2" s="1"/>
  <c r="O1780" i="2"/>
  <c r="M1782" i="2"/>
  <c r="N1790" i="2"/>
  <c r="I1790" i="2"/>
  <c r="J1790" i="2" s="1"/>
  <c r="M1788" i="2"/>
  <c r="O1619" i="2"/>
  <c r="M1619" i="2"/>
  <c r="M1621" i="2"/>
  <c r="M1627" i="2"/>
  <c r="I1634" i="2"/>
  <c r="J1634" i="2" s="1"/>
  <c r="N1634" i="2"/>
  <c r="O1638" i="2"/>
  <c r="O1660" i="2"/>
  <c r="M1660" i="2"/>
  <c r="O1662" i="2"/>
  <c r="M1665" i="2"/>
  <c r="O1665" i="2"/>
  <c r="I1678" i="2"/>
  <c r="J1678" i="2" s="1"/>
  <c r="N1678" i="2"/>
  <c r="M1680" i="2"/>
  <c r="O1680" i="2"/>
  <c r="M1711" i="2"/>
  <c r="E1711" i="2"/>
  <c r="M1722" i="2"/>
  <c r="I1733" i="2"/>
  <c r="J1733" i="2" s="1"/>
  <c r="N1733" i="2"/>
  <c r="I1745" i="2"/>
  <c r="J1745" i="2" s="1"/>
  <c r="N1745" i="2"/>
  <c r="N1756" i="2"/>
  <c r="I1756" i="2"/>
  <c r="J1756" i="2" s="1"/>
  <c r="E1788" i="2"/>
  <c r="I1797" i="2"/>
  <c r="J1797" i="2" s="1"/>
  <c r="N1797" i="2"/>
  <c r="M1616" i="2"/>
  <c r="M1631" i="2"/>
  <c r="O1631" i="2"/>
  <c r="O1647" i="2"/>
  <c r="M1647" i="2"/>
  <c r="E1653" i="2"/>
  <c r="M1653" i="2"/>
  <c r="O1656" i="2"/>
  <c r="M1656" i="2"/>
  <c r="E1722" i="2"/>
  <c r="N1754" i="2"/>
  <c r="I1754" i="2"/>
  <c r="J1754" i="2" s="1"/>
  <c r="I1777" i="2"/>
  <c r="J1777" i="2" s="1"/>
  <c r="N1777" i="2"/>
  <c r="N1785" i="2"/>
  <c r="I1785" i="2"/>
  <c r="J1785" i="2" s="1"/>
  <c r="M1495" i="2"/>
  <c r="M1520" i="2"/>
  <c r="O1548" i="2"/>
  <c r="I1550" i="2"/>
  <c r="J1550" i="2" s="1"/>
  <c r="N1550" i="2"/>
  <c r="M1556" i="2"/>
  <c r="M1559" i="2"/>
  <c r="O1559" i="2"/>
  <c r="O1569" i="2"/>
  <c r="I1571" i="2"/>
  <c r="J1571" i="2" s="1"/>
  <c r="M1591" i="2"/>
  <c r="E1598" i="2"/>
  <c r="M1598" i="2"/>
  <c r="M1599" i="2"/>
  <c r="O1599" i="2"/>
  <c r="I1606" i="2"/>
  <c r="J1606" i="2" s="1"/>
  <c r="N1606" i="2"/>
  <c r="E1616" i="2"/>
  <c r="O1627" i="2"/>
  <c r="I1630" i="2"/>
  <c r="J1630" i="2" s="1"/>
  <c r="N1630" i="2"/>
  <c r="O1648" i="2"/>
  <c r="M1658" i="2"/>
  <c r="I1693" i="2"/>
  <c r="J1693" i="2" s="1"/>
  <c r="N1693" i="2"/>
  <c r="O1697" i="2"/>
  <c r="O1741" i="2"/>
  <c r="I1742" i="2"/>
  <c r="J1742" i="2" s="1"/>
  <c r="O1742" i="2"/>
  <c r="N1742" i="2"/>
  <c r="N1746" i="2"/>
  <c r="I1746" i="2"/>
  <c r="J1746" i="2" s="1"/>
  <c r="O1768" i="2"/>
  <c r="M1768" i="2"/>
  <c r="N1769" i="2"/>
  <c r="I1769" i="2"/>
  <c r="J1769" i="2" s="1"/>
  <c r="O1791" i="2"/>
  <c r="M1791" i="2"/>
  <c r="M1794" i="2"/>
  <c r="O1794" i="2"/>
  <c r="N1696" i="2"/>
  <c r="I1696" i="2"/>
  <c r="J1696" i="2" s="1"/>
  <c r="I1701" i="2"/>
  <c r="J1701" i="2" s="1"/>
  <c r="N1701" i="2"/>
  <c r="E1717" i="2"/>
  <c r="M1717" i="2"/>
  <c r="O1733" i="2"/>
  <c r="N1736" i="2"/>
  <c r="I1736" i="2"/>
  <c r="J1736" i="2" s="1"/>
  <c r="O1739" i="2"/>
  <c r="M1739" i="2"/>
  <c r="N1743" i="2"/>
  <c r="I1743" i="2"/>
  <c r="J1743" i="2" s="1"/>
  <c r="M1762" i="2"/>
  <c r="O1762" i="2"/>
  <c r="E1773" i="2"/>
  <c r="M1773" i="2"/>
  <c r="N1778" i="2"/>
  <c r="I1778" i="2"/>
  <c r="J1778" i="2" s="1"/>
  <c r="O1790" i="2"/>
  <c r="I1515" i="2"/>
  <c r="J1515" i="2" s="1"/>
  <c r="O1539" i="2"/>
  <c r="I1547" i="2"/>
  <c r="J1547" i="2" s="1"/>
  <c r="N1557" i="2"/>
  <c r="O1558" i="2"/>
  <c r="I1565" i="2"/>
  <c r="J1565" i="2" s="1"/>
  <c r="M1566" i="2"/>
  <c r="N1568" i="2"/>
  <c r="I1568" i="2"/>
  <c r="J1568" i="2" s="1"/>
  <c r="I1583" i="2"/>
  <c r="J1583" i="2" s="1"/>
  <c r="O1592" i="2"/>
  <c r="I1614" i="2"/>
  <c r="J1614" i="2" s="1"/>
  <c r="M1615" i="2"/>
  <c r="I1616" i="2"/>
  <c r="J1616" i="2" s="1"/>
  <c r="O1621" i="2"/>
  <c r="M1626" i="2"/>
  <c r="O1626" i="2"/>
  <c r="M1632" i="2"/>
  <c r="O1639" i="2"/>
  <c r="M1643" i="2"/>
  <c r="M1650" i="2"/>
  <c r="O1650" i="2"/>
  <c r="O1658" i="2"/>
  <c r="O1661" i="2"/>
  <c r="N1674" i="2"/>
  <c r="I1674" i="2"/>
  <c r="J1674" i="2" s="1"/>
  <c r="O1676" i="2"/>
  <c r="M1676" i="2"/>
  <c r="I1687" i="2"/>
  <c r="J1687" i="2" s="1"/>
  <c r="N1687" i="2"/>
  <c r="I1689" i="2"/>
  <c r="J1689" i="2" s="1"/>
  <c r="M1756" i="2"/>
  <c r="E1758" i="2"/>
  <c r="M1758" i="2"/>
  <c r="O1571" i="2"/>
  <c r="O1582" i="2"/>
  <c r="O1590" i="2"/>
  <c r="M1594" i="2"/>
  <c r="O1594" i="2"/>
  <c r="M1600" i="2"/>
  <c r="M1611" i="2"/>
  <c r="N1617" i="2"/>
  <c r="I1623" i="2"/>
  <c r="J1623" i="2" s="1"/>
  <c r="I1625" i="2"/>
  <c r="J1625" i="2" s="1"/>
  <c r="N1625" i="2"/>
  <c r="N1627" i="2"/>
  <c r="I1627" i="2"/>
  <c r="J1627" i="2" s="1"/>
  <c r="M1648" i="2"/>
  <c r="O1655" i="2"/>
  <c r="M1655" i="2"/>
  <c r="M1657" i="2"/>
  <c r="N1661" i="2"/>
  <c r="O1667" i="2"/>
  <c r="M1667" i="2"/>
  <c r="I1677" i="2"/>
  <c r="J1677" i="2" s="1"/>
  <c r="N1677" i="2"/>
  <c r="M1689" i="2"/>
  <c r="O1699" i="2"/>
  <c r="M1699" i="2"/>
  <c r="O1719" i="2"/>
  <c r="I1728" i="2"/>
  <c r="J1728" i="2" s="1"/>
  <c r="N1728" i="2"/>
  <c r="O1730" i="2"/>
  <c r="M1730" i="2"/>
  <c r="O1756" i="2"/>
  <c r="M1543" i="2"/>
  <c r="I1555" i="2"/>
  <c r="J1555" i="2" s="1"/>
  <c r="M1575" i="2"/>
  <c r="M1586" i="2"/>
  <c r="O1586" i="2"/>
  <c r="N1603" i="2"/>
  <c r="M1609" i="2"/>
  <c r="N1611" i="2"/>
  <c r="I1611" i="2"/>
  <c r="J1611" i="2" s="1"/>
  <c r="N1642" i="2"/>
  <c r="M1646" i="2"/>
  <c r="M1652" i="2"/>
  <c r="E1652" i="2"/>
  <c r="O1654" i="2"/>
  <c r="M1662" i="2"/>
  <c r="E1662" i="2"/>
  <c r="I1711" i="2"/>
  <c r="J1711" i="2" s="1"/>
  <c r="O1711" i="2"/>
  <c r="N1711" i="2"/>
  <c r="M1713" i="2"/>
  <c r="O1713" i="2"/>
  <c r="O1720" i="2"/>
  <c r="N1758" i="2"/>
  <c r="I1758" i="2"/>
  <c r="J1758" i="2" s="1"/>
  <c r="O1767" i="2"/>
  <c r="O1775" i="2"/>
  <c r="M1775" i="2"/>
  <c r="N1512" i="2"/>
  <c r="O1513" i="2"/>
  <c r="N1544" i="2"/>
  <c r="O1545" i="2"/>
  <c r="N1576" i="2"/>
  <c r="O1577" i="2"/>
  <c r="N1587" i="2"/>
  <c r="O1596" i="2"/>
  <c r="I1598" i="2"/>
  <c r="J1598" i="2" s="1"/>
  <c r="N1598" i="2"/>
  <c r="N1600" i="2"/>
  <c r="O1629" i="2"/>
  <c r="N1631" i="2"/>
  <c r="M1642" i="2"/>
  <c r="O1644" i="2"/>
  <c r="I1646" i="2"/>
  <c r="J1646" i="2" s="1"/>
  <c r="N1671" i="2"/>
  <c r="N1698" i="2"/>
  <c r="I1698" i="2"/>
  <c r="J1698" i="2" s="1"/>
  <c r="M1721" i="2"/>
  <c r="O1721" i="2"/>
  <c r="O1738" i="2"/>
  <c r="M1766" i="2"/>
  <c r="O1778" i="2"/>
  <c r="O1779" i="2"/>
  <c r="M1779" i="2"/>
  <c r="I1781" i="2"/>
  <c r="J1781" i="2" s="1"/>
  <c r="N1781" i="2"/>
  <c r="E1790" i="2"/>
  <c r="M1790" i="2"/>
  <c r="M1712" i="2"/>
  <c r="E1715" i="2"/>
  <c r="M1715" i="2"/>
  <c r="N1722" i="2"/>
  <c r="I1722" i="2"/>
  <c r="J1722" i="2" s="1"/>
  <c r="O1736" i="2"/>
  <c r="O1764" i="2"/>
  <c r="M1764" i="2"/>
  <c r="I1765" i="2"/>
  <c r="J1765" i="2" s="1"/>
  <c r="N1765" i="2"/>
  <c r="O1776" i="2"/>
  <c r="M1800" i="2"/>
  <c r="O1800" i="2"/>
  <c r="O1683" i="2"/>
  <c r="O1698" i="2"/>
  <c r="O1700" i="2"/>
  <c r="N1704" i="2"/>
  <c r="I1704" i="2"/>
  <c r="J1704" i="2" s="1"/>
  <c r="N1706" i="2"/>
  <c r="I1706" i="2"/>
  <c r="J1706" i="2" s="1"/>
  <c r="M1719" i="2"/>
  <c r="N1720" i="2"/>
  <c r="I1720" i="2"/>
  <c r="J1720" i="2" s="1"/>
  <c r="M1724" i="2"/>
  <c r="O1726" i="2"/>
  <c r="M1726" i="2"/>
  <c r="M1745" i="2"/>
  <c r="O1749" i="2"/>
  <c r="O1754" i="2"/>
  <c r="M1754" i="2"/>
  <c r="O1760" i="2"/>
  <c r="M1760" i="2"/>
  <c r="I1761" i="2"/>
  <c r="J1761" i="2" s="1"/>
  <c r="N1761" i="2"/>
  <c r="O1789" i="2"/>
  <c r="O1614" i="2"/>
  <c r="M1622" i="2"/>
  <c r="M1634" i="2"/>
  <c r="O1643" i="2"/>
  <c r="N1659" i="2"/>
  <c r="O1664" i="2"/>
  <c r="M1670" i="2"/>
  <c r="E1670" i="2"/>
  <c r="N1675" i="2"/>
  <c r="N1682" i="2"/>
  <c r="I1682" i="2"/>
  <c r="J1682" i="2" s="1"/>
  <c r="O1685" i="2"/>
  <c r="M1694" i="2"/>
  <c r="M1696" i="2"/>
  <c r="N1708" i="2"/>
  <c r="M1709" i="2"/>
  <c r="M1716" i="2"/>
  <c r="O1722" i="2"/>
  <c r="O1735" i="2"/>
  <c r="M1742" i="2"/>
  <c r="M1746" i="2"/>
  <c r="M1751" i="2"/>
  <c r="E1751" i="2"/>
  <c r="M1752" i="2"/>
  <c r="O1753" i="2"/>
  <c r="O1763" i="2"/>
  <c r="M1767" i="2"/>
  <c r="N1786" i="2"/>
  <c r="I1786" i="2"/>
  <c r="J1786" i="2" s="1"/>
  <c r="N1788" i="2"/>
  <c r="I1788" i="2"/>
  <c r="J1788" i="2" s="1"/>
  <c r="M1743" i="2"/>
  <c r="I1590" i="2"/>
  <c r="J1590" i="2" s="1"/>
  <c r="I1602" i="2"/>
  <c r="J1602" i="2" s="1"/>
  <c r="M1610" i="2"/>
  <c r="M1613" i="2"/>
  <c r="O1623" i="2"/>
  <c r="N1632" i="2"/>
  <c r="O1633" i="2"/>
  <c r="N1635" i="2"/>
  <c r="O1636" i="2"/>
  <c r="M1636" i="2"/>
  <c r="N1647" i="2"/>
  <c r="N1650" i="2"/>
  <c r="O1659" i="2"/>
  <c r="O1668" i="2"/>
  <c r="I1670" i="2"/>
  <c r="J1670" i="2" s="1"/>
  <c r="M1673" i="2"/>
  <c r="I1673" i="2"/>
  <c r="J1673" i="2" s="1"/>
  <c r="O1675" i="2"/>
  <c r="M1675" i="2"/>
  <c r="M1687" i="2"/>
  <c r="E1687" i="2"/>
  <c r="O1690" i="2"/>
  <c r="M1692" i="2"/>
  <c r="E1693" i="2"/>
  <c r="M1693" i="2"/>
  <c r="O1695" i="2"/>
  <c r="M1698" i="2"/>
  <c r="O1706" i="2"/>
  <c r="O1708" i="2"/>
  <c r="M1708" i="2"/>
  <c r="I1708" i="2"/>
  <c r="J1708" i="2" s="1"/>
  <c r="O1765" i="2"/>
  <c r="O1773" i="2"/>
  <c r="O1781" i="2"/>
  <c r="M1792" i="2"/>
  <c r="M1778" i="2"/>
  <c r="M1783" i="2"/>
  <c r="E1783" i="2"/>
  <c r="O1786" i="2"/>
  <c r="M1786" i="2"/>
  <c r="I1793" i="2"/>
  <c r="J1793" i="2" s="1"/>
  <c r="N1793" i="2"/>
  <c r="O1795" i="2"/>
  <c r="M1795" i="2"/>
  <c r="N1619" i="2"/>
  <c r="O1620" i="2"/>
  <c r="O1652" i="2"/>
  <c r="N1663" i="2"/>
  <c r="N1666" i="2"/>
  <c r="I1666" i="2"/>
  <c r="J1666" i="2" s="1"/>
  <c r="O1679" i="2"/>
  <c r="M1684" i="2"/>
  <c r="O1693" i="2"/>
  <c r="M1705" i="2"/>
  <c r="I1725" i="2"/>
  <c r="J1725" i="2" s="1"/>
  <c r="N1725" i="2"/>
  <c r="O1727" i="2"/>
  <c r="M1736" i="2"/>
  <c r="M1741" i="2"/>
  <c r="O1744" i="2"/>
  <c r="I1749" i="2"/>
  <c r="J1749" i="2" s="1"/>
  <c r="N1749" i="2"/>
  <c r="M1750" i="2"/>
  <c r="O1758" i="2"/>
  <c r="O1759" i="2"/>
  <c r="M1759" i="2"/>
  <c r="N1770" i="2"/>
  <c r="I1774" i="2"/>
  <c r="J1774" i="2" s="1"/>
  <c r="N1774" i="2"/>
  <c r="O1785" i="2"/>
  <c r="O1797" i="2"/>
  <c r="M1681" i="2"/>
  <c r="M1703" i="2"/>
  <c r="I1719" i="2"/>
  <c r="J1719" i="2" s="1"/>
  <c r="O1723" i="2"/>
  <c r="I1751" i="2"/>
  <c r="J1751" i="2" s="1"/>
  <c r="I1767" i="2"/>
  <c r="J1767" i="2" s="1"/>
  <c r="I1783" i="2"/>
  <c r="J1783" i="2" s="1"/>
  <c r="M1801" i="2"/>
  <c r="O1801" i="2"/>
  <c r="O1681" i="2"/>
  <c r="O1691" i="2"/>
  <c r="O1703" i="2"/>
  <c r="N1714" i="2"/>
  <c r="O1715" i="2"/>
  <c r="M1723" i="2"/>
  <c r="M1735" i="2"/>
  <c r="M1753" i="2"/>
  <c r="M1769" i="2"/>
  <c r="M1785" i="2"/>
  <c r="N1690" i="2"/>
  <c r="O1707" i="2"/>
  <c r="I1710" i="2"/>
  <c r="J1710" i="2" s="1"/>
  <c r="I1717" i="2"/>
  <c r="J1717" i="2" s="1"/>
  <c r="N1717" i="2"/>
  <c r="O1731" i="2"/>
  <c r="N1740" i="2"/>
  <c r="N1751" i="2"/>
  <c r="O1755" i="2"/>
  <c r="N1767" i="2"/>
  <c r="O1771" i="2"/>
  <c r="N1783" i="2"/>
  <c r="O1787" i="2"/>
  <c r="I1757" i="2"/>
  <c r="J1757" i="2" s="1"/>
  <c r="M1777" i="2"/>
  <c r="I1789" i="2"/>
  <c r="J1789" i="2" s="1"/>
  <c r="M1799" i="2"/>
  <c r="M1697" i="2"/>
  <c r="I1709" i="2"/>
  <c r="J1709" i="2" s="1"/>
  <c r="M1729" i="2"/>
  <c r="I1741" i="2"/>
  <c r="J1741" i="2" s="1"/>
  <c r="O1745" i="2"/>
  <c r="M1761" i="2"/>
  <c r="I1773" i="2"/>
  <c r="J1773" i="2" s="1"/>
  <c r="O1777" i="2"/>
  <c r="M1793" i="2"/>
  <c r="O1799" i="2"/>
  <c r="D5" i="4" l="1"/>
  <c r="D6" i="4" s="1"/>
  <c r="J2" i="2"/>
  <c r="D9" i="4"/>
</calcChain>
</file>

<file path=xl/sharedStrings.xml><?xml version="1.0" encoding="utf-8"?>
<sst xmlns="http://schemas.openxmlformats.org/spreadsheetml/2006/main" count="5668" uniqueCount="114">
  <si>
    <t>Store Location</t>
  </si>
  <si>
    <t>Region</t>
  </si>
  <si>
    <t>Product Category</t>
  </si>
  <si>
    <t>Month</t>
  </si>
  <si>
    <t>Units Sold</t>
  </si>
  <si>
    <t>Revenue</t>
  </si>
  <si>
    <t>Cost</t>
  </si>
  <si>
    <t>Profit</t>
  </si>
  <si>
    <t>Customer Satisfaction Score</t>
  </si>
  <si>
    <t>Employee Count</t>
  </si>
  <si>
    <t>Newark RM-01</t>
  </si>
  <si>
    <t>Northeast</t>
  </si>
  <si>
    <t>Electronics</t>
  </si>
  <si>
    <t>Home Goods</t>
  </si>
  <si>
    <t>Apparel</t>
  </si>
  <si>
    <t>Beauty</t>
  </si>
  <si>
    <t>Grocery</t>
  </si>
  <si>
    <t>Sports</t>
  </si>
  <si>
    <t>Boston RM-02</t>
  </si>
  <si>
    <t>Philadelphia RM-03</t>
  </si>
  <si>
    <t>Buffalo RM-04</t>
  </si>
  <si>
    <t>Providence RM-05</t>
  </si>
  <si>
    <t>Dallas RM-06</t>
  </si>
  <si>
    <t>South</t>
  </si>
  <si>
    <t>Austin RM-07</t>
  </si>
  <si>
    <t>Houston RM-08</t>
  </si>
  <si>
    <t>Atlanta RM-09</t>
  </si>
  <si>
    <t>Charlotte RM-10</t>
  </si>
  <si>
    <t>Chicago RM-11</t>
  </si>
  <si>
    <t>Midwest</t>
  </si>
  <si>
    <t>Detroit RM-12</t>
  </si>
  <si>
    <t>Cleveland RM-13</t>
  </si>
  <si>
    <t>Columbus RM-14</t>
  </si>
  <si>
    <t>Indianapolis RM-15</t>
  </si>
  <si>
    <t>Seattle RM-16</t>
  </si>
  <si>
    <t>West</t>
  </si>
  <si>
    <t>Portland RM-17</t>
  </si>
  <si>
    <t>Phoenix RM-18</t>
  </si>
  <si>
    <t>Denver RM-19</t>
  </si>
  <si>
    <t>Las Vegas RM-20</t>
  </si>
  <si>
    <t>Miami RM-21</t>
  </si>
  <si>
    <t>Southeast</t>
  </si>
  <si>
    <t>Orlando RM-22</t>
  </si>
  <si>
    <t>Tampa RM-23</t>
  </si>
  <si>
    <t>Nashville RM-24</t>
  </si>
  <si>
    <t>New Orleans RM-25</t>
  </si>
  <si>
    <t>Month Name</t>
  </si>
  <si>
    <t>Profit Margin %</t>
  </si>
  <si>
    <t>Unique Store-Month Employee Count</t>
  </si>
  <si>
    <t>Sales per Employee</t>
  </si>
  <si>
    <t>Data Quality Flag</t>
  </si>
  <si>
    <t>RetailMax Pivot Tables / Summary Data</t>
  </si>
  <si>
    <t>Revenue by Store</t>
  </si>
  <si>
    <t>Profit by Store</t>
  </si>
  <si>
    <t>Margin %</t>
  </si>
  <si>
    <t>Avg Satisfaction</t>
  </si>
  <si>
    <t>Product Category Performance</t>
  </si>
  <si>
    <t>Monthly Revenue Trend</t>
  </si>
  <si>
    <t>Revenue by Region</t>
  </si>
  <si>
    <t>Customer Satisfaction by Store</t>
  </si>
  <si>
    <t>RetailMax KPI Calculations</t>
  </si>
  <si>
    <t>KPI Category</t>
  </si>
  <si>
    <t>KPI</t>
  </si>
  <si>
    <t>Formula / Method</t>
  </si>
  <si>
    <t>Value</t>
  </si>
  <si>
    <t>Financial</t>
  </si>
  <si>
    <t>Total Revenue</t>
  </si>
  <si>
    <t>SUM of cleaned Revenue</t>
  </si>
  <si>
    <t>Total Profit</t>
  </si>
  <si>
    <t>SUM of cleaned Profit</t>
  </si>
  <si>
    <t>Total Profit divided by Total Revenue</t>
  </si>
  <si>
    <t>Revenue Growth %</t>
  </si>
  <si>
    <t>December Revenue minus January Revenue, divided by January Revenue</t>
  </si>
  <si>
    <t>Operational</t>
  </si>
  <si>
    <t>Average Units Sold</t>
  </si>
  <si>
    <t>AVERAGE of cleaned Units Sold</t>
  </si>
  <si>
    <t>Total Revenue divided by unique store-month employee count</t>
  </si>
  <si>
    <t>Customer</t>
  </si>
  <si>
    <t>Average Customer Satisfaction</t>
  </si>
  <si>
    <t>AVERAGE of Customer Satisfaction Score</t>
  </si>
  <si>
    <t>Highest Satisfaction Location</t>
  </si>
  <si>
    <t>Highest average satisfaction location from store-level pivot</t>
  </si>
  <si>
    <t>Seattle RM-16 (4.64)</t>
  </si>
  <si>
    <t>Lowest Satisfaction Location</t>
  </si>
  <si>
    <t>Lowest average satisfaction location from store-level pivot</t>
  </si>
  <si>
    <t>Detroit RM-12 (3.25)</t>
  </si>
  <si>
    <t>RetailMax Profitability Dashboard</t>
  </si>
  <si>
    <t>Key Findings</t>
  </si>
  <si>
    <t>• Revenue grew 108.7% from January to December, driven by holiday demand and stronger West/South store performance.
• Profit margin fell from 32.5% in January to 22.9% in December, showing cost inflation and promotional pressure.
• Grocery has the weakest margin (7.8%); Beauty has the highest margin (49.9%).
• Detroit RM-12 and Buffalo RM-04 have the lowest satisfaction scores and need service/process improvement.</t>
  </si>
  <si>
    <t>Best Satisfaction</t>
  </si>
  <si>
    <t>RetailMax Business Recommendations</t>
  </si>
  <si>
    <t>Recommendation</t>
  </si>
  <si>
    <t>Data Support</t>
  </si>
  <si>
    <t>Expected Business Impact</t>
  </si>
  <si>
    <t>Suggested Action</t>
  </si>
  <si>
    <t>Priority</t>
  </si>
  <si>
    <t>Shift marketing toward high-margin categories</t>
  </si>
  <si>
    <t>Beauty delivered the highest margin at 49.9%; Grocery generated only 7.8% margin.</t>
  </si>
  <si>
    <t>Improve gross margin without needing major sales volume growth.</t>
  </si>
  <si>
    <t>Bundle Beauty, Apparel, and Sports products; reduce blanket discounting on low-margin categories.</t>
  </si>
  <si>
    <t>High</t>
  </si>
  <si>
    <t>Fix low-satisfaction locations</t>
  </si>
  <si>
    <t>Detroit RM-12 had the lowest customer satisfaction at 3.25; Buffalo RM-04 was second lowest at 3.35.</t>
  </si>
  <si>
    <t>Improve retention, repeat visits, and service quality.</t>
  </si>
  <si>
    <t>Audit staffing, checkout wait times, inventory availability, and employee training in the lowest-rated stores.</t>
  </si>
  <si>
    <t>Protect margins during seasonal spikes</t>
  </si>
  <si>
    <t>December produced the highest revenue ($1,763,643) but margin dropped to 22.9%.</t>
  </si>
  <si>
    <t>Preserve profit during periods where sales demand is naturally high.</t>
  </si>
  <si>
    <t>Use targeted promotions instead of full-store discounts; renegotiate seasonal vendor costs.</t>
  </si>
  <si>
    <t>Medium</t>
  </si>
  <si>
    <t>Scale winning practices from top stores</t>
  </si>
  <si>
    <t>Seattle RM-16 and Austin RM-07 generated the highest profits ($209,473 and $201,633).</t>
  </si>
  <si>
    <t>Replicate proven staffing, merchandising, and customer-service approaches.</t>
  </si>
  <si>
    <t>Interview top store managers and create a playbook for underperforming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</si>
</sst>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\$#,##0"/>
    <numFmt numFmtId="166" formatCode="0.0%"/>
    <numFmt numFmtId="167" formatCode="mmm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3"/>
      <color rgb="FF1F2937"/>
      <name val="Carlito"/>
    </font>
    <font>
      <b/>
      <sz val="18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D7D31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166" fontId="0" fillId="0" borderId="0" xfId="0" applyNumberFormat="1"/>
    <xf numFmtId="0" fontId="2" fillId="2" borderId="0" xfId="0" applyFont="1" applyFill="1"/>
    <xf numFmtId="0" fontId="3" fillId="0" borderId="0" xfId="0" applyFont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4" fillId="2" borderId="0" xfId="0" applyFont="1" applyFill="1" applyAlignment="1">
      <alignment horizontal="center"/>
    </xf>
    <xf numFmtId="0" fontId="0" fillId="7" borderId="0" xfId="0" applyFill="1"/>
    <xf numFmtId="165" fontId="0" fillId="7" borderId="0" xfId="0" applyNumberFormat="1" applyFill="1"/>
    <xf numFmtId="166" fontId="0" fillId="7" borderId="0" xfId="0" applyNumberFormat="1" applyFill="1"/>
    <xf numFmtId="3" fontId="0" fillId="7" borderId="0" xfId="0" applyNumberFormat="1" applyFill="1"/>
    <xf numFmtId="0" fontId="0" fillId="7" borderId="1" xfId="0" applyFill="1" applyBorder="1"/>
    <xf numFmtId="2" fontId="0" fillId="7" borderId="1" xfId="0" applyNumberFormat="1" applyFill="1" applyBorder="1"/>
    <xf numFmtId="167" fontId="0" fillId="0" borderId="0" xfId="0" applyNumberFormat="1"/>
    <xf numFmtId="0" fontId="0" fillId="7" borderId="0" xfId="0" applyFill="1" applyAlignment="1">
      <alignment vertical="top"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Dashboard!$P$2:$P$6</c:f>
              <c:strCache>
                <c:ptCount val="5"/>
                <c:pt idx="0">
                  <c:v>West</c:v>
                </c:pt>
                <c:pt idx="1">
                  <c:v>South</c:v>
                </c:pt>
                <c:pt idx="2">
                  <c:v>Southeast</c:v>
                </c:pt>
                <c:pt idx="3">
                  <c:v>Midwest</c:v>
                </c:pt>
                <c:pt idx="4">
                  <c:v>Northeast</c:v>
                </c:pt>
              </c:strCache>
            </c:strRef>
          </c:cat>
          <c:val>
            <c:numRef>
              <c:f>Dashboard!$Q$2:$Q$6</c:f>
              <c:numCache>
                <c:formatCode>\$#,##0</c:formatCode>
                <c:ptCount val="5"/>
                <c:pt idx="0">
                  <c:v>3166671.959999999</c:v>
                </c:pt>
                <c:pt idx="1">
                  <c:v>2905456.4599999972</c:v>
                </c:pt>
                <c:pt idx="2">
                  <c:v>2883546.3000000021</c:v>
                </c:pt>
                <c:pt idx="3">
                  <c:v>2475171.6200000006</c:v>
                </c:pt>
                <c:pt idx="4">
                  <c:v>2456345.3400000012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B-3547-B602-3344C4F98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invertIfNegative val="1"/>
          <c:cat>
            <c:strRef>
              <c:f>Dashboard!$S$2:$S$7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Grocery</c:v>
                </c:pt>
              </c:strCache>
            </c:strRef>
          </c:cat>
          <c:val>
            <c:numRef>
              <c:f>Dashboard!$T$2:$T$7</c:f>
              <c:numCache>
                <c:formatCode>\$#,##0</c:formatCode>
                <c:ptCount val="6"/>
                <c:pt idx="0">
                  <c:v>1124161.5600000003</c:v>
                </c:pt>
                <c:pt idx="1">
                  <c:v>788430.41000000038</c:v>
                </c:pt>
                <c:pt idx="2">
                  <c:v>767715.33000000007</c:v>
                </c:pt>
                <c:pt idx="3">
                  <c:v>604999.69000000029</c:v>
                </c:pt>
                <c:pt idx="4">
                  <c:v>579316.90999999968</c:v>
                </c:pt>
                <c:pt idx="5">
                  <c:v>78428.17999999992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E-4E40-B68A-A13F1860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numRef>
              <c:f>Dashboard!$V$2:$V$13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Dashboard!$W$2:$W$13</c:f>
              <c:numCache>
                <c:formatCode>\$#,##0</c:formatCode>
                <c:ptCount val="12"/>
                <c:pt idx="0">
                  <c:v>844872.6</c:v>
                </c:pt>
                <c:pt idx="1">
                  <c:v>826792.02000000014</c:v>
                </c:pt>
                <c:pt idx="2">
                  <c:v>972561.45000000054</c:v>
                </c:pt>
                <c:pt idx="3">
                  <c:v>1029893.48</c:v>
                </c:pt>
                <c:pt idx="4">
                  <c:v>1122932.6399999999</c:v>
                </c:pt>
                <c:pt idx="5">
                  <c:v>1159230.1600000006</c:v>
                </c:pt>
                <c:pt idx="6">
                  <c:v>1199263.06</c:v>
                </c:pt>
                <c:pt idx="7">
                  <c:v>1186344.78</c:v>
                </c:pt>
                <c:pt idx="8">
                  <c:v>1076452.9099999997</c:v>
                </c:pt>
                <c:pt idx="9">
                  <c:v>1134717.73</c:v>
                </c:pt>
                <c:pt idx="10">
                  <c:v>1570487.8500000003</c:v>
                </c:pt>
                <c:pt idx="11">
                  <c:v>1763642.9999999993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4-F447-97B3-67BAF5C61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Avg Satisfaction</c:v>
          </c:tx>
          <c:invertIfNegative val="1"/>
          <c:cat>
            <c:strRef>
              <c:f>Dashboard!$Y$2:$Y$26</c:f>
              <c:strCache>
                <c:ptCount val="25"/>
                <c:pt idx="0">
                  <c:v>Detroit RM-12</c:v>
                </c:pt>
                <c:pt idx="1">
                  <c:v>Buffalo RM-04</c:v>
                </c:pt>
                <c:pt idx="2">
                  <c:v>Providence RM-05</c:v>
                </c:pt>
                <c:pt idx="3">
                  <c:v>Philadelphia RM-03</c:v>
                </c:pt>
                <c:pt idx="4">
                  <c:v>Cleveland RM-13</c:v>
                </c:pt>
                <c:pt idx="5">
                  <c:v>New Orleans RM-25</c:v>
                </c:pt>
                <c:pt idx="6">
                  <c:v>Chicago RM-11</c:v>
                </c:pt>
                <c:pt idx="7">
                  <c:v>Tampa RM-23</c:v>
                </c:pt>
                <c:pt idx="8">
                  <c:v>Atlanta RM-09</c:v>
                </c:pt>
                <c:pt idx="9">
                  <c:v>Charlotte RM-10</c:v>
                </c:pt>
                <c:pt idx="10">
                  <c:v>Denver RM-19</c:v>
                </c:pt>
                <c:pt idx="11">
                  <c:v>Boston RM-02</c:v>
                </c:pt>
                <c:pt idx="12">
                  <c:v>Phoenix RM-18</c:v>
                </c:pt>
                <c:pt idx="13">
                  <c:v>Columbus RM-14</c:v>
                </c:pt>
                <c:pt idx="14">
                  <c:v>Dallas RM-06</c:v>
                </c:pt>
                <c:pt idx="15">
                  <c:v>Las Vegas RM-20</c:v>
                </c:pt>
                <c:pt idx="16">
                  <c:v>Newark RM-01</c:v>
                </c:pt>
                <c:pt idx="17">
                  <c:v>Portland RM-17</c:v>
                </c:pt>
                <c:pt idx="18">
                  <c:v>Orlando RM-22</c:v>
                </c:pt>
                <c:pt idx="19">
                  <c:v>Indianapolis RM-15</c:v>
                </c:pt>
                <c:pt idx="20">
                  <c:v>Houston RM-08</c:v>
                </c:pt>
                <c:pt idx="21">
                  <c:v>Miami RM-21</c:v>
                </c:pt>
                <c:pt idx="22">
                  <c:v>Nashville RM-24</c:v>
                </c:pt>
                <c:pt idx="23">
                  <c:v>Austin RM-07</c:v>
                </c:pt>
                <c:pt idx="24">
                  <c:v>Seattle RM-16</c:v>
                </c:pt>
              </c:strCache>
            </c:strRef>
          </c:cat>
          <c:val>
            <c:numRef>
              <c:f>Dashboard!$Z$2:$Z$26</c:f>
              <c:numCache>
                <c:formatCode>0.00</c:formatCode>
                <c:ptCount val="25"/>
                <c:pt idx="0">
                  <c:v>3.250694444444445</c:v>
                </c:pt>
                <c:pt idx="1">
                  <c:v>3.3522222222222222</c:v>
                </c:pt>
                <c:pt idx="2">
                  <c:v>3.417222222222223</c:v>
                </c:pt>
                <c:pt idx="3">
                  <c:v>3.5522222222222202</c:v>
                </c:pt>
                <c:pt idx="4">
                  <c:v>3.5529166666666665</c:v>
                </c:pt>
                <c:pt idx="5">
                  <c:v>3.5691666666666659</c:v>
                </c:pt>
                <c:pt idx="6">
                  <c:v>3.6016666666666657</c:v>
                </c:pt>
                <c:pt idx="7">
                  <c:v>3.637777777777778</c:v>
                </c:pt>
                <c:pt idx="8">
                  <c:v>3.6737500000000001</c:v>
                </c:pt>
                <c:pt idx="9">
                  <c:v>3.6758333333333328</c:v>
                </c:pt>
                <c:pt idx="10">
                  <c:v>3.807083333333332</c:v>
                </c:pt>
                <c:pt idx="11">
                  <c:v>3.8751388888888902</c:v>
                </c:pt>
                <c:pt idx="12">
                  <c:v>3.8768055555555545</c:v>
                </c:pt>
                <c:pt idx="13">
                  <c:v>3.9016666666666668</c:v>
                </c:pt>
                <c:pt idx="14">
                  <c:v>3.9206944444444463</c:v>
                </c:pt>
                <c:pt idx="15">
                  <c:v>3.9324999999999992</c:v>
                </c:pt>
                <c:pt idx="16">
                  <c:v>3.9811111111111117</c:v>
                </c:pt>
                <c:pt idx="17">
                  <c:v>3.9940277777777768</c:v>
                </c:pt>
                <c:pt idx="18">
                  <c:v>3.9961111111111114</c:v>
                </c:pt>
                <c:pt idx="19">
                  <c:v>4.0599999999999996</c:v>
                </c:pt>
                <c:pt idx="20">
                  <c:v>4.0930555555555559</c:v>
                </c:pt>
                <c:pt idx="21">
                  <c:v>4.1211111111111123</c:v>
                </c:pt>
                <c:pt idx="22">
                  <c:v>4.1840277777777777</c:v>
                </c:pt>
                <c:pt idx="23">
                  <c:v>4.5463888888888881</c:v>
                </c:pt>
                <c:pt idx="24">
                  <c:v>4.6379166666666682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8-CB49-8E23-F6D5D2362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95300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4953000" cy="2857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4953000" cy="28575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27</xdr:row>
      <xdr:rowOff>0</xdr:rowOff>
    </xdr:from>
    <xdr:ext cx="4953000" cy="28575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J1801">
  <tableColumns count="10">
    <tableColumn id="1" xr3:uid="{00000000-0010-0000-0000-000001000000}" name="Store Location"/>
    <tableColumn id="2" xr3:uid="{00000000-0010-0000-0000-000002000000}" name="Region"/>
    <tableColumn id="3" xr3:uid="{00000000-0010-0000-0000-000003000000}" name="Product Category"/>
    <tableColumn id="4" xr3:uid="{00000000-0010-0000-0000-000004000000}" name="Month"/>
    <tableColumn id="5" xr3:uid="{00000000-0010-0000-0000-000005000000}" name="Units Sold"/>
    <tableColumn id="6" xr3:uid="{00000000-0010-0000-0000-000006000000}" name="Revenue"/>
    <tableColumn id="7" xr3:uid="{00000000-0010-0000-0000-000007000000}" name="Cost"/>
    <tableColumn id="8" xr3:uid="{00000000-0010-0000-0000-000008000000}" name="Profit"/>
    <tableColumn id="9" xr3:uid="{00000000-0010-0000-0000-000009000000}" name="Customer Satisfaction Score"/>
    <tableColumn id="10" xr3:uid="{00000000-0010-0000-0000-00000A000000}" name="Employee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DataTable" displayName="CleanDataTable" ref="A1:O1801">
  <tableColumns count="15">
    <tableColumn id="1" xr3:uid="{00000000-0010-0000-0100-000001000000}" name="Store Location"/>
    <tableColumn id="2" xr3:uid="{00000000-0010-0000-0100-000002000000}" name="Region"/>
    <tableColumn id="3" xr3:uid="{00000000-0010-0000-0100-000003000000}" name="Product Category"/>
    <tableColumn id="4" xr3:uid="{00000000-0010-0000-0100-000004000000}" name="Month"/>
    <tableColumn id="5" xr3:uid="{00000000-0010-0000-0100-000005000000}" name="Month Name"/>
    <tableColumn id="6" xr3:uid="{00000000-0010-0000-0100-000006000000}" name="Units Sold"/>
    <tableColumn id="7" xr3:uid="{00000000-0010-0000-0100-000007000000}" name="Revenue"/>
    <tableColumn id="8" xr3:uid="{00000000-0010-0000-0100-000008000000}" name="Cost"/>
    <tableColumn id="9" xr3:uid="{00000000-0010-0000-0100-000009000000}" name="Profit"/>
    <tableColumn id="10" xr3:uid="{00000000-0010-0000-0100-00000A000000}" name="Profit Margin %"/>
    <tableColumn id="11" xr3:uid="{00000000-0010-0000-0100-00000B000000}" name="Customer Satisfaction Score"/>
    <tableColumn id="12" xr3:uid="{00000000-0010-0000-0100-00000C000000}" name="Employee Count"/>
    <tableColumn id="13" xr3:uid="{00000000-0010-0000-0100-00000D000000}" name="Unique Store-Month Employee Count"/>
    <tableColumn id="14" xr3:uid="{00000000-0010-0000-0100-00000E000000}" name="Sales per Employee"/>
    <tableColumn id="15" xr3:uid="{00000000-0010-0000-0100-00000F000000}" name="Data Quality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abSelected="1" workbookViewId="0"/>
  </sheetViews>
  <sheetFormatPr baseColWidth="10" defaultColWidth="8.83203125" defaultRowHeight="14"/>
  <cols>
    <col min="1" max="1" width="30" customWidth="1"/>
    <col min="2" max="2" width="8" customWidth="1"/>
    <col min="3" max="3" width="13.6640625" customWidth="1"/>
    <col min="4" max="4" width="12" customWidth="1"/>
    <col min="5" max="5" width="8.1640625" customWidth="1"/>
    <col min="6" max="6" width="7.6640625" customWidth="1"/>
    <col min="7" max="8" width="10.1640625" customWidth="1"/>
    <col min="9" max="9" width="21.6640625" customWidth="1"/>
    <col min="10" max="10" width="13" customWidth="1"/>
  </cols>
  <sheetData>
    <row r="1" spans="1:10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s="3">
        <v>45658</v>
      </c>
      <c r="E2" s="5">
        <v>94</v>
      </c>
      <c r="F2" s="4">
        <v>13249.27</v>
      </c>
      <c r="G2" s="4">
        <v>9657.98</v>
      </c>
      <c r="H2" s="4">
        <v>3591.29</v>
      </c>
      <c r="I2" s="6">
        <v>3.91</v>
      </c>
      <c r="J2" s="5">
        <v>22</v>
      </c>
    </row>
    <row r="3" spans="1:10">
      <c r="A3" t="s">
        <v>10</v>
      </c>
      <c r="B3" t="s">
        <v>11</v>
      </c>
      <c r="C3" t="s">
        <v>13</v>
      </c>
      <c r="D3" s="3">
        <v>45658</v>
      </c>
      <c r="E3" s="5">
        <v>68</v>
      </c>
      <c r="F3" s="4">
        <v>5051.6400000000003</v>
      </c>
      <c r="G3" s="4">
        <v>3176.98</v>
      </c>
      <c r="H3" s="4">
        <v>1874.65</v>
      </c>
      <c r="I3" s="6">
        <v>4.13</v>
      </c>
      <c r="J3" s="5">
        <v>22</v>
      </c>
    </row>
    <row r="4" spans="1:10">
      <c r="A4" t="s">
        <v>10</v>
      </c>
      <c r="B4" t="s">
        <v>11</v>
      </c>
      <c r="C4" t="s">
        <v>14</v>
      </c>
      <c r="D4" s="3">
        <v>45658</v>
      </c>
      <c r="E4" s="5">
        <v>104</v>
      </c>
      <c r="F4" s="4">
        <v>5150.55</v>
      </c>
      <c r="G4" s="4">
        <v>2968.61</v>
      </c>
      <c r="H4" s="4">
        <v>2181.94</v>
      </c>
      <c r="I4" s="6">
        <v>4.12</v>
      </c>
      <c r="J4" s="5">
        <v>22</v>
      </c>
    </row>
    <row r="5" spans="1:10">
      <c r="A5" t="s">
        <v>10</v>
      </c>
      <c r="B5" t="s">
        <v>11</v>
      </c>
      <c r="C5" t="s">
        <v>15</v>
      </c>
      <c r="D5" s="3">
        <v>45658</v>
      </c>
      <c r="E5" s="5">
        <v>77</v>
      </c>
      <c r="F5" s="4">
        <v>2783.75</v>
      </c>
      <c r="G5" s="4">
        <v>1262.46</v>
      </c>
      <c r="H5" s="4">
        <v>1521.29</v>
      </c>
      <c r="I5" s="6">
        <v>3.88</v>
      </c>
      <c r="J5" s="5">
        <v>22</v>
      </c>
    </row>
    <row r="6" spans="1:10">
      <c r="A6" t="s">
        <v>10</v>
      </c>
      <c r="B6" t="s">
        <v>11</v>
      </c>
      <c r="C6" t="s">
        <v>16</v>
      </c>
      <c r="D6" s="3">
        <v>45658</v>
      </c>
      <c r="E6" s="5">
        <v>127</v>
      </c>
      <c r="F6" s="4">
        <v>2335.9299999999998</v>
      </c>
      <c r="G6" s="4">
        <v>2104.69</v>
      </c>
      <c r="H6" s="4">
        <v>231.25</v>
      </c>
      <c r="I6" s="6">
        <v>3.91</v>
      </c>
      <c r="J6" s="5">
        <v>22</v>
      </c>
    </row>
    <row r="7" spans="1:10">
      <c r="A7" t="s">
        <v>10</v>
      </c>
      <c r="B7" t="s">
        <v>11</v>
      </c>
      <c r="C7" t="s">
        <v>17</v>
      </c>
      <c r="D7" s="3">
        <v>45658</v>
      </c>
      <c r="E7" s="5">
        <v>60</v>
      </c>
      <c r="F7" s="4">
        <v>3611.02</v>
      </c>
      <c r="G7" s="4">
        <v>2305.67</v>
      </c>
      <c r="H7" s="4">
        <v>1305.3499999999999</v>
      </c>
      <c r="I7" s="6">
        <v>3.98</v>
      </c>
      <c r="J7" s="5">
        <v>22</v>
      </c>
    </row>
    <row r="8" spans="1:10">
      <c r="A8" t="s">
        <v>10</v>
      </c>
      <c r="B8" t="s">
        <v>11</v>
      </c>
      <c r="C8" t="s">
        <v>12</v>
      </c>
      <c r="D8" s="3">
        <v>45689</v>
      </c>
      <c r="E8" s="5">
        <v>86</v>
      </c>
      <c r="F8" s="4">
        <v>11988.63</v>
      </c>
      <c r="G8" s="4">
        <v>8878.5</v>
      </c>
      <c r="H8" s="4">
        <v>3110.13</v>
      </c>
      <c r="I8" s="6">
        <v>4.04</v>
      </c>
      <c r="J8" s="5">
        <v>21</v>
      </c>
    </row>
    <row r="9" spans="1:10">
      <c r="A9" t="s">
        <v>10</v>
      </c>
      <c r="B9" t="s">
        <v>11</v>
      </c>
      <c r="C9" t="s">
        <v>13</v>
      </c>
      <c r="D9" s="3">
        <v>45689</v>
      </c>
      <c r="E9" s="5">
        <v>64</v>
      </c>
      <c r="F9" s="4">
        <v>4978.29</v>
      </c>
      <c r="G9" s="4">
        <v>3193.74</v>
      </c>
      <c r="H9" s="4">
        <v>1784.55</v>
      </c>
      <c r="I9" s="6">
        <v>4.01</v>
      </c>
      <c r="J9" s="5">
        <v>21</v>
      </c>
    </row>
    <row r="10" spans="1:10">
      <c r="A10" t="s">
        <v>10</v>
      </c>
      <c r="B10" t="s">
        <v>11</v>
      </c>
      <c r="C10" t="s">
        <v>14</v>
      </c>
      <c r="D10" s="3">
        <v>45689</v>
      </c>
      <c r="E10" s="5">
        <v>92</v>
      </c>
      <c r="F10" s="4">
        <v>4493.07</v>
      </c>
      <c r="G10" s="4">
        <v>2702.83</v>
      </c>
      <c r="H10" s="4">
        <v>1790.24</v>
      </c>
      <c r="I10" s="6">
        <v>4.04</v>
      </c>
      <c r="J10" s="5">
        <v>21</v>
      </c>
    </row>
    <row r="11" spans="1:10">
      <c r="A11" t="s">
        <v>10</v>
      </c>
      <c r="B11" t="s">
        <v>11</v>
      </c>
      <c r="C11" t="s">
        <v>15</v>
      </c>
      <c r="D11" s="3">
        <v>45689</v>
      </c>
      <c r="E11" s="5">
        <v>83</v>
      </c>
      <c r="F11" s="4">
        <v>2856.64</v>
      </c>
      <c r="G11" s="4">
        <v>1361.93</v>
      </c>
      <c r="H11" s="4">
        <v>1494.71</v>
      </c>
      <c r="I11" s="6">
        <v>4.0599999999999996</v>
      </c>
      <c r="J11" s="5">
        <v>21</v>
      </c>
    </row>
    <row r="12" spans="1:10">
      <c r="A12" t="s">
        <v>10</v>
      </c>
      <c r="B12" t="s">
        <v>11</v>
      </c>
      <c r="C12" t="s">
        <v>16</v>
      </c>
      <c r="D12" s="3">
        <v>45689</v>
      </c>
      <c r="E12" s="5">
        <v>136</v>
      </c>
      <c r="F12" s="4">
        <v>2401.71</v>
      </c>
      <c r="G12" s="4">
        <v>2084.27</v>
      </c>
      <c r="H12" s="4">
        <v>317.44</v>
      </c>
      <c r="I12" s="6">
        <v>3.76</v>
      </c>
      <c r="J12" s="5">
        <v>21</v>
      </c>
    </row>
    <row r="13" spans="1:10">
      <c r="A13" t="s">
        <v>10</v>
      </c>
      <c r="B13" t="s">
        <v>11</v>
      </c>
      <c r="C13" t="s">
        <v>17</v>
      </c>
      <c r="D13" s="3">
        <v>45689</v>
      </c>
      <c r="E13" s="5">
        <v>56</v>
      </c>
      <c r="F13" s="4">
        <v>3614.67</v>
      </c>
      <c r="G13" s="4">
        <v>2292.61</v>
      </c>
      <c r="H13" s="4">
        <v>1322.06</v>
      </c>
      <c r="I13" s="6">
        <v>4.1399999999999997</v>
      </c>
      <c r="J13" s="5">
        <v>21</v>
      </c>
    </row>
    <row r="14" spans="1:10">
      <c r="A14" t="s">
        <v>10</v>
      </c>
      <c r="B14" t="s">
        <v>11</v>
      </c>
      <c r="C14" t="s">
        <v>12</v>
      </c>
      <c r="D14" s="3">
        <v>45717</v>
      </c>
      <c r="E14" s="5">
        <v>91</v>
      </c>
      <c r="F14" s="4">
        <v>13558.42</v>
      </c>
      <c r="G14" s="4">
        <v>10543.31</v>
      </c>
      <c r="H14" s="4">
        <v>3015.11</v>
      </c>
      <c r="I14" s="6">
        <v>3.97</v>
      </c>
      <c r="J14" s="5">
        <v>22</v>
      </c>
    </row>
    <row r="15" spans="1:10">
      <c r="A15" t="s">
        <v>10</v>
      </c>
      <c r="B15" t="s">
        <v>11</v>
      </c>
      <c r="C15" t="s">
        <v>13</v>
      </c>
      <c r="D15" s="3">
        <v>45717</v>
      </c>
      <c r="E15" s="5">
        <v>86</v>
      </c>
      <c r="F15" s="4">
        <v>6325.85</v>
      </c>
      <c r="G15" s="4">
        <v>4093.25</v>
      </c>
      <c r="H15" s="4">
        <v>2232.6</v>
      </c>
      <c r="I15" s="6">
        <v>3.85</v>
      </c>
      <c r="J15" s="5">
        <v>22</v>
      </c>
    </row>
    <row r="16" spans="1:10">
      <c r="A16" t="s">
        <v>10</v>
      </c>
      <c r="B16" t="s">
        <v>11</v>
      </c>
      <c r="C16" t="s">
        <v>14</v>
      </c>
      <c r="D16" s="3">
        <v>45717</v>
      </c>
      <c r="E16" s="5">
        <v>153</v>
      </c>
      <c r="F16" s="4">
        <v>7847.72</v>
      </c>
      <c r="G16" s="4">
        <v>4673.43</v>
      </c>
      <c r="H16" s="4">
        <v>3174.29</v>
      </c>
      <c r="I16" s="6">
        <v>3.97</v>
      </c>
      <c r="J16" s="5">
        <v>22</v>
      </c>
    </row>
    <row r="17" spans="1:10">
      <c r="A17" t="s">
        <v>10</v>
      </c>
      <c r="B17" t="s">
        <v>11</v>
      </c>
      <c r="C17" t="s">
        <v>15</v>
      </c>
      <c r="D17" s="3">
        <v>45717</v>
      </c>
      <c r="E17" s="5">
        <v>86</v>
      </c>
      <c r="F17" s="4">
        <v>2958.73</v>
      </c>
      <c r="G17" s="4">
        <v>1385.04</v>
      </c>
      <c r="H17" s="4">
        <v>1573.69</v>
      </c>
      <c r="I17" s="6">
        <v>4.1500000000000004</v>
      </c>
      <c r="J17" s="5">
        <v>22</v>
      </c>
    </row>
    <row r="18" spans="1:10">
      <c r="A18" t="s">
        <v>10</v>
      </c>
      <c r="B18" t="s">
        <v>11</v>
      </c>
      <c r="C18" t="s">
        <v>16</v>
      </c>
      <c r="D18" s="3">
        <v>45717</v>
      </c>
      <c r="E18" s="5">
        <v>154</v>
      </c>
      <c r="F18" s="4">
        <v>2699.16</v>
      </c>
      <c r="G18" s="4">
        <v>2417.38</v>
      </c>
      <c r="H18" s="4">
        <v>281.77999999999997</v>
      </c>
      <c r="I18" s="6">
        <v>3.79</v>
      </c>
      <c r="J18" s="5">
        <v>22</v>
      </c>
    </row>
    <row r="19" spans="1:10">
      <c r="A19" t="s">
        <v>10</v>
      </c>
      <c r="B19" t="s">
        <v>11</v>
      </c>
      <c r="C19" t="s">
        <v>17</v>
      </c>
      <c r="D19" s="3">
        <v>45717</v>
      </c>
      <c r="E19" s="5">
        <v>64</v>
      </c>
      <c r="F19" s="4">
        <v>4136.51</v>
      </c>
      <c r="G19" s="4">
        <v>2663.84</v>
      </c>
      <c r="H19" s="4">
        <v>1472.67</v>
      </c>
      <c r="I19" s="6">
        <v>4.1399999999999997</v>
      </c>
      <c r="J19" s="5">
        <v>22</v>
      </c>
    </row>
    <row r="20" spans="1:10">
      <c r="A20" t="s">
        <v>10</v>
      </c>
      <c r="B20" t="s">
        <v>11</v>
      </c>
      <c r="C20" t="s">
        <v>12</v>
      </c>
      <c r="D20" s="3">
        <v>45748</v>
      </c>
      <c r="E20" s="5">
        <v>110</v>
      </c>
      <c r="F20" s="4">
        <v>16220.71</v>
      </c>
      <c r="G20" s="4">
        <v>12281.9</v>
      </c>
      <c r="H20" s="4">
        <v>3938.81</v>
      </c>
      <c r="I20" s="6">
        <v>4.1100000000000003</v>
      </c>
      <c r="J20" s="5">
        <v>22</v>
      </c>
    </row>
    <row r="21" spans="1:10">
      <c r="A21" t="s">
        <v>10</v>
      </c>
      <c r="B21" t="s">
        <v>11</v>
      </c>
      <c r="C21" t="s">
        <v>13</v>
      </c>
      <c r="D21" s="3">
        <v>45748</v>
      </c>
      <c r="E21" s="5">
        <v>100</v>
      </c>
      <c r="F21" s="4">
        <v>7594.22</v>
      </c>
      <c r="G21" s="4">
        <v>4910.59</v>
      </c>
      <c r="H21" s="4">
        <v>2683.63</v>
      </c>
      <c r="I21" s="6">
        <v>3.99</v>
      </c>
      <c r="J21" s="5">
        <v>22</v>
      </c>
    </row>
    <row r="22" spans="1:10">
      <c r="A22" t="s">
        <v>10</v>
      </c>
      <c r="B22" t="s">
        <v>11</v>
      </c>
      <c r="C22" t="s">
        <v>14</v>
      </c>
      <c r="D22" s="3">
        <v>45748</v>
      </c>
      <c r="E22" s="5">
        <v>138</v>
      </c>
      <c r="F22" s="4">
        <v>6515.63</v>
      </c>
      <c r="G22" s="4">
        <v>4012.11</v>
      </c>
      <c r="H22" s="4">
        <v>2503.5300000000002</v>
      </c>
      <c r="I22" s="6">
        <v>4.03</v>
      </c>
      <c r="J22" s="5">
        <v>22</v>
      </c>
    </row>
    <row r="23" spans="1:10">
      <c r="A23" t="s">
        <v>10</v>
      </c>
      <c r="B23" t="s">
        <v>11</v>
      </c>
      <c r="C23" t="s">
        <v>15</v>
      </c>
      <c r="D23" s="3">
        <v>45748</v>
      </c>
      <c r="E23" s="5">
        <v>93</v>
      </c>
      <c r="F23" s="4">
        <v>3352.47</v>
      </c>
      <c r="G23" s="4">
        <v>1604.17</v>
      </c>
      <c r="H23" s="4">
        <v>1748.3</v>
      </c>
      <c r="I23" s="6">
        <v>3.84</v>
      </c>
      <c r="J23" s="5">
        <v>22</v>
      </c>
    </row>
    <row r="24" spans="1:10">
      <c r="A24" t="s">
        <v>10</v>
      </c>
      <c r="B24" t="s">
        <v>11</v>
      </c>
      <c r="C24" t="s">
        <v>16</v>
      </c>
      <c r="D24" s="3">
        <v>45748</v>
      </c>
      <c r="E24" s="5">
        <v>165</v>
      </c>
      <c r="F24" s="4">
        <v>3036.42</v>
      </c>
      <c r="G24" s="4">
        <v>2682.55</v>
      </c>
      <c r="H24" s="4">
        <v>353.87</v>
      </c>
      <c r="I24" s="6">
        <v>3.84</v>
      </c>
      <c r="J24" s="5">
        <v>22</v>
      </c>
    </row>
    <row r="25" spans="1:10">
      <c r="A25" t="s">
        <v>10</v>
      </c>
      <c r="B25" t="s">
        <v>11</v>
      </c>
      <c r="C25" t="s">
        <v>17</v>
      </c>
      <c r="D25" s="3">
        <v>45748</v>
      </c>
      <c r="E25" s="5">
        <v>79</v>
      </c>
      <c r="F25" s="4">
        <v>4652.8</v>
      </c>
      <c r="G25" s="4">
        <v>2991.84</v>
      </c>
      <c r="H25" s="4">
        <v>1660.96</v>
      </c>
      <c r="I25" s="6">
        <v>3.87</v>
      </c>
      <c r="J25" s="5">
        <v>22</v>
      </c>
    </row>
    <row r="26" spans="1:10">
      <c r="A26" t="s">
        <v>10</v>
      </c>
      <c r="B26" t="s">
        <v>11</v>
      </c>
      <c r="C26" t="s">
        <v>12</v>
      </c>
      <c r="D26" s="3">
        <v>45778</v>
      </c>
      <c r="E26" s="5">
        <v>113</v>
      </c>
      <c r="F26" s="4">
        <v>15947.86</v>
      </c>
      <c r="G26" s="4">
        <v>12468.79</v>
      </c>
      <c r="H26" s="4">
        <v>3479.07</v>
      </c>
      <c r="I26" s="6">
        <v>3.87</v>
      </c>
      <c r="J26" s="5">
        <v>21</v>
      </c>
    </row>
    <row r="27" spans="1:10">
      <c r="A27" t="s">
        <v>10</v>
      </c>
      <c r="B27" t="s">
        <v>11</v>
      </c>
      <c r="C27" t="s">
        <v>13</v>
      </c>
      <c r="D27" s="3">
        <v>45778</v>
      </c>
      <c r="E27" s="5">
        <v>97</v>
      </c>
      <c r="F27" s="4">
        <v>7066.24</v>
      </c>
      <c r="G27" s="4">
        <v>4814.59</v>
      </c>
      <c r="H27" s="4">
        <v>2251.65</v>
      </c>
      <c r="I27" s="6">
        <v>4</v>
      </c>
      <c r="J27" s="5">
        <v>21</v>
      </c>
    </row>
    <row r="28" spans="1:10">
      <c r="A28" t="s">
        <v>10</v>
      </c>
      <c r="B28" t="s">
        <v>11</v>
      </c>
      <c r="C28" t="s">
        <v>14</v>
      </c>
      <c r="D28" s="3">
        <v>45778</v>
      </c>
      <c r="E28" s="5">
        <v>108</v>
      </c>
      <c r="F28" s="4">
        <v>5459.01</v>
      </c>
      <c r="G28" s="4">
        <v>3235.99</v>
      </c>
      <c r="H28" s="4">
        <v>2223.02</v>
      </c>
      <c r="I28" s="6">
        <v>3.83</v>
      </c>
      <c r="J28" s="5">
        <v>21</v>
      </c>
    </row>
    <row r="29" spans="1:10">
      <c r="A29" t="s">
        <v>10</v>
      </c>
      <c r="B29" t="s">
        <v>11</v>
      </c>
      <c r="C29" t="s">
        <v>15</v>
      </c>
      <c r="D29" s="3">
        <v>45778</v>
      </c>
      <c r="E29" s="5">
        <v>108</v>
      </c>
      <c r="F29" s="4">
        <v>3889.35</v>
      </c>
      <c r="G29" s="4">
        <v>1873.81</v>
      </c>
      <c r="H29" s="4">
        <v>2015.54</v>
      </c>
      <c r="I29" s="6">
        <v>3.96</v>
      </c>
      <c r="J29" s="5">
        <v>21</v>
      </c>
    </row>
    <row r="30" spans="1:10">
      <c r="A30" t="s">
        <v>10</v>
      </c>
      <c r="B30" t="s">
        <v>11</v>
      </c>
      <c r="C30" t="s">
        <v>16</v>
      </c>
      <c r="D30" s="3">
        <v>45778</v>
      </c>
      <c r="E30" s="5">
        <v>171</v>
      </c>
      <c r="F30" s="4">
        <v>3317.42</v>
      </c>
      <c r="G30" s="4">
        <v>2926.69</v>
      </c>
      <c r="H30" s="4">
        <v>390.73</v>
      </c>
      <c r="I30" s="6">
        <v>3.91</v>
      </c>
      <c r="J30" s="5">
        <v>21</v>
      </c>
    </row>
    <row r="31" spans="1:10">
      <c r="A31" t="s">
        <v>10</v>
      </c>
      <c r="B31" t="s">
        <v>11</v>
      </c>
      <c r="C31" t="s">
        <v>17</v>
      </c>
      <c r="D31" s="3">
        <v>45778</v>
      </c>
      <c r="E31" s="5">
        <v>88</v>
      </c>
      <c r="F31" s="4">
        <v>5387.81</v>
      </c>
      <c r="G31" s="4">
        <v>3545.05</v>
      </c>
      <c r="H31" s="4">
        <v>1842.77</v>
      </c>
      <c r="I31" s="6">
        <v>3.88</v>
      </c>
      <c r="J31" s="5">
        <v>21</v>
      </c>
    </row>
    <row r="32" spans="1:10">
      <c r="A32" t="s">
        <v>10</v>
      </c>
      <c r="B32" t="s">
        <v>11</v>
      </c>
      <c r="C32" t="s">
        <v>12</v>
      </c>
      <c r="D32" s="3">
        <v>45809</v>
      </c>
      <c r="E32" s="5">
        <v>110</v>
      </c>
      <c r="F32" s="4">
        <v>15402.73</v>
      </c>
      <c r="G32" s="4">
        <v>11987.19</v>
      </c>
      <c r="H32" s="4">
        <v>3415.54</v>
      </c>
      <c r="I32" s="6">
        <v>4.1100000000000003</v>
      </c>
      <c r="J32" s="5">
        <v>23</v>
      </c>
    </row>
    <row r="33" spans="1:10">
      <c r="A33" t="s">
        <v>10</v>
      </c>
      <c r="B33" t="s">
        <v>11</v>
      </c>
      <c r="C33" t="s">
        <v>13</v>
      </c>
      <c r="D33" s="3">
        <v>45809</v>
      </c>
      <c r="E33" s="5">
        <v>103</v>
      </c>
      <c r="F33" s="4">
        <v>7440.94</v>
      </c>
      <c r="G33" s="4">
        <v>5077.5600000000004</v>
      </c>
      <c r="H33" s="4">
        <v>2363.37</v>
      </c>
      <c r="I33" s="6">
        <v>4.0999999999999996</v>
      </c>
      <c r="J33" s="5">
        <v>23</v>
      </c>
    </row>
    <row r="34" spans="1:10">
      <c r="A34" t="s">
        <v>10</v>
      </c>
      <c r="B34" t="s">
        <v>11</v>
      </c>
      <c r="C34" t="s">
        <v>14</v>
      </c>
      <c r="D34" s="3">
        <v>45809</v>
      </c>
      <c r="E34" s="5">
        <v>145</v>
      </c>
      <c r="F34" s="4">
        <v>7069.15</v>
      </c>
      <c r="G34" s="4">
        <v>4186.63</v>
      </c>
      <c r="H34" s="4">
        <v>2882.52</v>
      </c>
      <c r="I34" s="6">
        <v>3.83</v>
      </c>
      <c r="J34" s="5">
        <v>23</v>
      </c>
    </row>
    <row r="35" spans="1:10">
      <c r="A35" t="s">
        <v>10</v>
      </c>
      <c r="B35" t="s">
        <v>11</v>
      </c>
      <c r="C35" t="s">
        <v>15</v>
      </c>
      <c r="D35" s="3">
        <v>45809</v>
      </c>
      <c r="E35" s="5">
        <v>118</v>
      </c>
      <c r="F35" s="4">
        <v>4441.28</v>
      </c>
      <c r="G35" s="4">
        <v>2141.81</v>
      </c>
      <c r="H35" s="4">
        <v>2299.4699999999998</v>
      </c>
      <c r="I35" s="6">
        <v>3.94</v>
      </c>
      <c r="J35" s="5">
        <v>23</v>
      </c>
    </row>
    <row r="36" spans="1:10">
      <c r="A36" t="s">
        <v>10</v>
      </c>
      <c r="B36" t="s">
        <v>11</v>
      </c>
      <c r="C36" t="s">
        <v>16</v>
      </c>
      <c r="D36" s="3">
        <v>45809</v>
      </c>
      <c r="E36" s="5">
        <v>152</v>
      </c>
      <c r="F36" s="4">
        <v>2917.51</v>
      </c>
      <c r="G36" s="4">
        <v>2601.5100000000002</v>
      </c>
      <c r="H36" s="4">
        <v>316</v>
      </c>
      <c r="I36" s="6">
        <v>3.76</v>
      </c>
      <c r="J36" s="5">
        <v>23</v>
      </c>
    </row>
    <row r="37" spans="1:10">
      <c r="A37" t="s">
        <v>10</v>
      </c>
      <c r="B37" t="s">
        <v>11</v>
      </c>
      <c r="C37" t="s">
        <v>17</v>
      </c>
      <c r="D37" s="3">
        <v>45809</v>
      </c>
      <c r="E37" s="5">
        <v>108</v>
      </c>
      <c r="F37" s="4">
        <v>6660.24</v>
      </c>
      <c r="G37" s="4">
        <v>4439.9399999999996</v>
      </c>
      <c r="H37" s="4">
        <v>2220.3000000000002</v>
      </c>
      <c r="I37" s="6">
        <v>4.07</v>
      </c>
      <c r="J37" s="5">
        <v>23</v>
      </c>
    </row>
    <row r="38" spans="1:10">
      <c r="A38" t="s">
        <v>10</v>
      </c>
      <c r="B38" t="s">
        <v>11</v>
      </c>
      <c r="C38" t="s">
        <v>12</v>
      </c>
      <c r="D38" s="3">
        <v>45839</v>
      </c>
      <c r="E38" s="5">
        <v>99</v>
      </c>
      <c r="F38" s="4">
        <v>15494.2</v>
      </c>
      <c r="G38" s="4">
        <v>12219.19</v>
      </c>
      <c r="H38" s="4">
        <v>3275.01</v>
      </c>
      <c r="I38" s="6">
        <v>4.05</v>
      </c>
      <c r="J38" s="5">
        <v>23</v>
      </c>
    </row>
    <row r="39" spans="1:10">
      <c r="A39" t="s">
        <v>10</v>
      </c>
      <c r="B39" t="s">
        <v>11</v>
      </c>
      <c r="C39" t="s">
        <v>13</v>
      </c>
      <c r="D39" s="3">
        <v>45839</v>
      </c>
      <c r="E39" s="5">
        <v>119</v>
      </c>
      <c r="F39" s="4">
        <v>8697.36</v>
      </c>
      <c r="G39" s="4">
        <v>5807.7</v>
      </c>
      <c r="H39" s="4">
        <v>2889.66</v>
      </c>
      <c r="I39" s="6">
        <v>4.1399999999999997</v>
      </c>
      <c r="J39" s="5">
        <v>23</v>
      </c>
    </row>
    <row r="40" spans="1:10">
      <c r="A40" t="s">
        <v>10</v>
      </c>
      <c r="B40" t="s">
        <v>11</v>
      </c>
      <c r="C40" t="s">
        <v>14</v>
      </c>
      <c r="D40" s="3">
        <v>45839</v>
      </c>
      <c r="E40" s="5">
        <v>126</v>
      </c>
      <c r="F40" s="4">
        <v>6318.45</v>
      </c>
      <c r="G40" s="4">
        <v>3788.75</v>
      </c>
      <c r="H40" s="4">
        <v>2529.6999999999998</v>
      </c>
      <c r="I40" s="6">
        <v>4</v>
      </c>
      <c r="J40" s="5">
        <v>23</v>
      </c>
    </row>
    <row r="41" spans="1:10">
      <c r="A41" t="s">
        <v>10</v>
      </c>
      <c r="B41" t="s">
        <v>11</v>
      </c>
      <c r="C41" t="s">
        <v>15</v>
      </c>
      <c r="D41" s="3">
        <v>45839</v>
      </c>
      <c r="E41" s="5">
        <v>109</v>
      </c>
      <c r="F41" s="4">
        <v>3964.81</v>
      </c>
      <c r="G41" s="4">
        <v>2008.16</v>
      </c>
      <c r="H41" s="4">
        <v>1956.64</v>
      </c>
      <c r="I41" s="6">
        <v>3.85</v>
      </c>
      <c r="J41" s="5">
        <v>23</v>
      </c>
    </row>
    <row r="42" spans="1:10">
      <c r="A42" t="s">
        <v>10</v>
      </c>
      <c r="B42" t="s">
        <v>11</v>
      </c>
      <c r="C42" t="s">
        <v>16</v>
      </c>
      <c r="D42" s="3">
        <v>45839</v>
      </c>
      <c r="E42" s="5">
        <v>196</v>
      </c>
      <c r="F42" s="4">
        <v>3408.1</v>
      </c>
      <c r="G42" s="4">
        <v>3139.62</v>
      </c>
      <c r="H42" s="4">
        <v>268.48</v>
      </c>
      <c r="I42" s="6">
        <v>4</v>
      </c>
      <c r="J42" s="5">
        <v>23</v>
      </c>
    </row>
    <row r="43" spans="1:10">
      <c r="A43" t="s">
        <v>10</v>
      </c>
      <c r="B43" t="s">
        <v>11</v>
      </c>
      <c r="C43" t="s">
        <v>17</v>
      </c>
      <c r="D43" s="3">
        <v>45839</v>
      </c>
      <c r="E43" s="5">
        <v>109</v>
      </c>
      <c r="F43" s="4">
        <v>6575.05</v>
      </c>
      <c r="G43" s="4">
        <v>4214.8599999999997</v>
      </c>
      <c r="H43" s="4">
        <v>2360.19</v>
      </c>
      <c r="I43" s="6">
        <v>4.1100000000000003</v>
      </c>
      <c r="J43" s="5">
        <v>23</v>
      </c>
    </row>
    <row r="44" spans="1:10">
      <c r="A44" t="s">
        <v>10</v>
      </c>
      <c r="B44" t="s">
        <v>11</v>
      </c>
      <c r="C44" t="s">
        <v>12</v>
      </c>
      <c r="D44" s="3">
        <v>45870</v>
      </c>
      <c r="E44" s="5">
        <v>112</v>
      </c>
      <c r="F44" s="4">
        <v>15452</v>
      </c>
      <c r="G44" s="4">
        <v>12353.54</v>
      </c>
      <c r="H44" s="4">
        <v>3098.46</v>
      </c>
      <c r="I44" s="6">
        <v>4</v>
      </c>
      <c r="J44" s="5">
        <v>23</v>
      </c>
    </row>
    <row r="45" spans="1:10">
      <c r="A45" t="s">
        <v>10</v>
      </c>
      <c r="B45" t="s">
        <v>11</v>
      </c>
      <c r="C45" t="s">
        <v>13</v>
      </c>
      <c r="D45" s="3">
        <v>45870</v>
      </c>
      <c r="E45" s="5">
        <v>103</v>
      </c>
      <c r="F45" s="4">
        <v>7705.04</v>
      </c>
      <c r="G45" s="4">
        <v>5179.41</v>
      </c>
      <c r="H45" s="4">
        <v>2525.63</v>
      </c>
      <c r="I45" s="6">
        <v>4.03</v>
      </c>
      <c r="J45" s="5">
        <v>23</v>
      </c>
    </row>
    <row r="46" spans="1:10">
      <c r="A46" t="s">
        <v>10</v>
      </c>
      <c r="B46" t="s">
        <v>11</v>
      </c>
      <c r="C46" t="s">
        <v>14</v>
      </c>
      <c r="D46" s="3">
        <v>45870</v>
      </c>
      <c r="E46" s="5">
        <v>151</v>
      </c>
      <c r="F46" s="4">
        <v>6945.92</v>
      </c>
      <c r="G46" s="4">
        <v>4358.08</v>
      </c>
      <c r="H46" s="4">
        <v>2587.84</v>
      </c>
      <c r="I46" s="6">
        <v>3.96</v>
      </c>
      <c r="J46" s="5">
        <v>23</v>
      </c>
    </row>
    <row r="47" spans="1:10">
      <c r="A47" t="s">
        <v>10</v>
      </c>
      <c r="B47" t="s">
        <v>11</v>
      </c>
      <c r="C47" t="s">
        <v>15</v>
      </c>
      <c r="D47" s="3">
        <v>45870</v>
      </c>
      <c r="E47" s="5">
        <v>116</v>
      </c>
      <c r="F47" s="4">
        <v>4468.58</v>
      </c>
      <c r="G47" s="4">
        <v>2301.87</v>
      </c>
      <c r="H47" s="4">
        <v>2166.71</v>
      </c>
      <c r="I47" s="6">
        <v>3.8</v>
      </c>
      <c r="J47" s="5">
        <v>23</v>
      </c>
    </row>
    <row r="48" spans="1:10">
      <c r="A48" t="s">
        <v>10</v>
      </c>
      <c r="B48" t="s">
        <v>11</v>
      </c>
      <c r="C48" t="s">
        <v>16</v>
      </c>
      <c r="D48" s="3">
        <v>45870</v>
      </c>
      <c r="E48" s="5">
        <v>167</v>
      </c>
      <c r="F48" s="4">
        <v>2867.72</v>
      </c>
      <c r="G48" s="4">
        <v>2650</v>
      </c>
      <c r="H48" s="4">
        <v>217.71</v>
      </c>
      <c r="I48" s="6">
        <v>3.94</v>
      </c>
      <c r="J48" s="5">
        <v>23</v>
      </c>
    </row>
    <row r="49" spans="1:10">
      <c r="A49" t="s">
        <v>10</v>
      </c>
      <c r="B49" t="s">
        <v>11</v>
      </c>
      <c r="C49" t="s">
        <v>17</v>
      </c>
      <c r="D49" s="3">
        <v>45870</v>
      </c>
      <c r="E49" s="5">
        <v>97</v>
      </c>
      <c r="F49" s="4">
        <v>5764.68</v>
      </c>
      <c r="G49" s="4">
        <v>3781.65</v>
      </c>
      <c r="H49" s="4">
        <v>1983.04</v>
      </c>
      <c r="I49" s="6">
        <v>3.82</v>
      </c>
      <c r="J49" s="5">
        <v>23</v>
      </c>
    </row>
    <row r="50" spans="1:10">
      <c r="A50" t="s">
        <v>10</v>
      </c>
      <c r="B50" t="s">
        <v>11</v>
      </c>
      <c r="C50" t="s">
        <v>12</v>
      </c>
      <c r="D50" s="3">
        <v>45901</v>
      </c>
      <c r="E50" s="5">
        <v>106</v>
      </c>
      <c r="F50" s="4">
        <v>16241.85</v>
      </c>
      <c r="G50" s="4">
        <v>13119.28</v>
      </c>
      <c r="H50" s="4">
        <v>3122.57</v>
      </c>
      <c r="I50" s="6">
        <v>4.01</v>
      </c>
      <c r="J50" s="5">
        <v>22</v>
      </c>
    </row>
    <row r="51" spans="1:10">
      <c r="A51" t="s">
        <v>10</v>
      </c>
      <c r="B51" t="s">
        <v>11</v>
      </c>
      <c r="C51" t="s">
        <v>13</v>
      </c>
      <c r="D51" s="3">
        <v>45901</v>
      </c>
      <c r="E51" s="5">
        <v>103</v>
      </c>
      <c r="F51" s="4">
        <v>8440.25</v>
      </c>
      <c r="G51" s="4">
        <v>5860.54</v>
      </c>
      <c r="H51" s="4">
        <v>2579.71</v>
      </c>
      <c r="I51" s="6">
        <v>3.79</v>
      </c>
      <c r="J51" s="5">
        <v>22</v>
      </c>
    </row>
    <row r="52" spans="1:10">
      <c r="A52" t="s">
        <v>10</v>
      </c>
      <c r="B52" t="s">
        <v>11</v>
      </c>
      <c r="C52" t="s">
        <v>14</v>
      </c>
      <c r="D52" s="3">
        <v>45901</v>
      </c>
      <c r="E52" s="5">
        <v>129</v>
      </c>
      <c r="F52" s="4">
        <v>6395.56</v>
      </c>
      <c r="G52" s="4">
        <v>4122.1899999999996</v>
      </c>
      <c r="H52" s="4">
        <v>2273.37</v>
      </c>
      <c r="I52" s="6">
        <v>3.84</v>
      </c>
      <c r="J52" s="5">
        <v>22</v>
      </c>
    </row>
    <row r="53" spans="1:10">
      <c r="A53" t="s">
        <v>10</v>
      </c>
      <c r="B53" t="s">
        <v>11</v>
      </c>
      <c r="C53" t="s">
        <v>15</v>
      </c>
      <c r="D53" s="3">
        <v>45901</v>
      </c>
      <c r="E53" s="5">
        <v>98</v>
      </c>
      <c r="F53" s="4">
        <v>3373.33</v>
      </c>
      <c r="G53" s="4">
        <v>1673.25</v>
      </c>
      <c r="H53" s="4">
        <v>1700.08</v>
      </c>
      <c r="I53" s="6">
        <v>3.99</v>
      </c>
      <c r="J53" s="5">
        <v>22</v>
      </c>
    </row>
    <row r="54" spans="1:10">
      <c r="A54" t="s">
        <v>10</v>
      </c>
      <c r="B54" t="s">
        <v>11</v>
      </c>
      <c r="C54" t="s">
        <v>16</v>
      </c>
      <c r="D54" s="3">
        <v>45901</v>
      </c>
      <c r="E54" s="5">
        <v>170</v>
      </c>
      <c r="F54" s="4">
        <v>3183.83</v>
      </c>
      <c r="G54" s="4">
        <v>2902.04</v>
      </c>
      <c r="H54" s="4">
        <v>281.77999999999997</v>
      </c>
      <c r="I54" s="6">
        <v>3.99</v>
      </c>
      <c r="J54" s="5">
        <v>22</v>
      </c>
    </row>
    <row r="55" spans="1:10">
      <c r="A55" t="s">
        <v>10</v>
      </c>
      <c r="B55" t="s">
        <v>11</v>
      </c>
      <c r="C55" t="s">
        <v>17</v>
      </c>
      <c r="D55" s="3">
        <v>45901</v>
      </c>
      <c r="E55" s="5">
        <v>87</v>
      </c>
      <c r="F55" s="4">
        <v>5269.71</v>
      </c>
      <c r="G55" s="4">
        <v>3517.74</v>
      </c>
      <c r="H55" s="4">
        <v>1751.97</v>
      </c>
      <c r="I55" s="6">
        <v>4.12</v>
      </c>
      <c r="J55" s="5">
        <v>22</v>
      </c>
    </row>
    <row r="56" spans="1:10">
      <c r="A56" t="s">
        <v>10</v>
      </c>
      <c r="B56" t="s">
        <v>11</v>
      </c>
      <c r="C56" t="s">
        <v>12</v>
      </c>
      <c r="D56" s="3">
        <v>45931</v>
      </c>
      <c r="E56" s="5">
        <v>124</v>
      </c>
      <c r="F56" s="4">
        <v>17597.66</v>
      </c>
      <c r="G56" s="4">
        <v>13727.07</v>
      </c>
      <c r="H56" s="4">
        <v>3870.59</v>
      </c>
      <c r="I56" s="6">
        <v>4.07</v>
      </c>
      <c r="J56" s="5">
        <v>21</v>
      </c>
    </row>
    <row r="57" spans="1:10">
      <c r="A57" t="s">
        <v>10</v>
      </c>
      <c r="B57" t="s">
        <v>11</v>
      </c>
      <c r="C57" t="s">
        <v>13</v>
      </c>
      <c r="D57" s="3">
        <v>45931</v>
      </c>
      <c r="E57" s="5">
        <v>110</v>
      </c>
      <c r="F57" s="4">
        <v>8604.08</v>
      </c>
      <c r="G57" s="4">
        <v>5885.94</v>
      </c>
      <c r="H57" s="4">
        <v>2718.13</v>
      </c>
      <c r="I57" s="6">
        <v>4.0599999999999996</v>
      </c>
      <c r="J57" s="5">
        <v>21</v>
      </c>
    </row>
    <row r="58" spans="1:10">
      <c r="A58" t="s">
        <v>10</v>
      </c>
      <c r="B58" t="s">
        <v>11</v>
      </c>
      <c r="C58" t="s">
        <v>14</v>
      </c>
      <c r="D58" s="3">
        <v>45931</v>
      </c>
      <c r="E58" s="5">
        <v>123</v>
      </c>
      <c r="F58" s="4">
        <v>5557.75</v>
      </c>
      <c r="G58" s="4">
        <v>3433.81</v>
      </c>
      <c r="H58" s="4">
        <v>2123.94</v>
      </c>
      <c r="I58" s="6">
        <v>4.1100000000000003</v>
      </c>
      <c r="J58" s="5">
        <v>21</v>
      </c>
    </row>
    <row r="59" spans="1:10">
      <c r="A59" t="s">
        <v>10</v>
      </c>
      <c r="B59" t="s">
        <v>11</v>
      </c>
      <c r="C59" t="s">
        <v>15</v>
      </c>
      <c r="D59" s="3">
        <v>45931</v>
      </c>
      <c r="E59" s="5">
        <v>108</v>
      </c>
      <c r="F59" s="4">
        <v>4146.75</v>
      </c>
      <c r="G59" s="4">
        <v>2137.2600000000002</v>
      </c>
      <c r="H59" s="4">
        <v>2009.49</v>
      </c>
      <c r="I59" s="6">
        <v>4.09</v>
      </c>
      <c r="J59" s="5">
        <v>21</v>
      </c>
    </row>
    <row r="60" spans="1:10">
      <c r="A60" t="s">
        <v>10</v>
      </c>
      <c r="B60" t="s">
        <v>11</v>
      </c>
      <c r="C60" t="s">
        <v>16</v>
      </c>
      <c r="D60" s="3">
        <v>45931</v>
      </c>
      <c r="E60" s="5">
        <v>176</v>
      </c>
      <c r="F60" s="4">
        <v>3034.44</v>
      </c>
      <c r="G60" s="4">
        <v>2801.57</v>
      </c>
      <c r="H60" s="4">
        <v>232.88</v>
      </c>
      <c r="I60" s="6">
        <v>4.09</v>
      </c>
      <c r="J60" s="5">
        <v>21</v>
      </c>
    </row>
    <row r="61" spans="1:10">
      <c r="A61" t="s">
        <v>10</v>
      </c>
      <c r="B61" t="s">
        <v>11</v>
      </c>
      <c r="C61" t="s">
        <v>17</v>
      </c>
      <c r="D61" s="3">
        <v>45931</v>
      </c>
      <c r="E61" s="5">
        <v>81</v>
      </c>
      <c r="F61" s="4">
        <v>5280.42</v>
      </c>
      <c r="G61" s="4">
        <v>3636.03</v>
      </c>
      <c r="H61" s="4">
        <v>1644.39</v>
      </c>
      <c r="I61" s="6">
        <v>4.12</v>
      </c>
      <c r="J61" s="5">
        <v>21</v>
      </c>
    </row>
    <row r="62" spans="1:10">
      <c r="A62" t="s">
        <v>10</v>
      </c>
      <c r="B62" t="s">
        <v>11</v>
      </c>
      <c r="C62" t="s">
        <v>12</v>
      </c>
      <c r="D62" s="3">
        <v>45962</v>
      </c>
      <c r="E62" s="5">
        <v>179</v>
      </c>
      <c r="F62" s="4">
        <v>25682.86</v>
      </c>
      <c r="G62" s="4">
        <v>20877.86</v>
      </c>
      <c r="H62" s="4">
        <v>4805</v>
      </c>
      <c r="I62" s="6">
        <v>4.1100000000000003</v>
      </c>
      <c r="J62" s="5">
        <v>24</v>
      </c>
    </row>
    <row r="63" spans="1:10">
      <c r="A63" t="s">
        <v>10</v>
      </c>
      <c r="B63" t="s">
        <v>11</v>
      </c>
      <c r="C63" t="s">
        <v>13</v>
      </c>
      <c r="D63" s="3">
        <v>45962</v>
      </c>
      <c r="E63" s="5">
        <v>113</v>
      </c>
      <c r="F63" s="4">
        <v>9243.58</v>
      </c>
      <c r="G63" s="4">
        <v>6567.36</v>
      </c>
      <c r="H63" s="4">
        <v>2676.22</v>
      </c>
      <c r="I63" s="6">
        <v>4.12</v>
      </c>
      <c r="J63" s="5">
        <v>24</v>
      </c>
    </row>
    <row r="64" spans="1:10">
      <c r="A64" t="s">
        <v>10</v>
      </c>
      <c r="B64" t="s">
        <v>11</v>
      </c>
      <c r="C64" t="s">
        <v>14</v>
      </c>
      <c r="D64" s="3">
        <v>45962</v>
      </c>
      <c r="E64" s="5">
        <v>188</v>
      </c>
      <c r="F64" s="4">
        <v>9493.11</v>
      </c>
      <c r="G64" s="4">
        <v>5957.86</v>
      </c>
      <c r="H64" s="4">
        <v>3535.24</v>
      </c>
      <c r="I64" s="6">
        <v>3.94</v>
      </c>
      <c r="J64" s="5">
        <v>24</v>
      </c>
    </row>
    <row r="65" spans="1:10">
      <c r="A65" t="s">
        <v>10</v>
      </c>
      <c r="B65" t="s">
        <v>11</v>
      </c>
      <c r="C65" t="s">
        <v>15</v>
      </c>
      <c r="D65" s="3">
        <v>45962</v>
      </c>
      <c r="E65" s="5">
        <v>138</v>
      </c>
      <c r="F65" s="4">
        <v>4794.67</v>
      </c>
      <c r="G65" s="4">
        <v>2556.73</v>
      </c>
      <c r="H65" s="4">
        <v>2237.94</v>
      </c>
      <c r="I65" s="6">
        <v>4.07</v>
      </c>
      <c r="J65" s="5">
        <v>24</v>
      </c>
    </row>
    <row r="66" spans="1:10">
      <c r="A66" t="s">
        <v>10</v>
      </c>
      <c r="B66" t="s">
        <v>11</v>
      </c>
      <c r="C66" t="s">
        <v>16</v>
      </c>
      <c r="D66" s="3">
        <v>45962</v>
      </c>
      <c r="E66" s="5">
        <v>205</v>
      </c>
      <c r="F66" s="4">
        <v>3848.33</v>
      </c>
      <c r="G66" s="4">
        <v>3562.77</v>
      </c>
      <c r="H66" s="4">
        <v>285.56</v>
      </c>
      <c r="I66" s="6">
        <v>3.82</v>
      </c>
      <c r="J66" s="5">
        <v>24</v>
      </c>
    </row>
    <row r="67" spans="1:10">
      <c r="A67" t="s">
        <v>10</v>
      </c>
      <c r="B67" t="s">
        <v>11</v>
      </c>
      <c r="C67" t="s">
        <v>17</v>
      </c>
      <c r="D67" s="3">
        <v>45962</v>
      </c>
      <c r="E67" s="5">
        <v>105</v>
      </c>
      <c r="F67" s="4">
        <v>6758.54</v>
      </c>
      <c r="G67" s="4">
        <v>4563.42</v>
      </c>
      <c r="H67" s="4">
        <v>2195.12</v>
      </c>
      <c r="I67" s="6">
        <v>3.81</v>
      </c>
      <c r="J67" s="5">
        <v>24</v>
      </c>
    </row>
    <row r="68" spans="1:10">
      <c r="A68" t="s">
        <v>10</v>
      </c>
      <c r="B68" t="s">
        <v>11</v>
      </c>
      <c r="C68" t="s">
        <v>12</v>
      </c>
      <c r="D68" s="3">
        <v>45992</v>
      </c>
      <c r="E68" s="5">
        <v>215</v>
      </c>
      <c r="F68" s="4">
        <v>31313.49</v>
      </c>
      <c r="G68" s="4">
        <v>25872.1</v>
      </c>
      <c r="H68" s="4">
        <v>5441.4</v>
      </c>
      <c r="I68" s="6">
        <v>4.08</v>
      </c>
      <c r="J68" s="5">
        <v>25</v>
      </c>
    </row>
    <row r="69" spans="1:10">
      <c r="A69" t="s">
        <v>10</v>
      </c>
      <c r="B69" t="s">
        <v>11</v>
      </c>
      <c r="C69" t="s">
        <v>13</v>
      </c>
      <c r="D69" s="3">
        <v>45992</v>
      </c>
      <c r="E69" s="5">
        <v>160</v>
      </c>
      <c r="F69" s="4">
        <v>11817.86</v>
      </c>
      <c r="G69" s="4">
        <v>8334.5499999999993</v>
      </c>
      <c r="H69" s="4">
        <v>3483.3</v>
      </c>
      <c r="I69" s="6">
        <v>3.86</v>
      </c>
      <c r="J69" s="5">
        <v>25</v>
      </c>
    </row>
    <row r="70" spans="1:10">
      <c r="A70" t="s">
        <v>10</v>
      </c>
      <c r="B70" t="s">
        <v>11</v>
      </c>
      <c r="C70" t="s">
        <v>14</v>
      </c>
      <c r="D70" s="3">
        <v>45992</v>
      </c>
      <c r="E70" s="5">
        <v>195</v>
      </c>
      <c r="F70" s="4">
        <v>10065.41</v>
      </c>
      <c r="G70" s="4">
        <v>6614.73</v>
      </c>
      <c r="H70" s="4">
        <v>3450.69</v>
      </c>
      <c r="I70" s="6">
        <v>4.0199999999999996</v>
      </c>
      <c r="J70" s="5">
        <v>25</v>
      </c>
    </row>
    <row r="71" spans="1:10">
      <c r="A71" t="s">
        <v>10</v>
      </c>
      <c r="B71" t="s">
        <v>11</v>
      </c>
      <c r="C71" t="s">
        <v>15</v>
      </c>
      <c r="D71" s="3">
        <v>45992</v>
      </c>
      <c r="E71" s="5">
        <v>167</v>
      </c>
      <c r="F71" s="4">
        <v>5987.68</v>
      </c>
      <c r="G71" s="4">
        <v>3363.65</v>
      </c>
      <c r="H71" s="4">
        <v>2624.03</v>
      </c>
      <c r="I71" s="6">
        <v>3.98</v>
      </c>
      <c r="J71" s="5">
        <v>25</v>
      </c>
    </row>
    <row r="72" spans="1:10">
      <c r="A72" t="s">
        <v>10</v>
      </c>
      <c r="B72" t="s">
        <v>11</v>
      </c>
      <c r="C72" t="s">
        <v>16</v>
      </c>
      <c r="D72" s="3">
        <v>45992</v>
      </c>
      <c r="E72" s="5">
        <v>263</v>
      </c>
      <c r="F72" s="4">
        <v>5093.1000000000004</v>
      </c>
      <c r="G72" s="4">
        <v>4795.08</v>
      </c>
      <c r="H72" s="4">
        <v>298.02</v>
      </c>
      <c r="I72" s="6">
        <v>4.1100000000000003</v>
      </c>
      <c r="J72" s="5">
        <v>25</v>
      </c>
    </row>
    <row r="73" spans="1:10">
      <c r="A73" t="s">
        <v>10</v>
      </c>
      <c r="B73" t="s">
        <v>11</v>
      </c>
      <c r="C73" t="s">
        <v>17</v>
      </c>
      <c r="D73" s="3">
        <v>45992</v>
      </c>
      <c r="E73" s="5">
        <v>109</v>
      </c>
      <c r="F73" s="4">
        <v>6603.68</v>
      </c>
      <c r="G73" s="4">
        <v>4552.66</v>
      </c>
      <c r="H73" s="4">
        <v>2051.0300000000002</v>
      </c>
      <c r="I73" s="6">
        <v>3.95</v>
      </c>
      <c r="J73" s="5">
        <v>25</v>
      </c>
    </row>
    <row r="74" spans="1:10">
      <c r="A74" t="s">
        <v>18</v>
      </c>
      <c r="B74" t="s">
        <v>11</v>
      </c>
      <c r="C74" t="s">
        <v>12</v>
      </c>
      <c r="D74" s="3">
        <v>45658</v>
      </c>
      <c r="E74" s="5">
        <v>58</v>
      </c>
      <c r="F74" s="4">
        <v>8041.56</v>
      </c>
      <c r="G74" s="4">
        <v>6175.74</v>
      </c>
      <c r="H74" s="4">
        <v>1865.82</v>
      </c>
      <c r="I74" s="6">
        <v>3.77</v>
      </c>
      <c r="J74" s="5">
        <v>20</v>
      </c>
    </row>
    <row r="75" spans="1:10">
      <c r="A75" t="s">
        <v>18</v>
      </c>
      <c r="B75" t="s">
        <v>11</v>
      </c>
      <c r="C75" t="s">
        <v>13</v>
      </c>
      <c r="D75" s="3">
        <v>45658</v>
      </c>
      <c r="E75" s="5">
        <v>77</v>
      </c>
      <c r="F75" s="4">
        <v>5537.24</v>
      </c>
      <c r="G75" s="4">
        <v>3530.24</v>
      </c>
      <c r="H75" s="4">
        <v>2007</v>
      </c>
      <c r="I75" s="6">
        <v>3.89</v>
      </c>
      <c r="J75" s="5">
        <v>20</v>
      </c>
    </row>
    <row r="76" spans="1:10">
      <c r="A76" t="s">
        <v>18</v>
      </c>
      <c r="B76" t="s">
        <v>11</v>
      </c>
      <c r="C76" t="s">
        <v>14</v>
      </c>
      <c r="D76" s="3">
        <v>45658</v>
      </c>
      <c r="E76" s="5">
        <v>92</v>
      </c>
      <c r="F76" s="4">
        <v>4732.3500000000004</v>
      </c>
      <c r="G76" s="4">
        <v>2783.8</v>
      </c>
      <c r="H76" s="4">
        <v>1948.55</v>
      </c>
      <c r="I76" s="6">
        <v>3.78</v>
      </c>
      <c r="J76" s="5">
        <v>20</v>
      </c>
    </row>
    <row r="77" spans="1:10">
      <c r="A77" t="s">
        <v>18</v>
      </c>
      <c r="B77" t="s">
        <v>11</v>
      </c>
      <c r="C77" t="s">
        <v>15</v>
      </c>
      <c r="D77" s="3">
        <v>45658</v>
      </c>
      <c r="E77" s="5">
        <v>64</v>
      </c>
      <c r="F77" s="4">
        <v>2304.88</v>
      </c>
      <c r="G77" s="4">
        <v>1088.8</v>
      </c>
      <c r="H77" s="4">
        <v>1216.08</v>
      </c>
      <c r="I77" s="6">
        <v>4.04</v>
      </c>
      <c r="J77" s="5">
        <v>20</v>
      </c>
    </row>
    <row r="78" spans="1:10">
      <c r="A78" t="s">
        <v>18</v>
      </c>
      <c r="B78" t="s">
        <v>11</v>
      </c>
      <c r="C78" t="s">
        <v>16</v>
      </c>
      <c r="D78" s="3">
        <v>45658</v>
      </c>
      <c r="E78" s="5">
        <v>110</v>
      </c>
      <c r="F78" s="4">
        <v>1895.75</v>
      </c>
      <c r="G78" s="4">
        <v>1708.3</v>
      </c>
      <c r="H78" s="4">
        <v>187.45</v>
      </c>
      <c r="I78" s="6">
        <v>3.86</v>
      </c>
      <c r="J78" s="5">
        <v>20</v>
      </c>
    </row>
    <row r="79" spans="1:10">
      <c r="A79" t="s">
        <v>18</v>
      </c>
      <c r="B79" t="s">
        <v>11</v>
      </c>
      <c r="C79" t="s">
        <v>17</v>
      </c>
      <c r="D79" s="3">
        <v>45658</v>
      </c>
      <c r="E79" s="5">
        <v>50</v>
      </c>
      <c r="F79" s="4">
        <v>3203.43</v>
      </c>
      <c r="G79" s="4">
        <v>1965.41</v>
      </c>
      <c r="H79" s="4">
        <v>1238.02</v>
      </c>
      <c r="I79" s="6">
        <v>3.96</v>
      </c>
      <c r="J79" s="5">
        <v>20</v>
      </c>
    </row>
    <row r="80" spans="1:10">
      <c r="A80" t="s">
        <v>18</v>
      </c>
      <c r="B80" t="s">
        <v>11</v>
      </c>
      <c r="C80" t="s">
        <v>12</v>
      </c>
      <c r="D80" s="3">
        <v>45689</v>
      </c>
      <c r="E80" s="5">
        <v>80</v>
      </c>
      <c r="F80" s="4">
        <v>11519.73</v>
      </c>
      <c r="G80" s="4">
        <v>8838.58</v>
      </c>
      <c r="H80" s="4">
        <v>2681.16</v>
      </c>
      <c r="I80" s="6">
        <v>3.77</v>
      </c>
      <c r="J80" s="5">
        <v>20</v>
      </c>
    </row>
    <row r="81" spans="1:10">
      <c r="A81" t="s">
        <v>18</v>
      </c>
      <c r="B81" t="s">
        <v>11</v>
      </c>
      <c r="C81" t="s">
        <v>13</v>
      </c>
      <c r="D81" s="3">
        <v>45689</v>
      </c>
      <c r="E81" s="5">
        <v>78</v>
      </c>
      <c r="F81" s="4">
        <v>6044.63</v>
      </c>
      <c r="G81" s="4">
        <v>3882.83</v>
      </c>
      <c r="H81" s="4">
        <v>2161.81</v>
      </c>
      <c r="I81" s="6">
        <v>4</v>
      </c>
      <c r="J81" s="5">
        <v>20</v>
      </c>
    </row>
    <row r="82" spans="1:10">
      <c r="A82" t="s">
        <v>18</v>
      </c>
      <c r="B82" t="s">
        <v>11</v>
      </c>
      <c r="C82" t="s">
        <v>14</v>
      </c>
      <c r="D82" s="3">
        <v>45689</v>
      </c>
      <c r="E82" s="5">
        <v>86</v>
      </c>
      <c r="F82" s="4">
        <v>4334.43</v>
      </c>
      <c r="G82" s="4">
        <v>2556.23</v>
      </c>
      <c r="H82" s="4">
        <v>1778.2</v>
      </c>
      <c r="I82" s="6">
        <v>3.82</v>
      </c>
      <c r="J82" s="5">
        <v>20</v>
      </c>
    </row>
    <row r="83" spans="1:10">
      <c r="A83" t="s">
        <v>18</v>
      </c>
      <c r="B83" t="s">
        <v>11</v>
      </c>
      <c r="C83" t="s">
        <v>15</v>
      </c>
      <c r="D83" s="3">
        <v>45689</v>
      </c>
      <c r="E83" s="5">
        <v>77</v>
      </c>
      <c r="F83" s="4">
        <v>2777.13</v>
      </c>
      <c r="G83" s="4">
        <v>1307.78</v>
      </c>
      <c r="H83" s="4">
        <v>1469.35</v>
      </c>
      <c r="I83" s="6">
        <v>3.89</v>
      </c>
      <c r="J83" s="5">
        <v>20</v>
      </c>
    </row>
    <row r="84" spans="1:10">
      <c r="A84" t="s">
        <v>18</v>
      </c>
      <c r="B84" t="s">
        <v>11</v>
      </c>
      <c r="C84" t="s">
        <v>16</v>
      </c>
      <c r="D84" s="3">
        <v>45689</v>
      </c>
      <c r="E84" s="5">
        <v>128</v>
      </c>
      <c r="F84" s="4">
        <v>2403.15</v>
      </c>
      <c r="G84" s="4">
        <v>2149.4899999999998</v>
      </c>
      <c r="H84" s="4">
        <v>253.67</v>
      </c>
      <c r="I84" s="6">
        <v>3.78</v>
      </c>
      <c r="J84" s="5">
        <v>20</v>
      </c>
    </row>
    <row r="85" spans="1:10">
      <c r="A85" t="s">
        <v>18</v>
      </c>
      <c r="B85" t="s">
        <v>11</v>
      </c>
      <c r="C85" t="s">
        <v>17</v>
      </c>
      <c r="D85" s="3">
        <v>45689</v>
      </c>
      <c r="E85" s="5">
        <v>43</v>
      </c>
      <c r="F85" s="4">
        <v>2753.82</v>
      </c>
      <c r="G85" s="4">
        <v>1736.22</v>
      </c>
      <c r="H85" s="4">
        <v>1017.59</v>
      </c>
      <c r="I85" s="6">
        <v>3.74</v>
      </c>
      <c r="J85" s="5">
        <v>20</v>
      </c>
    </row>
    <row r="86" spans="1:10">
      <c r="A86" t="s">
        <v>18</v>
      </c>
      <c r="B86" t="s">
        <v>11</v>
      </c>
      <c r="C86" t="s">
        <v>12</v>
      </c>
      <c r="D86" s="3">
        <v>45717</v>
      </c>
      <c r="E86" s="5">
        <v>83</v>
      </c>
      <c r="F86" s="4">
        <v>11648.41</v>
      </c>
      <c r="G86" s="4">
        <v>8622.82</v>
      </c>
      <c r="H86" s="4">
        <v>3025.6</v>
      </c>
      <c r="I86" s="6">
        <v>3.79</v>
      </c>
      <c r="J86" s="5">
        <v>20</v>
      </c>
    </row>
    <row r="87" spans="1:10">
      <c r="A87" t="s">
        <v>18</v>
      </c>
      <c r="B87" t="s">
        <v>11</v>
      </c>
      <c r="C87" t="s">
        <v>13</v>
      </c>
      <c r="D87" s="3">
        <v>45717</v>
      </c>
      <c r="E87" s="5">
        <v>73</v>
      </c>
      <c r="F87" s="4">
        <v>5584.17</v>
      </c>
      <c r="G87" s="4">
        <v>3717.28</v>
      </c>
      <c r="H87" s="4">
        <v>1866.89</v>
      </c>
      <c r="I87" s="6">
        <v>3.73</v>
      </c>
      <c r="J87" s="5">
        <v>20</v>
      </c>
    </row>
    <row r="88" spans="1:10">
      <c r="A88" t="s">
        <v>18</v>
      </c>
      <c r="B88" t="s">
        <v>11</v>
      </c>
      <c r="C88" t="s">
        <v>14</v>
      </c>
      <c r="D88" s="3">
        <v>45717</v>
      </c>
      <c r="E88" s="5">
        <v>103</v>
      </c>
      <c r="F88" s="4">
        <v>4781.9399999999996</v>
      </c>
      <c r="G88" s="4">
        <v>2864.26</v>
      </c>
      <c r="H88" s="4">
        <v>1917.68</v>
      </c>
      <c r="I88" s="6">
        <v>3.88</v>
      </c>
      <c r="J88" s="5">
        <v>20</v>
      </c>
    </row>
    <row r="89" spans="1:10">
      <c r="A89" t="s">
        <v>18</v>
      </c>
      <c r="B89" t="s">
        <v>11</v>
      </c>
      <c r="C89" t="s">
        <v>15</v>
      </c>
      <c r="D89" s="3">
        <v>45717</v>
      </c>
      <c r="E89" s="5">
        <v>86</v>
      </c>
      <c r="F89" s="4">
        <v>3015.99</v>
      </c>
      <c r="G89" s="4">
        <v>1436.88</v>
      </c>
      <c r="H89" s="4">
        <v>1579.11</v>
      </c>
      <c r="I89" s="6">
        <v>3.71</v>
      </c>
      <c r="J89" s="5">
        <v>20</v>
      </c>
    </row>
    <row r="90" spans="1:10">
      <c r="A90" t="s">
        <v>18</v>
      </c>
      <c r="B90" t="s">
        <v>11</v>
      </c>
      <c r="C90" t="s">
        <v>16</v>
      </c>
      <c r="D90" s="3">
        <v>45717</v>
      </c>
      <c r="E90" s="5">
        <v>134</v>
      </c>
      <c r="F90" s="4">
        <v>2303.27</v>
      </c>
      <c r="G90" s="4">
        <v>2045.29</v>
      </c>
      <c r="H90" s="4">
        <v>257.98</v>
      </c>
      <c r="I90" s="6">
        <v>3.74</v>
      </c>
      <c r="J90" s="5">
        <v>20</v>
      </c>
    </row>
    <row r="91" spans="1:10">
      <c r="A91" t="s">
        <v>18</v>
      </c>
      <c r="B91" t="s">
        <v>11</v>
      </c>
      <c r="C91" t="s">
        <v>17</v>
      </c>
      <c r="D91" s="3">
        <v>45717</v>
      </c>
      <c r="E91" s="5">
        <v>52</v>
      </c>
      <c r="F91" s="4">
        <v>3462.95</v>
      </c>
      <c r="G91" s="4">
        <v>2190.94</v>
      </c>
      <c r="H91" s="4">
        <v>1272.01</v>
      </c>
      <c r="I91" s="6">
        <v>3.72</v>
      </c>
      <c r="J91" s="5">
        <v>20</v>
      </c>
    </row>
    <row r="92" spans="1:10">
      <c r="A92" t="s">
        <v>18</v>
      </c>
      <c r="B92" t="s">
        <v>11</v>
      </c>
      <c r="C92" t="s">
        <v>12</v>
      </c>
      <c r="D92" s="3">
        <v>45748</v>
      </c>
      <c r="E92" s="5">
        <v>96</v>
      </c>
      <c r="F92" s="4">
        <v>13344.65</v>
      </c>
      <c r="G92" s="4">
        <v>10226.950000000001</v>
      </c>
      <c r="H92" s="4">
        <v>3117.7</v>
      </c>
      <c r="I92" s="6">
        <v>3.9</v>
      </c>
      <c r="J92" s="5">
        <v>20</v>
      </c>
    </row>
    <row r="93" spans="1:10">
      <c r="A93" t="s">
        <v>18</v>
      </c>
      <c r="B93" t="s">
        <v>11</v>
      </c>
      <c r="C93" t="s">
        <v>13</v>
      </c>
      <c r="D93" s="3">
        <v>45748</v>
      </c>
      <c r="E93" s="5">
        <v>82</v>
      </c>
      <c r="F93" s="4">
        <v>6345.73</v>
      </c>
      <c r="G93" s="4">
        <v>4129.72</v>
      </c>
      <c r="H93" s="4">
        <v>2216.0100000000002</v>
      </c>
      <c r="I93" s="6">
        <v>3.98</v>
      </c>
      <c r="J93" s="5">
        <v>20</v>
      </c>
    </row>
    <row r="94" spans="1:10">
      <c r="A94" t="s">
        <v>18</v>
      </c>
      <c r="B94" t="s">
        <v>11</v>
      </c>
      <c r="C94" t="s">
        <v>14</v>
      </c>
      <c r="D94" s="3">
        <v>45748</v>
      </c>
      <c r="E94" s="5">
        <v>106</v>
      </c>
      <c r="F94" s="4">
        <v>5418.12</v>
      </c>
      <c r="G94" s="4">
        <v>3225.8</v>
      </c>
      <c r="H94" s="4">
        <v>2192.33</v>
      </c>
      <c r="I94" s="6">
        <v>4.03</v>
      </c>
      <c r="J94" s="5">
        <v>20</v>
      </c>
    </row>
    <row r="95" spans="1:10">
      <c r="A95" t="s">
        <v>18</v>
      </c>
      <c r="B95" t="s">
        <v>11</v>
      </c>
      <c r="C95" t="s">
        <v>15</v>
      </c>
      <c r="D95" s="3">
        <v>45748</v>
      </c>
      <c r="E95" s="5">
        <v>93</v>
      </c>
      <c r="F95" s="4">
        <v>3356.13</v>
      </c>
      <c r="G95" s="4">
        <v>1571.42</v>
      </c>
      <c r="H95" s="4">
        <v>1784.71</v>
      </c>
      <c r="I95" s="6">
        <v>4.01</v>
      </c>
      <c r="J95" s="5">
        <v>20</v>
      </c>
    </row>
    <row r="96" spans="1:10">
      <c r="A96" t="s">
        <v>18</v>
      </c>
      <c r="B96" t="s">
        <v>11</v>
      </c>
      <c r="C96" t="s">
        <v>16</v>
      </c>
      <c r="D96" s="3">
        <v>45748</v>
      </c>
      <c r="E96" s="5">
        <v>125</v>
      </c>
      <c r="F96" s="4">
        <v>2379.56</v>
      </c>
      <c r="G96" s="4">
        <v>2108.29</v>
      </c>
      <c r="H96" s="4">
        <v>271.27</v>
      </c>
      <c r="I96" s="6">
        <v>3.95</v>
      </c>
      <c r="J96" s="5">
        <v>20</v>
      </c>
    </row>
    <row r="97" spans="1:10">
      <c r="A97" t="s">
        <v>18</v>
      </c>
      <c r="B97" t="s">
        <v>11</v>
      </c>
      <c r="C97" t="s">
        <v>17</v>
      </c>
      <c r="D97" s="3">
        <v>45748</v>
      </c>
      <c r="E97" s="5">
        <v>69</v>
      </c>
      <c r="F97" s="4">
        <v>4311.55</v>
      </c>
      <c r="G97" s="4">
        <v>2707.74</v>
      </c>
      <c r="H97" s="4">
        <v>1603.82</v>
      </c>
      <c r="I97" s="6">
        <v>3.86</v>
      </c>
      <c r="J97" s="5">
        <v>20</v>
      </c>
    </row>
    <row r="98" spans="1:10">
      <c r="A98" t="s">
        <v>18</v>
      </c>
      <c r="B98" t="s">
        <v>11</v>
      </c>
      <c r="C98" t="s">
        <v>12</v>
      </c>
      <c r="D98" s="3">
        <v>45778</v>
      </c>
      <c r="E98" s="5">
        <v>99</v>
      </c>
      <c r="F98" s="4">
        <v>15288.42</v>
      </c>
      <c r="G98" s="4">
        <v>11535.45</v>
      </c>
      <c r="H98" s="4">
        <v>3752.97</v>
      </c>
      <c r="I98" s="6">
        <v>3.76</v>
      </c>
      <c r="J98" s="5">
        <v>20</v>
      </c>
    </row>
    <row r="99" spans="1:10">
      <c r="A99" t="s">
        <v>18</v>
      </c>
      <c r="B99" t="s">
        <v>11</v>
      </c>
      <c r="C99" t="s">
        <v>13</v>
      </c>
      <c r="D99" s="3">
        <v>45778</v>
      </c>
      <c r="E99" s="5">
        <v>96</v>
      </c>
      <c r="F99" s="4">
        <v>7249.49</v>
      </c>
      <c r="G99" s="4">
        <v>4713.38</v>
      </c>
      <c r="H99" s="4">
        <v>2536.1</v>
      </c>
      <c r="I99" s="6">
        <v>3.78</v>
      </c>
      <c r="J99" s="5">
        <v>20</v>
      </c>
    </row>
    <row r="100" spans="1:10">
      <c r="A100" t="s">
        <v>18</v>
      </c>
      <c r="B100" t="s">
        <v>11</v>
      </c>
      <c r="C100" t="s">
        <v>14</v>
      </c>
      <c r="D100" s="3">
        <v>45778</v>
      </c>
      <c r="E100" s="5">
        <v>105</v>
      </c>
      <c r="F100" s="4">
        <v>5066.3599999999997</v>
      </c>
      <c r="G100" s="4">
        <v>2979.71</v>
      </c>
      <c r="H100" s="4">
        <v>2086.65</v>
      </c>
      <c r="I100" s="6">
        <v>4</v>
      </c>
      <c r="J100" s="5">
        <v>20</v>
      </c>
    </row>
    <row r="101" spans="1:10">
      <c r="A101" t="s">
        <v>18</v>
      </c>
      <c r="B101" t="s">
        <v>11</v>
      </c>
      <c r="C101" t="s">
        <v>15</v>
      </c>
      <c r="D101" s="3">
        <v>45778</v>
      </c>
      <c r="E101" s="5">
        <v>97</v>
      </c>
      <c r="F101" s="4">
        <v>3472.89</v>
      </c>
      <c r="G101" s="4">
        <v>1708.09</v>
      </c>
      <c r="H101" s="4">
        <v>1764.8</v>
      </c>
      <c r="I101" s="6">
        <v>4.05</v>
      </c>
      <c r="J101" s="5">
        <v>20</v>
      </c>
    </row>
    <row r="102" spans="1:10">
      <c r="A102" t="s">
        <v>18</v>
      </c>
      <c r="B102" t="s">
        <v>11</v>
      </c>
      <c r="C102" t="s">
        <v>16</v>
      </c>
      <c r="D102" s="3">
        <v>45778</v>
      </c>
      <c r="E102" s="5">
        <v>182</v>
      </c>
      <c r="F102" s="4">
        <v>3343.47</v>
      </c>
      <c r="G102" s="4">
        <v>3018.33</v>
      </c>
      <c r="H102" s="4">
        <v>325.14999999999998</v>
      </c>
      <c r="I102" s="6">
        <v>4.01</v>
      </c>
      <c r="J102" s="5">
        <v>20</v>
      </c>
    </row>
    <row r="103" spans="1:10">
      <c r="A103" t="s">
        <v>18</v>
      </c>
      <c r="B103" t="s">
        <v>11</v>
      </c>
      <c r="C103" t="s">
        <v>17</v>
      </c>
      <c r="D103" s="3">
        <v>45778</v>
      </c>
      <c r="E103" s="5">
        <v>92</v>
      </c>
      <c r="F103" s="4">
        <v>5600.22</v>
      </c>
      <c r="G103" s="4">
        <v>3582.74</v>
      </c>
      <c r="H103" s="4">
        <v>2017.48</v>
      </c>
      <c r="I103" s="6">
        <v>4.03</v>
      </c>
      <c r="J103" s="5">
        <v>20</v>
      </c>
    </row>
    <row r="104" spans="1:10">
      <c r="A104" t="s">
        <v>18</v>
      </c>
      <c r="B104" t="s">
        <v>11</v>
      </c>
      <c r="C104" t="s">
        <v>12</v>
      </c>
      <c r="D104" s="3">
        <v>45809</v>
      </c>
      <c r="E104" s="5">
        <v>90</v>
      </c>
      <c r="F104" s="4">
        <v>13728.36</v>
      </c>
      <c r="G104" s="4">
        <v>10963.71</v>
      </c>
      <c r="H104" s="4">
        <v>2764.65</v>
      </c>
      <c r="I104" s="6">
        <v>3.88</v>
      </c>
      <c r="J104" s="5">
        <v>22</v>
      </c>
    </row>
    <row r="105" spans="1:10">
      <c r="A105" t="s">
        <v>18</v>
      </c>
      <c r="B105" t="s">
        <v>11</v>
      </c>
      <c r="C105" t="s">
        <v>13</v>
      </c>
      <c r="D105" s="3">
        <v>45809</v>
      </c>
      <c r="E105" s="5">
        <v>90</v>
      </c>
      <c r="F105" s="4">
        <v>6690.96</v>
      </c>
      <c r="G105" s="4">
        <v>4479.08</v>
      </c>
      <c r="H105" s="4">
        <v>2211.88</v>
      </c>
      <c r="I105" s="6">
        <v>3.84</v>
      </c>
      <c r="J105" s="5">
        <v>22</v>
      </c>
    </row>
    <row r="106" spans="1:10">
      <c r="A106" t="s">
        <v>18</v>
      </c>
      <c r="B106" t="s">
        <v>11</v>
      </c>
      <c r="C106" t="s">
        <v>14</v>
      </c>
      <c r="D106" s="3">
        <v>45809</v>
      </c>
      <c r="E106" s="5">
        <v>109</v>
      </c>
      <c r="F106" s="4">
        <v>5448.53</v>
      </c>
      <c r="G106" s="4">
        <v>3391.5</v>
      </c>
      <c r="H106" s="4">
        <v>2057.02</v>
      </c>
      <c r="I106" s="6">
        <v>4.04</v>
      </c>
      <c r="J106" s="5">
        <v>22</v>
      </c>
    </row>
    <row r="107" spans="1:10">
      <c r="A107" t="s">
        <v>18</v>
      </c>
      <c r="B107" t="s">
        <v>11</v>
      </c>
      <c r="C107" t="s">
        <v>15</v>
      </c>
      <c r="D107" s="3">
        <v>45809</v>
      </c>
      <c r="E107" s="5">
        <v>85</v>
      </c>
      <c r="F107" s="4">
        <v>3296.54</v>
      </c>
      <c r="G107" s="4">
        <v>1618.61</v>
      </c>
      <c r="H107" s="4">
        <v>1677.93</v>
      </c>
      <c r="I107" s="6">
        <v>4.03</v>
      </c>
      <c r="J107" s="5">
        <v>22</v>
      </c>
    </row>
    <row r="108" spans="1:10">
      <c r="A108" t="s">
        <v>18</v>
      </c>
      <c r="B108" t="s">
        <v>11</v>
      </c>
      <c r="C108" t="s">
        <v>16</v>
      </c>
      <c r="D108" s="3">
        <v>45809</v>
      </c>
      <c r="E108" s="5">
        <v>146</v>
      </c>
      <c r="F108" s="4">
        <v>2501.21</v>
      </c>
      <c r="G108" s="4">
        <v>2266.35</v>
      </c>
      <c r="H108" s="4">
        <v>234.86</v>
      </c>
      <c r="I108" s="6">
        <v>3.99</v>
      </c>
      <c r="J108" s="5">
        <v>22</v>
      </c>
    </row>
    <row r="109" spans="1:10">
      <c r="A109" t="s">
        <v>18</v>
      </c>
      <c r="B109" t="s">
        <v>11</v>
      </c>
      <c r="C109" t="s">
        <v>17</v>
      </c>
      <c r="D109" s="3">
        <v>45809</v>
      </c>
      <c r="E109" s="5">
        <v>88</v>
      </c>
      <c r="F109" s="4">
        <v>5267.45</v>
      </c>
      <c r="G109" s="4">
        <v>3374.57</v>
      </c>
      <c r="H109" s="4">
        <v>1892.88</v>
      </c>
      <c r="I109" s="6">
        <v>3.82</v>
      </c>
      <c r="J109" s="5">
        <v>22</v>
      </c>
    </row>
    <row r="110" spans="1:10">
      <c r="A110" t="s">
        <v>18</v>
      </c>
      <c r="B110" t="s">
        <v>11</v>
      </c>
      <c r="C110" t="s">
        <v>12</v>
      </c>
      <c r="D110" s="3">
        <v>45839</v>
      </c>
      <c r="E110" s="5">
        <v>101</v>
      </c>
      <c r="F110" s="4">
        <v>14543.62</v>
      </c>
      <c r="G110" s="4">
        <v>11604.14</v>
      </c>
      <c r="H110" s="4">
        <v>2939.49</v>
      </c>
      <c r="I110" s="6">
        <v>4</v>
      </c>
      <c r="J110" s="5">
        <v>22</v>
      </c>
    </row>
    <row r="111" spans="1:10">
      <c r="A111" t="s">
        <v>18</v>
      </c>
      <c r="B111" t="s">
        <v>11</v>
      </c>
      <c r="C111" t="s">
        <v>13</v>
      </c>
      <c r="D111" s="3">
        <v>45839</v>
      </c>
      <c r="E111" s="5">
        <v>109</v>
      </c>
      <c r="F111" s="4">
        <v>8079.53</v>
      </c>
      <c r="G111" s="4">
        <v>5324.75</v>
      </c>
      <c r="H111" s="4">
        <v>2754.78</v>
      </c>
      <c r="I111" s="6">
        <v>3.71</v>
      </c>
      <c r="J111" s="5">
        <v>22</v>
      </c>
    </row>
    <row r="112" spans="1:10">
      <c r="A112" t="s">
        <v>18</v>
      </c>
      <c r="B112" t="s">
        <v>11</v>
      </c>
      <c r="C112" t="s">
        <v>14</v>
      </c>
      <c r="D112" s="3">
        <v>45839</v>
      </c>
      <c r="E112" s="5">
        <v>81</v>
      </c>
      <c r="F112" s="4">
        <v>3845.21</v>
      </c>
      <c r="G112" s="4">
        <v>2389.9899999999998</v>
      </c>
      <c r="H112" s="4">
        <v>1455.22</v>
      </c>
      <c r="I112" s="6">
        <v>3.99</v>
      </c>
      <c r="J112" s="5">
        <v>22</v>
      </c>
    </row>
    <row r="113" spans="1:10">
      <c r="A113" t="s">
        <v>18</v>
      </c>
      <c r="B113" t="s">
        <v>11</v>
      </c>
      <c r="C113" t="s">
        <v>15</v>
      </c>
      <c r="D113" s="3">
        <v>45839</v>
      </c>
      <c r="E113" s="5">
        <v>94</v>
      </c>
      <c r="F113" s="4">
        <v>3489.74</v>
      </c>
      <c r="G113" s="4">
        <v>1757.31</v>
      </c>
      <c r="H113" s="4">
        <v>1732.42</v>
      </c>
      <c r="I113" s="6">
        <v>4.05</v>
      </c>
      <c r="J113" s="5">
        <v>22</v>
      </c>
    </row>
    <row r="114" spans="1:10">
      <c r="A114" t="s">
        <v>18</v>
      </c>
      <c r="B114" t="s">
        <v>11</v>
      </c>
      <c r="C114" t="s">
        <v>16</v>
      </c>
      <c r="D114" s="3">
        <v>45839</v>
      </c>
      <c r="E114" s="5">
        <v>170</v>
      </c>
      <c r="F114" s="4">
        <v>2941.68</v>
      </c>
      <c r="G114" s="4">
        <v>2634.15</v>
      </c>
      <c r="H114" s="4">
        <v>307.52999999999997</v>
      </c>
      <c r="I114" s="6">
        <v>3.92</v>
      </c>
      <c r="J114" s="5">
        <v>22</v>
      </c>
    </row>
    <row r="115" spans="1:10">
      <c r="A115" t="s">
        <v>18</v>
      </c>
      <c r="B115" t="s">
        <v>11</v>
      </c>
      <c r="C115" t="s">
        <v>17</v>
      </c>
      <c r="D115" s="3">
        <v>45839</v>
      </c>
      <c r="E115" s="5">
        <v>100</v>
      </c>
      <c r="F115" s="4">
        <v>6317.53</v>
      </c>
      <c r="G115" s="4">
        <v>4074.17</v>
      </c>
      <c r="H115" s="4">
        <v>2243.36</v>
      </c>
      <c r="I115" s="6">
        <v>3.96</v>
      </c>
      <c r="J115" s="5">
        <v>22</v>
      </c>
    </row>
    <row r="116" spans="1:10">
      <c r="A116" t="s">
        <v>18</v>
      </c>
      <c r="B116" t="s">
        <v>11</v>
      </c>
      <c r="C116" t="s">
        <v>12</v>
      </c>
      <c r="D116" s="3">
        <v>45870</v>
      </c>
      <c r="E116" s="5">
        <v>108</v>
      </c>
      <c r="F116" s="4">
        <v>16360.15</v>
      </c>
      <c r="G116" s="4">
        <v>12657.57</v>
      </c>
      <c r="H116" s="4">
        <v>3702.59</v>
      </c>
      <c r="I116" s="6">
        <v>4</v>
      </c>
      <c r="J116" s="5">
        <v>21</v>
      </c>
    </row>
    <row r="117" spans="1:10">
      <c r="A117" t="s">
        <v>18</v>
      </c>
      <c r="B117" t="s">
        <v>11</v>
      </c>
      <c r="C117" t="s">
        <v>13</v>
      </c>
      <c r="D117" s="3">
        <v>45870</v>
      </c>
      <c r="E117" s="5">
        <v>102</v>
      </c>
      <c r="F117" s="4">
        <v>8333.8700000000008</v>
      </c>
      <c r="G117" s="4">
        <v>5550.05</v>
      </c>
      <c r="H117" s="4">
        <v>2783.82</v>
      </c>
      <c r="I117" s="6">
        <v>3.71</v>
      </c>
      <c r="J117" s="5">
        <v>21</v>
      </c>
    </row>
    <row r="118" spans="1:10">
      <c r="A118" t="s">
        <v>18</v>
      </c>
      <c r="B118" t="s">
        <v>11</v>
      </c>
      <c r="C118" t="s">
        <v>14</v>
      </c>
      <c r="D118" s="3">
        <v>45870</v>
      </c>
      <c r="E118" s="5">
        <v>132</v>
      </c>
      <c r="F118" s="4">
        <v>6805.78</v>
      </c>
      <c r="G118" s="4">
        <v>4206.9399999999996</v>
      </c>
      <c r="H118" s="4">
        <v>2598.83</v>
      </c>
      <c r="I118" s="6">
        <v>3.96</v>
      </c>
      <c r="J118" s="5">
        <v>21</v>
      </c>
    </row>
    <row r="119" spans="1:10">
      <c r="A119" t="s">
        <v>18</v>
      </c>
      <c r="B119" t="s">
        <v>11</v>
      </c>
      <c r="C119" t="s">
        <v>15</v>
      </c>
      <c r="D119" s="3">
        <v>45870</v>
      </c>
      <c r="E119" s="5">
        <v>109</v>
      </c>
      <c r="F119" s="4">
        <v>3730.31</v>
      </c>
      <c r="G119" s="4">
        <v>1894.03</v>
      </c>
      <c r="H119" s="4">
        <v>1836.28</v>
      </c>
      <c r="I119" s="6">
        <v>3.93</v>
      </c>
      <c r="J119" s="5">
        <v>21</v>
      </c>
    </row>
    <row r="120" spans="1:10">
      <c r="A120" t="s">
        <v>18</v>
      </c>
      <c r="B120" t="s">
        <v>11</v>
      </c>
      <c r="C120" t="s">
        <v>16</v>
      </c>
      <c r="D120" s="3">
        <v>45870</v>
      </c>
      <c r="E120" s="5">
        <v>179</v>
      </c>
      <c r="F120" s="4">
        <v>3412.23</v>
      </c>
      <c r="G120" s="4">
        <v>3165.03</v>
      </c>
      <c r="H120" s="4">
        <v>247.2</v>
      </c>
      <c r="I120" s="6">
        <v>3.72</v>
      </c>
      <c r="J120" s="5">
        <v>21</v>
      </c>
    </row>
    <row r="121" spans="1:10">
      <c r="A121" t="s">
        <v>18</v>
      </c>
      <c r="B121" t="s">
        <v>11</v>
      </c>
      <c r="C121" t="s">
        <v>17</v>
      </c>
      <c r="D121" s="3">
        <v>45870</v>
      </c>
      <c r="E121" s="5">
        <v>101</v>
      </c>
      <c r="F121" s="4">
        <v>6748.8</v>
      </c>
      <c r="G121" s="4">
        <v>4543.47</v>
      </c>
      <c r="H121" s="4">
        <v>2205.33</v>
      </c>
      <c r="I121" s="6">
        <v>3.83</v>
      </c>
      <c r="J121" s="5">
        <v>21</v>
      </c>
    </row>
    <row r="122" spans="1:10">
      <c r="A122" t="s">
        <v>18</v>
      </c>
      <c r="B122" t="s">
        <v>11</v>
      </c>
      <c r="C122" t="s">
        <v>12</v>
      </c>
      <c r="D122" s="3">
        <v>45901</v>
      </c>
      <c r="E122" s="5">
        <v>97</v>
      </c>
      <c r="F122" s="4">
        <v>14496.18</v>
      </c>
      <c r="G122" s="4">
        <v>11229.69</v>
      </c>
      <c r="H122" s="4">
        <v>3266.48</v>
      </c>
      <c r="I122" s="6">
        <v>3.86</v>
      </c>
      <c r="J122" s="5">
        <v>21</v>
      </c>
    </row>
    <row r="123" spans="1:10">
      <c r="A123" t="s">
        <v>18</v>
      </c>
      <c r="B123" t="s">
        <v>11</v>
      </c>
      <c r="C123" t="s">
        <v>13</v>
      </c>
      <c r="D123" s="3">
        <v>45901</v>
      </c>
      <c r="E123" s="5">
        <v>87</v>
      </c>
      <c r="F123" s="4">
        <v>6669.05</v>
      </c>
      <c r="G123" s="4">
        <v>4570.01</v>
      </c>
      <c r="H123" s="4">
        <v>2099.04</v>
      </c>
      <c r="I123" s="6">
        <v>3.83</v>
      </c>
      <c r="J123" s="5">
        <v>21</v>
      </c>
    </row>
    <row r="124" spans="1:10">
      <c r="A124" t="s">
        <v>18</v>
      </c>
      <c r="B124" t="s">
        <v>11</v>
      </c>
      <c r="C124" t="s">
        <v>14</v>
      </c>
      <c r="D124" s="3">
        <v>45901</v>
      </c>
      <c r="E124" s="5">
        <v>120</v>
      </c>
      <c r="F124" s="4">
        <v>5537.77</v>
      </c>
      <c r="G124" s="4">
        <v>3410.14</v>
      </c>
      <c r="H124" s="4">
        <v>2127.63</v>
      </c>
      <c r="I124" s="6">
        <v>3.89</v>
      </c>
      <c r="J124" s="5">
        <v>21</v>
      </c>
    </row>
    <row r="125" spans="1:10">
      <c r="A125" t="s">
        <v>18</v>
      </c>
      <c r="B125" t="s">
        <v>11</v>
      </c>
      <c r="C125" t="s">
        <v>15</v>
      </c>
      <c r="D125" s="3">
        <v>45901</v>
      </c>
      <c r="E125" s="5">
        <v>88</v>
      </c>
      <c r="F125" s="4">
        <v>3266.41</v>
      </c>
      <c r="G125" s="4">
        <v>1670.88</v>
      </c>
      <c r="H125" s="4">
        <v>1595.53</v>
      </c>
      <c r="I125" s="6">
        <v>4.04</v>
      </c>
      <c r="J125" s="5">
        <v>21</v>
      </c>
    </row>
    <row r="126" spans="1:10">
      <c r="A126" t="s">
        <v>18</v>
      </c>
      <c r="B126" t="s">
        <v>11</v>
      </c>
      <c r="C126" t="s">
        <v>16</v>
      </c>
      <c r="D126" s="3">
        <v>45901</v>
      </c>
      <c r="E126" s="5">
        <v>157</v>
      </c>
      <c r="F126" s="4">
        <v>2983.13</v>
      </c>
      <c r="G126" s="4">
        <v>2783.71</v>
      </c>
      <c r="H126" s="4">
        <v>199.43</v>
      </c>
      <c r="I126" s="6">
        <v>3.79</v>
      </c>
      <c r="J126" s="5">
        <v>21</v>
      </c>
    </row>
    <row r="127" spans="1:10">
      <c r="A127" t="s">
        <v>18</v>
      </c>
      <c r="B127" t="s">
        <v>11</v>
      </c>
      <c r="C127" t="s">
        <v>17</v>
      </c>
      <c r="D127" s="3">
        <v>45901</v>
      </c>
      <c r="E127" s="5">
        <v>64</v>
      </c>
      <c r="F127" s="4">
        <v>3866.3</v>
      </c>
      <c r="G127" s="4">
        <v>2650.04</v>
      </c>
      <c r="H127" s="4">
        <v>1216.26</v>
      </c>
      <c r="I127" s="6">
        <v>3.8</v>
      </c>
      <c r="J127" s="5">
        <v>21</v>
      </c>
    </row>
    <row r="128" spans="1:10">
      <c r="A128" t="s">
        <v>18</v>
      </c>
      <c r="B128" t="s">
        <v>11</v>
      </c>
      <c r="C128" t="s">
        <v>12</v>
      </c>
      <c r="D128" s="3">
        <v>45931</v>
      </c>
      <c r="E128" s="5">
        <v>104</v>
      </c>
      <c r="F128" s="4">
        <v>15463.73</v>
      </c>
      <c r="G128" s="4">
        <v>12342.57</v>
      </c>
      <c r="H128" s="4">
        <v>3121.16</v>
      </c>
      <c r="I128" s="6">
        <v>3.71</v>
      </c>
      <c r="J128" s="5">
        <v>21</v>
      </c>
    </row>
    <row r="129" spans="1:10">
      <c r="A129" t="s">
        <v>18</v>
      </c>
      <c r="B129" t="s">
        <v>11</v>
      </c>
      <c r="C129" t="s">
        <v>13</v>
      </c>
      <c r="D129" s="3">
        <v>45931</v>
      </c>
      <c r="E129" s="5">
        <v>102</v>
      </c>
      <c r="F129" s="4">
        <v>8210.4</v>
      </c>
      <c r="G129" s="4">
        <v>5589.25</v>
      </c>
      <c r="H129" s="4">
        <v>2621.16</v>
      </c>
      <c r="I129" s="6">
        <v>3.78</v>
      </c>
      <c r="J129" s="5">
        <v>21</v>
      </c>
    </row>
    <row r="130" spans="1:10">
      <c r="A130" t="s">
        <v>18</v>
      </c>
      <c r="B130" t="s">
        <v>11</v>
      </c>
      <c r="C130" t="s">
        <v>14</v>
      </c>
      <c r="D130" s="3">
        <v>45931</v>
      </c>
      <c r="E130" s="5">
        <v>121</v>
      </c>
      <c r="F130" s="4">
        <v>6175.33</v>
      </c>
      <c r="G130" s="4">
        <v>3962.42</v>
      </c>
      <c r="H130" s="4">
        <v>2212.91</v>
      </c>
      <c r="I130" s="6">
        <v>3.8</v>
      </c>
      <c r="J130" s="5">
        <v>21</v>
      </c>
    </row>
    <row r="131" spans="1:10">
      <c r="A131" t="s">
        <v>18</v>
      </c>
      <c r="B131" t="s">
        <v>11</v>
      </c>
      <c r="C131" t="s">
        <v>15</v>
      </c>
      <c r="D131" s="3">
        <v>45931</v>
      </c>
      <c r="E131" s="5">
        <v>92</v>
      </c>
      <c r="F131" s="4">
        <v>3117.99</v>
      </c>
      <c r="G131" s="4">
        <v>1645.73</v>
      </c>
      <c r="H131" s="4">
        <v>1472.26</v>
      </c>
      <c r="I131" s="6">
        <v>3.74</v>
      </c>
      <c r="J131" s="5">
        <v>21</v>
      </c>
    </row>
    <row r="132" spans="1:10">
      <c r="A132" t="s">
        <v>18</v>
      </c>
      <c r="B132" t="s">
        <v>11</v>
      </c>
      <c r="C132" t="s">
        <v>16</v>
      </c>
      <c r="D132" s="3">
        <v>45931</v>
      </c>
      <c r="E132" s="5">
        <v>161</v>
      </c>
      <c r="F132" s="4">
        <v>3031.72</v>
      </c>
      <c r="G132" s="4">
        <v>2864.01</v>
      </c>
      <c r="H132" s="4">
        <v>167.71</v>
      </c>
      <c r="I132" s="6">
        <v>3.91</v>
      </c>
      <c r="J132" s="5">
        <v>21</v>
      </c>
    </row>
    <row r="133" spans="1:10">
      <c r="A133" t="s">
        <v>18</v>
      </c>
      <c r="B133" t="s">
        <v>11</v>
      </c>
      <c r="C133" t="s">
        <v>17</v>
      </c>
      <c r="D133" s="3">
        <v>45931</v>
      </c>
      <c r="E133" s="5">
        <v>67</v>
      </c>
      <c r="F133" s="4">
        <v>4190.2</v>
      </c>
      <c r="G133" s="4">
        <v>2873.83</v>
      </c>
      <c r="H133" s="4">
        <v>1316.37</v>
      </c>
      <c r="I133" s="6">
        <v>3.74</v>
      </c>
      <c r="J133" s="5">
        <v>21</v>
      </c>
    </row>
    <row r="134" spans="1:10">
      <c r="A134" t="s">
        <v>18</v>
      </c>
      <c r="B134" t="s">
        <v>11</v>
      </c>
      <c r="C134" t="s">
        <v>12</v>
      </c>
      <c r="D134" s="3">
        <v>45962</v>
      </c>
      <c r="E134" s="5">
        <v>160</v>
      </c>
      <c r="F134" s="4">
        <v>23964.54</v>
      </c>
      <c r="G134" s="4">
        <v>19258.73</v>
      </c>
      <c r="H134" s="4">
        <v>4705.8100000000004</v>
      </c>
      <c r="I134" s="6">
        <v>3.9</v>
      </c>
      <c r="J134" s="5">
        <v>22</v>
      </c>
    </row>
    <row r="135" spans="1:10">
      <c r="A135" t="s">
        <v>18</v>
      </c>
      <c r="B135" t="s">
        <v>11</v>
      </c>
      <c r="C135" t="s">
        <v>13</v>
      </c>
      <c r="D135" s="3">
        <v>45962</v>
      </c>
      <c r="E135" s="5">
        <v>116</v>
      </c>
      <c r="F135" s="4">
        <v>8711.32</v>
      </c>
      <c r="G135" s="4">
        <v>6279.63</v>
      </c>
      <c r="H135" s="4">
        <v>2431.69</v>
      </c>
      <c r="I135" s="6">
        <v>3.9</v>
      </c>
      <c r="J135" s="5">
        <v>22</v>
      </c>
    </row>
    <row r="136" spans="1:10">
      <c r="A136" t="s">
        <v>18</v>
      </c>
      <c r="B136" t="s">
        <v>11</v>
      </c>
      <c r="C136" t="s">
        <v>14</v>
      </c>
      <c r="D136" s="3">
        <v>45962</v>
      </c>
      <c r="E136" s="5">
        <v>159</v>
      </c>
      <c r="F136" s="4">
        <v>7501.7</v>
      </c>
      <c r="G136" s="4">
        <v>4723.47</v>
      </c>
      <c r="H136" s="4">
        <v>2778.23</v>
      </c>
      <c r="I136" s="6">
        <v>3.96</v>
      </c>
      <c r="J136" s="5">
        <v>22</v>
      </c>
    </row>
    <row r="137" spans="1:10">
      <c r="A137" t="s">
        <v>18</v>
      </c>
      <c r="B137" t="s">
        <v>11</v>
      </c>
      <c r="C137" t="s">
        <v>15</v>
      </c>
      <c r="D137" s="3">
        <v>45962</v>
      </c>
      <c r="E137" s="5">
        <v>126</v>
      </c>
      <c r="F137" s="4">
        <v>4464.2299999999996</v>
      </c>
      <c r="G137" s="4">
        <v>2355.23</v>
      </c>
      <c r="H137" s="4">
        <v>2109</v>
      </c>
      <c r="I137" s="6">
        <v>4.05</v>
      </c>
      <c r="J137" s="5">
        <v>22</v>
      </c>
    </row>
    <row r="138" spans="1:10">
      <c r="A138" t="s">
        <v>18</v>
      </c>
      <c r="B138" t="s">
        <v>11</v>
      </c>
      <c r="C138" t="s">
        <v>16</v>
      </c>
      <c r="D138" s="3">
        <v>45962</v>
      </c>
      <c r="E138" s="5">
        <v>199</v>
      </c>
      <c r="F138" s="4">
        <v>3737.48</v>
      </c>
      <c r="G138" s="4">
        <v>3466.11</v>
      </c>
      <c r="H138" s="4">
        <v>271.36</v>
      </c>
      <c r="I138" s="6">
        <v>3.89</v>
      </c>
      <c r="J138" s="5">
        <v>22</v>
      </c>
    </row>
    <row r="139" spans="1:10">
      <c r="A139" t="s">
        <v>18</v>
      </c>
      <c r="B139" t="s">
        <v>11</v>
      </c>
      <c r="C139" t="s">
        <v>17</v>
      </c>
      <c r="D139" s="3">
        <v>45962</v>
      </c>
      <c r="E139" s="5">
        <v>84</v>
      </c>
      <c r="F139" s="4">
        <v>5449.8</v>
      </c>
      <c r="G139" s="4">
        <v>3727.39</v>
      </c>
      <c r="H139" s="4">
        <v>1722.42</v>
      </c>
      <c r="I139" s="6">
        <v>4.0599999999999996</v>
      </c>
      <c r="J139" s="5">
        <v>22</v>
      </c>
    </row>
    <row r="140" spans="1:10">
      <c r="A140" t="s">
        <v>18</v>
      </c>
      <c r="B140" t="s">
        <v>11</v>
      </c>
      <c r="C140" t="s">
        <v>12</v>
      </c>
      <c r="D140" s="3">
        <v>45992</v>
      </c>
      <c r="E140" s="5">
        <v>184</v>
      </c>
      <c r="F140" s="4">
        <v>26208.23</v>
      </c>
      <c r="G140" s="4">
        <v>22183.54</v>
      </c>
      <c r="H140" s="4">
        <v>4024.69</v>
      </c>
      <c r="I140" s="6">
        <v>3.75</v>
      </c>
      <c r="J140" s="5">
        <v>22</v>
      </c>
    </row>
    <row r="141" spans="1:10">
      <c r="A141" t="s">
        <v>18</v>
      </c>
      <c r="B141" t="s">
        <v>11</v>
      </c>
      <c r="C141" t="s">
        <v>13</v>
      </c>
      <c r="D141" s="3">
        <v>45992</v>
      </c>
      <c r="E141" s="5">
        <v>134</v>
      </c>
      <c r="F141" s="4">
        <v>9637.85</v>
      </c>
      <c r="G141" s="4">
        <v>6810.06</v>
      </c>
      <c r="H141" s="4">
        <v>2827.79</v>
      </c>
      <c r="I141" s="6">
        <v>3.81</v>
      </c>
      <c r="J141" s="5">
        <v>22</v>
      </c>
    </row>
    <row r="142" spans="1:10">
      <c r="A142" t="s">
        <v>18</v>
      </c>
      <c r="B142" t="s">
        <v>11</v>
      </c>
      <c r="C142" t="s">
        <v>14</v>
      </c>
      <c r="D142" s="3">
        <v>45992</v>
      </c>
      <c r="E142" s="5">
        <v>206</v>
      </c>
      <c r="F142" s="4">
        <v>10336.83</v>
      </c>
      <c r="G142" s="4">
        <v>6720.17</v>
      </c>
      <c r="H142" s="4">
        <v>3616.65</v>
      </c>
      <c r="I142" s="6">
        <v>3.71</v>
      </c>
      <c r="J142" s="5">
        <v>22</v>
      </c>
    </row>
    <row r="143" spans="1:10">
      <c r="A143" t="s">
        <v>18</v>
      </c>
      <c r="B143" t="s">
        <v>11</v>
      </c>
      <c r="C143" t="s">
        <v>15</v>
      </c>
      <c r="D143" s="3">
        <v>45992</v>
      </c>
      <c r="E143" s="5">
        <v>127</v>
      </c>
      <c r="F143" s="4">
        <v>4479.68</v>
      </c>
      <c r="G143" s="4">
        <v>2442.7800000000002</v>
      </c>
      <c r="H143" s="4">
        <v>2036.9</v>
      </c>
      <c r="I143" s="6">
        <v>3.83</v>
      </c>
      <c r="J143" s="5">
        <v>22</v>
      </c>
    </row>
    <row r="144" spans="1:10">
      <c r="A144" t="s">
        <v>18</v>
      </c>
      <c r="B144" t="s">
        <v>11</v>
      </c>
      <c r="C144" t="s">
        <v>16</v>
      </c>
      <c r="D144" s="3">
        <v>45992</v>
      </c>
      <c r="E144" s="5">
        <v>240</v>
      </c>
      <c r="F144" s="4">
        <v>4581.97</v>
      </c>
      <c r="G144" s="4">
        <v>4296.84</v>
      </c>
      <c r="H144" s="4">
        <v>285.13</v>
      </c>
      <c r="I144" s="6">
        <v>3.7</v>
      </c>
      <c r="J144" s="5">
        <v>22</v>
      </c>
    </row>
    <row r="145" spans="1:10">
      <c r="A145" t="s">
        <v>18</v>
      </c>
      <c r="B145" t="s">
        <v>11</v>
      </c>
      <c r="C145" t="s">
        <v>17</v>
      </c>
      <c r="D145" s="3">
        <v>45992</v>
      </c>
      <c r="E145" s="5">
        <v>98</v>
      </c>
      <c r="F145" s="4">
        <v>6129.74</v>
      </c>
      <c r="G145" s="4">
        <v>4347.59</v>
      </c>
      <c r="H145" s="4">
        <v>1782.14</v>
      </c>
      <c r="I145" s="6">
        <v>3.95</v>
      </c>
      <c r="J145" s="5">
        <v>22</v>
      </c>
    </row>
    <row r="146" spans="1:10">
      <c r="A146" t="s">
        <v>19</v>
      </c>
      <c r="B146" t="s">
        <v>11</v>
      </c>
      <c r="C146" t="s">
        <v>12</v>
      </c>
      <c r="D146" s="3">
        <v>45658</v>
      </c>
      <c r="E146" s="5">
        <v>93</v>
      </c>
      <c r="F146" s="4">
        <v>13249.51</v>
      </c>
      <c r="G146" s="4">
        <v>10231.620000000001</v>
      </c>
      <c r="H146" s="4">
        <v>3017.89</v>
      </c>
      <c r="I146" s="6">
        <v>3.42</v>
      </c>
      <c r="J146" s="5">
        <v>26</v>
      </c>
    </row>
    <row r="147" spans="1:10">
      <c r="A147" t="s">
        <v>19</v>
      </c>
      <c r="B147" t="s">
        <v>11</v>
      </c>
      <c r="C147" t="s">
        <v>13</v>
      </c>
      <c r="D147" s="3">
        <v>45658</v>
      </c>
      <c r="E147" s="5">
        <v>86</v>
      </c>
      <c r="F147" s="4">
        <v>6843.34</v>
      </c>
      <c r="G147" s="4">
        <v>4407.67</v>
      </c>
      <c r="H147" s="4">
        <v>2435.66</v>
      </c>
      <c r="I147" s="6">
        <v>3.66</v>
      </c>
      <c r="J147" s="5">
        <v>26</v>
      </c>
    </row>
    <row r="148" spans="1:10">
      <c r="A148" t="s">
        <v>19</v>
      </c>
      <c r="B148" t="s">
        <v>11</v>
      </c>
      <c r="C148" t="s">
        <v>14</v>
      </c>
      <c r="D148" s="3">
        <v>45658</v>
      </c>
      <c r="E148" s="5">
        <v>101</v>
      </c>
      <c r="F148" s="4">
        <v>4862.8900000000003</v>
      </c>
      <c r="G148" s="4">
        <v>2810.78</v>
      </c>
      <c r="H148" s="4">
        <v>2052.11</v>
      </c>
      <c r="I148" s="6">
        <v>3.68</v>
      </c>
      <c r="J148" s="5">
        <v>26</v>
      </c>
    </row>
    <row r="149" spans="1:10">
      <c r="A149" t="s">
        <v>19</v>
      </c>
      <c r="B149" t="s">
        <v>11</v>
      </c>
      <c r="C149" t="s">
        <v>15</v>
      </c>
      <c r="D149" s="3">
        <v>45658</v>
      </c>
      <c r="E149" s="5">
        <v>92</v>
      </c>
      <c r="F149" s="4">
        <v>3572.34</v>
      </c>
      <c r="G149" s="4">
        <v>1624.09</v>
      </c>
      <c r="H149" s="4">
        <v>1948.25</v>
      </c>
      <c r="I149" s="6">
        <v>3.6</v>
      </c>
      <c r="J149" s="5">
        <v>26</v>
      </c>
    </row>
    <row r="150" spans="1:10">
      <c r="A150" t="s">
        <v>19</v>
      </c>
      <c r="B150" t="s">
        <v>11</v>
      </c>
      <c r="C150" t="s">
        <v>16</v>
      </c>
      <c r="D150" s="3">
        <v>45658</v>
      </c>
      <c r="E150" s="5">
        <v>121</v>
      </c>
      <c r="F150" s="4">
        <v>2336.2600000000002</v>
      </c>
      <c r="G150" s="4">
        <v>2019.86</v>
      </c>
      <c r="H150" s="4">
        <v>316.39999999999998</v>
      </c>
      <c r="I150" s="6">
        <v>3.42</v>
      </c>
      <c r="J150" s="5">
        <v>26</v>
      </c>
    </row>
    <row r="151" spans="1:10">
      <c r="A151" t="s">
        <v>19</v>
      </c>
      <c r="B151" t="s">
        <v>11</v>
      </c>
      <c r="C151" t="s">
        <v>17</v>
      </c>
      <c r="D151" s="3">
        <v>45658</v>
      </c>
      <c r="E151" s="5">
        <v>56</v>
      </c>
      <c r="F151" s="4">
        <v>3584.7</v>
      </c>
      <c r="G151" s="4">
        <v>2176.7800000000002</v>
      </c>
      <c r="H151" s="4">
        <v>1407.92</v>
      </c>
      <c r="I151" s="6">
        <v>3.44</v>
      </c>
      <c r="J151" s="5">
        <v>26</v>
      </c>
    </row>
    <row r="152" spans="1:10">
      <c r="A152" t="s">
        <v>19</v>
      </c>
      <c r="B152" t="s">
        <v>11</v>
      </c>
      <c r="C152" t="s">
        <v>12</v>
      </c>
      <c r="D152" s="3">
        <v>45689</v>
      </c>
      <c r="E152" s="5">
        <v>91</v>
      </c>
      <c r="F152" s="4">
        <v>13676.78</v>
      </c>
      <c r="G152" s="4">
        <v>10320.98</v>
      </c>
      <c r="H152" s="4">
        <v>3355.8</v>
      </c>
      <c r="I152" s="6">
        <v>3.39</v>
      </c>
      <c r="J152" s="5">
        <v>25</v>
      </c>
    </row>
    <row r="153" spans="1:10">
      <c r="A153" t="s">
        <v>19</v>
      </c>
      <c r="B153" t="s">
        <v>11</v>
      </c>
      <c r="C153" t="s">
        <v>13</v>
      </c>
      <c r="D153" s="3">
        <v>45689</v>
      </c>
      <c r="E153" s="5">
        <v>84</v>
      </c>
      <c r="F153" s="4">
        <v>6258.46</v>
      </c>
      <c r="G153" s="4">
        <v>3990.26</v>
      </c>
      <c r="H153" s="4">
        <v>2268.1999999999998</v>
      </c>
      <c r="I153" s="6">
        <v>3.68</v>
      </c>
      <c r="J153" s="5">
        <v>25</v>
      </c>
    </row>
    <row r="154" spans="1:10">
      <c r="A154" t="s">
        <v>19</v>
      </c>
      <c r="B154" t="s">
        <v>11</v>
      </c>
      <c r="C154" t="s">
        <v>14</v>
      </c>
      <c r="D154" s="3">
        <v>45689</v>
      </c>
      <c r="E154" s="5">
        <v>105</v>
      </c>
      <c r="F154" s="4">
        <v>4924.2700000000004</v>
      </c>
      <c r="G154" s="4">
        <v>2936.05</v>
      </c>
      <c r="H154" s="4">
        <v>1988.22</v>
      </c>
      <c r="I154" s="6">
        <v>3.59</v>
      </c>
      <c r="J154" s="5">
        <v>25</v>
      </c>
    </row>
    <row r="155" spans="1:10">
      <c r="A155" t="s">
        <v>19</v>
      </c>
      <c r="B155" t="s">
        <v>11</v>
      </c>
      <c r="C155" t="s">
        <v>15</v>
      </c>
      <c r="D155" s="3">
        <v>45689</v>
      </c>
      <c r="E155" s="5">
        <v>85</v>
      </c>
      <c r="F155" s="4">
        <v>3220.79</v>
      </c>
      <c r="G155" s="4">
        <v>1473.68</v>
      </c>
      <c r="H155" s="4">
        <v>1747.12</v>
      </c>
      <c r="I155" s="6">
        <v>3.42</v>
      </c>
      <c r="J155" s="5">
        <v>25</v>
      </c>
    </row>
    <row r="156" spans="1:10">
      <c r="A156" t="s">
        <v>19</v>
      </c>
      <c r="B156" t="s">
        <v>11</v>
      </c>
      <c r="C156" t="s">
        <v>16</v>
      </c>
      <c r="D156" s="3">
        <v>45689</v>
      </c>
      <c r="E156" s="5">
        <v>137</v>
      </c>
      <c r="F156" s="4">
        <v>2409.75</v>
      </c>
      <c r="G156" s="4">
        <v>2089.21</v>
      </c>
      <c r="H156" s="4">
        <v>320.54000000000002</v>
      </c>
      <c r="I156" s="6">
        <v>3.37</v>
      </c>
      <c r="J156" s="5">
        <v>25</v>
      </c>
    </row>
    <row r="157" spans="1:10">
      <c r="A157" t="s">
        <v>19</v>
      </c>
      <c r="B157" t="s">
        <v>11</v>
      </c>
      <c r="C157" t="s">
        <v>17</v>
      </c>
      <c r="D157" s="3">
        <v>45689</v>
      </c>
      <c r="E157" s="5">
        <v>65</v>
      </c>
      <c r="F157" s="4">
        <v>4235.3999999999996</v>
      </c>
      <c r="G157" s="4">
        <v>2666.48</v>
      </c>
      <c r="H157" s="4">
        <v>1568.92</v>
      </c>
      <c r="I157" s="6">
        <v>3.67</v>
      </c>
      <c r="J157" s="5">
        <v>25</v>
      </c>
    </row>
    <row r="158" spans="1:10">
      <c r="A158" t="s">
        <v>19</v>
      </c>
      <c r="B158" t="s">
        <v>11</v>
      </c>
      <c r="C158" t="s">
        <v>12</v>
      </c>
      <c r="D158" s="3">
        <v>45717</v>
      </c>
      <c r="E158" s="5">
        <v>88</v>
      </c>
      <c r="F158" s="4">
        <v>12537.63</v>
      </c>
      <c r="G158" s="4">
        <v>9497.7900000000009</v>
      </c>
      <c r="H158" s="4">
        <v>3039.84</v>
      </c>
      <c r="I158" s="6">
        <v>3.47</v>
      </c>
      <c r="J158" s="5">
        <v>26</v>
      </c>
    </row>
    <row r="159" spans="1:10">
      <c r="A159" t="s">
        <v>19</v>
      </c>
      <c r="B159" t="s">
        <v>11</v>
      </c>
      <c r="C159" t="s">
        <v>13</v>
      </c>
      <c r="D159" s="3">
        <v>45717</v>
      </c>
      <c r="E159" s="5">
        <v>90</v>
      </c>
      <c r="F159" s="4">
        <v>6946.69</v>
      </c>
      <c r="G159" s="4">
        <v>4512.33</v>
      </c>
      <c r="H159" s="4">
        <v>2434.36</v>
      </c>
      <c r="I159" s="6">
        <v>3.59</v>
      </c>
      <c r="J159" s="5">
        <v>26</v>
      </c>
    </row>
    <row r="160" spans="1:10">
      <c r="A160" t="s">
        <v>19</v>
      </c>
      <c r="B160" t="s">
        <v>11</v>
      </c>
      <c r="C160" t="s">
        <v>14</v>
      </c>
      <c r="D160" s="3">
        <v>45717</v>
      </c>
      <c r="E160" s="5">
        <v>144</v>
      </c>
      <c r="F160" s="4">
        <v>7081.48</v>
      </c>
      <c r="G160" s="4">
        <v>4072.98</v>
      </c>
      <c r="H160" s="4">
        <v>3008.51</v>
      </c>
      <c r="I160" s="6">
        <v>3.46</v>
      </c>
      <c r="J160" s="5">
        <v>26</v>
      </c>
    </row>
    <row r="161" spans="1:10">
      <c r="A161" t="s">
        <v>19</v>
      </c>
      <c r="B161" t="s">
        <v>11</v>
      </c>
      <c r="C161" t="s">
        <v>15</v>
      </c>
      <c r="D161" s="3">
        <v>45717</v>
      </c>
      <c r="E161" s="5">
        <v>83</v>
      </c>
      <c r="F161" s="4">
        <v>3090.79</v>
      </c>
      <c r="G161" s="4">
        <v>1490.41</v>
      </c>
      <c r="H161" s="4">
        <v>1600.38</v>
      </c>
      <c r="I161" s="6">
        <v>3.59</v>
      </c>
      <c r="J161" s="5">
        <v>26</v>
      </c>
    </row>
    <row r="162" spans="1:10">
      <c r="A162" t="s">
        <v>19</v>
      </c>
      <c r="B162" t="s">
        <v>11</v>
      </c>
      <c r="C162" t="s">
        <v>16</v>
      </c>
      <c r="D162" s="3">
        <v>45717</v>
      </c>
      <c r="E162" s="5">
        <v>174</v>
      </c>
      <c r="F162" s="4">
        <v>3304.26</v>
      </c>
      <c r="G162" s="4">
        <v>2960.88</v>
      </c>
      <c r="H162" s="4">
        <v>343.38</v>
      </c>
      <c r="I162" s="6">
        <v>3.62</v>
      </c>
      <c r="J162" s="5">
        <v>26</v>
      </c>
    </row>
    <row r="163" spans="1:10">
      <c r="A163" t="s">
        <v>19</v>
      </c>
      <c r="B163" t="s">
        <v>11</v>
      </c>
      <c r="C163" t="s">
        <v>17</v>
      </c>
      <c r="D163" s="3">
        <v>45717</v>
      </c>
      <c r="E163" s="5">
        <v>70</v>
      </c>
      <c r="F163" s="4">
        <v>4186.05</v>
      </c>
      <c r="G163" s="4">
        <v>2648.59</v>
      </c>
      <c r="H163" s="4">
        <v>1537.45</v>
      </c>
      <c r="I163" s="6">
        <v>3.53</v>
      </c>
      <c r="J163" s="5">
        <v>26</v>
      </c>
    </row>
    <row r="164" spans="1:10">
      <c r="A164" t="s">
        <v>19</v>
      </c>
      <c r="B164" t="s">
        <v>11</v>
      </c>
      <c r="C164" t="s">
        <v>12</v>
      </c>
      <c r="D164" s="3">
        <v>45748</v>
      </c>
      <c r="E164" s="5">
        <v>109</v>
      </c>
      <c r="F164" s="4">
        <v>16261.29</v>
      </c>
      <c r="G164" s="4">
        <v>12482.47</v>
      </c>
      <c r="H164" s="4">
        <v>3778.82</v>
      </c>
      <c r="I164" s="6">
        <v>3.41</v>
      </c>
      <c r="J164" s="5">
        <v>26</v>
      </c>
    </row>
    <row r="165" spans="1:10">
      <c r="A165" t="s">
        <v>19</v>
      </c>
      <c r="B165" t="s">
        <v>11</v>
      </c>
      <c r="C165" t="s">
        <v>13</v>
      </c>
      <c r="D165" s="3">
        <v>45748</v>
      </c>
      <c r="E165" s="5">
        <v>104</v>
      </c>
      <c r="F165" s="4">
        <v>7814.8</v>
      </c>
      <c r="G165" s="4">
        <v>5090.71</v>
      </c>
      <c r="H165" s="4">
        <v>2724.09</v>
      </c>
      <c r="I165" s="6">
        <v>3.62</v>
      </c>
      <c r="J165" s="5">
        <v>26</v>
      </c>
    </row>
    <row r="166" spans="1:10">
      <c r="A166" t="s">
        <v>19</v>
      </c>
      <c r="B166" t="s">
        <v>11</v>
      </c>
      <c r="C166" t="s">
        <v>14</v>
      </c>
      <c r="D166" s="3">
        <v>45748</v>
      </c>
      <c r="E166" s="5">
        <v>148</v>
      </c>
      <c r="F166" s="4">
        <v>7367.66</v>
      </c>
      <c r="G166" s="4">
        <v>4349.88</v>
      </c>
      <c r="H166" s="4">
        <v>3017.78</v>
      </c>
      <c r="I166" s="6">
        <v>3.71</v>
      </c>
      <c r="J166" s="5">
        <v>26</v>
      </c>
    </row>
    <row r="167" spans="1:10">
      <c r="A167" t="s">
        <v>19</v>
      </c>
      <c r="B167" t="s">
        <v>11</v>
      </c>
      <c r="C167" t="s">
        <v>15</v>
      </c>
      <c r="D167" s="3">
        <v>45748</v>
      </c>
      <c r="E167" s="5">
        <v>93</v>
      </c>
      <c r="F167" s="4">
        <v>3528.45</v>
      </c>
      <c r="G167" s="4">
        <v>1691.67</v>
      </c>
      <c r="H167" s="4">
        <v>1836.78</v>
      </c>
      <c r="I167" s="6">
        <v>3.54</v>
      </c>
      <c r="J167" s="5">
        <v>26</v>
      </c>
    </row>
    <row r="168" spans="1:10">
      <c r="A168" t="s">
        <v>19</v>
      </c>
      <c r="B168" t="s">
        <v>11</v>
      </c>
      <c r="C168" t="s">
        <v>16</v>
      </c>
      <c r="D168" s="3">
        <v>45748</v>
      </c>
      <c r="E168" s="5">
        <v>159</v>
      </c>
      <c r="F168" s="4">
        <v>3079.01</v>
      </c>
      <c r="G168" s="4">
        <v>2749.06</v>
      </c>
      <c r="H168" s="4">
        <v>329.96</v>
      </c>
      <c r="I168" s="6">
        <v>3.53</v>
      </c>
      <c r="J168" s="5">
        <v>26</v>
      </c>
    </row>
    <row r="169" spans="1:10">
      <c r="A169" t="s">
        <v>19</v>
      </c>
      <c r="B169" t="s">
        <v>11</v>
      </c>
      <c r="C169" t="s">
        <v>17</v>
      </c>
      <c r="D169" s="3">
        <v>45748</v>
      </c>
      <c r="E169" s="5">
        <v>80</v>
      </c>
      <c r="F169" s="4">
        <v>5348.55</v>
      </c>
      <c r="G169" s="4">
        <v>3444.65</v>
      </c>
      <c r="H169" s="4">
        <v>1903.9</v>
      </c>
      <c r="I169" s="6">
        <v>3.57</v>
      </c>
      <c r="J169" s="5">
        <v>26</v>
      </c>
    </row>
    <row r="170" spans="1:10">
      <c r="A170" t="s">
        <v>19</v>
      </c>
      <c r="B170" t="s">
        <v>11</v>
      </c>
      <c r="C170" t="s">
        <v>12</v>
      </c>
      <c r="D170" s="3">
        <v>45778</v>
      </c>
      <c r="E170" s="5">
        <v>122</v>
      </c>
      <c r="F170" s="4">
        <v>18170.62</v>
      </c>
      <c r="G170" s="4">
        <v>14062.78</v>
      </c>
      <c r="H170" s="4">
        <v>4107.83</v>
      </c>
      <c r="I170" s="6">
        <v>3.53</v>
      </c>
      <c r="J170" s="5">
        <v>27</v>
      </c>
    </row>
    <row r="171" spans="1:10">
      <c r="A171" t="s">
        <v>19</v>
      </c>
      <c r="B171" t="s">
        <v>11</v>
      </c>
      <c r="C171" t="s">
        <v>13</v>
      </c>
      <c r="D171" s="3">
        <v>45778</v>
      </c>
      <c r="E171" s="5">
        <v>104</v>
      </c>
      <c r="F171" s="4">
        <v>7486.87</v>
      </c>
      <c r="G171" s="4">
        <v>4901.8</v>
      </c>
      <c r="H171" s="4">
        <v>2585.0700000000002</v>
      </c>
      <c r="I171" s="6">
        <v>3.42</v>
      </c>
      <c r="J171" s="5">
        <v>27</v>
      </c>
    </row>
    <row r="172" spans="1:10">
      <c r="A172" t="s">
        <v>19</v>
      </c>
      <c r="B172" t="s">
        <v>11</v>
      </c>
      <c r="C172" t="s">
        <v>14</v>
      </c>
      <c r="D172" s="3">
        <v>45778</v>
      </c>
      <c r="E172" s="5">
        <v>122</v>
      </c>
      <c r="F172" s="4">
        <v>5902.03</v>
      </c>
      <c r="G172" s="4">
        <v>3464.05</v>
      </c>
      <c r="H172" s="4">
        <v>2437.9699999999998</v>
      </c>
      <c r="I172" s="6">
        <v>3.6</v>
      </c>
      <c r="J172" s="5">
        <v>27</v>
      </c>
    </row>
    <row r="173" spans="1:10">
      <c r="A173" t="s">
        <v>19</v>
      </c>
      <c r="B173" t="s">
        <v>11</v>
      </c>
      <c r="C173" t="s">
        <v>15</v>
      </c>
      <c r="D173" s="3">
        <v>45778</v>
      </c>
      <c r="E173" s="5">
        <v>124</v>
      </c>
      <c r="F173" s="4">
        <v>4695.7</v>
      </c>
      <c r="G173" s="4">
        <v>2301.33</v>
      </c>
      <c r="H173" s="4">
        <v>2394.37</v>
      </c>
      <c r="I173" s="6">
        <v>3.49</v>
      </c>
      <c r="J173" s="5">
        <v>27</v>
      </c>
    </row>
    <row r="174" spans="1:10">
      <c r="A174" t="s">
        <v>19</v>
      </c>
      <c r="B174" t="s">
        <v>11</v>
      </c>
      <c r="C174" t="s">
        <v>16</v>
      </c>
      <c r="D174" s="3">
        <v>45778</v>
      </c>
      <c r="E174" s="5">
        <v>190</v>
      </c>
      <c r="F174" s="4">
        <v>3322.39</v>
      </c>
      <c r="G174" s="4">
        <v>3064.96</v>
      </c>
      <c r="H174" s="4">
        <v>257.43</v>
      </c>
      <c r="I174" s="6">
        <v>3.38</v>
      </c>
      <c r="J174" s="5">
        <v>27</v>
      </c>
    </row>
    <row r="175" spans="1:10">
      <c r="A175" t="s">
        <v>19</v>
      </c>
      <c r="B175" t="s">
        <v>11</v>
      </c>
      <c r="C175" t="s">
        <v>17</v>
      </c>
      <c r="D175" s="3">
        <v>45778</v>
      </c>
      <c r="E175" s="5">
        <v>103</v>
      </c>
      <c r="F175" s="4">
        <v>6849.55</v>
      </c>
      <c r="G175" s="4">
        <v>4450.2</v>
      </c>
      <c r="H175" s="4">
        <v>2399.35</v>
      </c>
      <c r="I175" s="6">
        <v>3.43</v>
      </c>
      <c r="J175" s="5">
        <v>27</v>
      </c>
    </row>
    <row r="176" spans="1:10">
      <c r="A176" t="s">
        <v>19</v>
      </c>
      <c r="B176" t="s">
        <v>11</v>
      </c>
      <c r="C176" t="s">
        <v>12</v>
      </c>
      <c r="D176" s="3">
        <v>45809</v>
      </c>
      <c r="E176" s="5">
        <v>109</v>
      </c>
      <c r="F176" s="4">
        <v>16703.689999999999</v>
      </c>
      <c r="G176" s="4">
        <v>13404.3</v>
      </c>
      <c r="H176" s="4">
        <v>3299.39</v>
      </c>
      <c r="I176" s="6">
        <v>3.46</v>
      </c>
      <c r="J176" s="5">
        <v>27</v>
      </c>
    </row>
    <row r="177" spans="1:10">
      <c r="A177" t="s">
        <v>19</v>
      </c>
      <c r="B177" t="s">
        <v>11</v>
      </c>
      <c r="C177" t="s">
        <v>13</v>
      </c>
      <c r="D177" s="3">
        <v>45809</v>
      </c>
      <c r="E177" s="5">
        <v>105</v>
      </c>
      <c r="F177" s="4">
        <v>8117.07</v>
      </c>
      <c r="G177" s="4">
        <v>5400.45</v>
      </c>
      <c r="H177" s="4">
        <v>2716.62</v>
      </c>
      <c r="I177" s="6">
        <v>3.71</v>
      </c>
      <c r="J177" s="5">
        <v>27</v>
      </c>
    </row>
    <row r="178" spans="1:10">
      <c r="A178" t="s">
        <v>19</v>
      </c>
      <c r="B178" t="s">
        <v>11</v>
      </c>
      <c r="C178" t="s">
        <v>14</v>
      </c>
      <c r="D178" s="3">
        <v>45809</v>
      </c>
      <c r="E178" s="5">
        <v>111</v>
      </c>
      <c r="F178" s="4">
        <v>5652.81</v>
      </c>
      <c r="G178" s="4">
        <v>3401.92</v>
      </c>
      <c r="H178" s="4">
        <v>2250.89</v>
      </c>
      <c r="I178" s="6">
        <v>3.66</v>
      </c>
      <c r="J178" s="5">
        <v>27</v>
      </c>
    </row>
    <row r="179" spans="1:10">
      <c r="A179" t="s">
        <v>19</v>
      </c>
      <c r="B179" t="s">
        <v>11</v>
      </c>
      <c r="C179" t="s">
        <v>15</v>
      </c>
      <c r="D179" s="3">
        <v>45809</v>
      </c>
      <c r="E179" s="5">
        <v>110</v>
      </c>
      <c r="F179" s="4">
        <v>3952.44</v>
      </c>
      <c r="G179" s="4">
        <v>1987.16</v>
      </c>
      <c r="H179" s="4">
        <v>1965.29</v>
      </c>
      <c r="I179" s="6">
        <v>3.56</v>
      </c>
      <c r="J179" s="5">
        <v>27</v>
      </c>
    </row>
    <row r="180" spans="1:10">
      <c r="A180" t="s">
        <v>19</v>
      </c>
      <c r="B180" t="s">
        <v>11</v>
      </c>
      <c r="C180" t="s">
        <v>16</v>
      </c>
      <c r="D180" s="3">
        <v>45809</v>
      </c>
      <c r="E180" s="5">
        <v>189</v>
      </c>
      <c r="F180" s="4">
        <v>3340.08</v>
      </c>
      <c r="G180" s="4">
        <v>3055.32</v>
      </c>
      <c r="H180" s="4">
        <v>284.75</v>
      </c>
      <c r="I180" s="6">
        <v>3.7</v>
      </c>
      <c r="J180" s="5">
        <v>27</v>
      </c>
    </row>
    <row r="181" spans="1:10">
      <c r="A181" t="s">
        <v>19</v>
      </c>
      <c r="B181" t="s">
        <v>11</v>
      </c>
      <c r="C181" t="s">
        <v>17</v>
      </c>
      <c r="D181" s="3">
        <v>45809</v>
      </c>
      <c r="E181" s="5">
        <v>100</v>
      </c>
      <c r="F181" s="4">
        <v>6253.01</v>
      </c>
      <c r="G181" s="4">
        <v>3978.76</v>
      </c>
      <c r="H181" s="4">
        <v>2274.25</v>
      </c>
      <c r="I181" s="6">
        <v>3.57</v>
      </c>
      <c r="J181" s="5">
        <v>27</v>
      </c>
    </row>
    <row r="182" spans="1:10">
      <c r="A182" t="s">
        <v>19</v>
      </c>
      <c r="B182" t="s">
        <v>11</v>
      </c>
      <c r="C182" t="s">
        <v>12</v>
      </c>
      <c r="D182" s="3">
        <v>45839</v>
      </c>
      <c r="E182" s="5">
        <v>113</v>
      </c>
      <c r="F182" s="4">
        <v>16267.18</v>
      </c>
      <c r="G182" s="4">
        <v>13118.07</v>
      </c>
      <c r="H182" s="4">
        <v>3149.11</v>
      </c>
      <c r="I182" s="6">
        <v>3.69</v>
      </c>
      <c r="J182" s="5">
        <v>27</v>
      </c>
    </row>
    <row r="183" spans="1:10">
      <c r="A183" t="s">
        <v>19</v>
      </c>
      <c r="B183" t="s">
        <v>11</v>
      </c>
      <c r="C183" t="s">
        <v>13</v>
      </c>
      <c r="D183" s="3">
        <v>45839</v>
      </c>
      <c r="E183" s="5">
        <v>123</v>
      </c>
      <c r="F183" s="4">
        <v>10070.68</v>
      </c>
      <c r="G183" s="4">
        <v>6701.09</v>
      </c>
      <c r="H183" s="4">
        <v>3369.59</v>
      </c>
      <c r="I183" s="6">
        <v>3.51</v>
      </c>
      <c r="J183" s="5">
        <v>27</v>
      </c>
    </row>
    <row r="184" spans="1:10">
      <c r="A184" t="s">
        <v>19</v>
      </c>
      <c r="B184" t="s">
        <v>11</v>
      </c>
      <c r="C184" t="s">
        <v>14</v>
      </c>
      <c r="D184" s="3">
        <v>45839</v>
      </c>
      <c r="E184" s="5">
        <v>147</v>
      </c>
      <c r="F184" s="4">
        <v>6946.95</v>
      </c>
      <c r="G184" s="4">
        <v>4272.38</v>
      </c>
      <c r="H184" s="4">
        <v>2674.57</v>
      </c>
      <c r="I184" s="6">
        <v>3.7</v>
      </c>
      <c r="J184" s="5">
        <v>27</v>
      </c>
    </row>
    <row r="185" spans="1:10">
      <c r="A185" t="s">
        <v>19</v>
      </c>
      <c r="B185" t="s">
        <v>11</v>
      </c>
      <c r="C185" t="s">
        <v>15</v>
      </c>
      <c r="D185" s="3">
        <v>45839</v>
      </c>
      <c r="E185" s="5">
        <v>108</v>
      </c>
      <c r="F185" s="4">
        <v>3862.23</v>
      </c>
      <c r="G185" s="4">
        <v>1971.81</v>
      </c>
      <c r="H185" s="4">
        <v>1890.43</v>
      </c>
      <c r="I185" s="6">
        <v>3.66</v>
      </c>
      <c r="J185" s="5">
        <v>27</v>
      </c>
    </row>
    <row r="186" spans="1:10">
      <c r="A186" t="s">
        <v>19</v>
      </c>
      <c r="B186" t="s">
        <v>11</v>
      </c>
      <c r="C186" t="s">
        <v>16</v>
      </c>
      <c r="D186" s="3">
        <v>45839</v>
      </c>
      <c r="E186" s="5">
        <v>187</v>
      </c>
      <c r="F186" s="4">
        <v>3618.7</v>
      </c>
      <c r="G186" s="4">
        <v>3240.4</v>
      </c>
      <c r="H186" s="4">
        <v>378.3</v>
      </c>
      <c r="I186" s="6">
        <v>3.69</v>
      </c>
      <c r="J186" s="5">
        <v>27</v>
      </c>
    </row>
    <row r="187" spans="1:10">
      <c r="A187" t="s">
        <v>19</v>
      </c>
      <c r="B187" t="s">
        <v>11</v>
      </c>
      <c r="C187" t="s">
        <v>17</v>
      </c>
      <c r="D187" s="3">
        <v>45839</v>
      </c>
      <c r="E187" s="5">
        <v>107</v>
      </c>
      <c r="F187" s="4">
        <v>6544.3</v>
      </c>
      <c r="G187" s="4">
        <v>4190.12</v>
      </c>
      <c r="H187" s="4">
        <v>2354.1799999999998</v>
      </c>
      <c r="I187" s="6">
        <v>3.68</v>
      </c>
      <c r="J187" s="5">
        <v>27</v>
      </c>
    </row>
    <row r="188" spans="1:10">
      <c r="A188" t="s">
        <v>19</v>
      </c>
      <c r="B188" t="s">
        <v>11</v>
      </c>
      <c r="C188" t="s">
        <v>12</v>
      </c>
      <c r="D188" s="3">
        <v>45870</v>
      </c>
      <c r="E188" s="5">
        <v>106</v>
      </c>
      <c r="F188" s="4">
        <v>16002.35</v>
      </c>
      <c r="G188" s="4">
        <v>12605.41</v>
      </c>
      <c r="H188" s="4">
        <v>3396.94</v>
      </c>
      <c r="I188" s="6">
        <v>3.61</v>
      </c>
      <c r="J188" s="5">
        <v>26</v>
      </c>
    </row>
    <row r="189" spans="1:10">
      <c r="A189" t="s">
        <v>19</v>
      </c>
      <c r="B189" t="s">
        <v>11</v>
      </c>
      <c r="C189" t="s">
        <v>13</v>
      </c>
      <c r="D189" s="3">
        <v>45870</v>
      </c>
      <c r="E189" s="5">
        <v>103</v>
      </c>
      <c r="F189" s="4">
        <v>7527.49</v>
      </c>
      <c r="G189" s="4">
        <v>5124.3500000000004</v>
      </c>
      <c r="H189" s="4">
        <v>2403.14</v>
      </c>
      <c r="I189" s="6">
        <v>3.72</v>
      </c>
      <c r="J189" s="5">
        <v>26</v>
      </c>
    </row>
    <row r="190" spans="1:10">
      <c r="A190" t="s">
        <v>19</v>
      </c>
      <c r="B190" t="s">
        <v>11</v>
      </c>
      <c r="C190" t="s">
        <v>14</v>
      </c>
      <c r="D190" s="3">
        <v>45870</v>
      </c>
      <c r="E190" s="5">
        <v>146</v>
      </c>
      <c r="F190" s="4">
        <v>7225.09</v>
      </c>
      <c r="G190" s="4">
        <v>4588.8500000000004</v>
      </c>
      <c r="H190" s="4">
        <v>2636.23</v>
      </c>
      <c r="I190" s="6">
        <v>3.68</v>
      </c>
      <c r="J190" s="5">
        <v>26</v>
      </c>
    </row>
    <row r="191" spans="1:10">
      <c r="A191" t="s">
        <v>19</v>
      </c>
      <c r="B191" t="s">
        <v>11</v>
      </c>
      <c r="C191" t="s">
        <v>15</v>
      </c>
      <c r="D191" s="3">
        <v>45870</v>
      </c>
      <c r="E191" s="5">
        <v>122</v>
      </c>
      <c r="F191" s="4">
        <v>4656.87</v>
      </c>
      <c r="G191" s="4">
        <v>2320.92</v>
      </c>
      <c r="H191" s="4">
        <v>2335.9499999999998</v>
      </c>
      <c r="I191" s="6">
        <v>3.49</v>
      </c>
      <c r="J191" s="5">
        <v>26</v>
      </c>
    </row>
    <row r="192" spans="1:10">
      <c r="A192" t="s">
        <v>19</v>
      </c>
      <c r="B192" t="s">
        <v>11</v>
      </c>
      <c r="C192" t="s">
        <v>16</v>
      </c>
      <c r="D192" s="3">
        <v>45870</v>
      </c>
      <c r="E192" s="5">
        <v>178</v>
      </c>
      <c r="F192" s="4">
        <v>3403.08</v>
      </c>
      <c r="G192" s="4">
        <v>3050.27</v>
      </c>
      <c r="H192" s="4">
        <v>352.81</v>
      </c>
      <c r="I192" s="6">
        <v>3.37</v>
      </c>
      <c r="J192" s="5">
        <v>26</v>
      </c>
    </row>
    <row r="193" spans="1:10">
      <c r="A193" t="s">
        <v>19</v>
      </c>
      <c r="B193" t="s">
        <v>11</v>
      </c>
      <c r="C193" t="s">
        <v>17</v>
      </c>
      <c r="D193" s="3">
        <v>45870</v>
      </c>
      <c r="E193" s="5">
        <v>92</v>
      </c>
      <c r="F193" s="4">
        <v>5865.78</v>
      </c>
      <c r="G193" s="4">
        <v>3981.22</v>
      </c>
      <c r="H193" s="4">
        <v>1884.56</v>
      </c>
      <c r="I193" s="6">
        <v>3.73</v>
      </c>
      <c r="J193" s="5">
        <v>26</v>
      </c>
    </row>
    <row r="194" spans="1:10">
      <c r="A194" t="s">
        <v>19</v>
      </c>
      <c r="B194" t="s">
        <v>11</v>
      </c>
      <c r="C194" t="s">
        <v>12</v>
      </c>
      <c r="D194" s="3">
        <v>45901</v>
      </c>
      <c r="E194" s="5">
        <v>107</v>
      </c>
      <c r="F194" s="4">
        <v>15960.66</v>
      </c>
      <c r="G194" s="4">
        <v>13021.33</v>
      </c>
      <c r="H194" s="4">
        <v>2939.33</v>
      </c>
      <c r="I194" s="6">
        <v>3.53</v>
      </c>
      <c r="J194" s="5">
        <v>25</v>
      </c>
    </row>
    <row r="195" spans="1:10">
      <c r="A195" t="s">
        <v>19</v>
      </c>
      <c r="B195" t="s">
        <v>11</v>
      </c>
      <c r="C195" t="s">
        <v>13</v>
      </c>
      <c r="D195" s="3">
        <v>45901</v>
      </c>
      <c r="E195" s="5">
        <v>102</v>
      </c>
      <c r="F195" s="4">
        <v>8040.07</v>
      </c>
      <c r="G195" s="4">
        <v>5665.46</v>
      </c>
      <c r="H195" s="4">
        <v>2374.61</v>
      </c>
      <c r="I195" s="6">
        <v>3.39</v>
      </c>
      <c r="J195" s="5">
        <v>25</v>
      </c>
    </row>
    <row r="196" spans="1:10">
      <c r="A196" t="s">
        <v>19</v>
      </c>
      <c r="B196" t="s">
        <v>11</v>
      </c>
      <c r="C196" t="s">
        <v>14</v>
      </c>
      <c r="D196" s="3">
        <v>45901</v>
      </c>
      <c r="E196" s="5">
        <v>129</v>
      </c>
      <c r="F196" s="4">
        <v>6145.42</v>
      </c>
      <c r="G196" s="4">
        <v>3777.25</v>
      </c>
      <c r="H196" s="4">
        <v>2368.17</v>
      </c>
      <c r="I196" s="6">
        <v>3.57</v>
      </c>
      <c r="J196" s="5">
        <v>25</v>
      </c>
    </row>
    <row r="197" spans="1:10">
      <c r="A197" t="s">
        <v>19</v>
      </c>
      <c r="B197" t="s">
        <v>11</v>
      </c>
      <c r="C197" t="s">
        <v>15</v>
      </c>
      <c r="D197" s="3">
        <v>45901</v>
      </c>
      <c r="E197" s="5">
        <v>99</v>
      </c>
      <c r="F197" s="4">
        <v>3632.54</v>
      </c>
      <c r="G197" s="4">
        <v>1877.72</v>
      </c>
      <c r="H197" s="4">
        <v>1754.82</v>
      </c>
      <c r="I197" s="6">
        <v>3.44</v>
      </c>
      <c r="J197" s="5">
        <v>25</v>
      </c>
    </row>
    <row r="198" spans="1:10">
      <c r="A198" t="s">
        <v>19</v>
      </c>
      <c r="B198" t="s">
        <v>11</v>
      </c>
      <c r="C198" t="s">
        <v>16</v>
      </c>
      <c r="D198" s="3">
        <v>45901</v>
      </c>
      <c r="E198" s="5">
        <v>199</v>
      </c>
      <c r="F198" s="4">
        <v>3677.85</v>
      </c>
      <c r="G198" s="4">
        <v>3359.97</v>
      </c>
      <c r="H198" s="4">
        <v>317.88</v>
      </c>
      <c r="I198" s="6">
        <v>3.67</v>
      </c>
      <c r="J198" s="5">
        <v>25</v>
      </c>
    </row>
    <row r="199" spans="1:10">
      <c r="A199" t="s">
        <v>19</v>
      </c>
      <c r="B199" t="s">
        <v>11</v>
      </c>
      <c r="C199" t="s">
        <v>17</v>
      </c>
      <c r="D199" s="3">
        <v>45901</v>
      </c>
      <c r="E199" s="5">
        <v>85</v>
      </c>
      <c r="F199" s="4">
        <v>5059.3900000000003</v>
      </c>
      <c r="G199" s="4">
        <v>3371.8</v>
      </c>
      <c r="H199" s="4">
        <v>1687.6</v>
      </c>
      <c r="I199" s="6">
        <v>3.47</v>
      </c>
      <c r="J199" s="5">
        <v>25</v>
      </c>
    </row>
    <row r="200" spans="1:10">
      <c r="A200" t="s">
        <v>19</v>
      </c>
      <c r="B200" t="s">
        <v>11</v>
      </c>
      <c r="C200" t="s">
        <v>12</v>
      </c>
      <c r="D200" s="3">
        <v>45931</v>
      </c>
      <c r="E200" s="5">
        <v>108</v>
      </c>
      <c r="F200" s="4">
        <v>15740.42</v>
      </c>
      <c r="G200" s="4">
        <v>12494.04</v>
      </c>
      <c r="H200" s="4">
        <v>3246.38</v>
      </c>
      <c r="I200" s="6">
        <v>3.57</v>
      </c>
      <c r="J200" s="5">
        <v>26</v>
      </c>
    </row>
    <row r="201" spans="1:10">
      <c r="A201" t="s">
        <v>19</v>
      </c>
      <c r="B201" t="s">
        <v>11</v>
      </c>
      <c r="C201" t="s">
        <v>13</v>
      </c>
      <c r="D201" s="3">
        <v>45931</v>
      </c>
      <c r="E201" s="5">
        <v>91</v>
      </c>
      <c r="F201" s="4">
        <v>6572.56</v>
      </c>
      <c r="G201" s="4">
        <v>4683.21</v>
      </c>
      <c r="H201" s="4">
        <v>1889.35</v>
      </c>
      <c r="I201" s="6">
        <v>3.73</v>
      </c>
      <c r="J201" s="5">
        <v>26</v>
      </c>
    </row>
    <row r="202" spans="1:10">
      <c r="A202" t="s">
        <v>19</v>
      </c>
      <c r="B202" t="s">
        <v>11</v>
      </c>
      <c r="C202" t="s">
        <v>14</v>
      </c>
      <c r="D202" s="3">
        <v>45931</v>
      </c>
      <c r="E202" s="5">
        <v>126</v>
      </c>
      <c r="F202" s="4">
        <v>6269.62</v>
      </c>
      <c r="G202" s="4">
        <v>3964.65</v>
      </c>
      <c r="H202" s="4">
        <v>2304.98</v>
      </c>
      <c r="I202" s="6">
        <v>3.48</v>
      </c>
      <c r="J202" s="5">
        <v>26</v>
      </c>
    </row>
    <row r="203" spans="1:10">
      <c r="A203" t="s">
        <v>19</v>
      </c>
      <c r="B203" t="s">
        <v>11</v>
      </c>
      <c r="C203" t="s">
        <v>15</v>
      </c>
      <c r="D203" s="3">
        <v>45931</v>
      </c>
      <c r="E203" s="5">
        <v>133</v>
      </c>
      <c r="F203" s="4">
        <v>5170.62</v>
      </c>
      <c r="G203" s="4">
        <v>2714.04</v>
      </c>
      <c r="H203" s="4">
        <v>2456.58</v>
      </c>
      <c r="I203" s="6">
        <v>3.41</v>
      </c>
      <c r="J203" s="5">
        <v>26</v>
      </c>
    </row>
    <row r="204" spans="1:10">
      <c r="A204" t="s">
        <v>19</v>
      </c>
      <c r="B204" t="s">
        <v>11</v>
      </c>
      <c r="C204" t="s">
        <v>16</v>
      </c>
      <c r="D204" s="3">
        <v>45931</v>
      </c>
      <c r="E204" s="5">
        <v>175</v>
      </c>
      <c r="F204" s="4">
        <v>3091.48</v>
      </c>
      <c r="G204" s="4">
        <v>2921.97</v>
      </c>
      <c r="H204" s="4">
        <v>169.51</v>
      </c>
      <c r="I204" s="6">
        <v>3.35</v>
      </c>
      <c r="J204" s="5">
        <v>26</v>
      </c>
    </row>
    <row r="205" spans="1:10">
      <c r="A205" t="s">
        <v>19</v>
      </c>
      <c r="B205" t="s">
        <v>11</v>
      </c>
      <c r="C205" t="s">
        <v>17</v>
      </c>
      <c r="D205" s="3">
        <v>45931</v>
      </c>
      <c r="E205" s="5">
        <v>88</v>
      </c>
      <c r="F205" s="4">
        <v>5762.66</v>
      </c>
      <c r="G205" s="4">
        <v>3859.75</v>
      </c>
      <c r="H205" s="4">
        <v>1902.91</v>
      </c>
      <c r="I205" s="6">
        <v>3.38</v>
      </c>
      <c r="J205" s="5">
        <v>26</v>
      </c>
    </row>
    <row r="206" spans="1:10">
      <c r="A206" t="s">
        <v>19</v>
      </c>
      <c r="B206" t="s">
        <v>11</v>
      </c>
      <c r="C206" t="s">
        <v>12</v>
      </c>
      <c r="D206" s="3">
        <v>45962</v>
      </c>
      <c r="E206" s="5">
        <v>210</v>
      </c>
      <c r="F206" s="4">
        <v>32173.39</v>
      </c>
      <c r="G206" s="4">
        <v>26690.49</v>
      </c>
      <c r="H206" s="4">
        <v>5482.9</v>
      </c>
      <c r="I206" s="6">
        <v>3.65</v>
      </c>
      <c r="J206" s="5">
        <v>27</v>
      </c>
    </row>
    <row r="207" spans="1:10">
      <c r="A207" t="s">
        <v>19</v>
      </c>
      <c r="B207" t="s">
        <v>11</v>
      </c>
      <c r="C207" t="s">
        <v>13</v>
      </c>
      <c r="D207" s="3">
        <v>45962</v>
      </c>
      <c r="E207" s="5">
        <v>118</v>
      </c>
      <c r="F207" s="4">
        <v>8718.84</v>
      </c>
      <c r="G207" s="4">
        <v>6213.75</v>
      </c>
      <c r="H207" s="4">
        <v>2505.09</v>
      </c>
      <c r="I207" s="6">
        <v>3.45</v>
      </c>
      <c r="J207" s="5">
        <v>27</v>
      </c>
    </row>
    <row r="208" spans="1:10">
      <c r="A208" t="s">
        <v>19</v>
      </c>
      <c r="B208" t="s">
        <v>11</v>
      </c>
      <c r="C208" t="s">
        <v>14</v>
      </c>
      <c r="D208" s="3">
        <v>45962</v>
      </c>
      <c r="E208" s="5">
        <v>193</v>
      </c>
      <c r="F208" s="4">
        <v>9688.11</v>
      </c>
      <c r="G208" s="4">
        <v>6299.9</v>
      </c>
      <c r="H208" s="4">
        <v>3388.22</v>
      </c>
      <c r="I208" s="6">
        <v>3.62</v>
      </c>
      <c r="J208" s="5">
        <v>27</v>
      </c>
    </row>
    <row r="209" spans="1:10">
      <c r="A209" t="s">
        <v>19</v>
      </c>
      <c r="B209" t="s">
        <v>11</v>
      </c>
      <c r="C209" t="s">
        <v>15</v>
      </c>
      <c r="D209" s="3">
        <v>45962</v>
      </c>
      <c r="E209" s="5">
        <v>141</v>
      </c>
      <c r="F209" s="4">
        <v>4868.6400000000003</v>
      </c>
      <c r="G209" s="4">
        <v>2470.5</v>
      </c>
      <c r="H209" s="4">
        <v>2398.14</v>
      </c>
      <c r="I209" s="6">
        <v>3.6</v>
      </c>
      <c r="J209" s="5">
        <v>27</v>
      </c>
    </row>
    <row r="210" spans="1:10">
      <c r="A210" t="s">
        <v>19</v>
      </c>
      <c r="B210" t="s">
        <v>11</v>
      </c>
      <c r="C210" t="s">
        <v>16</v>
      </c>
      <c r="D210" s="3">
        <v>45962</v>
      </c>
      <c r="E210" s="5">
        <v>260</v>
      </c>
      <c r="F210" s="4">
        <v>4421.0600000000004</v>
      </c>
      <c r="G210" s="4">
        <v>4122.1000000000004</v>
      </c>
      <c r="H210" s="4">
        <v>298.95999999999998</v>
      </c>
      <c r="I210" s="6">
        <v>3.39</v>
      </c>
      <c r="J210" s="5">
        <v>27</v>
      </c>
    </row>
    <row r="211" spans="1:10">
      <c r="A211" t="s">
        <v>19</v>
      </c>
      <c r="B211" t="s">
        <v>11</v>
      </c>
      <c r="C211" t="s">
        <v>17</v>
      </c>
      <c r="D211" s="3">
        <v>45962</v>
      </c>
      <c r="E211" s="5">
        <v>103</v>
      </c>
      <c r="F211" s="4">
        <v>6816.08</v>
      </c>
      <c r="G211" s="4">
        <v>4586.75</v>
      </c>
      <c r="H211" s="4">
        <v>2229.34</v>
      </c>
      <c r="I211" s="6">
        <v>3.52</v>
      </c>
      <c r="J211" s="5">
        <v>27</v>
      </c>
    </row>
    <row r="212" spans="1:10">
      <c r="A212" t="s">
        <v>19</v>
      </c>
      <c r="B212" t="s">
        <v>11</v>
      </c>
      <c r="C212" t="s">
        <v>12</v>
      </c>
      <c r="D212" s="3">
        <v>45992</v>
      </c>
      <c r="E212" s="5">
        <v>225</v>
      </c>
      <c r="F212" s="4">
        <v>35104.78</v>
      </c>
      <c r="G212" s="4">
        <v>29401.919999999998</v>
      </c>
      <c r="H212" s="4">
        <v>5702.86</v>
      </c>
      <c r="I212" s="6">
        <v>3.7</v>
      </c>
      <c r="J212" s="5">
        <v>28</v>
      </c>
    </row>
    <row r="213" spans="1:10">
      <c r="A213" t="s">
        <v>19</v>
      </c>
      <c r="B213" t="s">
        <v>11</v>
      </c>
      <c r="C213" t="s">
        <v>13</v>
      </c>
      <c r="D213" s="3">
        <v>45992</v>
      </c>
      <c r="E213" s="5">
        <v>152</v>
      </c>
      <c r="F213" s="4">
        <v>12201.99</v>
      </c>
      <c r="G213" s="4">
        <v>8729.4699999999993</v>
      </c>
      <c r="H213" s="4">
        <v>3472.52</v>
      </c>
      <c r="I213" s="6">
        <v>3.67</v>
      </c>
      <c r="J213" s="5">
        <v>28</v>
      </c>
    </row>
    <row r="214" spans="1:10">
      <c r="A214" t="s">
        <v>19</v>
      </c>
      <c r="B214" t="s">
        <v>11</v>
      </c>
      <c r="C214" t="s">
        <v>14</v>
      </c>
      <c r="D214" s="3">
        <v>45992</v>
      </c>
      <c r="E214" s="5">
        <v>183</v>
      </c>
      <c r="F214" s="4">
        <v>9175.0499999999993</v>
      </c>
      <c r="G214" s="4">
        <v>6051.45</v>
      </c>
      <c r="H214" s="4">
        <v>3123.6</v>
      </c>
      <c r="I214" s="6">
        <v>3.42</v>
      </c>
      <c r="J214" s="5">
        <v>28</v>
      </c>
    </row>
    <row r="215" spans="1:10">
      <c r="A215" t="s">
        <v>19</v>
      </c>
      <c r="B215" t="s">
        <v>11</v>
      </c>
      <c r="C215" t="s">
        <v>15</v>
      </c>
      <c r="D215" s="3">
        <v>45992</v>
      </c>
      <c r="E215" s="5">
        <v>152</v>
      </c>
      <c r="F215" s="4">
        <v>5881.33</v>
      </c>
      <c r="G215" s="4">
        <v>3141.99</v>
      </c>
      <c r="H215" s="4">
        <v>2739.34</v>
      </c>
      <c r="I215" s="6">
        <v>3.72</v>
      </c>
      <c r="J215" s="5">
        <v>28</v>
      </c>
    </row>
    <row r="216" spans="1:10">
      <c r="A216" t="s">
        <v>19</v>
      </c>
      <c r="B216" t="s">
        <v>11</v>
      </c>
      <c r="C216" t="s">
        <v>16</v>
      </c>
      <c r="D216" s="3">
        <v>45992</v>
      </c>
      <c r="E216" s="5">
        <v>276</v>
      </c>
      <c r="F216" s="4">
        <v>5351.49</v>
      </c>
      <c r="G216" s="4">
        <v>5281.46</v>
      </c>
      <c r="H216" s="4">
        <v>70.03</v>
      </c>
      <c r="I216" s="6">
        <v>3.63</v>
      </c>
      <c r="J216" s="5">
        <v>28</v>
      </c>
    </row>
    <row r="217" spans="1:10">
      <c r="A217" t="s">
        <v>19</v>
      </c>
      <c r="B217" t="s">
        <v>11</v>
      </c>
      <c r="C217" t="s">
        <v>17</v>
      </c>
      <c r="D217" s="3">
        <v>45992</v>
      </c>
      <c r="E217" s="5">
        <v>101</v>
      </c>
      <c r="F217" s="4">
        <v>6206.95</v>
      </c>
      <c r="G217" s="4">
        <v>4458.53</v>
      </c>
      <c r="H217" s="4">
        <v>1748.41</v>
      </c>
      <c r="I217" s="6">
        <v>3.38</v>
      </c>
      <c r="J217" s="5">
        <v>28</v>
      </c>
    </row>
    <row r="218" spans="1:10">
      <c r="A218" t="s">
        <v>20</v>
      </c>
      <c r="B218" t="s">
        <v>11</v>
      </c>
      <c r="C218" t="s">
        <v>12</v>
      </c>
      <c r="D218" s="3">
        <v>45658</v>
      </c>
      <c r="E218" s="5">
        <v>58</v>
      </c>
      <c r="F218" s="4">
        <v>8697.01</v>
      </c>
      <c r="G218" s="4">
        <v>6861.79</v>
      </c>
      <c r="H218" s="4">
        <v>1835.22</v>
      </c>
      <c r="I218" s="6">
        <v>3.47</v>
      </c>
      <c r="J218" s="5">
        <v>15</v>
      </c>
    </row>
    <row r="219" spans="1:10">
      <c r="A219" t="s">
        <v>20</v>
      </c>
      <c r="B219" t="s">
        <v>11</v>
      </c>
      <c r="C219" t="s">
        <v>13</v>
      </c>
      <c r="D219" s="3">
        <v>45658</v>
      </c>
      <c r="E219" s="5">
        <v>62</v>
      </c>
      <c r="F219" s="4">
        <v>5049.57</v>
      </c>
      <c r="G219" s="4">
        <v>3328.36</v>
      </c>
      <c r="H219" s="4">
        <v>1721.21</v>
      </c>
      <c r="I219" s="6">
        <v>3.25</v>
      </c>
      <c r="J219" s="5">
        <v>15</v>
      </c>
    </row>
    <row r="220" spans="1:10">
      <c r="A220" t="s">
        <v>20</v>
      </c>
      <c r="B220" t="s">
        <v>11</v>
      </c>
      <c r="C220" t="s">
        <v>14</v>
      </c>
      <c r="D220" s="3">
        <v>45658</v>
      </c>
      <c r="E220" s="5">
        <v>90</v>
      </c>
      <c r="F220" s="4">
        <v>4400.34</v>
      </c>
      <c r="G220" s="4">
        <v>2773.63</v>
      </c>
      <c r="H220" s="4">
        <v>1626.7</v>
      </c>
      <c r="I220" s="6">
        <v>3.25</v>
      </c>
      <c r="J220" s="5">
        <v>15</v>
      </c>
    </row>
    <row r="221" spans="1:10">
      <c r="A221" t="s">
        <v>20</v>
      </c>
      <c r="B221" t="s">
        <v>11</v>
      </c>
      <c r="C221" t="s">
        <v>15</v>
      </c>
      <c r="D221" s="3">
        <v>45658</v>
      </c>
      <c r="E221" s="5">
        <v>65</v>
      </c>
      <c r="F221" s="4">
        <v>2220.31</v>
      </c>
      <c r="G221" s="4">
        <v>1120.4100000000001</v>
      </c>
      <c r="H221" s="4">
        <v>1099.9000000000001</v>
      </c>
      <c r="I221" s="6">
        <v>3.5</v>
      </c>
      <c r="J221" s="5">
        <v>15</v>
      </c>
    </row>
    <row r="222" spans="1:10">
      <c r="A222" t="s">
        <v>20</v>
      </c>
      <c r="B222" t="s">
        <v>11</v>
      </c>
      <c r="C222" t="s">
        <v>16</v>
      </c>
      <c r="D222" s="3">
        <v>45658</v>
      </c>
      <c r="E222" s="5">
        <v>101</v>
      </c>
      <c r="F222" s="4">
        <v>1744.5</v>
      </c>
      <c r="G222" s="4">
        <v>1638.95</v>
      </c>
      <c r="H222" s="4">
        <v>105.54</v>
      </c>
      <c r="I222" s="6">
        <v>3.25</v>
      </c>
      <c r="J222" s="5">
        <v>15</v>
      </c>
    </row>
    <row r="223" spans="1:10">
      <c r="A223" t="s">
        <v>20</v>
      </c>
      <c r="B223" t="s">
        <v>11</v>
      </c>
      <c r="C223" t="s">
        <v>17</v>
      </c>
      <c r="D223" s="3">
        <v>45658</v>
      </c>
      <c r="E223" s="5">
        <v>51</v>
      </c>
      <c r="F223" s="4">
        <v>3190.36</v>
      </c>
      <c r="G223" s="4">
        <v>2039.18</v>
      </c>
      <c r="H223" s="4">
        <v>1151.18</v>
      </c>
      <c r="I223" s="6">
        <v>3.49</v>
      </c>
      <c r="J223" s="5">
        <v>15</v>
      </c>
    </row>
    <row r="224" spans="1:10">
      <c r="A224" t="s">
        <v>20</v>
      </c>
      <c r="B224" t="s">
        <v>11</v>
      </c>
      <c r="C224" t="s">
        <v>12</v>
      </c>
      <c r="D224" s="3">
        <v>45689</v>
      </c>
      <c r="E224" s="5">
        <v>62</v>
      </c>
      <c r="F224" s="4">
        <v>9645.49</v>
      </c>
      <c r="G224" s="4">
        <v>7719.53</v>
      </c>
      <c r="H224" s="4">
        <v>1925.96</v>
      </c>
      <c r="I224" s="6">
        <v>3.36</v>
      </c>
      <c r="J224" s="5">
        <v>16</v>
      </c>
    </row>
    <row r="225" spans="1:10">
      <c r="A225" t="s">
        <v>20</v>
      </c>
      <c r="B225" t="s">
        <v>11</v>
      </c>
      <c r="C225" t="s">
        <v>13</v>
      </c>
      <c r="D225" s="3">
        <v>45689</v>
      </c>
      <c r="E225" s="5">
        <v>63</v>
      </c>
      <c r="F225" s="4">
        <v>4894.43</v>
      </c>
      <c r="G225" s="4">
        <v>3378.42</v>
      </c>
      <c r="H225" s="4">
        <v>1516.01</v>
      </c>
      <c r="I225" s="6">
        <v>3.49</v>
      </c>
      <c r="J225" s="5">
        <v>16</v>
      </c>
    </row>
    <row r="226" spans="1:10">
      <c r="A226" t="s">
        <v>20</v>
      </c>
      <c r="B226" t="s">
        <v>11</v>
      </c>
      <c r="C226" t="s">
        <v>14</v>
      </c>
      <c r="D226" s="3">
        <v>45689</v>
      </c>
      <c r="E226" s="5">
        <v>68</v>
      </c>
      <c r="F226" s="4">
        <v>3349.49</v>
      </c>
      <c r="G226" s="4">
        <v>2134.83</v>
      </c>
      <c r="H226" s="4">
        <v>1214.6600000000001</v>
      </c>
      <c r="I226" s="6">
        <v>3.27</v>
      </c>
      <c r="J226" s="5">
        <v>16</v>
      </c>
    </row>
    <row r="227" spans="1:10">
      <c r="A227" t="s">
        <v>20</v>
      </c>
      <c r="B227" t="s">
        <v>11</v>
      </c>
      <c r="C227" t="s">
        <v>15</v>
      </c>
      <c r="D227" s="3">
        <v>45689</v>
      </c>
      <c r="E227" s="5">
        <v>54</v>
      </c>
      <c r="F227" s="4">
        <v>2015.23</v>
      </c>
      <c r="G227" s="4">
        <v>992.5</v>
      </c>
      <c r="H227" s="4">
        <v>1022.73</v>
      </c>
      <c r="I227" s="6">
        <v>3.33</v>
      </c>
      <c r="J227" s="5">
        <v>16</v>
      </c>
    </row>
    <row r="228" spans="1:10">
      <c r="A228" t="s">
        <v>20</v>
      </c>
      <c r="B228" t="s">
        <v>11</v>
      </c>
      <c r="C228" t="s">
        <v>16</v>
      </c>
      <c r="D228" s="3">
        <v>45689</v>
      </c>
      <c r="E228" s="5">
        <v>105</v>
      </c>
      <c r="F228" s="4">
        <v>2036.15</v>
      </c>
      <c r="G228" s="4">
        <v>1860.37</v>
      </c>
      <c r="H228" s="4">
        <v>175.78</v>
      </c>
      <c r="I228" s="6">
        <v>3.46</v>
      </c>
      <c r="J228" s="5">
        <v>16</v>
      </c>
    </row>
    <row r="229" spans="1:10">
      <c r="A229" t="s">
        <v>20</v>
      </c>
      <c r="B229" t="s">
        <v>11</v>
      </c>
      <c r="C229" t="s">
        <v>17</v>
      </c>
      <c r="D229" s="3">
        <v>45689</v>
      </c>
      <c r="E229" s="5">
        <v>51</v>
      </c>
      <c r="F229" s="4">
        <v>3257.73</v>
      </c>
      <c r="G229" s="4">
        <v>2096.58</v>
      </c>
      <c r="H229" s="4">
        <v>1161.1500000000001</v>
      </c>
      <c r="I229" s="6">
        <v>3.27</v>
      </c>
      <c r="J229" s="5">
        <v>16</v>
      </c>
    </row>
    <row r="230" spans="1:10">
      <c r="A230" t="s">
        <v>20</v>
      </c>
      <c r="B230" t="s">
        <v>11</v>
      </c>
      <c r="C230" t="s">
        <v>12</v>
      </c>
      <c r="D230" s="3">
        <v>45717</v>
      </c>
      <c r="E230" s="5">
        <v>85</v>
      </c>
      <c r="F230" s="4">
        <v>11743.68</v>
      </c>
      <c r="G230" s="4">
        <v>9198.0400000000009</v>
      </c>
      <c r="H230" s="4">
        <v>2545.64</v>
      </c>
      <c r="I230" s="6">
        <v>3.4</v>
      </c>
      <c r="J230" s="5">
        <v>15</v>
      </c>
    </row>
    <row r="231" spans="1:10">
      <c r="A231" t="s">
        <v>20</v>
      </c>
      <c r="B231" t="s">
        <v>11</v>
      </c>
      <c r="C231" t="s">
        <v>13</v>
      </c>
      <c r="D231" s="3">
        <v>45717</v>
      </c>
      <c r="E231" s="5">
        <v>63</v>
      </c>
      <c r="F231" s="4">
        <v>5151.66</v>
      </c>
      <c r="G231" s="4">
        <v>3443.76</v>
      </c>
      <c r="H231" s="4">
        <v>1707.91</v>
      </c>
      <c r="I231" s="6">
        <v>3.29</v>
      </c>
      <c r="J231" s="5">
        <v>15</v>
      </c>
    </row>
    <row r="232" spans="1:10">
      <c r="A232" t="s">
        <v>20</v>
      </c>
      <c r="B232" t="s">
        <v>11</v>
      </c>
      <c r="C232" t="s">
        <v>14</v>
      </c>
      <c r="D232" s="3">
        <v>45717</v>
      </c>
      <c r="E232" s="5">
        <v>115</v>
      </c>
      <c r="F232" s="4">
        <v>5347.38</v>
      </c>
      <c r="G232" s="4">
        <v>3419.16</v>
      </c>
      <c r="H232" s="4">
        <v>1928.22</v>
      </c>
      <c r="I232" s="6">
        <v>3.37</v>
      </c>
      <c r="J232" s="5">
        <v>15</v>
      </c>
    </row>
    <row r="233" spans="1:10">
      <c r="A233" t="s">
        <v>20</v>
      </c>
      <c r="B233" t="s">
        <v>11</v>
      </c>
      <c r="C233" t="s">
        <v>15</v>
      </c>
      <c r="D233" s="3">
        <v>45717</v>
      </c>
      <c r="E233" s="5">
        <v>69</v>
      </c>
      <c r="F233" s="4">
        <v>2538.88</v>
      </c>
      <c r="G233" s="4">
        <v>1311.39</v>
      </c>
      <c r="H233" s="4">
        <v>1227.49</v>
      </c>
      <c r="I233" s="6">
        <v>3.25</v>
      </c>
      <c r="J233" s="5">
        <v>15</v>
      </c>
    </row>
    <row r="234" spans="1:10">
      <c r="A234" t="s">
        <v>20</v>
      </c>
      <c r="B234" t="s">
        <v>11</v>
      </c>
      <c r="C234" t="s">
        <v>16</v>
      </c>
      <c r="D234" s="3">
        <v>45717</v>
      </c>
      <c r="E234" s="5">
        <v>119</v>
      </c>
      <c r="F234" s="4">
        <v>2192.1999999999998</v>
      </c>
      <c r="G234" s="4">
        <v>2005.02</v>
      </c>
      <c r="H234" s="4">
        <v>187.19</v>
      </c>
      <c r="I234" s="6">
        <v>3.49</v>
      </c>
      <c r="J234" s="5">
        <v>15</v>
      </c>
    </row>
    <row r="235" spans="1:10">
      <c r="A235" t="s">
        <v>20</v>
      </c>
      <c r="B235" t="s">
        <v>11</v>
      </c>
      <c r="C235" t="s">
        <v>17</v>
      </c>
      <c r="D235" s="3">
        <v>45717</v>
      </c>
      <c r="E235" s="5">
        <v>44</v>
      </c>
      <c r="F235" s="4">
        <v>2941.48</v>
      </c>
      <c r="G235" s="4">
        <v>1966.7</v>
      </c>
      <c r="H235" s="4">
        <v>974.78</v>
      </c>
      <c r="I235" s="6">
        <v>3.46</v>
      </c>
      <c r="J235" s="5">
        <v>15</v>
      </c>
    </row>
    <row r="236" spans="1:10">
      <c r="A236" t="s">
        <v>20</v>
      </c>
      <c r="B236" t="s">
        <v>11</v>
      </c>
      <c r="C236" t="s">
        <v>12</v>
      </c>
      <c r="D236" s="3">
        <v>45748</v>
      </c>
      <c r="E236" s="5">
        <v>79</v>
      </c>
      <c r="F236" s="4">
        <v>10791.53</v>
      </c>
      <c r="G236" s="4">
        <v>8816.3700000000008</v>
      </c>
      <c r="H236" s="4">
        <v>1975.16</v>
      </c>
      <c r="I236" s="6">
        <v>3.26</v>
      </c>
      <c r="J236" s="5">
        <v>15</v>
      </c>
    </row>
    <row r="237" spans="1:10">
      <c r="A237" t="s">
        <v>20</v>
      </c>
      <c r="B237" t="s">
        <v>11</v>
      </c>
      <c r="C237" t="s">
        <v>13</v>
      </c>
      <c r="D237" s="3">
        <v>45748</v>
      </c>
      <c r="E237" s="5">
        <v>71</v>
      </c>
      <c r="F237" s="4">
        <v>5316.83</v>
      </c>
      <c r="G237" s="4">
        <v>3612.55</v>
      </c>
      <c r="H237" s="4">
        <v>1704.28</v>
      </c>
      <c r="I237" s="6">
        <v>3.19</v>
      </c>
      <c r="J237" s="5">
        <v>15</v>
      </c>
    </row>
    <row r="238" spans="1:10">
      <c r="A238" t="s">
        <v>20</v>
      </c>
      <c r="B238" t="s">
        <v>11</v>
      </c>
      <c r="C238" t="s">
        <v>14</v>
      </c>
      <c r="D238" s="3">
        <v>45748</v>
      </c>
      <c r="E238" s="5">
        <v>107</v>
      </c>
      <c r="F238" s="4">
        <v>5364</v>
      </c>
      <c r="G238" s="4">
        <v>3390.57</v>
      </c>
      <c r="H238" s="4">
        <v>1973.43</v>
      </c>
      <c r="I238" s="6">
        <v>3.45</v>
      </c>
      <c r="J238" s="5">
        <v>15</v>
      </c>
    </row>
    <row r="239" spans="1:10">
      <c r="A239" t="s">
        <v>20</v>
      </c>
      <c r="B239" t="s">
        <v>11</v>
      </c>
      <c r="C239" t="s">
        <v>15</v>
      </c>
      <c r="D239" s="3">
        <v>45748</v>
      </c>
      <c r="E239" s="5">
        <v>68</v>
      </c>
      <c r="F239" s="4">
        <v>2477.02</v>
      </c>
      <c r="G239" s="4">
        <v>1240.9000000000001</v>
      </c>
      <c r="H239" s="4">
        <v>1236.1099999999999</v>
      </c>
      <c r="I239" s="6">
        <v>3.35</v>
      </c>
      <c r="J239" s="5">
        <v>15</v>
      </c>
    </row>
    <row r="240" spans="1:10">
      <c r="A240" t="s">
        <v>20</v>
      </c>
      <c r="B240" t="s">
        <v>11</v>
      </c>
      <c r="C240" t="s">
        <v>16</v>
      </c>
      <c r="D240" s="3">
        <v>45748</v>
      </c>
      <c r="E240" s="5">
        <v>128</v>
      </c>
      <c r="F240" s="4">
        <v>2418.4</v>
      </c>
      <c r="G240" s="4">
        <v>2306.0500000000002</v>
      </c>
      <c r="H240" s="4">
        <v>112.35</v>
      </c>
      <c r="I240" s="6">
        <v>3.33</v>
      </c>
      <c r="J240" s="5">
        <v>15</v>
      </c>
    </row>
    <row r="241" spans="1:10">
      <c r="A241" t="s">
        <v>20</v>
      </c>
      <c r="B241" t="s">
        <v>11</v>
      </c>
      <c r="C241" t="s">
        <v>17</v>
      </c>
      <c r="D241" s="3">
        <v>45748</v>
      </c>
      <c r="E241" s="5">
        <v>56</v>
      </c>
      <c r="F241" s="4">
        <v>3486.33</v>
      </c>
      <c r="G241" s="4">
        <v>2411.62</v>
      </c>
      <c r="H241" s="4">
        <v>1074.7</v>
      </c>
      <c r="I241" s="6">
        <v>3.19</v>
      </c>
      <c r="J241" s="5">
        <v>15</v>
      </c>
    </row>
    <row r="242" spans="1:10">
      <c r="A242" t="s">
        <v>20</v>
      </c>
      <c r="B242" t="s">
        <v>11</v>
      </c>
      <c r="C242" t="s">
        <v>12</v>
      </c>
      <c r="D242" s="3">
        <v>45778</v>
      </c>
      <c r="E242" s="5">
        <v>89</v>
      </c>
      <c r="F242" s="4">
        <v>12325.75</v>
      </c>
      <c r="G242" s="4">
        <v>10098.61</v>
      </c>
      <c r="H242" s="4">
        <v>2227.14</v>
      </c>
      <c r="I242" s="6">
        <v>3.33</v>
      </c>
      <c r="J242" s="5">
        <v>17</v>
      </c>
    </row>
    <row r="243" spans="1:10">
      <c r="A243" t="s">
        <v>20</v>
      </c>
      <c r="B243" t="s">
        <v>11</v>
      </c>
      <c r="C243" t="s">
        <v>13</v>
      </c>
      <c r="D243" s="3">
        <v>45778</v>
      </c>
      <c r="E243" s="5">
        <v>71</v>
      </c>
      <c r="F243" s="4">
        <v>5751.58</v>
      </c>
      <c r="G243" s="4">
        <v>3977.45</v>
      </c>
      <c r="H243" s="4">
        <v>1774.14</v>
      </c>
      <c r="I243" s="6">
        <v>3.22</v>
      </c>
      <c r="J243" s="5">
        <v>17</v>
      </c>
    </row>
    <row r="244" spans="1:10">
      <c r="A244" t="s">
        <v>20</v>
      </c>
      <c r="B244" t="s">
        <v>11</v>
      </c>
      <c r="C244" t="s">
        <v>14</v>
      </c>
      <c r="D244" s="3">
        <v>45778</v>
      </c>
      <c r="E244" s="5">
        <v>105</v>
      </c>
      <c r="F244" s="4">
        <v>5150.63</v>
      </c>
      <c r="G244" s="4">
        <v>3333.15</v>
      </c>
      <c r="H244" s="4">
        <v>1817.48</v>
      </c>
      <c r="I244" s="6">
        <v>3.31</v>
      </c>
      <c r="J244" s="5">
        <v>17</v>
      </c>
    </row>
    <row r="245" spans="1:10">
      <c r="A245" t="s">
        <v>20</v>
      </c>
      <c r="B245" t="s">
        <v>11</v>
      </c>
      <c r="C245" t="s">
        <v>15</v>
      </c>
      <c r="D245" s="3">
        <v>45778</v>
      </c>
      <c r="E245" s="5">
        <v>88</v>
      </c>
      <c r="F245" s="4">
        <v>3242.88</v>
      </c>
      <c r="G245" s="4">
        <v>1662.34</v>
      </c>
      <c r="H245" s="4">
        <v>1580.53</v>
      </c>
      <c r="I245" s="6">
        <v>3.35</v>
      </c>
      <c r="J245" s="5">
        <v>17</v>
      </c>
    </row>
    <row r="246" spans="1:10">
      <c r="A246" t="s">
        <v>20</v>
      </c>
      <c r="B246" t="s">
        <v>11</v>
      </c>
      <c r="C246" t="s">
        <v>16</v>
      </c>
      <c r="D246" s="3">
        <v>45778</v>
      </c>
      <c r="E246" s="5">
        <v>116</v>
      </c>
      <c r="F246" s="4">
        <v>1996.17</v>
      </c>
      <c r="G246" s="4">
        <v>1891.8</v>
      </c>
      <c r="H246" s="4">
        <v>104.37</v>
      </c>
      <c r="I246" s="6">
        <v>3.46</v>
      </c>
      <c r="J246" s="5">
        <v>17</v>
      </c>
    </row>
    <row r="247" spans="1:10">
      <c r="A247" t="s">
        <v>20</v>
      </c>
      <c r="B247" t="s">
        <v>11</v>
      </c>
      <c r="C247" t="s">
        <v>17</v>
      </c>
      <c r="D247" s="3">
        <v>45778</v>
      </c>
      <c r="E247" s="5">
        <v>83</v>
      </c>
      <c r="F247" s="4">
        <v>5234.4399999999996</v>
      </c>
      <c r="G247" s="4">
        <v>3632.13</v>
      </c>
      <c r="H247" s="4">
        <v>1602.31</v>
      </c>
      <c r="I247" s="6">
        <v>3.32</v>
      </c>
      <c r="J247" s="5">
        <v>17</v>
      </c>
    </row>
    <row r="248" spans="1:10">
      <c r="A248" t="s">
        <v>20</v>
      </c>
      <c r="B248" t="s">
        <v>11</v>
      </c>
      <c r="C248" t="s">
        <v>12</v>
      </c>
      <c r="D248" s="3">
        <v>45809</v>
      </c>
      <c r="E248" s="5">
        <v>77</v>
      </c>
      <c r="F248" s="4">
        <v>11118.36</v>
      </c>
      <c r="G248" s="4">
        <v>9186.2999999999993</v>
      </c>
      <c r="H248" s="4">
        <v>1932.06</v>
      </c>
      <c r="I248" s="6">
        <v>3.28</v>
      </c>
      <c r="J248" s="5">
        <v>17</v>
      </c>
    </row>
    <row r="249" spans="1:10">
      <c r="A249" t="s">
        <v>20</v>
      </c>
      <c r="B249" t="s">
        <v>11</v>
      </c>
      <c r="C249" t="s">
        <v>13</v>
      </c>
      <c r="D249" s="3">
        <v>45809</v>
      </c>
      <c r="E249" s="5">
        <v>87</v>
      </c>
      <c r="F249" s="4">
        <v>6504.58</v>
      </c>
      <c r="G249" s="4">
        <v>4518.29</v>
      </c>
      <c r="H249" s="4">
        <v>1986.29</v>
      </c>
      <c r="I249" s="6">
        <v>3.51</v>
      </c>
      <c r="J249" s="5">
        <v>17</v>
      </c>
    </row>
    <row r="250" spans="1:10">
      <c r="A250" t="s">
        <v>20</v>
      </c>
      <c r="B250" t="s">
        <v>11</v>
      </c>
      <c r="C250" t="s">
        <v>14</v>
      </c>
      <c r="D250" s="3">
        <v>45809</v>
      </c>
      <c r="E250" s="5">
        <v>98</v>
      </c>
      <c r="F250" s="4">
        <v>4481.84</v>
      </c>
      <c r="G250" s="4">
        <v>2818.87</v>
      </c>
      <c r="H250" s="4">
        <v>1662.97</v>
      </c>
      <c r="I250" s="6">
        <v>3.33</v>
      </c>
      <c r="J250" s="5">
        <v>17</v>
      </c>
    </row>
    <row r="251" spans="1:10">
      <c r="A251" t="s">
        <v>20</v>
      </c>
      <c r="B251" t="s">
        <v>11</v>
      </c>
      <c r="C251" t="s">
        <v>15</v>
      </c>
      <c r="D251" s="3">
        <v>45809</v>
      </c>
      <c r="E251" s="5">
        <v>77</v>
      </c>
      <c r="F251" s="4">
        <v>2894.64</v>
      </c>
      <c r="G251" s="4">
        <v>1508.07</v>
      </c>
      <c r="H251" s="4">
        <v>1386.57</v>
      </c>
      <c r="I251" s="6">
        <v>3.22</v>
      </c>
      <c r="J251" s="5">
        <v>17</v>
      </c>
    </row>
    <row r="252" spans="1:10">
      <c r="A252" t="s">
        <v>20</v>
      </c>
      <c r="B252" t="s">
        <v>11</v>
      </c>
      <c r="C252" t="s">
        <v>16</v>
      </c>
      <c r="D252" s="3">
        <v>45809</v>
      </c>
      <c r="E252" s="5">
        <v>167</v>
      </c>
      <c r="F252" s="4">
        <v>3062.02</v>
      </c>
      <c r="G252" s="4">
        <v>2923.12</v>
      </c>
      <c r="H252" s="4">
        <v>138.88999999999999</v>
      </c>
      <c r="I252" s="6">
        <v>3.29</v>
      </c>
      <c r="J252" s="5">
        <v>17</v>
      </c>
    </row>
    <row r="253" spans="1:10">
      <c r="A253" t="s">
        <v>20</v>
      </c>
      <c r="B253" t="s">
        <v>11</v>
      </c>
      <c r="C253" t="s">
        <v>17</v>
      </c>
      <c r="D253" s="3">
        <v>45809</v>
      </c>
      <c r="E253" s="5">
        <v>88</v>
      </c>
      <c r="F253" s="4">
        <v>5795.94</v>
      </c>
      <c r="G253" s="4">
        <v>4075.3</v>
      </c>
      <c r="H253" s="4">
        <v>1720.64</v>
      </c>
      <c r="I253" s="6">
        <v>3.32</v>
      </c>
      <c r="J253" s="5">
        <v>17</v>
      </c>
    </row>
    <row r="254" spans="1:10">
      <c r="A254" t="s">
        <v>20</v>
      </c>
      <c r="B254" t="s">
        <v>11</v>
      </c>
      <c r="C254" t="s">
        <v>12</v>
      </c>
      <c r="D254" s="3">
        <v>45839</v>
      </c>
      <c r="E254" s="5">
        <v>103</v>
      </c>
      <c r="F254" s="4">
        <v>14774.16</v>
      </c>
      <c r="G254" s="4">
        <v>12186.29</v>
      </c>
      <c r="H254" s="4">
        <v>2587.87</v>
      </c>
      <c r="I254" s="6">
        <v>3.25</v>
      </c>
      <c r="J254" s="5">
        <v>16</v>
      </c>
    </row>
    <row r="255" spans="1:10">
      <c r="A255" t="s">
        <v>20</v>
      </c>
      <c r="B255" t="s">
        <v>11</v>
      </c>
      <c r="C255" t="s">
        <v>13</v>
      </c>
      <c r="D255" s="3">
        <v>45839</v>
      </c>
      <c r="E255" s="5">
        <v>82</v>
      </c>
      <c r="F255" s="4">
        <v>6431.07</v>
      </c>
      <c r="G255" s="4">
        <v>4496.84</v>
      </c>
      <c r="H255" s="4">
        <v>1934.23</v>
      </c>
      <c r="I255" s="6">
        <v>3.21</v>
      </c>
      <c r="J255" s="5">
        <v>16</v>
      </c>
    </row>
    <row r="256" spans="1:10">
      <c r="A256" t="s">
        <v>20</v>
      </c>
      <c r="B256" t="s">
        <v>11</v>
      </c>
      <c r="C256" t="s">
        <v>14</v>
      </c>
      <c r="D256" s="3">
        <v>45839</v>
      </c>
      <c r="E256" s="5">
        <v>111</v>
      </c>
      <c r="F256" s="4">
        <v>5577.16</v>
      </c>
      <c r="G256" s="4">
        <v>3646.88</v>
      </c>
      <c r="H256" s="4">
        <v>1930.29</v>
      </c>
      <c r="I256" s="6">
        <v>3.46</v>
      </c>
      <c r="J256" s="5">
        <v>16</v>
      </c>
    </row>
    <row r="257" spans="1:10">
      <c r="A257" t="s">
        <v>20</v>
      </c>
      <c r="B257" t="s">
        <v>11</v>
      </c>
      <c r="C257" t="s">
        <v>15</v>
      </c>
      <c r="D257" s="3">
        <v>45839</v>
      </c>
      <c r="E257" s="5">
        <v>83</v>
      </c>
      <c r="F257" s="4">
        <v>3162.27</v>
      </c>
      <c r="G257" s="4">
        <v>1726.97</v>
      </c>
      <c r="H257" s="4">
        <v>1435.29</v>
      </c>
      <c r="I257" s="6">
        <v>3.46</v>
      </c>
      <c r="J257" s="5">
        <v>16</v>
      </c>
    </row>
    <row r="258" spans="1:10">
      <c r="A258" t="s">
        <v>20</v>
      </c>
      <c r="B258" t="s">
        <v>11</v>
      </c>
      <c r="C258" t="s">
        <v>16</v>
      </c>
      <c r="D258" s="3">
        <v>45839</v>
      </c>
      <c r="E258" s="5">
        <v>133</v>
      </c>
      <c r="F258" s="4">
        <v>2259.16</v>
      </c>
      <c r="G258" s="4">
        <v>2203.77</v>
      </c>
      <c r="H258" s="4">
        <v>55.39</v>
      </c>
      <c r="I258" s="6">
        <v>3.44</v>
      </c>
      <c r="J258" s="5">
        <v>16</v>
      </c>
    </row>
    <row r="259" spans="1:10">
      <c r="A259" t="s">
        <v>20</v>
      </c>
      <c r="B259" t="s">
        <v>11</v>
      </c>
      <c r="C259" t="s">
        <v>17</v>
      </c>
      <c r="D259" s="3">
        <v>45839</v>
      </c>
      <c r="E259" s="5">
        <v>78</v>
      </c>
      <c r="F259" s="4">
        <v>4726.91</v>
      </c>
      <c r="G259" s="4">
        <v>3203.67</v>
      </c>
      <c r="H259" s="4">
        <v>1523.25</v>
      </c>
      <c r="I259" s="6">
        <v>3.42</v>
      </c>
      <c r="J259" s="5">
        <v>16</v>
      </c>
    </row>
    <row r="260" spans="1:10">
      <c r="A260" t="s">
        <v>20</v>
      </c>
      <c r="B260" t="s">
        <v>11</v>
      </c>
      <c r="C260" t="s">
        <v>12</v>
      </c>
      <c r="D260" s="3">
        <v>45870</v>
      </c>
      <c r="E260" s="5">
        <v>94</v>
      </c>
      <c r="F260" s="4">
        <v>13158.36</v>
      </c>
      <c r="G260" s="4">
        <v>10649.03</v>
      </c>
      <c r="H260" s="4">
        <v>2509.3200000000002</v>
      </c>
      <c r="I260" s="6">
        <v>3.41</v>
      </c>
      <c r="J260" s="5">
        <v>17</v>
      </c>
    </row>
    <row r="261" spans="1:10">
      <c r="A261" t="s">
        <v>20</v>
      </c>
      <c r="B261" t="s">
        <v>11</v>
      </c>
      <c r="C261" t="s">
        <v>13</v>
      </c>
      <c r="D261" s="3">
        <v>45870</v>
      </c>
      <c r="E261" s="5">
        <v>77</v>
      </c>
      <c r="F261" s="4">
        <v>5557.89</v>
      </c>
      <c r="G261" s="4">
        <v>4042.62</v>
      </c>
      <c r="H261" s="4">
        <v>1515.27</v>
      </c>
      <c r="I261" s="6">
        <v>3.52</v>
      </c>
      <c r="J261" s="5">
        <v>17</v>
      </c>
    </row>
    <row r="262" spans="1:10">
      <c r="A262" t="s">
        <v>20</v>
      </c>
      <c r="B262" t="s">
        <v>11</v>
      </c>
      <c r="C262" t="s">
        <v>14</v>
      </c>
      <c r="D262" s="3">
        <v>45870</v>
      </c>
      <c r="E262" s="5">
        <v>129</v>
      </c>
      <c r="F262" s="4">
        <v>6146.6</v>
      </c>
      <c r="G262" s="4">
        <v>4027.08</v>
      </c>
      <c r="H262" s="4">
        <v>2119.5100000000002</v>
      </c>
      <c r="I262" s="6">
        <v>3.23</v>
      </c>
      <c r="J262" s="5">
        <v>17</v>
      </c>
    </row>
    <row r="263" spans="1:10">
      <c r="A263" t="s">
        <v>20</v>
      </c>
      <c r="B263" t="s">
        <v>11</v>
      </c>
      <c r="C263" t="s">
        <v>15</v>
      </c>
      <c r="D263" s="3">
        <v>45870</v>
      </c>
      <c r="E263" s="5">
        <v>89</v>
      </c>
      <c r="F263" s="4">
        <v>3151.55</v>
      </c>
      <c r="G263" s="4">
        <v>1674.55</v>
      </c>
      <c r="H263" s="4">
        <v>1477</v>
      </c>
      <c r="I263" s="6">
        <v>3.51</v>
      </c>
      <c r="J263" s="5">
        <v>17</v>
      </c>
    </row>
    <row r="264" spans="1:10">
      <c r="A264" t="s">
        <v>20</v>
      </c>
      <c r="B264" t="s">
        <v>11</v>
      </c>
      <c r="C264" t="s">
        <v>16</v>
      </c>
      <c r="D264" s="3">
        <v>45870</v>
      </c>
      <c r="E264" s="5">
        <v>120</v>
      </c>
      <c r="F264" s="4">
        <v>2077.4499999999998</v>
      </c>
      <c r="G264" s="4">
        <v>2018.47</v>
      </c>
      <c r="H264" s="4">
        <v>58.98</v>
      </c>
      <c r="I264" s="6">
        <v>3.16</v>
      </c>
      <c r="J264" s="5">
        <v>17</v>
      </c>
    </row>
    <row r="265" spans="1:10">
      <c r="A265" t="s">
        <v>20</v>
      </c>
      <c r="B265" t="s">
        <v>11</v>
      </c>
      <c r="C265" t="s">
        <v>17</v>
      </c>
      <c r="D265" s="3">
        <v>45870</v>
      </c>
      <c r="E265" s="5">
        <v>73</v>
      </c>
      <c r="F265" s="4">
        <v>4306.13</v>
      </c>
      <c r="G265" s="4">
        <v>2991.13</v>
      </c>
      <c r="H265" s="4">
        <v>1315</v>
      </c>
      <c r="I265" s="6">
        <v>3.32</v>
      </c>
      <c r="J265" s="5">
        <v>17</v>
      </c>
    </row>
    <row r="266" spans="1:10">
      <c r="A266" t="s">
        <v>20</v>
      </c>
      <c r="B266" t="s">
        <v>11</v>
      </c>
      <c r="C266" t="s">
        <v>12</v>
      </c>
      <c r="D266" s="3">
        <v>45901</v>
      </c>
      <c r="E266" s="5">
        <v>81</v>
      </c>
      <c r="F266" s="4">
        <v>11882.75</v>
      </c>
      <c r="G266" s="4">
        <v>9806.3799999999992</v>
      </c>
      <c r="H266" s="4">
        <v>2076.37</v>
      </c>
      <c r="I266" s="6">
        <v>3.21</v>
      </c>
      <c r="J266" s="5">
        <v>17</v>
      </c>
    </row>
    <row r="267" spans="1:10">
      <c r="A267" t="s">
        <v>20</v>
      </c>
      <c r="B267" t="s">
        <v>11</v>
      </c>
      <c r="C267" t="s">
        <v>13</v>
      </c>
      <c r="D267" s="3">
        <v>45901</v>
      </c>
      <c r="E267" s="5">
        <v>79</v>
      </c>
      <c r="F267" s="4">
        <v>6213.84</v>
      </c>
      <c r="G267" s="4">
        <v>4517.71</v>
      </c>
      <c r="H267" s="4">
        <v>1696.13</v>
      </c>
      <c r="I267" s="6">
        <v>3.36</v>
      </c>
      <c r="J267" s="5">
        <v>17</v>
      </c>
    </row>
    <row r="268" spans="1:10">
      <c r="A268" t="s">
        <v>20</v>
      </c>
      <c r="B268" t="s">
        <v>11</v>
      </c>
      <c r="C268" t="s">
        <v>14</v>
      </c>
      <c r="D268" s="3">
        <v>45901</v>
      </c>
      <c r="E268" s="5">
        <v>95</v>
      </c>
      <c r="F268" s="4">
        <v>4914.87</v>
      </c>
      <c r="G268" s="4">
        <v>3171.51</v>
      </c>
      <c r="H268" s="4">
        <v>1743.36</v>
      </c>
      <c r="I268" s="6">
        <v>3.24</v>
      </c>
      <c r="J268" s="5">
        <v>17</v>
      </c>
    </row>
    <row r="269" spans="1:10">
      <c r="A269" t="s">
        <v>20</v>
      </c>
      <c r="B269" t="s">
        <v>11</v>
      </c>
      <c r="C269" t="s">
        <v>15</v>
      </c>
      <c r="D269" s="3">
        <v>45901</v>
      </c>
      <c r="E269" s="5">
        <v>85</v>
      </c>
      <c r="F269" s="4">
        <v>3281.38</v>
      </c>
      <c r="G269" s="4">
        <v>1810.37</v>
      </c>
      <c r="H269" s="4">
        <v>1471.01</v>
      </c>
      <c r="I269" s="6">
        <v>3.45</v>
      </c>
      <c r="J269" s="5">
        <v>17</v>
      </c>
    </row>
    <row r="270" spans="1:10">
      <c r="A270" t="s">
        <v>20</v>
      </c>
      <c r="B270" t="s">
        <v>11</v>
      </c>
      <c r="C270" t="s">
        <v>16</v>
      </c>
      <c r="D270" s="3">
        <v>45901</v>
      </c>
      <c r="E270" s="5">
        <v>132</v>
      </c>
      <c r="F270" s="4">
        <v>2398.89</v>
      </c>
      <c r="G270" s="4">
        <v>2293.35</v>
      </c>
      <c r="H270" s="4">
        <v>105.54</v>
      </c>
      <c r="I270" s="6">
        <v>3.19</v>
      </c>
      <c r="J270" s="5">
        <v>17</v>
      </c>
    </row>
    <row r="271" spans="1:10">
      <c r="A271" t="s">
        <v>20</v>
      </c>
      <c r="B271" t="s">
        <v>11</v>
      </c>
      <c r="C271" t="s">
        <v>17</v>
      </c>
      <c r="D271" s="3">
        <v>45901</v>
      </c>
      <c r="E271" s="5">
        <v>63</v>
      </c>
      <c r="F271" s="4">
        <v>3962.88</v>
      </c>
      <c r="G271" s="4">
        <v>2740.79</v>
      </c>
      <c r="H271" s="4">
        <v>1222.0899999999999</v>
      </c>
      <c r="I271" s="6">
        <v>3.37</v>
      </c>
      <c r="J271" s="5">
        <v>17</v>
      </c>
    </row>
    <row r="272" spans="1:10">
      <c r="A272" t="s">
        <v>20</v>
      </c>
      <c r="B272" t="s">
        <v>11</v>
      </c>
      <c r="C272" t="s">
        <v>12</v>
      </c>
      <c r="D272" s="3">
        <v>45931</v>
      </c>
      <c r="E272" s="5">
        <v>102</v>
      </c>
      <c r="F272" s="4">
        <v>13990.19</v>
      </c>
      <c r="G272" s="4">
        <v>11398.84</v>
      </c>
      <c r="H272" s="4">
        <v>2591.35</v>
      </c>
      <c r="I272" s="6">
        <v>3.5</v>
      </c>
      <c r="J272" s="5">
        <v>16</v>
      </c>
    </row>
    <row r="273" spans="1:10">
      <c r="A273" t="s">
        <v>20</v>
      </c>
      <c r="B273" t="s">
        <v>11</v>
      </c>
      <c r="C273" t="s">
        <v>13</v>
      </c>
      <c r="D273" s="3">
        <v>45931</v>
      </c>
      <c r="E273" s="5">
        <v>87</v>
      </c>
      <c r="F273" s="4">
        <v>7013.32</v>
      </c>
      <c r="G273" s="4">
        <v>5135.95</v>
      </c>
      <c r="H273" s="4">
        <v>1877.37</v>
      </c>
      <c r="I273" s="6">
        <v>3.38</v>
      </c>
      <c r="J273" s="5">
        <v>16</v>
      </c>
    </row>
    <row r="274" spans="1:10">
      <c r="A274" t="s">
        <v>20</v>
      </c>
      <c r="B274" t="s">
        <v>11</v>
      </c>
      <c r="C274" t="s">
        <v>14</v>
      </c>
      <c r="D274" s="3">
        <v>45931</v>
      </c>
      <c r="E274" s="5">
        <v>100</v>
      </c>
      <c r="F274" s="4">
        <v>4589.3999999999996</v>
      </c>
      <c r="G274" s="4">
        <v>2982.04</v>
      </c>
      <c r="H274" s="4">
        <v>1607.36</v>
      </c>
      <c r="I274" s="6">
        <v>3.29</v>
      </c>
      <c r="J274" s="5">
        <v>16</v>
      </c>
    </row>
    <row r="275" spans="1:10">
      <c r="A275" t="s">
        <v>20</v>
      </c>
      <c r="B275" t="s">
        <v>11</v>
      </c>
      <c r="C275" t="s">
        <v>15</v>
      </c>
      <c r="D275" s="3">
        <v>45931</v>
      </c>
      <c r="E275" s="5">
        <v>79</v>
      </c>
      <c r="F275" s="4">
        <v>2992.41</v>
      </c>
      <c r="G275" s="4">
        <v>1654.48</v>
      </c>
      <c r="H275" s="4">
        <v>1337.94</v>
      </c>
      <c r="I275" s="6">
        <v>3.47</v>
      </c>
      <c r="J275" s="5">
        <v>16</v>
      </c>
    </row>
    <row r="276" spans="1:10">
      <c r="A276" t="s">
        <v>20</v>
      </c>
      <c r="B276" t="s">
        <v>11</v>
      </c>
      <c r="C276" t="s">
        <v>16</v>
      </c>
      <c r="D276" s="3">
        <v>45931</v>
      </c>
      <c r="E276" s="5">
        <v>145</v>
      </c>
      <c r="F276" s="4">
        <v>2761.97</v>
      </c>
      <c r="G276" s="4">
        <v>2610.66</v>
      </c>
      <c r="H276" s="4">
        <v>151.31</v>
      </c>
      <c r="I276" s="6">
        <v>3.35</v>
      </c>
      <c r="J276" s="5">
        <v>16</v>
      </c>
    </row>
    <row r="277" spans="1:10">
      <c r="A277" t="s">
        <v>20</v>
      </c>
      <c r="B277" t="s">
        <v>11</v>
      </c>
      <c r="C277" t="s">
        <v>17</v>
      </c>
      <c r="D277" s="3">
        <v>45931</v>
      </c>
      <c r="E277" s="5">
        <v>63</v>
      </c>
      <c r="F277" s="4">
        <v>3958.16</v>
      </c>
      <c r="G277" s="4">
        <v>2788.79</v>
      </c>
      <c r="H277" s="4">
        <v>1169.3800000000001</v>
      </c>
      <c r="I277" s="6">
        <v>3.28</v>
      </c>
      <c r="J277" s="5">
        <v>16</v>
      </c>
    </row>
    <row r="278" spans="1:10">
      <c r="A278" t="s">
        <v>20</v>
      </c>
      <c r="B278" t="s">
        <v>11</v>
      </c>
      <c r="C278" t="s">
        <v>12</v>
      </c>
      <c r="D278" s="3">
        <v>45962</v>
      </c>
      <c r="E278" s="5">
        <v>148</v>
      </c>
      <c r="F278" s="4">
        <v>20401.87</v>
      </c>
      <c r="G278" s="4">
        <v>17377.39</v>
      </c>
      <c r="H278" s="4">
        <v>3024.49</v>
      </c>
      <c r="I278" s="6">
        <v>3.33</v>
      </c>
      <c r="J278" s="5">
        <v>18</v>
      </c>
    </row>
    <row r="279" spans="1:10">
      <c r="A279" t="s">
        <v>20</v>
      </c>
      <c r="B279" t="s">
        <v>11</v>
      </c>
      <c r="C279" t="s">
        <v>13</v>
      </c>
      <c r="D279" s="3">
        <v>45962</v>
      </c>
      <c r="E279" s="5">
        <v>110</v>
      </c>
      <c r="F279" s="4">
        <v>8085.34</v>
      </c>
      <c r="G279" s="4">
        <v>6041.22</v>
      </c>
      <c r="H279" s="4">
        <v>2044.12</v>
      </c>
      <c r="I279" s="6">
        <v>3.3</v>
      </c>
      <c r="J279" s="5">
        <v>18</v>
      </c>
    </row>
    <row r="280" spans="1:10">
      <c r="A280" t="s">
        <v>20</v>
      </c>
      <c r="B280" t="s">
        <v>11</v>
      </c>
      <c r="C280" t="s">
        <v>14</v>
      </c>
      <c r="D280" s="3">
        <v>45962</v>
      </c>
      <c r="E280" s="5">
        <v>160</v>
      </c>
      <c r="F280" s="4">
        <v>7378</v>
      </c>
      <c r="G280" s="4">
        <v>4861.46</v>
      </c>
      <c r="H280" s="4">
        <v>2516.5300000000002</v>
      </c>
      <c r="I280" s="6">
        <v>3.26</v>
      </c>
      <c r="J280" s="5">
        <v>18</v>
      </c>
    </row>
    <row r="281" spans="1:10">
      <c r="A281" t="s">
        <v>20</v>
      </c>
      <c r="B281" t="s">
        <v>11</v>
      </c>
      <c r="C281" t="s">
        <v>15</v>
      </c>
      <c r="D281" s="3">
        <v>45962</v>
      </c>
      <c r="E281" s="5">
        <v>99</v>
      </c>
      <c r="F281" s="4">
        <v>3436.73</v>
      </c>
      <c r="G281" s="4">
        <v>1867.66</v>
      </c>
      <c r="H281" s="4">
        <v>1569.07</v>
      </c>
      <c r="I281" s="6">
        <v>3.44</v>
      </c>
      <c r="J281" s="5">
        <v>18</v>
      </c>
    </row>
    <row r="282" spans="1:10">
      <c r="A282" t="s">
        <v>20</v>
      </c>
      <c r="B282" t="s">
        <v>11</v>
      </c>
      <c r="C282" t="s">
        <v>16</v>
      </c>
      <c r="D282" s="3">
        <v>45962</v>
      </c>
      <c r="E282" s="5">
        <v>205</v>
      </c>
      <c r="F282" s="4">
        <v>3793</v>
      </c>
      <c r="G282" s="4">
        <v>3633.4</v>
      </c>
      <c r="H282" s="4">
        <v>159.6</v>
      </c>
      <c r="I282" s="6">
        <v>3.34</v>
      </c>
      <c r="J282" s="5">
        <v>18</v>
      </c>
    </row>
    <row r="283" spans="1:10">
      <c r="A283" t="s">
        <v>20</v>
      </c>
      <c r="B283" t="s">
        <v>11</v>
      </c>
      <c r="C283" t="s">
        <v>17</v>
      </c>
      <c r="D283" s="3">
        <v>45962</v>
      </c>
      <c r="E283" s="5">
        <v>83</v>
      </c>
      <c r="F283" s="4">
        <v>5254.71</v>
      </c>
      <c r="G283" s="4">
        <v>3797.95</v>
      </c>
      <c r="H283" s="4">
        <v>1456.76</v>
      </c>
      <c r="I283" s="6">
        <v>3.49</v>
      </c>
      <c r="J283" s="5">
        <v>18</v>
      </c>
    </row>
    <row r="284" spans="1:10">
      <c r="A284" t="s">
        <v>20</v>
      </c>
      <c r="B284" t="s">
        <v>11</v>
      </c>
      <c r="C284" t="s">
        <v>12</v>
      </c>
      <c r="D284" s="3">
        <v>45992</v>
      </c>
      <c r="E284" s="5">
        <v>173</v>
      </c>
      <c r="F284" s="4">
        <v>24110.05</v>
      </c>
      <c r="G284" s="4">
        <v>20455.900000000001</v>
      </c>
      <c r="H284" s="4">
        <v>3654.15</v>
      </c>
      <c r="I284" s="6">
        <v>3.33</v>
      </c>
      <c r="J284" s="5">
        <v>18</v>
      </c>
    </row>
    <row r="285" spans="1:10">
      <c r="A285" t="s">
        <v>20</v>
      </c>
      <c r="B285" t="s">
        <v>11</v>
      </c>
      <c r="C285" t="s">
        <v>13</v>
      </c>
      <c r="D285" s="3">
        <v>45992</v>
      </c>
      <c r="E285" s="5">
        <v>100</v>
      </c>
      <c r="F285" s="4">
        <v>7466.2</v>
      </c>
      <c r="G285" s="4">
        <v>5604.96</v>
      </c>
      <c r="H285" s="4">
        <v>1861.24</v>
      </c>
      <c r="I285" s="6">
        <v>3.19</v>
      </c>
      <c r="J285" s="5">
        <v>18</v>
      </c>
    </row>
    <row r="286" spans="1:10">
      <c r="A286" t="s">
        <v>20</v>
      </c>
      <c r="B286" t="s">
        <v>11</v>
      </c>
      <c r="C286" t="s">
        <v>14</v>
      </c>
      <c r="D286" s="3">
        <v>45992</v>
      </c>
      <c r="E286" s="5">
        <v>151</v>
      </c>
      <c r="F286" s="4">
        <v>7271.69</v>
      </c>
      <c r="G286" s="4">
        <v>4961.93</v>
      </c>
      <c r="H286" s="4">
        <v>2309.7600000000002</v>
      </c>
      <c r="I286" s="6">
        <v>3.47</v>
      </c>
      <c r="J286" s="5">
        <v>18</v>
      </c>
    </row>
    <row r="287" spans="1:10">
      <c r="A287" t="s">
        <v>20</v>
      </c>
      <c r="B287" t="s">
        <v>11</v>
      </c>
      <c r="C287" t="s">
        <v>15</v>
      </c>
      <c r="D287" s="3">
        <v>45992</v>
      </c>
      <c r="E287" s="5">
        <v>114</v>
      </c>
      <c r="F287" s="4">
        <v>3901.85</v>
      </c>
      <c r="G287" s="4">
        <v>2316.52</v>
      </c>
      <c r="H287" s="4">
        <v>1585.33</v>
      </c>
      <c r="I287" s="6">
        <v>3.48</v>
      </c>
      <c r="J287" s="5">
        <v>18</v>
      </c>
    </row>
    <row r="288" spans="1:10">
      <c r="A288" t="s">
        <v>20</v>
      </c>
      <c r="B288" t="s">
        <v>11</v>
      </c>
      <c r="C288" t="s">
        <v>16</v>
      </c>
      <c r="D288" s="3">
        <v>45992</v>
      </c>
      <c r="E288" s="5">
        <v>183</v>
      </c>
      <c r="F288" s="4">
        <v>3309.74</v>
      </c>
      <c r="G288" s="4">
        <v>3187.71</v>
      </c>
      <c r="H288" s="4">
        <v>122.03</v>
      </c>
      <c r="I288" s="6">
        <v>3.43</v>
      </c>
      <c r="J288" s="5">
        <v>18</v>
      </c>
    </row>
    <row r="289" spans="1:10">
      <c r="A289" t="s">
        <v>20</v>
      </c>
      <c r="B289" t="s">
        <v>11</v>
      </c>
      <c r="C289" t="s">
        <v>17</v>
      </c>
      <c r="D289" s="3">
        <v>45992</v>
      </c>
      <c r="E289" s="5">
        <v>80</v>
      </c>
      <c r="F289" s="4">
        <v>5284.5</v>
      </c>
      <c r="G289" s="4">
        <v>3904</v>
      </c>
      <c r="H289" s="4">
        <v>1380.49</v>
      </c>
      <c r="I289" s="6">
        <v>3.46</v>
      </c>
      <c r="J289" s="5">
        <v>18</v>
      </c>
    </row>
    <row r="290" spans="1:10">
      <c r="A290" t="s">
        <v>21</v>
      </c>
      <c r="B290" t="s">
        <v>11</v>
      </c>
      <c r="C290" t="s">
        <v>12</v>
      </c>
      <c r="D290" s="3">
        <v>45658</v>
      </c>
      <c r="E290" s="5">
        <v>73</v>
      </c>
      <c r="F290" s="4">
        <v>10173.459999999999</v>
      </c>
      <c r="G290" s="4">
        <v>7429.52</v>
      </c>
      <c r="H290" s="4">
        <v>2743.94</v>
      </c>
      <c r="I290" s="6">
        <v>3.28</v>
      </c>
      <c r="J290" s="5">
        <v>23</v>
      </c>
    </row>
    <row r="291" spans="1:10">
      <c r="A291" t="s">
        <v>21</v>
      </c>
      <c r="B291" t="s">
        <v>11</v>
      </c>
      <c r="C291" t="s">
        <v>13</v>
      </c>
      <c r="D291" s="3">
        <v>45658</v>
      </c>
      <c r="E291" s="5">
        <v>76</v>
      </c>
      <c r="F291" s="4">
        <v>6156.51</v>
      </c>
      <c r="G291" s="4">
        <v>3903.15</v>
      </c>
      <c r="H291" s="4">
        <v>2253.36</v>
      </c>
      <c r="I291" s="6">
        <v>3.5</v>
      </c>
      <c r="J291" s="5">
        <v>23</v>
      </c>
    </row>
    <row r="292" spans="1:10">
      <c r="A292" t="s">
        <v>21</v>
      </c>
      <c r="B292" t="s">
        <v>11</v>
      </c>
      <c r="C292" t="s">
        <v>14</v>
      </c>
      <c r="D292" s="3">
        <v>45658</v>
      </c>
      <c r="E292" s="5">
        <v>83</v>
      </c>
      <c r="F292" s="4">
        <v>3883.14</v>
      </c>
      <c r="G292" s="4">
        <v>2243.81</v>
      </c>
      <c r="H292" s="4">
        <v>1639.33</v>
      </c>
      <c r="I292" s="6">
        <v>3.4</v>
      </c>
      <c r="J292" s="5">
        <v>23</v>
      </c>
    </row>
    <row r="293" spans="1:10">
      <c r="A293" t="s">
        <v>21</v>
      </c>
      <c r="B293" t="s">
        <v>11</v>
      </c>
      <c r="C293" t="s">
        <v>15</v>
      </c>
      <c r="D293" s="3">
        <v>45658</v>
      </c>
      <c r="E293" s="5">
        <v>73</v>
      </c>
      <c r="F293" s="4">
        <v>2662.65</v>
      </c>
      <c r="G293" s="4">
        <v>1199.74</v>
      </c>
      <c r="H293" s="4">
        <v>1462.91</v>
      </c>
      <c r="I293" s="6">
        <v>3.37</v>
      </c>
      <c r="J293" s="5">
        <v>23</v>
      </c>
    </row>
    <row r="294" spans="1:10">
      <c r="A294" t="s">
        <v>21</v>
      </c>
      <c r="B294" t="s">
        <v>11</v>
      </c>
      <c r="C294" t="s">
        <v>16</v>
      </c>
      <c r="D294" s="3">
        <v>45658</v>
      </c>
      <c r="E294" s="5">
        <v>118</v>
      </c>
      <c r="F294" s="4">
        <v>2097.1799999999998</v>
      </c>
      <c r="G294" s="4">
        <v>1856.35</v>
      </c>
      <c r="H294" s="4">
        <v>240.82</v>
      </c>
      <c r="I294" s="6">
        <v>3.49</v>
      </c>
      <c r="J294" s="5">
        <v>23</v>
      </c>
    </row>
    <row r="295" spans="1:10">
      <c r="A295" t="s">
        <v>21</v>
      </c>
      <c r="B295" t="s">
        <v>11</v>
      </c>
      <c r="C295" t="s">
        <v>17</v>
      </c>
      <c r="D295" s="3">
        <v>45658</v>
      </c>
      <c r="E295" s="5">
        <v>60</v>
      </c>
      <c r="F295" s="4">
        <v>3833.92</v>
      </c>
      <c r="G295" s="4">
        <v>2315.12</v>
      </c>
      <c r="H295" s="4">
        <v>1518.8</v>
      </c>
      <c r="I295" s="6">
        <v>3.27</v>
      </c>
      <c r="J295" s="5">
        <v>23</v>
      </c>
    </row>
    <row r="296" spans="1:10">
      <c r="A296" t="s">
        <v>21</v>
      </c>
      <c r="B296" t="s">
        <v>11</v>
      </c>
      <c r="C296" t="s">
        <v>12</v>
      </c>
      <c r="D296" s="3">
        <v>45689</v>
      </c>
      <c r="E296" s="5">
        <v>74</v>
      </c>
      <c r="F296" s="4">
        <v>11072.49</v>
      </c>
      <c r="G296" s="4">
        <v>8574.89</v>
      </c>
      <c r="H296" s="4">
        <v>2497.6</v>
      </c>
      <c r="I296" s="6">
        <v>3.55</v>
      </c>
      <c r="J296" s="5">
        <v>24</v>
      </c>
    </row>
    <row r="297" spans="1:10">
      <c r="A297" t="s">
        <v>21</v>
      </c>
      <c r="B297" t="s">
        <v>11</v>
      </c>
      <c r="C297" t="s">
        <v>13</v>
      </c>
      <c r="D297" s="3">
        <v>45689</v>
      </c>
      <c r="E297" s="5">
        <v>79</v>
      </c>
      <c r="F297" s="4">
        <v>5923.97</v>
      </c>
      <c r="G297" s="4">
        <v>3845.88</v>
      </c>
      <c r="H297" s="4">
        <v>2078.09</v>
      </c>
      <c r="I297" s="6">
        <v>3.29</v>
      </c>
      <c r="J297" s="5">
        <v>24</v>
      </c>
    </row>
    <row r="298" spans="1:10">
      <c r="A298" t="s">
        <v>21</v>
      </c>
      <c r="B298" t="s">
        <v>11</v>
      </c>
      <c r="C298" t="s">
        <v>14</v>
      </c>
      <c r="D298" s="3">
        <v>45689</v>
      </c>
      <c r="E298" s="5">
        <v>75</v>
      </c>
      <c r="F298" s="4">
        <v>3736.03</v>
      </c>
      <c r="G298" s="4">
        <v>2175.12</v>
      </c>
      <c r="H298" s="4">
        <v>1560.91</v>
      </c>
      <c r="I298" s="6">
        <v>3.45</v>
      </c>
      <c r="J298" s="5">
        <v>24</v>
      </c>
    </row>
    <row r="299" spans="1:10">
      <c r="A299" t="s">
        <v>21</v>
      </c>
      <c r="B299" t="s">
        <v>11</v>
      </c>
      <c r="C299" t="s">
        <v>15</v>
      </c>
      <c r="D299" s="3">
        <v>45689</v>
      </c>
      <c r="E299" s="5">
        <v>86</v>
      </c>
      <c r="F299" s="4">
        <v>3316.81</v>
      </c>
      <c r="G299" s="4">
        <v>1527.97</v>
      </c>
      <c r="H299" s="4">
        <v>1788.83</v>
      </c>
      <c r="I299" s="6">
        <v>3.38</v>
      </c>
      <c r="J299" s="5">
        <v>24</v>
      </c>
    </row>
    <row r="300" spans="1:10">
      <c r="A300" t="s">
        <v>21</v>
      </c>
      <c r="B300" t="s">
        <v>11</v>
      </c>
      <c r="C300" t="s">
        <v>16</v>
      </c>
      <c r="D300" s="3">
        <v>45689</v>
      </c>
      <c r="E300" s="5">
        <v>125</v>
      </c>
      <c r="F300" s="4">
        <v>2326.09</v>
      </c>
      <c r="G300" s="4">
        <v>2101.59</v>
      </c>
      <c r="H300" s="4">
        <v>224.5</v>
      </c>
      <c r="I300" s="6">
        <v>3.48</v>
      </c>
      <c r="J300" s="5">
        <v>24</v>
      </c>
    </row>
    <row r="301" spans="1:10">
      <c r="A301" t="s">
        <v>21</v>
      </c>
      <c r="B301" t="s">
        <v>11</v>
      </c>
      <c r="C301" t="s">
        <v>17</v>
      </c>
      <c r="D301" s="3">
        <v>45689</v>
      </c>
      <c r="E301" s="5">
        <v>46</v>
      </c>
      <c r="F301" s="4">
        <v>2954.55</v>
      </c>
      <c r="G301" s="4">
        <v>1852.48</v>
      </c>
      <c r="H301" s="4">
        <v>1102.07</v>
      </c>
      <c r="I301" s="6">
        <v>3.47</v>
      </c>
      <c r="J301" s="5">
        <v>24</v>
      </c>
    </row>
    <row r="302" spans="1:10">
      <c r="A302" t="s">
        <v>21</v>
      </c>
      <c r="B302" t="s">
        <v>11</v>
      </c>
      <c r="C302" t="s">
        <v>12</v>
      </c>
      <c r="D302" s="3">
        <v>45717</v>
      </c>
      <c r="E302" s="5">
        <v>83</v>
      </c>
      <c r="F302" s="4">
        <v>11833.31</v>
      </c>
      <c r="G302" s="4">
        <v>9261.07</v>
      </c>
      <c r="H302" s="4">
        <v>2572.2399999999998</v>
      </c>
      <c r="I302" s="6">
        <v>3.36</v>
      </c>
      <c r="J302" s="5">
        <v>24</v>
      </c>
    </row>
    <row r="303" spans="1:10">
      <c r="A303" t="s">
        <v>21</v>
      </c>
      <c r="B303" t="s">
        <v>11</v>
      </c>
      <c r="C303" t="s">
        <v>13</v>
      </c>
      <c r="D303" s="3">
        <v>45717</v>
      </c>
      <c r="E303" s="5">
        <v>77</v>
      </c>
      <c r="F303" s="4">
        <v>6128.58</v>
      </c>
      <c r="G303" s="4">
        <v>3921.99</v>
      </c>
      <c r="H303" s="4">
        <v>2206.59</v>
      </c>
      <c r="I303" s="6">
        <v>3.6</v>
      </c>
      <c r="J303" s="5">
        <v>24</v>
      </c>
    </row>
    <row r="304" spans="1:10">
      <c r="A304" t="s">
        <v>21</v>
      </c>
      <c r="B304" t="s">
        <v>11</v>
      </c>
      <c r="C304" t="s">
        <v>14</v>
      </c>
      <c r="D304" s="3">
        <v>45717</v>
      </c>
      <c r="E304" s="5">
        <v>119</v>
      </c>
      <c r="F304" s="4">
        <v>5999.52</v>
      </c>
      <c r="G304" s="4">
        <v>3553.36</v>
      </c>
      <c r="H304" s="4">
        <v>2446.17</v>
      </c>
      <c r="I304" s="6">
        <v>3.43</v>
      </c>
      <c r="J304" s="5">
        <v>24</v>
      </c>
    </row>
    <row r="305" spans="1:10">
      <c r="A305" t="s">
        <v>21</v>
      </c>
      <c r="B305" t="s">
        <v>11</v>
      </c>
      <c r="C305" t="s">
        <v>15</v>
      </c>
      <c r="D305" s="3">
        <v>45717</v>
      </c>
      <c r="E305" s="5">
        <v>86</v>
      </c>
      <c r="F305" s="4">
        <v>3230.4</v>
      </c>
      <c r="G305" s="4">
        <v>1527.18</v>
      </c>
      <c r="H305" s="4">
        <v>1703.22</v>
      </c>
      <c r="I305" s="6">
        <v>3.48</v>
      </c>
      <c r="J305" s="5">
        <v>24</v>
      </c>
    </row>
    <row r="306" spans="1:10">
      <c r="A306" t="s">
        <v>21</v>
      </c>
      <c r="B306" t="s">
        <v>11</v>
      </c>
      <c r="C306" t="s">
        <v>16</v>
      </c>
      <c r="D306" s="3">
        <v>45717</v>
      </c>
      <c r="E306" s="5">
        <v>145</v>
      </c>
      <c r="F306" s="4">
        <v>2671.63</v>
      </c>
      <c r="G306" s="4">
        <v>2333.66</v>
      </c>
      <c r="H306" s="4">
        <v>337.97</v>
      </c>
      <c r="I306" s="6">
        <v>3.28</v>
      </c>
      <c r="J306" s="5">
        <v>24</v>
      </c>
    </row>
    <row r="307" spans="1:10">
      <c r="A307" t="s">
        <v>21</v>
      </c>
      <c r="B307" t="s">
        <v>11</v>
      </c>
      <c r="C307" t="s">
        <v>17</v>
      </c>
      <c r="D307" s="3">
        <v>45717</v>
      </c>
      <c r="E307" s="5">
        <v>55</v>
      </c>
      <c r="F307" s="4">
        <v>3536.16</v>
      </c>
      <c r="G307" s="4">
        <v>2251.58</v>
      </c>
      <c r="H307" s="4">
        <v>1284.58</v>
      </c>
      <c r="I307" s="6">
        <v>3.57</v>
      </c>
      <c r="J307" s="5">
        <v>24</v>
      </c>
    </row>
    <row r="308" spans="1:10">
      <c r="A308" t="s">
        <v>21</v>
      </c>
      <c r="B308" t="s">
        <v>11</v>
      </c>
      <c r="C308" t="s">
        <v>12</v>
      </c>
      <c r="D308" s="3">
        <v>45748</v>
      </c>
      <c r="E308" s="5">
        <v>99</v>
      </c>
      <c r="F308" s="4">
        <v>14939.85</v>
      </c>
      <c r="G308" s="4">
        <v>11797.08</v>
      </c>
      <c r="H308" s="4">
        <v>3142.77</v>
      </c>
      <c r="I308" s="6">
        <v>3.46</v>
      </c>
      <c r="J308" s="5">
        <v>24</v>
      </c>
    </row>
    <row r="309" spans="1:10">
      <c r="A309" t="s">
        <v>21</v>
      </c>
      <c r="B309" t="s">
        <v>11</v>
      </c>
      <c r="C309" t="s">
        <v>13</v>
      </c>
      <c r="D309" s="3">
        <v>45748</v>
      </c>
      <c r="E309" s="5">
        <v>85</v>
      </c>
      <c r="F309" s="4">
        <v>6752.86</v>
      </c>
      <c r="G309" s="4">
        <v>4519.05</v>
      </c>
      <c r="H309" s="4">
        <v>2233.8200000000002</v>
      </c>
      <c r="I309" s="6">
        <v>3.32</v>
      </c>
      <c r="J309" s="5">
        <v>24</v>
      </c>
    </row>
    <row r="310" spans="1:10">
      <c r="A310" t="s">
        <v>21</v>
      </c>
      <c r="B310" t="s">
        <v>11</v>
      </c>
      <c r="C310" t="s">
        <v>14</v>
      </c>
      <c r="D310" s="3">
        <v>45748</v>
      </c>
      <c r="E310" s="5">
        <v>126</v>
      </c>
      <c r="F310" s="4">
        <v>6349.26</v>
      </c>
      <c r="G310" s="4">
        <v>3888.89</v>
      </c>
      <c r="H310" s="4">
        <v>2460.37</v>
      </c>
      <c r="I310" s="6">
        <v>3.31</v>
      </c>
      <c r="J310" s="5">
        <v>24</v>
      </c>
    </row>
    <row r="311" spans="1:10">
      <c r="A311" t="s">
        <v>21</v>
      </c>
      <c r="B311" t="s">
        <v>11</v>
      </c>
      <c r="C311" t="s">
        <v>15</v>
      </c>
      <c r="D311" s="3">
        <v>45748</v>
      </c>
      <c r="E311" s="5">
        <v>107</v>
      </c>
      <c r="F311" s="4">
        <v>3986.68</v>
      </c>
      <c r="G311" s="4">
        <v>1913.68</v>
      </c>
      <c r="H311" s="4">
        <v>2072.9899999999998</v>
      </c>
      <c r="I311" s="6">
        <v>3.4</v>
      </c>
      <c r="J311" s="5">
        <v>24</v>
      </c>
    </row>
    <row r="312" spans="1:10">
      <c r="A312" t="s">
        <v>21</v>
      </c>
      <c r="B312" t="s">
        <v>11</v>
      </c>
      <c r="C312" t="s">
        <v>16</v>
      </c>
      <c r="D312" s="3">
        <v>45748</v>
      </c>
      <c r="E312" s="5">
        <v>147</v>
      </c>
      <c r="F312" s="4">
        <v>2673.54</v>
      </c>
      <c r="G312" s="4">
        <v>2389.12</v>
      </c>
      <c r="H312" s="4">
        <v>284.42</v>
      </c>
      <c r="I312" s="6">
        <v>3.27</v>
      </c>
      <c r="J312" s="5">
        <v>24</v>
      </c>
    </row>
    <row r="313" spans="1:10">
      <c r="A313" t="s">
        <v>21</v>
      </c>
      <c r="B313" t="s">
        <v>11</v>
      </c>
      <c r="C313" t="s">
        <v>17</v>
      </c>
      <c r="D313" s="3">
        <v>45748</v>
      </c>
      <c r="E313" s="5">
        <v>56</v>
      </c>
      <c r="F313" s="4">
        <v>3360.75</v>
      </c>
      <c r="G313" s="4">
        <v>2157.62</v>
      </c>
      <c r="H313" s="4">
        <v>1203.1300000000001</v>
      </c>
      <c r="I313" s="6">
        <v>3.55</v>
      </c>
      <c r="J313" s="5">
        <v>24</v>
      </c>
    </row>
    <row r="314" spans="1:10">
      <c r="A314" t="s">
        <v>21</v>
      </c>
      <c r="B314" t="s">
        <v>11</v>
      </c>
      <c r="C314" t="s">
        <v>12</v>
      </c>
      <c r="D314" s="3">
        <v>45778</v>
      </c>
      <c r="E314" s="5">
        <v>88</v>
      </c>
      <c r="F314" s="4">
        <v>12985.03</v>
      </c>
      <c r="G314" s="4">
        <v>9810.77</v>
      </c>
      <c r="H314" s="4">
        <v>3174.27</v>
      </c>
      <c r="I314" s="6">
        <v>3.54</v>
      </c>
      <c r="J314" s="5">
        <v>22</v>
      </c>
    </row>
    <row r="315" spans="1:10">
      <c r="A315" t="s">
        <v>21</v>
      </c>
      <c r="B315" t="s">
        <v>11</v>
      </c>
      <c r="C315" t="s">
        <v>13</v>
      </c>
      <c r="D315" s="3">
        <v>45778</v>
      </c>
      <c r="E315" s="5">
        <v>77</v>
      </c>
      <c r="F315" s="4">
        <v>6198.22</v>
      </c>
      <c r="G315" s="4">
        <v>4062.54</v>
      </c>
      <c r="H315" s="4">
        <v>2135.6799999999998</v>
      </c>
      <c r="I315" s="6">
        <v>3.52</v>
      </c>
      <c r="J315" s="5">
        <v>22</v>
      </c>
    </row>
    <row r="316" spans="1:10">
      <c r="A316" t="s">
        <v>21</v>
      </c>
      <c r="B316" t="s">
        <v>11</v>
      </c>
      <c r="C316" t="s">
        <v>14</v>
      </c>
      <c r="D316" s="3">
        <v>45778</v>
      </c>
      <c r="E316" s="5">
        <v>109</v>
      </c>
      <c r="F316" s="4">
        <v>5026.01</v>
      </c>
      <c r="G316" s="4">
        <v>3024.32</v>
      </c>
      <c r="H316" s="4">
        <v>2001.69</v>
      </c>
      <c r="I316" s="6">
        <v>3.58</v>
      </c>
      <c r="J316" s="5">
        <v>22</v>
      </c>
    </row>
    <row r="317" spans="1:10">
      <c r="A317" t="s">
        <v>21</v>
      </c>
      <c r="B317" t="s">
        <v>11</v>
      </c>
      <c r="C317" t="s">
        <v>15</v>
      </c>
      <c r="D317" s="3">
        <v>45778</v>
      </c>
      <c r="E317" s="5">
        <v>110</v>
      </c>
      <c r="F317" s="4">
        <v>3845.5</v>
      </c>
      <c r="G317" s="4">
        <v>1855.76</v>
      </c>
      <c r="H317" s="4">
        <v>1989.73</v>
      </c>
      <c r="I317" s="6">
        <v>3.37</v>
      </c>
      <c r="J317" s="5">
        <v>22</v>
      </c>
    </row>
    <row r="318" spans="1:10">
      <c r="A318" t="s">
        <v>21</v>
      </c>
      <c r="B318" t="s">
        <v>11</v>
      </c>
      <c r="C318" t="s">
        <v>16</v>
      </c>
      <c r="D318" s="3">
        <v>45778</v>
      </c>
      <c r="E318" s="5">
        <v>159</v>
      </c>
      <c r="F318" s="4">
        <v>2891.42</v>
      </c>
      <c r="G318" s="4">
        <v>2572.41</v>
      </c>
      <c r="H318" s="4">
        <v>319.01</v>
      </c>
      <c r="I318" s="6">
        <v>3.57</v>
      </c>
      <c r="J318" s="5">
        <v>22</v>
      </c>
    </row>
    <row r="319" spans="1:10">
      <c r="A319" t="s">
        <v>21</v>
      </c>
      <c r="B319" t="s">
        <v>11</v>
      </c>
      <c r="C319" t="s">
        <v>17</v>
      </c>
      <c r="D319" s="3">
        <v>45778</v>
      </c>
      <c r="E319" s="5">
        <v>90</v>
      </c>
      <c r="F319" s="4">
        <v>5538.08</v>
      </c>
      <c r="G319" s="4">
        <v>3465.56</v>
      </c>
      <c r="H319" s="4">
        <v>2072.52</v>
      </c>
      <c r="I319" s="6">
        <v>3.58</v>
      </c>
      <c r="J319" s="5">
        <v>22</v>
      </c>
    </row>
    <row r="320" spans="1:10">
      <c r="A320" t="s">
        <v>21</v>
      </c>
      <c r="B320" t="s">
        <v>11</v>
      </c>
      <c r="C320" t="s">
        <v>12</v>
      </c>
      <c r="D320" s="3">
        <v>45809</v>
      </c>
      <c r="E320" s="5">
        <v>104</v>
      </c>
      <c r="F320" s="4">
        <v>14780.86</v>
      </c>
      <c r="G320" s="4">
        <v>11757.18</v>
      </c>
      <c r="H320" s="4">
        <v>3023.68</v>
      </c>
      <c r="I320" s="6">
        <v>3.49</v>
      </c>
      <c r="J320" s="5">
        <v>24</v>
      </c>
    </row>
    <row r="321" spans="1:10">
      <c r="A321" t="s">
        <v>21</v>
      </c>
      <c r="B321" t="s">
        <v>11</v>
      </c>
      <c r="C321" t="s">
        <v>13</v>
      </c>
      <c r="D321" s="3">
        <v>45809</v>
      </c>
      <c r="E321" s="5">
        <v>89</v>
      </c>
      <c r="F321" s="4">
        <v>6489.59</v>
      </c>
      <c r="G321" s="4">
        <v>4401.6499999999996</v>
      </c>
      <c r="H321" s="4">
        <v>2087.94</v>
      </c>
      <c r="I321" s="6">
        <v>3.4</v>
      </c>
      <c r="J321" s="5">
        <v>24</v>
      </c>
    </row>
    <row r="322" spans="1:10">
      <c r="A322" t="s">
        <v>21</v>
      </c>
      <c r="B322" t="s">
        <v>11</v>
      </c>
      <c r="C322" t="s">
        <v>14</v>
      </c>
      <c r="D322" s="3">
        <v>45809</v>
      </c>
      <c r="E322" s="5">
        <v>121</v>
      </c>
      <c r="F322" s="4">
        <v>5667.62</v>
      </c>
      <c r="G322" s="4">
        <v>3526.73</v>
      </c>
      <c r="H322" s="4">
        <v>2140.89</v>
      </c>
      <c r="I322" s="6">
        <v>3.44</v>
      </c>
      <c r="J322" s="5">
        <v>24</v>
      </c>
    </row>
    <row r="323" spans="1:10">
      <c r="A323" t="s">
        <v>21</v>
      </c>
      <c r="B323" t="s">
        <v>11</v>
      </c>
      <c r="C323" t="s">
        <v>15</v>
      </c>
      <c r="D323" s="3">
        <v>45809</v>
      </c>
      <c r="E323" s="5">
        <v>98</v>
      </c>
      <c r="F323" s="4">
        <v>3675.52</v>
      </c>
      <c r="G323" s="4">
        <v>1804</v>
      </c>
      <c r="H323" s="4">
        <v>1871.51</v>
      </c>
      <c r="I323" s="6">
        <v>3.28</v>
      </c>
      <c r="J323" s="5">
        <v>24</v>
      </c>
    </row>
    <row r="324" spans="1:10">
      <c r="A324" t="s">
        <v>21</v>
      </c>
      <c r="B324" t="s">
        <v>11</v>
      </c>
      <c r="C324" t="s">
        <v>16</v>
      </c>
      <c r="D324" s="3">
        <v>45809</v>
      </c>
      <c r="E324" s="5">
        <v>159</v>
      </c>
      <c r="F324" s="4">
        <v>2709.41</v>
      </c>
      <c r="G324" s="4">
        <v>2453.6999999999998</v>
      </c>
      <c r="H324" s="4">
        <v>255.71</v>
      </c>
      <c r="I324" s="6">
        <v>3.5</v>
      </c>
      <c r="J324" s="5">
        <v>24</v>
      </c>
    </row>
    <row r="325" spans="1:10">
      <c r="A325" t="s">
        <v>21</v>
      </c>
      <c r="B325" t="s">
        <v>11</v>
      </c>
      <c r="C325" t="s">
        <v>17</v>
      </c>
      <c r="D325" s="3">
        <v>45809</v>
      </c>
      <c r="E325" s="5">
        <v>100</v>
      </c>
      <c r="F325" s="4">
        <v>6224.77</v>
      </c>
      <c r="G325" s="4">
        <v>3951.63</v>
      </c>
      <c r="H325" s="4">
        <v>2273.14</v>
      </c>
      <c r="I325" s="6">
        <v>3.57</v>
      </c>
      <c r="J325" s="5">
        <v>24</v>
      </c>
    </row>
    <row r="326" spans="1:10">
      <c r="A326" t="s">
        <v>21</v>
      </c>
      <c r="B326" t="s">
        <v>11</v>
      </c>
      <c r="C326" t="s">
        <v>12</v>
      </c>
      <c r="D326" s="3">
        <v>45839</v>
      </c>
      <c r="E326" s="5">
        <v>100</v>
      </c>
      <c r="F326" s="4">
        <v>15088.64</v>
      </c>
      <c r="G326" s="4">
        <v>11711.15</v>
      </c>
      <c r="H326" s="4">
        <v>3377.5</v>
      </c>
      <c r="I326" s="6">
        <v>3.24</v>
      </c>
      <c r="J326" s="5">
        <v>23</v>
      </c>
    </row>
    <row r="327" spans="1:10">
      <c r="A327" t="s">
        <v>21</v>
      </c>
      <c r="B327" t="s">
        <v>11</v>
      </c>
      <c r="C327" t="s">
        <v>13</v>
      </c>
      <c r="D327" s="3">
        <v>45839</v>
      </c>
      <c r="E327" s="5">
        <v>89</v>
      </c>
      <c r="F327" s="4">
        <v>6692.26</v>
      </c>
      <c r="G327" s="4">
        <v>4543.1499999999996</v>
      </c>
      <c r="H327" s="4">
        <v>2149.11</v>
      </c>
      <c r="I327" s="6">
        <v>3.31</v>
      </c>
      <c r="J327" s="5">
        <v>23</v>
      </c>
    </row>
    <row r="328" spans="1:10">
      <c r="A328" t="s">
        <v>21</v>
      </c>
      <c r="B328" t="s">
        <v>11</v>
      </c>
      <c r="C328" t="s">
        <v>14</v>
      </c>
      <c r="D328" s="3">
        <v>45839</v>
      </c>
      <c r="E328" s="5">
        <v>117</v>
      </c>
      <c r="F328" s="4">
        <v>5562.56</v>
      </c>
      <c r="G328" s="4">
        <v>3519.75</v>
      </c>
      <c r="H328" s="4">
        <v>2042.81</v>
      </c>
      <c r="I328" s="6">
        <v>3.44</v>
      </c>
      <c r="J328" s="5">
        <v>23</v>
      </c>
    </row>
    <row r="329" spans="1:10">
      <c r="A329" t="s">
        <v>21</v>
      </c>
      <c r="B329" t="s">
        <v>11</v>
      </c>
      <c r="C329" t="s">
        <v>15</v>
      </c>
      <c r="D329" s="3">
        <v>45839</v>
      </c>
      <c r="E329" s="5">
        <v>93</v>
      </c>
      <c r="F329" s="4">
        <v>3515.73</v>
      </c>
      <c r="G329" s="4">
        <v>1744.6</v>
      </c>
      <c r="H329" s="4">
        <v>1771.13</v>
      </c>
      <c r="I329" s="6">
        <v>3.25</v>
      </c>
      <c r="J329" s="5">
        <v>23</v>
      </c>
    </row>
    <row r="330" spans="1:10">
      <c r="A330" t="s">
        <v>21</v>
      </c>
      <c r="B330" t="s">
        <v>11</v>
      </c>
      <c r="C330" t="s">
        <v>16</v>
      </c>
      <c r="D330" s="3">
        <v>45839</v>
      </c>
      <c r="E330" s="5">
        <v>172</v>
      </c>
      <c r="F330" s="4">
        <v>3077.93</v>
      </c>
      <c r="G330" s="4">
        <v>2797.95</v>
      </c>
      <c r="H330" s="4">
        <v>279.98</v>
      </c>
      <c r="I330" s="6">
        <v>3.48</v>
      </c>
      <c r="J330" s="5">
        <v>23</v>
      </c>
    </row>
    <row r="331" spans="1:10">
      <c r="A331" t="s">
        <v>21</v>
      </c>
      <c r="B331" t="s">
        <v>11</v>
      </c>
      <c r="C331" t="s">
        <v>17</v>
      </c>
      <c r="D331" s="3">
        <v>45839</v>
      </c>
      <c r="E331" s="5">
        <v>96</v>
      </c>
      <c r="F331" s="4">
        <v>5892.44</v>
      </c>
      <c r="G331" s="4">
        <v>3765.15</v>
      </c>
      <c r="H331" s="4">
        <v>2127.29</v>
      </c>
      <c r="I331" s="6">
        <v>3.33</v>
      </c>
      <c r="J331" s="5">
        <v>23</v>
      </c>
    </row>
    <row r="332" spans="1:10">
      <c r="A332" t="s">
        <v>21</v>
      </c>
      <c r="B332" t="s">
        <v>11</v>
      </c>
      <c r="C332" t="s">
        <v>12</v>
      </c>
      <c r="D332" s="3">
        <v>45870</v>
      </c>
      <c r="E332" s="5">
        <v>104</v>
      </c>
      <c r="F332" s="4">
        <v>14877.21</v>
      </c>
      <c r="G332" s="4">
        <v>11460.61</v>
      </c>
      <c r="H332" s="4">
        <v>3416.6</v>
      </c>
      <c r="I332" s="6">
        <v>3.44</v>
      </c>
      <c r="J332" s="5">
        <v>23</v>
      </c>
    </row>
    <row r="333" spans="1:10">
      <c r="A333" t="s">
        <v>21</v>
      </c>
      <c r="B333" t="s">
        <v>11</v>
      </c>
      <c r="C333" t="s">
        <v>13</v>
      </c>
      <c r="D333" s="3">
        <v>45870</v>
      </c>
      <c r="E333" s="5">
        <v>80</v>
      </c>
      <c r="F333" s="4">
        <v>6407.66</v>
      </c>
      <c r="G333" s="4">
        <v>4284.83</v>
      </c>
      <c r="H333" s="4">
        <v>2122.83</v>
      </c>
      <c r="I333" s="6">
        <v>3.52</v>
      </c>
      <c r="J333" s="5">
        <v>23</v>
      </c>
    </row>
    <row r="334" spans="1:10">
      <c r="A334" t="s">
        <v>21</v>
      </c>
      <c r="B334" t="s">
        <v>11</v>
      </c>
      <c r="C334" t="s">
        <v>14</v>
      </c>
      <c r="D334" s="3">
        <v>45870</v>
      </c>
      <c r="E334" s="5">
        <v>121</v>
      </c>
      <c r="F334" s="4">
        <v>5973.2</v>
      </c>
      <c r="G334" s="4">
        <v>3784.77</v>
      </c>
      <c r="H334" s="4">
        <v>2188.4299999999998</v>
      </c>
      <c r="I334" s="6">
        <v>3.26</v>
      </c>
      <c r="J334" s="5">
        <v>23</v>
      </c>
    </row>
    <row r="335" spans="1:10">
      <c r="A335" t="s">
        <v>21</v>
      </c>
      <c r="B335" t="s">
        <v>11</v>
      </c>
      <c r="C335" t="s">
        <v>15</v>
      </c>
      <c r="D335" s="3">
        <v>45870</v>
      </c>
      <c r="E335" s="5">
        <v>100</v>
      </c>
      <c r="F335" s="4">
        <v>3775.2</v>
      </c>
      <c r="G335" s="4">
        <v>1890.34</v>
      </c>
      <c r="H335" s="4">
        <v>1884.86</v>
      </c>
      <c r="I335" s="6">
        <v>3.35</v>
      </c>
      <c r="J335" s="5">
        <v>23</v>
      </c>
    </row>
    <row r="336" spans="1:10">
      <c r="A336" t="s">
        <v>21</v>
      </c>
      <c r="B336" t="s">
        <v>11</v>
      </c>
      <c r="C336" t="s">
        <v>16</v>
      </c>
      <c r="D336" s="3">
        <v>45870</v>
      </c>
      <c r="E336" s="5">
        <v>169</v>
      </c>
      <c r="F336" s="4">
        <v>2877.33</v>
      </c>
      <c r="G336" s="4">
        <v>2721.88</v>
      </c>
      <c r="H336" s="4">
        <v>155.44999999999999</v>
      </c>
      <c r="I336" s="6">
        <v>3.4</v>
      </c>
      <c r="J336" s="5">
        <v>23</v>
      </c>
    </row>
    <row r="337" spans="1:10">
      <c r="A337" t="s">
        <v>21</v>
      </c>
      <c r="B337" t="s">
        <v>11</v>
      </c>
      <c r="C337" t="s">
        <v>17</v>
      </c>
      <c r="D337" s="3">
        <v>45870</v>
      </c>
      <c r="E337" s="5">
        <v>95</v>
      </c>
      <c r="F337" s="4">
        <v>6352.23</v>
      </c>
      <c r="G337" s="4">
        <v>4216.03</v>
      </c>
      <c r="H337" s="4">
        <v>2136.1999999999998</v>
      </c>
      <c r="I337" s="6">
        <v>3.33</v>
      </c>
      <c r="J337" s="5">
        <v>23</v>
      </c>
    </row>
    <row r="338" spans="1:10">
      <c r="A338" t="s">
        <v>21</v>
      </c>
      <c r="B338" t="s">
        <v>11</v>
      </c>
      <c r="C338" t="s">
        <v>12</v>
      </c>
      <c r="D338" s="3">
        <v>45901</v>
      </c>
      <c r="E338" s="5">
        <v>94</v>
      </c>
      <c r="F338" s="4">
        <v>12903.42</v>
      </c>
      <c r="G338" s="4">
        <v>10393.14</v>
      </c>
      <c r="H338" s="4">
        <v>2510.2800000000002</v>
      </c>
      <c r="I338" s="6">
        <v>3.34</v>
      </c>
      <c r="J338" s="5">
        <v>23</v>
      </c>
    </row>
    <row r="339" spans="1:10">
      <c r="A339" t="s">
        <v>21</v>
      </c>
      <c r="B339" t="s">
        <v>11</v>
      </c>
      <c r="C339" t="s">
        <v>13</v>
      </c>
      <c r="D339" s="3">
        <v>45901</v>
      </c>
      <c r="E339" s="5">
        <v>102</v>
      </c>
      <c r="F339" s="4">
        <v>8154.39</v>
      </c>
      <c r="G339" s="4">
        <v>5589</v>
      </c>
      <c r="H339" s="4">
        <v>2565.39</v>
      </c>
      <c r="I339" s="6">
        <v>3.38</v>
      </c>
      <c r="J339" s="5">
        <v>23</v>
      </c>
    </row>
    <row r="340" spans="1:10">
      <c r="A340" t="s">
        <v>21</v>
      </c>
      <c r="B340" t="s">
        <v>11</v>
      </c>
      <c r="C340" t="s">
        <v>14</v>
      </c>
      <c r="D340" s="3">
        <v>45901</v>
      </c>
      <c r="E340" s="5">
        <v>91</v>
      </c>
      <c r="F340" s="4">
        <v>4313.25</v>
      </c>
      <c r="G340" s="4">
        <v>2657.82</v>
      </c>
      <c r="H340" s="4">
        <v>1655.43</v>
      </c>
      <c r="I340" s="6">
        <v>3.49</v>
      </c>
      <c r="J340" s="5">
        <v>23</v>
      </c>
    </row>
    <row r="341" spans="1:10">
      <c r="A341" t="s">
        <v>21</v>
      </c>
      <c r="B341" t="s">
        <v>11</v>
      </c>
      <c r="C341" t="s">
        <v>15</v>
      </c>
      <c r="D341" s="3">
        <v>45901</v>
      </c>
      <c r="E341" s="5">
        <v>100</v>
      </c>
      <c r="F341" s="4">
        <v>3569.14</v>
      </c>
      <c r="G341" s="4">
        <v>1845.47</v>
      </c>
      <c r="H341" s="4">
        <v>1723.68</v>
      </c>
      <c r="I341" s="6">
        <v>3.34</v>
      </c>
      <c r="J341" s="5">
        <v>23</v>
      </c>
    </row>
    <row r="342" spans="1:10">
      <c r="A342" t="s">
        <v>21</v>
      </c>
      <c r="B342" t="s">
        <v>11</v>
      </c>
      <c r="C342" t="s">
        <v>16</v>
      </c>
      <c r="D342" s="3">
        <v>45901</v>
      </c>
      <c r="E342" s="5">
        <v>165</v>
      </c>
      <c r="F342" s="4">
        <v>2970.85</v>
      </c>
      <c r="G342" s="4">
        <v>2838.84</v>
      </c>
      <c r="H342" s="4">
        <v>132</v>
      </c>
      <c r="I342" s="6">
        <v>3.28</v>
      </c>
      <c r="J342" s="5">
        <v>23</v>
      </c>
    </row>
    <row r="343" spans="1:10">
      <c r="A343" t="s">
        <v>21</v>
      </c>
      <c r="B343" t="s">
        <v>11</v>
      </c>
      <c r="C343" t="s">
        <v>17</v>
      </c>
      <c r="D343" s="3">
        <v>45901</v>
      </c>
      <c r="E343" s="5">
        <v>73</v>
      </c>
      <c r="F343" s="4">
        <v>4440.58</v>
      </c>
      <c r="G343" s="4">
        <v>2895.58</v>
      </c>
      <c r="H343" s="4">
        <v>1545</v>
      </c>
      <c r="I343" s="6">
        <v>3.36</v>
      </c>
      <c r="J343" s="5">
        <v>23</v>
      </c>
    </row>
    <row r="344" spans="1:10">
      <c r="A344" t="s">
        <v>21</v>
      </c>
      <c r="B344" t="s">
        <v>11</v>
      </c>
      <c r="C344" t="s">
        <v>12</v>
      </c>
      <c r="D344" s="3">
        <v>45931</v>
      </c>
      <c r="E344" s="5">
        <v>100</v>
      </c>
      <c r="F344" s="4">
        <v>14495.02</v>
      </c>
      <c r="G344" s="4">
        <v>11786.68</v>
      </c>
      <c r="H344" s="4">
        <v>2708.33</v>
      </c>
      <c r="I344" s="6">
        <v>3.37</v>
      </c>
      <c r="J344" s="5">
        <v>23</v>
      </c>
    </row>
    <row r="345" spans="1:10">
      <c r="A345" t="s">
        <v>21</v>
      </c>
      <c r="B345" t="s">
        <v>11</v>
      </c>
      <c r="C345" t="s">
        <v>13</v>
      </c>
      <c r="D345" s="3">
        <v>45931</v>
      </c>
      <c r="E345" s="5">
        <v>103</v>
      </c>
      <c r="F345" s="4">
        <v>7404.74</v>
      </c>
      <c r="G345" s="4">
        <v>5252.98</v>
      </c>
      <c r="H345" s="4">
        <v>2151.7600000000002</v>
      </c>
      <c r="I345" s="6">
        <v>3.37</v>
      </c>
      <c r="J345" s="5">
        <v>23</v>
      </c>
    </row>
    <row r="346" spans="1:10">
      <c r="A346" t="s">
        <v>21</v>
      </c>
      <c r="B346" t="s">
        <v>11</v>
      </c>
      <c r="C346" t="s">
        <v>14</v>
      </c>
      <c r="D346" s="3">
        <v>45931</v>
      </c>
      <c r="E346" s="5">
        <v>126</v>
      </c>
      <c r="F346" s="4">
        <v>6514.93</v>
      </c>
      <c r="G346" s="4">
        <v>4241.47</v>
      </c>
      <c r="H346" s="4">
        <v>2273.46</v>
      </c>
      <c r="I346" s="6">
        <v>3.27</v>
      </c>
      <c r="J346" s="5">
        <v>23</v>
      </c>
    </row>
    <row r="347" spans="1:10">
      <c r="A347" t="s">
        <v>21</v>
      </c>
      <c r="B347" t="s">
        <v>11</v>
      </c>
      <c r="C347" t="s">
        <v>15</v>
      </c>
      <c r="D347" s="3">
        <v>45931</v>
      </c>
      <c r="E347" s="5">
        <v>98</v>
      </c>
      <c r="F347" s="4">
        <v>3631.2</v>
      </c>
      <c r="G347" s="4">
        <v>1851.13</v>
      </c>
      <c r="H347" s="4">
        <v>1780.07</v>
      </c>
      <c r="I347" s="6">
        <v>3.53</v>
      </c>
      <c r="J347" s="5">
        <v>23</v>
      </c>
    </row>
    <row r="348" spans="1:10">
      <c r="A348" t="s">
        <v>21</v>
      </c>
      <c r="B348" t="s">
        <v>11</v>
      </c>
      <c r="C348" t="s">
        <v>16</v>
      </c>
      <c r="D348" s="3">
        <v>45931</v>
      </c>
      <c r="E348" s="5">
        <v>149</v>
      </c>
      <c r="F348" s="4">
        <v>2574.69</v>
      </c>
      <c r="G348" s="4">
        <v>2420.2800000000002</v>
      </c>
      <c r="H348" s="4">
        <v>154.41</v>
      </c>
      <c r="I348" s="6">
        <v>3.49</v>
      </c>
      <c r="J348" s="5">
        <v>23</v>
      </c>
    </row>
    <row r="349" spans="1:10">
      <c r="A349" t="s">
        <v>21</v>
      </c>
      <c r="B349" t="s">
        <v>11</v>
      </c>
      <c r="C349" t="s">
        <v>17</v>
      </c>
      <c r="D349" s="3">
        <v>45931</v>
      </c>
      <c r="E349" s="5">
        <v>61</v>
      </c>
      <c r="F349" s="4">
        <v>3573.51</v>
      </c>
      <c r="G349" s="4">
        <v>2346</v>
      </c>
      <c r="H349" s="4">
        <v>1227.5</v>
      </c>
      <c r="I349" s="6">
        <v>3.52</v>
      </c>
      <c r="J349" s="5">
        <v>23</v>
      </c>
    </row>
    <row r="350" spans="1:10">
      <c r="A350" t="s">
        <v>21</v>
      </c>
      <c r="B350" t="s">
        <v>11</v>
      </c>
      <c r="C350" t="s">
        <v>12</v>
      </c>
      <c r="D350" s="3">
        <v>45962</v>
      </c>
      <c r="E350" s="5">
        <v>147</v>
      </c>
      <c r="F350" s="4">
        <v>20132.740000000002</v>
      </c>
      <c r="G350" s="4">
        <v>15968.43</v>
      </c>
      <c r="H350" s="4">
        <v>4164.3100000000004</v>
      </c>
      <c r="I350" s="6">
        <v>3.4</v>
      </c>
      <c r="J350" s="5">
        <v>25</v>
      </c>
    </row>
    <row r="351" spans="1:10">
      <c r="A351" t="s">
        <v>21</v>
      </c>
      <c r="B351" t="s">
        <v>11</v>
      </c>
      <c r="C351" t="s">
        <v>13</v>
      </c>
      <c r="D351" s="3">
        <v>45962</v>
      </c>
      <c r="E351" s="5">
        <v>128</v>
      </c>
      <c r="F351" s="4">
        <v>9649.5400000000009</v>
      </c>
      <c r="G351" s="4">
        <v>6731.96</v>
      </c>
      <c r="H351" s="4">
        <v>2917.58</v>
      </c>
      <c r="I351" s="6">
        <v>3.27</v>
      </c>
      <c r="J351" s="5">
        <v>25</v>
      </c>
    </row>
    <row r="352" spans="1:10">
      <c r="A352" t="s">
        <v>21</v>
      </c>
      <c r="B352" t="s">
        <v>11</v>
      </c>
      <c r="C352" t="s">
        <v>14</v>
      </c>
      <c r="D352" s="3">
        <v>45962</v>
      </c>
      <c r="E352" s="5">
        <v>175</v>
      </c>
      <c r="F352" s="4">
        <v>8265.7199999999993</v>
      </c>
      <c r="G352" s="4">
        <v>5219.8100000000004</v>
      </c>
      <c r="H352" s="4">
        <v>3045.9</v>
      </c>
      <c r="I352" s="6">
        <v>3.59</v>
      </c>
      <c r="J352" s="5">
        <v>25</v>
      </c>
    </row>
    <row r="353" spans="1:10">
      <c r="A353" t="s">
        <v>21</v>
      </c>
      <c r="B353" t="s">
        <v>11</v>
      </c>
      <c r="C353" t="s">
        <v>15</v>
      </c>
      <c r="D353" s="3">
        <v>45962</v>
      </c>
      <c r="E353" s="5">
        <v>124</v>
      </c>
      <c r="F353" s="4">
        <v>4212.3500000000004</v>
      </c>
      <c r="G353" s="4">
        <v>2149.16</v>
      </c>
      <c r="H353" s="4">
        <v>2063.19</v>
      </c>
      <c r="I353" s="6">
        <v>3.43</v>
      </c>
      <c r="J353" s="5">
        <v>25</v>
      </c>
    </row>
    <row r="354" spans="1:10">
      <c r="A354" t="s">
        <v>21</v>
      </c>
      <c r="B354" t="s">
        <v>11</v>
      </c>
      <c r="C354" t="s">
        <v>16</v>
      </c>
      <c r="D354" s="3">
        <v>45962</v>
      </c>
      <c r="E354" s="5">
        <v>209</v>
      </c>
      <c r="F354" s="4">
        <v>3944.44</v>
      </c>
      <c r="G354" s="4">
        <v>3753.16</v>
      </c>
      <c r="H354" s="4">
        <v>191.27</v>
      </c>
      <c r="I354" s="6">
        <v>3.29</v>
      </c>
      <c r="J354" s="5">
        <v>25</v>
      </c>
    </row>
    <row r="355" spans="1:10">
      <c r="A355" t="s">
        <v>21</v>
      </c>
      <c r="B355" t="s">
        <v>11</v>
      </c>
      <c r="C355" t="s">
        <v>17</v>
      </c>
      <c r="D355" s="3">
        <v>45962</v>
      </c>
      <c r="E355" s="5">
        <v>86</v>
      </c>
      <c r="F355" s="4">
        <v>5468.83</v>
      </c>
      <c r="G355" s="4">
        <v>3762.09</v>
      </c>
      <c r="H355" s="4">
        <v>1706.74</v>
      </c>
      <c r="I355" s="6">
        <v>3.6</v>
      </c>
      <c r="J355" s="5">
        <v>25</v>
      </c>
    </row>
    <row r="356" spans="1:10">
      <c r="A356" t="s">
        <v>21</v>
      </c>
      <c r="B356" t="s">
        <v>11</v>
      </c>
      <c r="C356" t="s">
        <v>12</v>
      </c>
      <c r="D356" s="3">
        <v>45992</v>
      </c>
      <c r="E356" s="5">
        <v>206</v>
      </c>
      <c r="F356" s="4">
        <v>29968.15</v>
      </c>
      <c r="G356" s="4">
        <v>25652.67</v>
      </c>
      <c r="H356" s="4">
        <v>4315.4799999999996</v>
      </c>
      <c r="I356" s="6">
        <v>3.37</v>
      </c>
      <c r="J356" s="5">
        <v>25</v>
      </c>
    </row>
    <row r="357" spans="1:10">
      <c r="A357" t="s">
        <v>21</v>
      </c>
      <c r="B357" t="s">
        <v>11</v>
      </c>
      <c r="C357" t="s">
        <v>13</v>
      </c>
      <c r="D357" s="3">
        <v>45992</v>
      </c>
      <c r="E357" s="5">
        <v>138</v>
      </c>
      <c r="F357" s="4">
        <v>9987.6200000000008</v>
      </c>
      <c r="G357" s="4">
        <v>7330.17</v>
      </c>
      <c r="H357" s="4">
        <v>2657.46</v>
      </c>
      <c r="I357" s="6">
        <v>3.54</v>
      </c>
      <c r="J357" s="5">
        <v>25</v>
      </c>
    </row>
    <row r="358" spans="1:10">
      <c r="A358" t="s">
        <v>21</v>
      </c>
      <c r="B358" t="s">
        <v>11</v>
      </c>
      <c r="C358" t="s">
        <v>14</v>
      </c>
      <c r="D358" s="3">
        <v>45992</v>
      </c>
      <c r="E358" s="5">
        <v>181</v>
      </c>
      <c r="F358" s="4">
        <v>8245.7099999999991</v>
      </c>
      <c r="G358" s="4">
        <v>5505.54</v>
      </c>
      <c r="H358" s="4">
        <v>2740.17</v>
      </c>
      <c r="I358" s="6">
        <v>3.56</v>
      </c>
      <c r="J358" s="5">
        <v>25</v>
      </c>
    </row>
    <row r="359" spans="1:10">
      <c r="A359" t="s">
        <v>21</v>
      </c>
      <c r="B359" t="s">
        <v>11</v>
      </c>
      <c r="C359" t="s">
        <v>15</v>
      </c>
      <c r="D359" s="3">
        <v>45992</v>
      </c>
      <c r="E359" s="5">
        <v>140</v>
      </c>
      <c r="F359" s="4">
        <v>5338.32</v>
      </c>
      <c r="G359" s="4">
        <v>2951.77</v>
      </c>
      <c r="H359" s="4">
        <v>2386.56</v>
      </c>
      <c r="I359" s="6">
        <v>3.57</v>
      </c>
      <c r="J359" s="5">
        <v>25</v>
      </c>
    </row>
    <row r="360" spans="1:10">
      <c r="A360" t="s">
        <v>21</v>
      </c>
      <c r="B360" t="s">
        <v>11</v>
      </c>
      <c r="C360" t="s">
        <v>16</v>
      </c>
      <c r="D360" s="3">
        <v>45992</v>
      </c>
      <c r="E360" s="5">
        <v>206</v>
      </c>
      <c r="F360" s="4">
        <v>3749.63</v>
      </c>
      <c r="G360" s="4">
        <v>3517.86</v>
      </c>
      <c r="H360" s="4">
        <v>231.76</v>
      </c>
      <c r="I360" s="6">
        <v>3.28</v>
      </c>
      <c r="J360" s="5">
        <v>25</v>
      </c>
    </row>
    <row r="361" spans="1:10">
      <c r="A361" t="s">
        <v>21</v>
      </c>
      <c r="B361" t="s">
        <v>11</v>
      </c>
      <c r="C361" t="s">
        <v>17</v>
      </c>
      <c r="D361" s="3">
        <v>45992</v>
      </c>
      <c r="E361" s="5">
        <v>88</v>
      </c>
      <c r="F361" s="4">
        <v>5234.72</v>
      </c>
      <c r="G361" s="4">
        <v>3760.1</v>
      </c>
      <c r="H361" s="4">
        <v>1474.62</v>
      </c>
      <c r="I361" s="6">
        <v>3.25</v>
      </c>
      <c r="J361" s="5">
        <v>25</v>
      </c>
    </row>
    <row r="362" spans="1:10">
      <c r="A362" t="s">
        <v>22</v>
      </c>
      <c r="B362" t="s">
        <v>23</v>
      </c>
      <c r="C362" t="s">
        <v>12</v>
      </c>
      <c r="D362" s="3">
        <v>45658</v>
      </c>
      <c r="E362" s="5">
        <v>63</v>
      </c>
      <c r="F362" s="4">
        <v>8752.86</v>
      </c>
      <c r="G362" s="4">
        <v>6715.99</v>
      </c>
      <c r="H362" s="4">
        <v>2036.87</v>
      </c>
      <c r="I362" s="6">
        <v>3.78</v>
      </c>
      <c r="J362" s="5">
        <v>26</v>
      </c>
    </row>
    <row r="363" spans="1:10">
      <c r="A363" t="s">
        <v>22</v>
      </c>
      <c r="B363" t="s">
        <v>23</v>
      </c>
      <c r="C363" t="s">
        <v>13</v>
      </c>
      <c r="D363" s="3">
        <v>45658</v>
      </c>
      <c r="E363" s="5">
        <v>81</v>
      </c>
      <c r="F363" s="4">
        <v>6129.79</v>
      </c>
      <c r="G363" s="4">
        <v>3974.13</v>
      </c>
      <c r="H363" s="4">
        <v>2155.66</v>
      </c>
      <c r="I363" s="6">
        <v>3.92</v>
      </c>
      <c r="J363" s="5">
        <v>26</v>
      </c>
    </row>
    <row r="364" spans="1:10">
      <c r="A364" t="s">
        <v>22</v>
      </c>
      <c r="B364" t="s">
        <v>23</v>
      </c>
      <c r="C364" t="s">
        <v>14</v>
      </c>
      <c r="D364" s="3">
        <v>45658</v>
      </c>
      <c r="E364" s="5">
        <v>89</v>
      </c>
      <c r="F364" s="4">
        <v>4359.5200000000004</v>
      </c>
      <c r="G364" s="4">
        <v>2471.6799999999998</v>
      </c>
      <c r="H364" s="4">
        <v>1887.84</v>
      </c>
      <c r="I364" s="6">
        <v>3.87</v>
      </c>
      <c r="J364" s="5">
        <v>26</v>
      </c>
    </row>
    <row r="365" spans="1:10">
      <c r="A365" t="s">
        <v>22</v>
      </c>
      <c r="B365" t="s">
        <v>23</v>
      </c>
      <c r="C365" t="s">
        <v>15</v>
      </c>
      <c r="D365" s="3">
        <v>45658</v>
      </c>
      <c r="E365" s="5">
        <v>85</v>
      </c>
      <c r="F365" s="4">
        <v>2908.17</v>
      </c>
      <c r="G365" s="4">
        <v>1335.02</v>
      </c>
      <c r="H365" s="4">
        <v>1573.16</v>
      </c>
      <c r="I365" s="6">
        <v>3.94</v>
      </c>
      <c r="J365" s="5">
        <v>26</v>
      </c>
    </row>
    <row r="366" spans="1:10">
      <c r="A366" t="s">
        <v>22</v>
      </c>
      <c r="B366" t="s">
        <v>23</v>
      </c>
      <c r="C366" t="s">
        <v>16</v>
      </c>
      <c r="D366" s="3">
        <v>45658</v>
      </c>
      <c r="E366" s="5">
        <v>149</v>
      </c>
      <c r="F366" s="4">
        <v>2728.08</v>
      </c>
      <c r="G366" s="4">
        <v>2413.36</v>
      </c>
      <c r="H366" s="4">
        <v>314.73</v>
      </c>
      <c r="I366" s="6">
        <v>4</v>
      </c>
      <c r="J366" s="5">
        <v>26</v>
      </c>
    </row>
    <row r="367" spans="1:10">
      <c r="A367" t="s">
        <v>22</v>
      </c>
      <c r="B367" t="s">
        <v>23</v>
      </c>
      <c r="C367" t="s">
        <v>17</v>
      </c>
      <c r="D367" s="3">
        <v>45658</v>
      </c>
      <c r="E367" s="5">
        <v>68</v>
      </c>
      <c r="F367" s="4">
        <v>4039.2</v>
      </c>
      <c r="G367" s="4">
        <v>2504.73</v>
      </c>
      <c r="H367" s="4">
        <v>1534.47</v>
      </c>
      <c r="I367" s="6">
        <v>4.0599999999999996</v>
      </c>
      <c r="J367" s="5">
        <v>26</v>
      </c>
    </row>
    <row r="368" spans="1:10">
      <c r="A368" t="s">
        <v>22</v>
      </c>
      <c r="B368" t="s">
        <v>23</v>
      </c>
      <c r="C368" t="s">
        <v>12</v>
      </c>
      <c r="D368" s="3">
        <v>45689</v>
      </c>
      <c r="E368" s="5">
        <v>78</v>
      </c>
      <c r="F368" s="4">
        <v>10887.86</v>
      </c>
      <c r="G368" s="4">
        <v>8445.93</v>
      </c>
      <c r="H368" s="4">
        <v>2441.9299999999998</v>
      </c>
      <c r="I368" s="6">
        <v>3.83</v>
      </c>
      <c r="J368" s="5">
        <v>25</v>
      </c>
    </row>
    <row r="369" spans="1:10">
      <c r="A369" t="s">
        <v>22</v>
      </c>
      <c r="B369" t="s">
        <v>23</v>
      </c>
      <c r="C369" t="s">
        <v>13</v>
      </c>
      <c r="D369" s="3">
        <v>45689</v>
      </c>
      <c r="E369" s="5">
        <v>76</v>
      </c>
      <c r="F369" s="4">
        <v>6195.61</v>
      </c>
      <c r="G369" s="4">
        <v>4006.9</v>
      </c>
      <c r="H369" s="4">
        <v>2188.71</v>
      </c>
      <c r="I369" s="6">
        <v>3.85</v>
      </c>
      <c r="J369" s="5">
        <v>25</v>
      </c>
    </row>
    <row r="370" spans="1:10">
      <c r="A370" t="s">
        <v>22</v>
      </c>
      <c r="B370" t="s">
        <v>23</v>
      </c>
      <c r="C370" t="s">
        <v>14</v>
      </c>
      <c r="D370" s="3">
        <v>45689</v>
      </c>
      <c r="E370" s="5">
        <v>101</v>
      </c>
      <c r="F370" s="4">
        <v>5206.21</v>
      </c>
      <c r="G370" s="4">
        <v>3009.56</v>
      </c>
      <c r="H370" s="4">
        <v>2196.66</v>
      </c>
      <c r="I370" s="6">
        <v>3.98</v>
      </c>
      <c r="J370" s="5">
        <v>25</v>
      </c>
    </row>
    <row r="371" spans="1:10">
      <c r="A371" t="s">
        <v>22</v>
      </c>
      <c r="B371" t="s">
        <v>23</v>
      </c>
      <c r="C371" t="s">
        <v>15</v>
      </c>
      <c r="D371" s="3">
        <v>45689</v>
      </c>
      <c r="E371" s="5">
        <v>82</v>
      </c>
      <c r="F371" s="4">
        <v>3028.81</v>
      </c>
      <c r="G371" s="4">
        <v>1377</v>
      </c>
      <c r="H371" s="4">
        <v>1651.82</v>
      </c>
      <c r="I371" s="6">
        <v>3.98</v>
      </c>
      <c r="J371" s="5">
        <v>25</v>
      </c>
    </row>
    <row r="372" spans="1:10">
      <c r="A372" t="s">
        <v>22</v>
      </c>
      <c r="B372" t="s">
        <v>23</v>
      </c>
      <c r="C372" t="s">
        <v>16</v>
      </c>
      <c r="D372" s="3">
        <v>45689</v>
      </c>
      <c r="E372" s="5">
        <v>120</v>
      </c>
      <c r="F372" s="4">
        <v>2082.17</v>
      </c>
      <c r="G372" s="4">
        <v>1858.58</v>
      </c>
      <c r="H372" s="4">
        <v>223.59</v>
      </c>
      <c r="I372" s="6">
        <v>4.05</v>
      </c>
      <c r="J372" s="5">
        <v>25</v>
      </c>
    </row>
    <row r="373" spans="1:10">
      <c r="A373" t="s">
        <v>22</v>
      </c>
      <c r="B373" t="s">
        <v>23</v>
      </c>
      <c r="C373" t="s">
        <v>17</v>
      </c>
      <c r="D373" s="3">
        <v>45689</v>
      </c>
      <c r="E373" s="5">
        <v>56</v>
      </c>
      <c r="F373" s="4">
        <v>3427.79</v>
      </c>
      <c r="G373" s="4">
        <v>2200.38</v>
      </c>
      <c r="H373" s="4">
        <v>1227.4100000000001</v>
      </c>
      <c r="I373" s="6">
        <v>3.77</v>
      </c>
      <c r="J373" s="5">
        <v>25</v>
      </c>
    </row>
    <row r="374" spans="1:10">
      <c r="A374" t="s">
        <v>22</v>
      </c>
      <c r="B374" t="s">
        <v>23</v>
      </c>
      <c r="C374" t="s">
        <v>12</v>
      </c>
      <c r="D374" s="3">
        <v>45717</v>
      </c>
      <c r="E374" s="5">
        <v>111</v>
      </c>
      <c r="F374" s="4">
        <v>16866.64</v>
      </c>
      <c r="G374" s="4">
        <v>12670.9</v>
      </c>
      <c r="H374" s="4">
        <v>4195.75</v>
      </c>
      <c r="I374" s="6">
        <v>3.83</v>
      </c>
      <c r="J374" s="5">
        <v>25</v>
      </c>
    </row>
    <row r="375" spans="1:10">
      <c r="A375" t="s">
        <v>22</v>
      </c>
      <c r="B375" t="s">
        <v>23</v>
      </c>
      <c r="C375" t="s">
        <v>13</v>
      </c>
      <c r="D375" s="3">
        <v>45717</v>
      </c>
      <c r="E375" s="5">
        <v>94</v>
      </c>
      <c r="F375" s="4">
        <v>7287.59</v>
      </c>
      <c r="G375" s="4">
        <v>4785.18</v>
      </c>
      <c r="H375" s="4">
        <v>2502.41</v>
      </c>
      <c r="I375" s="6">
        <v>3.76</v>
      </c>
      <c r="J375" s="5">
        <v>25</v>
      </c>
    </row>
    <row r="376" spans="1:10">
      <c r="A376" t="s">
        <v>22</v>
      </c>
      <c r="B376" t="s">
        <v>23</v>
      </c>
      <c r="C376" t="s">
        <v>14</v>
      </c>
      <c r="D376" s="3">
        <v>45717</v>
      </c>
      <c r="E376" s="5">
        <v>137</v>
      </c>
      <c r="F376" s="4">
        <v>6772.41</v>
      </c>
      <c r="G376" s="4">
        <v>3961.66</v>
      </c>
      <c r="H376" s="4">
        <v>2810.75</v>
      </c>
      <c r="I376" s="6">
        <v>3.84</v>
      </c>
      <c r="J376" s="5">
        <v>25</v>
      </c>
    </row>
    <row r="377" spans="1:10">
      <c r="A377" t="s">
        <v>22</v>
      </c>
      <c r="B377" t="s">
        <v>23</v>
      </c>
      <c r="C377" t="s">
        <v>15</v>
      </c>
      <c r="D377" s="3">
        <v>45717</v>
      </c>
      <c r="E377" s="5">
        <v>83</v>
      </c>
      <c r="F377" s="4">
        <v>3146.45</v>
      </c>
      <c r="G377" s="4">
        <v>1476.76</v>
      </c>
      <c r="H377" s="4">
        <v>1669.69</v>
      </c>
      <c r="I377" s="6">
        <v>3.92</v>
      </c>
      <c r="J377" s="5">
        <v>25</v>
      </c>
    </row>
    <row r="378" spans="1:10">
      <c r="A378" t="s">
        <v>22</v>
      </c>
      <c r="B378" t="s">
        <v>23</v>
      </c>
      <c r="C378" t="s">
        <v>16</v>
      </c>
      <c r="D378" s="3">
        <v>45717</v>
      </c>
      <c r="E378" s="5">
        <v>145</v>
      </c>
      <c r="F378" s="4">
        <v>2605.27</v>
      </c>
      <c r="G378" s="4">
        <v>2318.94</v>
      </c>
      <c r="H378" s="4">
        <v>286.33</v>
      </c>
      <c r="I378" s="6">
        <v>3.84</v>
      </c>
      <c r="J378" s="5">
        <v>25</v>
      </c>
    </row>
    <row r="379" spans="1:10">
      <c r="A379" t="s">
        <v>22</v>
      </c>
      <c r="B379" t="s">
        <v>23</v>
      </c>
      <c r="C379" t="s">
        <v>17</v>
      </c>
      <c r="D379" s="3">
        <v>45717</v>
      </c>
      <c r="E379" s="5">
        <v>64</v>
      </c>
      <c r="F379" s="4">
        <v>3809.73</v>
      </c>
      <c r="G379" s="4">
        <v>2459.9699999999998</v>
      </c>
      <c r="H379" s="4">
        <v>1349.76</v>
      </c>
      <c r="I379" s="6">
        <v>3.87</v>
      </c>
      <c r="J379" s="5">
        <v>25</v>
      </c>
    </row>
    <row r="380" spans="1:10">
      <c r="A380" t="s">
        <v>22</v>
      </c>
      <c r="B380" t="s">
        <v>23</v>
      </c>
      <c r="C380" t="s">
        <v>12</v>
      </c>
      <c r="D380" s="3">
        <v>45748</v>
      </c>
      <c r="E380" s="5">
        <v>106</v>
      </c>
      <c r="F380" s="4">
        <v>15245.13</v>
      </c>
      <c r="G380" s="4">
        <v>11751.57</v>
      </c>
      <c r="H380" s="4">
        <v>3493.56</v>
      </c>
      <c r="I380" s="6">
        <v>3.87</v>
      </c>
      <c r="J380" s="5">
        <v>26</v>
      </c>
    </row>
    <row r="381" spans="1:10">
      <c r="A381" t="s">
        <v>22</v>
      </c>
      <c r="B381" t="s">
        <v>23</v>
      </c>
      <c r="C381" t="s">
        <v>13</v>
      </c>
      <c r="D381" s="3">
        <v>45748</v>
      </c>
      <c r="E381" s="5">
        <v>91</v>
      </c>
      <c r="F381" s="4">
        <v>6952.7</v>
      </c>
      <c r="G381" s="4">
        <v>4511.05</v>
      </c>
      <c r="H381" s="4">
        <v>2441.65</v>
      </c>
      <c r="I381" s="6">
        <v>3.84</v>
      </c>
      <c r="J381" s="5">
        <v>26</v>
      </c>
    </row>
    <row r="382" spans="1:10">
      <c r="A382" t="s">
        <v>22</v>
      </c>
      <c r="B382" t="s">
        <v>23</v>
      </c>
      <c r="C382" t="s">
        <v>14</v>
      </c>
      <c r="D382" s="3">
        <v>45748</v>
      </c>
      <c r="E382" s="5">
        <v>145</v>
      </c>
      <c r="F382" s="4">
        <v>6916.72</v>
      </c>
      <c r="G382" s="4">
        <v>4164.83</v>
      </c>
      <c r="H382" s="4">
        <v>2751.89</v>
      </c>
      <c r="I382" s="6">
        <v>3.84</v>
      </c>
      <c r="J382" s="5">
        <v>26</v>
      </c>
    </row>
    <row r="383" spans="1:10">
      <c r="A383" t="s">
        <v>22</v>
      </c>
      <c r="B383" t="s">
        <v>23</v>
      </c>
      <c r="C383" t="s">
        <v>15</v>
      </c>
      <c r="D383" s="3">
        <v>45748</v>
      </c>
      <c r="E383" s="5">
        <v>101</v>
      </c>
      <c r="F383" s="4">
        <v>3858.32</v>
      </c>
      <c r="G383" s="4">
        <v>1806.62</v>
      </c>
      <c r="H383" s="4">
        <v>2051.6999999999998</v>
      </c>
      <c r="I383" s="6">
        <v>3.87</v>
      </c>
      <c r="J383" s="5">
        <v>26</v>
      </c>
    </row>
    <row r="384" spans="1:10">
      <c r="A384" t="s">
        <v>22</v>
      </c>
      <c r="B384" t="s">
        <v>23</v>
      </c>
      <c r="C384" t="s">
        <v>16</v>
      </c>
      <c r="D384" s="3">
        <v>45748</v>
      </c>
      <c r="E384" s="5">
        <v>149</v>
      </c>
      <c r="F384" s="4">
        <v>2807.62</v>
      </c>
      <c r="G384" s="4">
        <v>2520.98</v>
      </c>
      <c r="H384" s="4">
        <v>286.64</v>
      </c>
      <c r="I384" s="6">
        <v>3.91</v>
      </c>
      <c r="J384" s="5">
        <v>26</v>
      </c>
    </row>
    <row r="385" spans="1:10">
      <c r="A385" t="s">
        <v>22</v>
      </c>
      <c r="B385" t="s">
        <v>23</v>
      </c>
      <c r="C385" t="s">
        <v>17</v>
      </c>
      <c r="D385" s="3">
        <v>45748</v>
      </c>
      <c r="E385" s="5">
        <v>70</v>
      </c>
      <c r="F385" s="4">
        <v>4382.6499999999996</v>
      </c>
      <c r="G385" s="4">
        <v>2764.01</v>
      </c>
      <c r="H385" s="4">
        <v>1618.64</v>
      </c>
      <c r="I385" s="6">
        <v>3.76</v>
      </c>
      <c r="J385" s="5">
        <v>26</v>
      </c>
    </row>
    <row r="386" spans="1:10">
      <c r="A386" t="s">
        <v>22</v>
      </c>
      <c r="B386" t="s">
        <v>23</v>
      </c>
      <c r="C386" t="s">
        <v>12</v>
      </c>
      <c r="D386" s="3">
        <v>45778</v>
      </c>
      <c r="E386" s="5">
        <v>85</v>
      </c>
      <c r="F386" s="4">
        <v>11956.73</v>
      </c>
      <c r="G386" s="4">
        <v>9172.83</v>
      </c>
      <c r="H386" s="4">
        <v>2783.9</v>
      </c>
      <c r="I386" s="6">
        <v>3.77</v>
      </c>
      <c r="J386" s="5">
        <v>27</v>
      </c>
    </row>
    <row r="387" spans="1:10">
      <c r="A387" t="s">
        <v>22</v>
      </c>
      <c r="B387" t="s">
        <v>23</v>
      </c>
      <c r="C387" t="s">
        <v>13</v>
      </c>
      <c r="D387" s="3">
        <v>45778</v>
      </c>
      <c r="E387" s="5">
        <v>97</v>
      </c>
      <c r="F387" s="4">
        <v>7440.45</v>
      </c>
      <c r="G387" s="4">
        <v>5053.8</v>
      </c>
      <c r="H387" s="4">
        <v>2386.66</v>
      </c>
      <c r="I387" s="6">
        <v>3.99</v>
      </c>
      <c r="J387" s="5">
        <v>27</v>
      </c>
    </row>
    <row r="388" spans="1:10">
      <c r="A388" t="s">
        <v>22</v>
      </c>
      <c r="B388" t="s">
        <v>23</v>
      </c>
      <c r="C388" t="s">
        <v>14</v>
      </c>
      <c r="D388" s="3">
        <v>45778</v>
      </c>
      <c r="E388" s="5">
        <v>111</v>
      </c>
      <c r="F388" s="4">
        <v>5640.24</v>
      </c>
      <c r="G388" s="4">
        <v>3392.59</v>
      </c>
      <c r="H388" s="4">
        <v>2247.65</v>
      </c>
      <c r="I388" s="6">
        <v>4.07</v>
      </c>
      <c r="J388" s="5">
        <v>27</v>
      </c>
    </row>
    <row r="389" spans="1:10">
      <c r="A389" t="s">
        <v>22</v>
      </c>
      <c r="B389" t="s">
        <v>23</v>
      </c>
      <c r="C389" t="s">
        <v>15</v>
      </c>
      <c r="D389" s="3">
        <v>45778</v>
      </c>
      <c r="E389" s="5">
        <v>105</v>
      </c>
      <c r="F389" s="4">
        <v>3938.2</v>
      </c>
      <c r="G389" s="4">
        <v>1936.26</v>
      </c>
      <c r="H389" s="4">
        <v>2001.93</v>
      </c>
      <c r="I389" s="6">
        <v>3.88</v>
      </c>
      <c r="J389" s="5">
        <v>27</v>
      </c>
    </row>
    <row r="390" spans="1:10">
      <c r="A390" t="s">
        <v>22</v>
      </c>
      <c r="B390" t="s">
        <v>23</v>
      </c>
      <c r="C390" t="s">
        <v>16</v>
      </c>
      <c r="D390" s="3">
        <v>45778</v>
      </c>
      <c r="E390" s="5">
        <v>156</v>
      </c>
      <c r="F390" s="4">
        <v>2716.04</v>
      </c>
      <c r="G390" s="4">
        <v>2463.14</v>
      </c>
      <c r="H390" s="4">
        <v>252.9</v>
      </c>
      <c r="I390" s="6">
        <v>3.75</v>
      </c>
      <c r="J390" s="5">
        <v>27</v>
      </c>
    </row>
    <row r="391" spans="1:10">
      <c r="A391" t="s">
        <v>22</v>
      </c>
      <c r="B391" t="s">
        <v>23</v>
      </c>
      <c r="C391" t="s">
        <v>17</v>
      </c>
      <c r="D391" s="3">
        <v>45778</v>
      </c>
      <c r="E391" s="5">
        <v>105</v>
      </c>
      <c r="F391" s="4">
        <v>6578.98</v>
      </c>
      <c r="G391" s="4">
        <v>4304.08</v>
      </c>
      <c r="H391" s="4">
        <v>2274.9</v>
      </c>
      <c r="I391" s="6">
        <v>3.85</v>
      </c>
      <c r="J391" s="5">
        <v>27</v>
      </c>
    </row>
    <row r="392" spans="1:10">
      <c r="A392" t="s">
        <v>22</v>
      </c>
      <c r="B392" t="s">
        <v>23</v>
      </c>
      <c r="C392" t="s">
        <v>12</v>
      </c>
      <c r="D392" s="3">
        <v>45809</v>
      </c>
      <c r="E392" s="5">
        <v>116</v>
      </c>
      <c r="F392" s="4">
        <v>16689.61</v>
      </c>
      <c r="G392" s="4">
        <v>13398.11</v>
      </c>
      <c r="H392" s="4">
        <v>3291.5</v>
      </c>
      <c r="I392" s="6">
        <v>3.95</v>
      </c>
      <c r="J392" s="5">
        <v>26</v>
      </c>
    </row>
    <row r="393" spans="1:10">
      <c r="A393" t="s">
        <v>22</v>
      </c>
      <c r="B393" t="s">
        <v>23</v>
      </c>
      <c r="C393" t="s">
        <v>13</v>
      </c>
      <c r="D393" s="3">
        <v>45809</v>
      </c>
      <c r="E393" s="5">
        <v>105</v>
      </c>
      <c r="F393" s="4">
        <v>7909.66</v>
      </c>
      <c r="G393" s="4">
        <v>5186.3599999999997</v>
      </c>
      <c r="H393" s="4">
        <v>2723.3</v>
      </c>
      <c r="I393" s="6">
        <v>3.97</v>
      </c>
      <c r="J393" s="5">
        <v>26</v>
      </c>
    </row>
    <row r="394" spans="1:10">
      <c r="A394" t="s">
        <v>22</v>
      </c>
      <c r="B394" t="s">
        <v>23</v>
      </c>
      <c r="C394" t="s">
        <v>14</v>
      </c>
      <c r="D394" s="3">
        <v>45809</v>
      </c>
      <c r="E394" s="5">
        <v>127</v>
      </c>
      <c r="F394" s="4">
        <v>5763.45</v>
      </c>
      <c r="G394" s="4">
        <v>3560.76</v>
      </c>
      <c r="H394" s="4">
        <v>2202.69</v>
      </c>
      <c r="I394" s="6">
        <v>4.04</v>
      </c>
      <c r="J394" s="5">
        <v>26</v>
      </c>
    </row>
    <row r="395" spans="1:10">
      <c r="A395" t="s">
        <v>22</v>
      </c>
      <c r="B395" t="s">
        <v>23</v>
      </c>
      <c r="C395" t="s">
        <v>15</v>
      </c>
      <c r="D395" s="3">
        <v>45809</v>
      </c>
      <c r="E395" s="5">
        <v>110</v>
      </c>
      <c r="F395" s="4">
        <v>4010.32</v>
      </c>
      <c r="G395" s="4">
        <v>1923.66</v>
      </c>
      <c r="H395" s="4">
        <v>2086.65</v>
      </c>
      <c r="I395" s="6">
        <v>4.07</v>
      </c>
      <c r="J395" s="5">
        <v>26</v>
      </c>
    </row>
    <row r="396" spans="1:10">
      <c r="A396" t="s">
        <v>22</v>
      </c>
      <c r="B396" t="s">
        <v>23</v>
      </c>
      <c r="C396" t="s">
        <v>16</v>
      </c>
      <c r="D396" s="3">
        <v>45809</v>
      </c>
      <c r="E396" s="5">
        <v>200</v>
      </c>
      <c r="F396" s="4">
        <v>3544.54</v>
      </c>
      <c r="G396" s="4">
        <v>3204.81</v>
      </c>
      <c r="H396" s="4">
        <v>339.73</v>
      </c>
      <c r="I396" s="6">
        <v>3.94</v>
      </c>
      <c r="J396" s="5">
        <v>26</v>
      </c>
    </row>
    <row r="397" spans="1:10">
      <c r="A397" t="s">
        <v>22</v>
      </c>
      <c r="B397" t="s">
        <v>23</v>
      </c>
      <c r="C397" t="s">
        <v>17</v>
      </c>
      <c r="D397" s="3">
        <v>45809</v>
      </c>
      <c r="E397" s="5">
        <v>119</v>
      </c>
      <c r="F397" s="4">
        <v>7805.66</v>
      </c>
      <c r="G397" s="4">
        <v>5102.21</v>
      </c>
      <c r="H397" s="4">
        <v>2703.45</v>
      </c>
      <c r="I397" s="6">
        <v>3.93</v>
      </c>
      <c r="J397" s="5">
        <v>26</v>
      </c>
    </row>
    <row r="398" spans="1:10">
      <c r="A398" t="s">
        <v>22</v>
      </c>
      <c r="B398" t="s">
        <v>23</v>
      </c>
      <c r="C398" t="s">
        <v>12</v>
      </c>
      <c r="D398" s="3">
        <v>45839</v>
      </c>
      <c r="E398" s="5">
        <v>116</v>
      </c>
      <c r="F398" s="4">
        <v>17731.73</v>
      </c>
      <c r="G398" s="4">
        <v>13827.05</v>
      </c>
      <c r="H398" s="4">
        <v>3904.67</v>
      </c>
      <c r="I398" s="6">
        <v>3.99</v>
      </c>
      <c r="J398" s="5">
        <v>28</v>
      </c>
    </row>
    <row r="399" spans="1:10">
      <c r="A399" t="s">
        <v>22</v>
      </c>
      <c r="B399" t="s">
        <v>23</v>
      </c>
      <c r="C399" t="s">
        <v>13</v>
      </c>
      <c r="D399" s="3">
        <v>45839</v>
      </c>
      <c r="E399" s="5">
        <v>100</v>
      </c>
      <c r="F399" s="4">
        <v>8186.61</v>
      </c>
      <c r="G399" s="4">
        <v>5561.94</v>
      </c>
      <c r="H399" s="4">
        <v>2624.67</v>
      </c>
      <c r="I399" s="6">
        <v>4.04</v>
      </c>
      <c r="J399" s="5">
        <v>28</v>
      </c>
    </row>
    <row r="400" spans="1:10">
      <c r="A400" t="s">
        <v>22</v>
      </c>
      <c r="B400" t="s">
        <v>23</v>
      </c>
      <c r="C400" t="s">
        <v>14</v>
      </c>
      <c r="D400" s="3">
        <v>45839</v>
      </c>
      <c r="E400" s="5">
        <v>133</v>
      </c>
      <c r="F400" s="4">
        <v>6024.78</v>
      </c>
      <c r="G400" s="4">
        <v>3705.6</v>
      </c>
      <c r="H400" s="4">
        <v>2319.17</v>
      </c>
      <c r="I400" s="6">
        <v>4.0999999999999996</v>
      </c>
      <c r="J400" s="5">
        <v>28</v>
      </c>
    </row>
    <row r="401" spans="1:10">
      <c r="A401" t="s">
        <v>22</v>
      </c>
      <c r="B401" t="s">
        <v>23</v>
      </c>
      <c r="C401" t="s">
        <v>15</v>
      </c>
      <c r="D401" s="3">
        <v>45839</v>
      </c>
      <c r="E401" s="5">
        <v>99</v>
      </c>
      <c r="F401" s="4">
        <v>3740.8</v>
      </c>
      <c r="G401" s="4">
        <v>1886.18</v>
      </c>
      <c r="H401" s="4">
        <v>1854.62</v>
      </c>
      <c r="I401" s="6">
        <v>3.96</v>
      </c>
      <c r="J401" s="5">
        <v>28</v>
      </c>
    </row>
    <row r="402" spans="1:10">
      <c r="A402" t="s">
        <v>22</v>
      </c>
      <c r="B402" t="s">
        <v>23</v>
      </c>
      <c r="C402" t="s">
        <v>16</v>
      </c>
      <c r="D402" s="3">
        <v>45839</v>
      </c>
      <c r="E402" s="5">
        <v>183</v>
      </c>
      <c r="F402" s="4">
        <v>3174.99</v>
      </c>
      <c r="G402" s="4">
        <v>2930.81</v>
      </c>
      <c r="H402" s="4">
        <v>244.18</v>
      </c>
      <c r="I402" s="6">
        <v>3.95</v>
      </c>
      <c r="J402" s="5">
        <v>28</v>
      </c>
    </row>
    <row r="403" spans="1:10">
      <c r="A403" t="s">
        <v>22</v>
      </c>
      <c r="B403" t="s">
        <v>23</v>
      </c>
      <c r="C403" t="s">
        <v>17</v>
      </c>
      <c r="D403" s="3">
        <v>45839</v>
      </c>
      <c r="E403" s="5">
        <v>97</v>
      </c>
      <c r="F403" s="4">
        <v>6361.39</v>
      </c>
      <c r="G403" s="4">
        <v>4084.88</v>
      </c>
      <c r="H403" s="4">
        <v>2276.5100000000002</v>
      </c>
      <c r="I403" s="6">
        <v>4</v>
      </c>
      <c r="J403" s="5">
        <v>28</v>
      </c>
    </row>
    <row r="404" spans="1:10">
      <c r="A404" t="s">
        <v>22</v>
      </c>
      <c r="B404" t="s">
        <v>23</v>
      </c>
      <c r="C404" t="s">
        <v>12</v>
      </c>
      <c r="D404" s="3">
        <v>45870</v>
      </c>
      <c r="E404" s="5">
        <v>100</v>
      </c>
      <c r="F404" s="4">
        <v>14017.29</v>
      </c>
      <c r="G404" s="4">
        <v>11062.42</v>
      </c>
      <c r="H404" s="4">
        <v>2954.87</v>
      </c>
      <c r="I404" s="6">
        <v>3.9</v>
      </c>
      <c r="J404" s="5">
        <v>26</v>
      </c>
    </row>
    <row r="405" spans="1:10">
      <c r="A405" t="s">
        <v>22</v>
      </c>
      <c r="B405" t="s">
        <v>23</v>
      </c>
      <c r="C405" t="s">
        <v>13</v>
      </c>
      <c r="D405" s="3">
        <v>45870</v>
      </c>
      <c r="E405" s="5">
        <v>96</v>
      </c>
      <c r="F405" s="4">
        <v>7280.05</v>
      </c>
      <c r="G405" s="4">
        <v>4876.79</v>
      </c>
      <c r="H405" s="4">
        <v>2403.27</v>
      </c>
      <c r="I405" s="6">
        <v>3.93</v>
      </c>
      <c r="J405" s="5">
        <v>26</v>
      </c>
    </row>
    <row r="406" spans="1:10">
      <c r="A406" t="s">
        <v>22</v>
      </c>
      <c r="B406" t="s">
        <v>23</v>
      </c>
      <c r="C406" t="s">
        <v>14</v>
      </c>
      <c r="D406" s="3">
        <v>45870</v>
      </c>
      <c r="E406" s="5">
        <v>142</v>
      </c>
      <c r="F406" s="4">
        <v>7216.6</v>
      </c>
      <c r="G406" s="4">
        <v>4549.97</v>
      </c>
      <c r="H406" s="4">
        <v>2666.63</v>
      </c>
      <c r="I406" s="6">
        <v>4.01</v>
      </c>
      <c r="J406" s="5">
        <v>26</v>
      </c>
    </row>
    <row r="407" spans="1:10">
      <c r="A407" t="s">
        <v>22</v>
      </c>
      <c r="B407" t="s">
        <v>23</v>
      </c>
      <c r="C407" t="s">
        <v>15</v>
      </c>
      <c r="D407" s="3">
        <v>45870</v>
      </c>
      <c r="E407" s="5">
        <v>101</v>
      </c>
      <c r="F407" s="4">
        <v>3681.87</v>
      </c>
      <c r="G407" s="4">
        <v>1855.05</v>
      </c>
      <c r="H407" s="4">
        <v>1826.82</v>
      </c>
      <c r="I407" s="6">
        <v>4.1100000000000003</v>
      </c>
      <c r="J407" s="5">
        <v>26</v>
      </c>
    </row>
    <row r="408" spans="1:10">
      <c r="A408" t="s">
        <v>22</v>
      </c>
      <c r="B408" t="s">
        <v>23</v>
      </c>
      <c r="C408" t="s">
        <v>16</v>
      </c>
      <c r="D408" s="3">
        <v>45870</v>
      </c>
      <c r="E408" s="5">
        <v>164</v>
      </c>
      <c r="F408" s="4">
        <v>3170.26</v>
      </c>
      <c r="G408" s="4">
        <v>2915.9</v>
      </c>
      <c r="H408" s="4">
        <v>254.35</v>
      </c>
      <c r="I408" s="6">
        <v>3.91</v>
      </c>
      <c r="J408" s="5">
        <v>26</v>
      </c>
    </row>
    <row r="409" spans="1:10">
      <c r="A409" t="s">
        <v>22</v>
      </c>
      <c r="B409" t="s">
        <v>23</v>
      </c>
      <c r="C409" t="s">
        <v>17</v>
      </c>
      <c r="D409" s="3">
        <v>45870</v>
      </c>
      <c r="E409" s="5">
        <v>104</v>
      </c>
      <c r="F409" s="4">
        <v>6554.25</v>
      </c>
      <c r="G409" s="4">
        <v>4384.7</v>
      </c>
      <c r="H409" s="4">
        <v>2169.5500000000002</v>
      </c>
      <c r="I409" s="6">
        <v>4.0599999999999996</v>
      </c>
      <c r="J409" s="5">
        <v>26</v>
      </c>
    </row>
    <row r="410" spans="1:10">
      <c r="A410" t="s">
        <v>22</v>
      </c>
      <c r="B410" t="s">
        <v>23</v>
      </c>
      <c r="C410" t="s">
        <v>12</v>
      </c>
      <c r="D410" s="3">
        <v>45901</v>
      </c>
      <c r="E410" s="5">
        <v>104</v>
      </c>
      <c r="F410" s="4">
        <v>14695.65</v>
      </c>
      <c r="G410" s="4">
        <v>11768</v>
      </c>
      <c r="H410" s="4">
        <v>2927.65</v>
      </c>
      <c r="I410" s="6">
        <v>3.83</v>
      </c>
      <c r="J410" s="5">
        <v>26</v>
      </c>
    </row>
    <row r="411" spans="1:10">
      <c r="A411" t="s">
        <v>22</v>
      </c>
      <c r="B411" t="s">
        <v>23</v>
      </c>
      <c r="C411" t="s">
        <v>13</v>
      </c>
      <c r="D411" s="3">
        <v>45901</v>
      </c>
      <c r="E411" s="5">
        <v>94</v>
      </c>
      <c r="F411" s="4">
        <v>7688.43</v>
      </c>
      <c r="G411" s="4">
        <v>5225.3999999999996</v>
      </c>
      <c r="H411" s="4">
        <v>2463.02</v>
      </c>
      <c r="I411" s="6">
        <v>3.86</v>
      </c>
      <c r="J411" s="5">
        <v>26</v>
      </c>
    </row>
    <row r="412" spans="1:10">
      <c r="A412" t="s">
        <v>22</v>
      </c>
      <c r="B412" t="s">
        <v>23</v>
      </c>
      <c r="C412" t="s">
        <v>14</v>
      </c>
      <c r="D412" s="3">
        <v>45901</v>
      </c>
      <c r="E412" s="5">
        <v>128</v>
      </c>
      <c r="F412" s="4">
        <v>6048.07</v>
      </c>
      <c r="G412" s="4">
        <v>3763.73</v>
      </c>
      <c r="H412" s="4">
        <v>2284.34</v>
      </c>
      <c r="I412" s="6">
        <v>4.09</v>
      </c>
      <c r="J412" s="5">
        <v>26</v>
      </c>
    </row>
    <row r="413" spans="1:10">
      <c r="A413" t="s">
        <v>22</v>
      </c>
      <c r="B413" t="s">
        <v>23</v>
      </c>
      <c r="C413" t="s">
        <v>15</v>
      </c>
      <c r="D413" s="3">
        <v>45901</v>
      </c>
      <c r="E413" s="5">
        <v>115</v>
      </c>
      <c r="F413" s="4">
        <v>4352.62</v>
      </c>
      <c r="G413" s="4">
        <v>2181.0700000000002</v>
      </c>
      <c r="H413" s="4">
        <v>2171.54</v>
      </c>
      <c r="I413" s="6">
        <v>3.8</v>
      </c>
      <c r="J413" s="5">
        <v>26</v>
      </c>
    </row>
    <row r="414" spans="1:10">
      <c r="A414" t="s">
        <v>22</v>
      </c>
      <c r="B414" t="s">
        <v>23</v>
      </c>
      <c r="C414" t="s">
        <v>16</v>
      </c>
      <c r="D414" s="3">
        <v>45901</v>
      </c>
      <c r="E414" s="5">
        <v>164</v>
      </c>
      <c r="F414" s="4">
        <v>3179.96</v>
      </c>
      <c r="G414" s="4">
        <v>3007.38</v>
      </c>
      <c r="H414" s="4">
        <v>172.59</v>
      </c>
      <c r="I414" s="6">
        <v>4.07</v>
      </c>
      <c r="J414" s="5">
        <v>26</v>
      </c>
    </row>
    <row r="415" spans="1:10">
      <c r="A415" t="s">
        <v>22</v>
      </c>
      <c r="B415" t="s">
        <v>23</v>
      </c>
      <c r="C415" t="s">
        <v>17</v>
      </c>
      <c r="D415" s="3">
        <v>45901</v>
      </c>
      <c r="E415" s="5">
        <v>72</v>
      </c>
      <c r="F415" s="4">
        <v>4699.01</v>
      </c>
      <c r="G415" s="4">
        <v>3099.48</v>
      </c>
      <c r="H415" s="4">
        <v>1599.54</v>
      </c>
      <c r="I415" s="6">
        <v>3.86</v>
      </c>
      <c r="J415" s="5">
        <v>26</v>
      </c>
    </row>
    <row r="416" spans="1:10">
      <c r="A416" t="s">
        <v>22</v>
      </c>
      <c r="B416" t="s">
        <v>23</v>
      </c>
      <c r="C416" t="s">
        <v>12</v>
      </c>
      <c r="D416" s="3">
        <v>45931</v>
      </c>
      <c r="E416" s="5">
        <v>109</v>
      </c>
      <c r="F416" s="4">
        <v>15424.13</v>
      </c>
      <c r="G416" s="4">
        <v>12385.44</v>
      </c>
      <c r="H416" s="4">
        <v>3038.7</v>
      </c>
      <c r="I416" s="6">
        <v>3.83</v>
      </c>
      <c r="J416" s="5">
        <v>25</v>
      </c>
    </row>
    <row r="417" spans="1:10">
      <c r="A417" t="s">
        <v>22</v>
      </c>
      <c r="B417" t="s">
        <v>23</v>
      </c>
      <c r="C417" t="s">
        <v>13</v>
      </c>
      <c r="D417" s="3">
        <v>45931</v>
      </c>
      <c r="E417" s="5">
        <v>110</v>
      </c>
      <c r="F417" s="4">
        <v>8488.75</v>
      </c>
      <c r="G417" s="4">
        <v>6044.26</v>
      </c>
      <c r="H417" s="4">
        <v>2444.5</v>
      </c>
      <c r="I417" s="6">
        <v>4</v>
      </c>
      <c r="J417" s="5">
        <v>25</v>
      </c>
    </row>
    <row r="418" spans="1:10">
      <c r="A418" t="s">
        <v>22</v>
      </c>
      <c r="B418" t="s">
        <v>23</v>
      </c>
      <c r="C418" t="s">
        <v>14</v>
      </c>
      <c r="D418" s="3">
        <v>45931</v>
      </c>
      <c r="E418" s="5">
        <v>140</v>
      </c>
      <c r="F418" s="4">
        <v>6868.89</v>
      </c>
      <c r="G418" s="4">
        <v>4287.58</v>
      </c>
      <c r="H418" s="4">
        <v>2581.31</v>
      </c>
      <c r="I418" s="6">
        <v>3.99</v>
      </c>
      <c r="J418" s="5">
        <v>25</v>
      </c>
    </row>
    <row r="419" spans="1:10">
      <c r="A419" t="s">
        <v>22</v>
      </c>
      <c r="B419" t="s">
        <v>23</v>
      </c>
      <c r="C419" t="s">
        <v>15</v>
      </c>
      <c r="D419" s="3">
        <v>45931</v>
      </c>
      <c r="E419" s="5">
        <v>118</v>
      </c>
      <c r="F419" s="4">
        <v>4308.9399999999996</v>
      </c>
      <c r="G419" s="4">
        <v>2233.13</v>
      </c>
      <c r="H419" s="4">
        <v>2075.81</v>
      </c>
      <c r="I419" s="6">
        <v>3.77</v>
      </c>
      <c r="J419" s="5">
        <v>25</v>
      </c>
    </row>
    <row r="420" spans="1:10">
      <c r="A420" t="s">
        <v>22</v>
      </c>
      <c r="B420" t="s">
        <v>23</v>
      </c>
      <c r="C420" t="s">
        <v>16</v>
      </c>
      <c r="D420" s="3">
        <v>45931</v>
      </c>
      <c r="E420" s="5">
        <v>161</v>
      </c>
      <c r="F420" s="4">
        <v>2764.91</v>
      </c>
      <c r="G420" s="4">
        <v>2624.38</v>
      </c>
      <c r="H420" s="4">
        <v>140.53</v>
      </c>
      <c r="I420" s="6">
        <v>3.72</v>
      </c>
      <c r="J420" s="5">
        <v>25</v>
      </c>
    </row>
    <row r="421" spans="1:10">
      <c r="A421" t="s">
        <v>22</v>
      </c>
      <c r="B421" t="s">
        <v>23</v>
      </c>
      <c r="C421" t="s">
        <v>17</v>
      </c>
      <c r="D421" s="3">
        <v>45931</v>
      </c>
      <c r="E421" s="5">
        <v>87</v>
      </c>
      <c r="F421" s="4">
        <v>5485.96</v>
      </c>
      <c r="G421" s="4">
        <v>3792.74</v>
      </c>
      <c r="H421" s="4">
        <v>1693.23</v>
      </c>
      <c r="I421" s="6">
        <v>3.9</v>
      </c>
      <c r="J421" s="5">
        <v>25</v>
      </c>
    </row>
    <row r="422" spans="1:10">
      <c r="A422" t="s">
        <v>22</v>
      </c>
      <c r="B422" t="s">
        <v>23</v>
      </c>
      <c r="C422" t="s">
        <v>12</v>
      </c>
      <c r="D422" s="3">
        <v>45962</v>
      </c>
      <c r="E422" s="5">
        <v>175</v>
      </c>
      <c r="F422" s="4">
        <v>27276.799999999999</v>
      </c>
      <c r="G422" s="4">
        <v>21857.14</v>
      </c>
      <c r="H422" s="4">
        <v>5419.66</v>
      </c>
      <c r="I422" s="6">
        <v>3.98</v>
      </c>
      <c r="J422" s="5">
        <v>29</v>
      </c>
    </row>
    <row r="423" spans="1:10">
      <c r="A423" t="s">
        <v>22</v>
      </c>
      <c r="B423" t="s">
        <v>23</v>
      </c>
      <c r="C423" t="s">
        <v>13</v>
      </c>
      <c r="D423" s="3">
        <v>45962</v>
      </c>
      <c r="E423" s="5">
        <v>124</v>
      </c>
      <c r="F423" s="4">
        <v>10056.459999999999</v>
      </c>
      <c r="G423" s="4">
        <v>6866.12</v>
      </c>
      <c r="H423" s="4">
        <v>3190.34</v>
      </c>
      <c r="I423" s="6">
        <v>3.96</v>
      </c>
      <c r="J423" s="5">
        <v>29</v>
      </c>
    </row>
    <row r="424" spans="1:10">
      <c r="A424" t="s">
        <v>22</v>
      </c>
      <c r="B424" t="s">
        <v>23</v>
      </c>
      <c r="C424" t="s">
        <v>14</v>
      </c>
      <c r="D424" s="3">
        <v>45962</v>
      </c>
      <c r="E424" s="5">
        <v>162</v>
      </c>
      <c r="F424" s="4">
        <v>8329.14</v>
      </c>
      <c r="G424" s="4">
        <v>5462.81</v>
      </c>
      <c r="H424" s="4">
        <v>2866.32</v>
      </c>
      <c r="I424" s="6">
        <v>3.82</v>
      </c>
      <c r="J424" s="5">
        <v>29</v>
      </c>
    </row>
    <row r="425" spans="1:10">
      <c r="A425" t="s">
        <v>22</v>
      </c>
      <c r="B425" t="s">
        <v>23</v>
      </c>
      <c r="C425" t="s">
        <v>15</v>
      </c>
      <c r="D425" s="3">
        <v>45962</v>
      </c>
      <c r="E425" s="5">
        <v>127</v>
      </c>
      <c r="F425" s="4">
        <v>4862.3900000000003</v>
      </c>
      <c r="G425" s="4">
        <v>2479.2600000000002</v>
      </c>
      <c r="H425" s="4">
        <v>2383.13</v>
      </c>
      <c r="I425" s="6">
        <v>4.08</v>
      </c>
      <c r="J425" s="5">
        <v>29</v>
      </c>
    </row>
    <row r="426" spans="1:10">
      <c r="A426" t="s">
        <v>22</v>
      </c>
      <c r="B426" t="s">
        <v>23</v>
      </c>
      <c r="C426" t="s">
        <v>16</v>
      </c>
      <c r="D426" s="3">
        <v>45962</v>
      </c>
      <c r="E426" s="5">
        <v>241</v>
      </c>
      <c r="F426" s="4">
        <v>4378.58</v>
      </c>
      <c r="G426" s="4">
        <v>4223.68</v>
      </c>
      <c r="H426" s="4">
        <v>154.88999999999999</v>
      </c>
      <c r="I426" s="6">
        <v>4.07</v>
      </c>
      <c r="J426" s="5">
        <v>29</v>
      </c>
    </row>
    <row r="427" spans="1:10">
      <c r="A427" t="s">
        <v>22</v>
      </c>
      <c r="B427" t="s">
        <v>23</v>
      </c>
      <c r="C427" t="s">
        <v>17</v>
      </c>
      <c r="D427" s="3">
        <v>45962</v>
      </c>
      <c r="E427" s="5">
        <v>97</v>
      </c>
      <c r="F427" s="4">
        <v>6432.85</v>
      </c>
      <c r="G427" s="4">
        <v>4473.22</v>
      </c>
      <c r="H427" s="4">
        <v>1959.63</v>
      </c>
      <c r="I427" s="6">
        <v>3.76</v>
      </c>
      <c r="J427" s="5">
        <v>29</v>
      </c>
    </row>
    <row r="428" spans="1:10">
      <c r="A428" t="s">
        <v>22</v>
      </c>
      <c r="B428" t="s">
        <v>23</v>
      </c>
      <c r="C428" t="s">
        <v>12</v>
      </c>
      <c r="D428" s="3">
        <v>45992</v>
      </c>
      <c r="E428" s="5">
        <v>219</v>
      </c>
      <c r="F428" s="4">
        <v>31869.599999999999</v>
      </c>
      <c r="G428" s="4">
        <v>26868.880000000001</v>
      </c>
      <c r="H428" s="4">
        <v>5000.72</v>
      </c>
      <c r="I428" s="6">
        <v>3.94</v>
      </c>
      <c r="J428" s="5">
        <v>27</v>
      </c>
    </row>
    <row r="429" spans="1:10">
      <c r="A429" t="s">
        <v>22</v>
      </c>
      <c r="B429" t="s">
        <v>23</v>
      </c>
      <c r="C429" t="s">
        <v>13</v>
      </c>
      <c r="D429" s="3">
        <v>45992</v>
      </c>
      <c r="E429" s="5">
        <v>134</v>
      </c>
      <c r="F429" s="4">
        <v>10840.83</v>
      </c>
      <c r="G429" s="4">
        <v>7697.7</v>
      </c>
      <c r="H429" s="4">
        <v>3143.13</v>
      </c>
      <c r="I429" s="6">
        <v>3.93</v>
      </c>
      <c r="J429" s="5">
        <v>27</v>
      </c>
    </row>
    <row r="430" spans="1:10">
      <c r="A430" t="s">
        <v>22</v>
      </c>
      <c r="B430" t="s">
        <v>23</v>
      </c>
      <c r="C430" t="s">
        <v>14</v>
      </c>
      <c r="D430" s="3">
        <v>45992</v>
      </c>
      <c r="E430" s="5">
        <v>202</v>
      </c>
      <c r="F430" s="4">
        <v>9563.1200000000008</v>
      </c>
      <c r="G430" s="4">
        <v>6457.36</v>
      </c>
      <c r="H430" s="4">
        <v>3105.76</v>
      </c>
      <c r="I430" s="6">
        <v>3.99</v>
      </c>
      <c r="J430" s="5">
        <v>27</v>
      </c>
    </row>
    <row r="431" spans="1:10">
      <c r="A431" t="s">
        <v>22</v>
      </c>
      <c r="B431" t="s">
        <v>23</v>
      </c>
      <c r="C431" t="s">
        <v>15</v>
      </c>
      <c r="D431" s="3">
        <v>45992</v>
      </c>
      <c r="E431" s="5">
        <v>165</v>
      </c>
      <c r="F431" s="4">
        <v>6181.19</v>
      </c>
      <c r="G431" s="4">
        <v>3276.53</v>
      </c>
      <c r="H431" s="4">
        <v>2904.65</v>
      </c>
      <c r="I431" s="6">
        <v>3.87</v>
      </c>
      <c r="J431" s="5">
        <v>27</v>
      </c>
    </row>
    <row r="432" spans="1:10">
      <c r="A432" t="s">
        <v>22</v>
      </c>
      <c r="B432" t="s">
        <v>23</v>
      </c>
      <c r="C432" t="s">
        <v>16</v>
      </c>
      <c r="D432" s="3">
        <v>45992</v>
      </c>
      <c r="E432" s="5">
        <v>242</v>
      </c>
      <c r="F432" s="4">
        <v>4212.4399999999996</v>
      </c>
      <c r="G432" s="4">
        <v>4070.86</v>
      </c>
      <c r="H432" s="4">
        <v>141.58000000000001</v>
      </c>
      <c r="I432" s="6">
        <v>3.95</v>
      </c>
      <c r="J432" s="5">
        <v>27</v>
      </c>
    </row>
    <row r="433" spans="1:10">
      <c r="A433" t="s">
        <v>22</v>
      </c>
      <c r="B433" t="s">
        <v>23</v>
      </c>
      <c r="C433" t="s">
        <v>17</v>
      </c>
      <c r="D433" s="3">
        <v>45992</v>
      </c>
      <c r="E433" s="5">
        <v>121</v>
      </c>
      <c r="F433" s="4">
        <v>7477.76</v>
      </c>
      <c r="G433" s="4">
        <v>5256.4</v>
      </c>
      <c r="H433" s="4">
        <v>2221.36</v>
      </c>
      <c r="I433" s="6">
        <v>3.87</v>
      </c>
      <c r="J433" s="5">
        <v>27</v>
      </c>
    </row>
    <row r="434" spans="1:10">
      <c r="A434" t="s">
        <v>24</v>
      </c>
      <c r="B434" t="s">
        <v>23</v>
      </c>
      <c r="C434" t="s">
        <v>12</v>
      </c>
      <c r="D434" s="3">
        <v>45658</v>
      </c>
      <c r="E434" s="5">
        <v>107</v>
      </c>
      <c r="F434" s="4">
        <v>14889.52</v>
      </c>
      <c r="G434" s="4">
        <v>11048.95</v>
      </c>
      <c r="H434" s="4">
        <v>3840.57</v>
      </c>
      <c r="I434" s="6">
        <v>4.46</v>
      </c>
      <c r="J434" s="5">
        <v>32</v>
      </c>
    </row>
    <row r="435" spans="1:10">
      <c r="A435" t="s">
        <v>24</v>
      </c>
      <c r="B435" t="s">
        <v>23</v>
      </c>
      <c r="C435" t="s">
        <v>13</v>
      </c>
      <c r="D435" s="3">
        <v>45658</v>
      </c>
      <c r="E435" s="5">
        <v>95</v>
      </c>
      <c r="F435" s="4">
        <v>7050.4</v>
      </c>
      <c r="G435" s="4">
        <v>4440.6499999999996</v>
      </c>
      <c r="H435" s="4">
        <v>2609.75</v>
      </c>
      <c r="I435" s="6">
        <v>4.6399999999999997</v>
      </c>
      <c r="J435" s="5">
        <v>32</v>
      </c>
    </row>
    <row r="436" spans="1:10">
      <c r="A436" t="s">
        <v>24</v>
      </c>
      <c r="B436" t="s">
        <v>23</v>
      </c>
      <c r="C436" t="s">
        <v>14</v>
      </c>
      <c r="D436" s="3">
        <v>45658</v>
      </c>
      <c r="E436" s="5">
        <v>136</v>
      </c>
      <c r="F436" s="4">
        <v>6796.98</v>
      </c>
      <c r="G436" s="4">
        <v>3826.68</v>
      </c>
      <c r="H436" s="4">
        <v>2970.29</v>
      </c>
      <c r="I436" s="6">
        <v>4.6100000000000003</v>
      </c>
      <c r="J436" s="5">
        <v>32</v>
      </c>
    </row>
    <row r="437" spans="1:10">
      <c r="A437" t="s">
        <v>24</v>
      </c>
      <c r="B437" t="s">
        <v>23</v>
      </c>
      <c r="C437" t="s">
        <v>15</v>
      </c>
      <c r="D437" s="3">
        <v>45658</v>
      </c>
      <c r="E437" s="5">
        <v>103</v>
      </c>
      <c r="F437" s="4">
        <v>3845.15</v>
      </c>
      <c r="G437" s="4">
        <v>1722.3</v>
      </c>
      <c r="H437" s="4">
        <v>2122.85</v>
      </c>
      <c r="I437" s="6">
        <v>4.41</v>
      </c>
      <c r="J437" s="5">
        <v>32</v>
      </c>
    </row>
    <row r="438" spans="1:10">
      <c r="A438" t="s">
        <v>24</v>
      </c>
      <c r="B438" t="s">
        <v>23</v>
      </c>
      <c r="C438" t="s">
        <v>16</v>
      </c>
      <c r="D438" s="3">
        <v>45658</v>
      </c>
      <c r="E438" s="5">
        <v>168</v>
      </c>
      <c r="F438" s="4">
        <v>3055.31</v>
      </c>
      <c r="G438" s="4">
        <v>2752.41</v>
      </c>
      <c r="H438" s="4">
        <v>302.89999999999998</v>
      </c>
      <c r="I438" s="6">
        <v>4.59</v>
      </c>
      <c r="J438" s="5">
        <v>32</v>
      </c>
    </row>
    <row r="439" spans="1:10">
      <c r="A439" t="s">
        <v>24</v>
      </c>
      <c r="B439" t="s">
        <v>23</v>
      </c>
      <c r="C439" t="s">
        <v>17</v>
      </c>
      <c r="D439" s="3">
        <v>45658</v>
      </c>
      <c r="E439" s="5">
        <v>86</v>
      </c>
      <c r="F439" s="4">
        <v>5244.22</v>
      </c>
      <c r="G439" s="4">
        <v>3176.78</v>
      </c>
      <c r="H439" s="4">
        <v>2067.44</v>
      </c>
      <c r="I439" s="6">
        <v>4.7</v>
      </c>
      <c r="J439" s="5">
        <v>32</v>
      </c>
    </row>
    <row r="440" spans="1:10">
      <c r="A440" t="s">
        <v>24</v>
      </c>
      <c r="B440" t="s">
        <v>23</v>
      </c>
      <c r="C440" t="s">
        <v>12</v>
      </c>
      <c r="D440" s="3">
        <v>45689</v>
      </c>
      <c r="E440" s="5">
        <v>105</v>
      </c>
      <c r="F440" s="4">
        <v>16352.11</v>
      </c>
      <c r="G440" s="4">
        <v>12346.01</v>
      </c>
      <c r="H440" s="4">
        <v>4006.1</v>
      </c>
      <c r="I440" s="6">
        <v>4.53</v>
      </c>
      <c r="J440" s="5">
        <v>31</v>
      </c>
    </row>
    <row r="441" spans="1:10">
      <c r="A441" t="s">
        <v>24</v>
      </c>
      <c r="B441" t="s">
        <v>23</v>
      </c>
      <c r="C441" t="s">
        <v>13</v>
      </c>
      <c r="D441" s="3">
        <v>45689</v>
      </c>
      <c r="E441" s="5">
        <v>104</v>
      </c>
      <c r="F441" s="4">
        <v>8523.9699999999993</v>
      </c>
      <c r="G441" s="4">
        <v>5464.73</v>
      </c>
      <c r="H441" s="4">
        <v>3059.24</v>
      </c>
      <c r="I441" s="6">
        <v>4.62</v>
      </c>
      <c r="J441" s="5">
        <v>31</v>
      </c>
    </row>
    <row r="442" spans="1:10">
      <c r="A442" t="s">
        <v>24</v>
      </c>
      <c r="B442" t="s">
        <v>23</v>
      </c>
      <c r="C442" t="s">
        <v>14</v>
      </c>
      <c r="D442" s="3">
        <v>45689</v>
      </c>
      <c r="E442" s="5">
        <v>142</v>
      </c>
      <c r="F442" s="4">
        <v>7172.34</v>
      </c>
      <c r="G442" s="4">
        <v>4285.1000000000004</v>
      </c>
      <c r="H442" s="4">
        <v>2887.24</v>
      </c>
      <c r="I442" s="6">
        <v>4.6399999999999997</v>
      </c>
      <c r="J442" s="5">
        <v>31</v>
      </c>
    </row>
    <row r="443" spans="1:10">
      <c r="A443" t="s">
        <v>24</v>
      </c>
      <c r="B443" t="s">
        <v>23</v>
      </c>
      <c r="C443" t="s">
        <v>15</v>
      </c>
      <c r="D443" s="3">
        <v>45689</v>
      </c>
      <c r="E443" s="5">
        <v>96</v>
      </c>
      <c r="F443" s="4">
        <v>3577.82</v>
      </c>
      <c r="G443" s="4">
        <v>1676.85</v>
      </c>
      <c r="H443" s="4">
        <v>1900.97</v>
      </c>
      <c r="I443" s="6">
        <v>4.6500000000000004</v>
      </c>
      <c r="J443" s="5">
        <v>31</v>
      </c>
    </row>
    <row r="444" spans="1:10">
      <c r="A444" t="s">
        <v>24</v>
      </c>
      <c r="B444" t="s">
        <v>23</v>
      </c>
      <c r="C444" t="s">
        <v>16</v>
      </c>
      <c r="D444" s="3">
        <v>45689</v>
      </c>
      <c r="E444" s="5">
        <v>154</v>
      </c>
      <c r="F444" s="4">
        <v>2746.08</v>
      </c>
      <c r="G444" s="4">
        <v>2493.94</v>
      </c>
      <c r="H444" s="4">
        <v>252.14</v>
      </c>
      <c r="I444" s="6">
        <v>4.38</v>
      </c>
      <c r="J444" s="5">
        <v>31</v>
      </c>
    </row>
    <row r="445" spans="1:10">
      <c r="A445" t="s">
        <v>24</v>
      </c>
      <c r="B445" t="s">
        <v>23</v>
      </c>
      <c r="C445" t="s">
        <v>17</v>
      </c>
      <c r="D445" s="3">
        <v>45689</v>
      </c>
      <c r="E445" s="5">
        <v>77</v>
      </c>
      <c r="F445" s="4">
        <v>5041.4799999999996</v>
      </c>
      <c r="G445" s="4">
        <v>3232.26</v>
      </c>
      <c r="H445" s="4">
        <v>1809.22</v>
      </c>
      <c r="I445" s="6">
        <v>4.4400000000000004</v>
      </c>
      <c r="J445" s="5">
        <v>31</v>
      </c>
    </row>
    <row r="446" spans="1:10">
      <c r="A446" t="s">
        <v>24</v>
      </c>
      <c r="B446" t="s">
        <v>23</v>
      </c>
      <c r="C446" t="s">
        <v>12</v>
      </c>
      <c r="D446" s="3">
        <v>45717</v>
      </c>
      <c r="E446" s="5">
        <v>133</v>
      </c>
      <c r="F446" s="4">
        <v>19320.830000000002</v>
      </c>
      <c r="G446" s="4">
        <v>14881.73</v>
      </c>
      <c r="H446" s="4">
        <v>4439.09</v>
      </c>
      <c r="I446" s="6">
        <v>4.63</v>
      </c>
      <c r="J446" s="5">
        <v>31</v>
      </c>
    </row>
    <row r="447" spans="1:10">
      <c r="A447" t="s">
        <v>24</v>
      </c>
      <c r="B447" t="s">
        <v>23</v>
      </c>
      <c r="C447" t="s">
        <v>13</v>
      </c>
      <c r="D447" s="3">
        <v>45717</v>
      </c>
      <c r="E447" s="5">
        <v>127</v>
      </c>
      <c r="F447" s="4">
        <v>9733.42</v>
      </c>
      <c r="G447" s="4">
        <v>6498.08</v>
      </c>
      <c r="H447" s="4">
        <v>3235.35</v>
      </c>
      <c r="I447" s="6">
        <v>4.53</v>
      </c>
      <c r="J447" s="5">
        <v>31</v>
      </c>
    </row>
    <row r="448" spans="1:10">
      <c r="A448" t="s">
        <v>24</v>
      </c>
      <c r="B448" t="s">
        <v>23</v>
      </c>
      <c r="C448" t="s">
        <v>14</v>
      </c>
      <c r="D448" s="3">
        <v>45717</v>
      </c>
      <c r="E448" s="5">
        <v>172</v>
      </c>
      <c r="F448" s="4">
        <v>8240.7999999999993</v>
      </c>
      <c r="G448" s="4">
        <v>4897.26</v>
      </c>
      <c r="H448" s="4">
        <v>3343.54</v>
      </c>
      <c r="I448" s="6">
        <v>4.57</v>
      </c>
      <c r="J448" s="5">
        <v>31</v>
      </c>
    </row>
    <row r="449" spans="1:10">
      <c r="A449" t="s">
        <v>24</v>
      </c>
      <c r="B449" t="s">
        <v>23</v>
      </c>
      <c r="C449" t="s">
        <v>15</v>
      </c>
      <c r="D449" s="3">
        <v>45717</v>
      </c>
      <c r="E449" s="5">
        <v>118</v>
      </c>
      <c r="F449" s="4">
        <v>4393.2299999999996</v>
      </c>
      <c r="G449" s="4">
        <v>2049.7399999999998</v>
      </c>
      <c r="H449" s="4">
        <v>2343.4899999999998</v>
      </c>
      <c r="I449" s="6">
        <v>4.38</v>
      </c>
      <c r="J449" s="5">
        <v>31</v>
      </c>
    </row>
    <row r="450" spans="1:10">
      <c r="A450" t="s">
        <v>24</v>
      </c>
      <c r="B450" t="s">
        <v>23</v>
      </c>
      <c r="C450" t="s">
        <v>16</v>
      </c>
      <c r="D450" s="3">
        <v>45717</v>
      </c>
      <c r="E450" s="5">
        <v>192</v>
      </c>
      <c r="F450" s="4">
        <v>3354.07</v>
      </c>
      <c r="G450" s="4">
        <v>2915.18</v>
      </c>
      <c r="H450" s="4">
        <v>438.88</v>
      </c>
      <c r="I450" s="6">
        <v>4.49</v>
      </c>
      <c r="J450" s="5">
        <v>31</v>
      </c>
    </row>
    <row r="451" spans="1:10">
      <c r="A451" t="s">
        <v>24</v>
      </c>
      <c r="B451" t="s">
        <v>23</v>
      </c>
      <c r="C451" t="s">
        <v>17</v>
      </c>
      <c r="D451" s="3">
        <v>45717</v>
      </c>
      <c r="E451" s="5">
        <v>88</v>
      </c>
      <c r="F451" s="4">
        <v>5663.62</v>
      </c>
      <c r="G451" s="4">
        <v>3588.25</v>
      </c>
      <c r="H451" s="4">
        <v>2075.37</v>
      </c>
      <c r="I451" s="6">
        <v>4.3899999999999997</v>
      </c>
      <c r="J451" s="5">
        <v>31</v>
      </c>
    </row>
    <row r="452" spans="1:10">
      <c r="A452" t="s">
        <v>24</v>
      </c>
      <c r="B452" t="s">
        <v>23</v>
      </c>
      <c r="C452" t="s">
        <v>12</v>
      </c>
      <c r="D452" s="3">
        <v>45748</v>
      </c>
      <c r="E452" s="5">
        <v>145</v>
      </c>
      <c r="F452" s="4">
        <v>20608.55</v>
      </c>
      <c r="G452" s="4">
        <v>15523.46</v>
      </c>
      <c r="H452" s="4">
        <v>5085.09</v>
      </c>
      <c r="I452" s="6">
        <v>4.42</v>
      </c>
      <c r="J452" s="5">
        <v>30</v>
      </c>
    </row>
    <row r="453" spans="1:10">
      <c r="A453" t="s">
        <v>24</v>
      </c>
      <c r="B453" t="s">
        <v>23</v>
      </c>
      <c r="C453" t="s">
        <v>13</v>
      </c>
      <c r="D453" s="3">
        <v>45748</v>
      </c>
      <c r="E453" s="5">
        <v>119</v>
      </c>
      <c r="F453" s="4">
        <v>9313.6299999999992</v>
      </c>
      <c r="G453" s="4">
        <v>6212.68</v>
      </c>
      <c r="H453" s="4">
        <v>3100.95</v>
      </c>
      <c r="I453" s="6">
        <v>4.72</v>
      </c>
      <c r="J453" s="5">
        <v>30</v>
      </c>
    </row>
    <row r="454" spans="1:10">
      <c r="A454" t="s">
        <v>24</v>
      </c>
      <c r="B454" t="s">
        <v>23</v>
      </c>
      <c r="C454" t="s">
        <v>14</v>
      </c>
      <c r="D454" s="3">
        <v>45748</v>
      </c>
      <c r="E454" s="5">
        <v>156</v>
      </c>
      <c r="F454" s="4">
        <v>7508.93</v>
      </c>
      <c r="G454" s="4">
        <v>4602.72</v>
      </c>
      <c r="H454" s="4">
        <v>2906.21</v>
      </c>
      <c r="I454" s="6">
        <v>4.51</v>
      </c>
      <c r="J454" s="5">
        <v>30</v>
      </c>
    </row>
    <row r="455" spans="1:10">
      <c r="A455" t="s">
        <v>24</v>
      </c>
      <c r="B455" t="s">
        <v>23</v>
      </c>
      <c r="C455" t="s">
        <v>15</v>
      </c>
      <c r="D455" s="3">
        <v>45748</v>
      </c>
      <c r="E455" s="5">
        <v>142</v>
      </c>
      <c r="F455" s="4">
        <v>4862.71</v>
      </c>
      <c r="G455" s="4">
        <v>2389.11</v>
      </c>
      <c r="H455" s="4">
        <v>2473.61</v>
      </c>
      <c r="I455" s="6">
        <v>4.68</v>
      </c>
      <c r="J455" s="5">
        <v>30</v>
      </c>
    </row>
    <row r="456" spans="1:10">
      <c r="A456" t="s">
        <v>24</v>
      </c>
      <c r="B456" t="s">
        <v>23</v>
      </c>
      <c r="C456" t="s">
        <v>16</v>
      </c>
      <c r="D456" s="3">
        <v>45748</v>
      </c>
      <c r="E456" s="5">
        <v>232</v>
      </c>
      <c r="F456" s="4">
        <v>3994.8</v>
      </c>
      <c r="G456" s="4">
        <v>3693.41</v>
      </c>
      <c r="H456" s="4">
        <v>301.39</v>
      </c>
      <c r="I456" s="6">
        <v>4.4800000000000004</v>
      </c>
      <c r="J456" s="5">
        <v>30</v>
      </c>
    </row>
    <row r="457" spans="1:10">
      <c r="A457" t="s">
        <v>24</v>
      </c>
      <c r="B457" t="s">
        <v>23</v>
      </c>
      <c r="C457" t="s">
        <v>17</v>
      </c>
      <c r="D457" s="3">
        <v>45748</v>
      </c>
      <c r="E457" s="5">
        <v>106</v>
      </c>
      <c r="F457" s="4">
        <v>6294.85</v>
      </c>
      <c r="G457" s="4">
        <v>4131.47</v>
      </c>
      <c r="H457" s="4">
        <v>2163.38</v>
      </c>
      <c r="I457" s="6">
        <v>4.67</v>
      </c>
      <c r="J457" s="5">
        <v>30</v>
      </c>
    </row>
    <row r="458" spans="1:10">
      <c r="A458" t="s">
        <v>24</v>
      </c>
      <c r="B458" t="s">
        <v>23</v>
      </c>
      <c r="C458" t="s">
        <v>12</v>
      </c>
      <c r="D458" s="3">
        <v>45778</v>
      </c>
      <c r="E458" s="5">
        <v>155</v>
      </c>
      <c r="F458" s="4">
        <v>23389.13</v>
      </c>
      <c r="G458" s="4">
        <v>18020.77</v>
      </c>
      <c r="H458" s="4">
        <v>5368.35</v>
      </c>
      <c r="I458" s="6">
        <v>4.51</v>
      </c>
      <c r="J458" s="5">
        <v>30</v>
      </c>
    </row>
    <row r="459" spans="1:10">
      <c r="A459" t="s">
        <v>24</v>
      </c>
      <c r="B459" t="s">
        <v>23</v>
      </c>
      <c r="C459" t="s">
        <v>13</v>
      </c>
      <c r="D459" s="3">
        <v>45778</v>
      </c>
      <c r="E459" s="5">
        <v>126</v>
      </c>
      <c r="F459" s="4">
        <v>9309.34</v>
      </c>
      <c r="G459" s="4">
        <v>6166.8</v>
      </c>
      <c r="H459" s="4">
        <v>3142.54</v>
      </c>
      <c r="I459" s="6">
        <v>4.43</v>
      </c>
      <c r="J459" s="5">
        <v>30</v>
      </c>
    </row>
    <row r="460" spans="1:10">
      <c r="A460" t="s">
        <v>24</v>
      </c>
      <c r="B460" t="s">
        <v>23</v>
      </c>
      <c r="C460" t="s">
        <v>14</v>
      </c>
      <c r="D460" s="3">
        <v>45778</v>
      </c>
      <c r="E460" s="5">
        <v>172</v>
      </c>
      <c r="F460" s="4">
        <v>8645.42</v>
      </c>
      <c r="G460" s="4">
        <v>5075.2700000000004</v>
      </c>
      <c r="H460" s="4">
        <v>3570.15</v>
      </c>
      <c r="I460" s="6">
        <v>4.6100000000000003</v>
      </c>
      <c r="J460" s="5">
        <v>30</v>
      </c>
    </row>
    <row r="461" spans="1:10">
      <c r="A461" t="s">
        <v>24</v>
      </c>
      <c r="B461" t="s">
        <v>23</v>
      </c>
      <c r="C461" t="s">
        <v>15</v>
      </c>
      <c r="D461" s="3">
        <v>45778</v>
      </c>
      <c r="E461" s="5">
        <v>156</v>
      </c>
      <c r="F461" s="4">
        <v>5762.52</v>
      </c>
      <c r="G461" s="4">
        <v>2862.06</v>
      </c>
      <c r="H461" s="4">
        <v>2900.46</v>
      </c>
      <c r="I461" s="6">
        <v>4.6900000000000004</v>
      </c>
      <c r="J461" s="5">
        <v>30</v>
      </c>
    </row>
    <row r="462" spans="1:10">
      <c r="A462" t="s">
        <v>24</v>
      </c>
      <c r="B462" t="s">
        <v>23</v>
      </c>
      <c r="C462" t="s">
        <v>16</v>
      </c>
      <c r="D462" s="3">
        <v>45778</v>
      </c>
      <c r="E462" s="5">
        <v>223</v>
      </c>
      <c r="F462" s="4">
        <v>4106.93</v>
      </c>
      <c r="G462" s="4">
        <v>3700.74</v>
      </c>
      <c r="H462" s="4">
        <v>406.2</v>
      </c>
      <c r="I462" s="6">
        <v>4.58</v>
      </c>
      <c r="J462" s="5">
        <v>30</v>
      </c>
    </row>
    <row r="463" spans="1:10">
      <c r="A463" t="s">
        <v>24</v>
      </c>
      <c r="B463" t="s">
        <v>23</v>
      </c>
      <c r="C463" t="s">
        <v>17</v>
      </c>
      <c r="D463" s="3">
        <v>45778</v>
      </c>
      <c r="E463" s="5">
        <v>133</v>
      </c>
      <c r="F463" s="4">
        <v>8758.16</v>
      </c>
      <c r="G463" s="4">
        <v>5553.87</v>
      </c>
      <c r="H463" s="4">
        <v>3204.29</v>
      </c>
      <c r="I463" s="6">
        <v>4.3899999999999997</v>
      </c>
      <c r="J463" s="5">
        <v>30</v>
      </c>
    </row>
    <row r="464" spans="1:10">
      <c r="A464" t="s">
        <v>24</v>
      </c>
      <c r="B464" t="s">
        <v>23</v>
      </c>
      <c r="C464" t="s">
        <v>12</v>
      </c>
      <c r="D464" s="3">
        <v>45809</v>
      </c>
      <c r="E464" s="5">
        <v>149</v>
      </c>
      <c r="F464" s="4">
        <v>22921.22</v>
      </c>
      <c r="G464" s="4">
        <v>17402.75</v>
      </c>
      <c r="H464" s="4">
        <v>5518.48</v>
      </c>
      <c r="I464" s="6">
        <v>4.55</v>
      </c>
      <c r="J464" s="5">
        <v>33</v>
      </c>
    </row>
    <row r="465" spans="1:10">
      <c r="A465" t="s">
        <v>24</v>
      </c>
      <c r="B465" t="s">
        <v>23</v>
      </c>
      <c r="C465" t="s">
        <v>13</v>
      </c>
      <c r="D465" s="3">
        <v>45809</v>
      </c>
      <c r="E465" s="5">
        <v>142</v>
      </c>
      <c r="F465" s="4">
        <v>10581.52</v>
      </c>
      <c r="G465" s="4">
        <v>7223.95</v>
      </c>
      <c r="H465" s="4">
        <v>3357.57</v>
      </c>
      <c r="I465" s="6">
        <v>4.63</v>
      </c>
      <c r="J465" s="5">
        <v>33</v>
      </c>
    </row>
    <row r="466" spans="1:10">
      <c r="A466" t="s">
        <v>24</v>
      </c>
      <c r="B466" t="s">
        <v>23</v>
      </c>
      <c r="C466" t="s">
        <v>14</v>
      </c>
      <c r="D466" s="3">
        <v>45809</v>
      </c>
      <c r="E466" s="5">
        <v>161</v>
      </c>
      <c r="F466" s="4">
        <v>7991.95</v>
      </c>
      <c r="G466" s="4">
        <v>4822.63</v>
      </c>
      <c r="H466" s="4">
        <v>3169.32</v>
      </c>
      <c r="I466" s="6">
        <v>4.4800000000000004</v>
      </c>
      <c r="J466" s="5">
        <v>33</v>
      </c>
    </row>
    <row r="467" spans="1:10">
      <c r="A467" t="s">
        <v>24</v>
      </c>
      <c r="B467" t="s">
        <v>23</v>
      </c>
      <c r="C467" t="s">
        <v>15</v>
      </c>
      <c r="D467" s="3">
        <v>45809</v>
      </c>
      <c r="E467" s="5">
        <v>155</v>
      </c>
      <c r="F467" s="4">
        <v>5357.12</v>
      </c>
      <c r="G467" s="4">
        <v>2650.22</v>
      </c>
      <c r="H467" s="4">
        <v>2706.9</v>
      </c>
      <c r="I467" s="6">
        <v>4.45</v>
      </c>
      <c r="J467" s="5">
        <v>33</v>
      </c>
    </row>
    <row r="468" spans="1:10">
      <c r="A468" t="s">
        <v>24</v>
      </c>
      <c r="B468" t="s">
        <v>23</v>
      </c>
      <c r="C468" t="s">
        <v>16</v>
      </c>
      <c r="D468" s="3">
        <v>45809</v>
      </c>
      <c r="E468" s="5">
        <v>231</v>
      </c>
      <c r="F468" s="4">
        <v>4460.67</v>
      </c>
      <c r="G468" s="4">
        <v>4151.6899999999996</v>
      </c>
      <c r="H468" s="4">
        <v>308.98</v>
      </c>
      <c r="I468" s="6">
        <v>4.67</v>
      </c>
      <c r="J468" s="5">
        <v>33</v>
      </c>
    </row>
    <row r="469" spans="1:10">
      <c r="A469" t="s">
        <v>24</v>
      </c>
      <c r="B469" t="s">
        <v>23</v>
      </c>
      <c r="C469" t="s">
        <v>17</v>
      </c>
      <c r="D469" s="3">
        <v>45809</v>
      </c>
      <c r="E469" s="5">
        <v>139</v>
      </c>
      <c r="F469" s="4">
        <v>8856.19</v>
      </c>
      <c r="G469" s="4">
        <v>5731.38</v>
      </c>
      <c r="H469" s="4">
        <v>3124.81</v>
      </c>
      <c r="I469" s="6">
        <v>4.55</v>
      </c>
      <c r="J469" s="5">
        <v>33</v>
      </c>
    </row>
    <row r="470" spans="1:10">
      <c r="A470" t="s">
        <v>24</v>
      </c>
      <c r="B470" t="s">
        <v>23</v>
      </c>
      <c r="C470" t="s">
        <v>12</v>
      </c>
      <c r="D470" s="3">
        <v>45839</v>
      </c>
      <c r="E470" s="5">
        <v>172</v>
      </c>
      <c r="F470" s="4">
        <v>26187.32</v>
      </c>
      <c r="G470" s="4">
        <v>20359.37</v>
      </c>
      <c r="H470" s="4">
        <v>5827.95</v>
      </c>
      <c r="I470" s="6">
        <v>4.5199999999999996</v>
      </c>
      <c r="J470" s="5">
        <v>32</v>
      </c>
    </row>
    <row r="471" spans="1:10">
      <c r="A471" t="s">
        <v>24</v>
      </c>
      <c r="B471" t="s">
        <v>23</v>
      </c>
      <c r="C471" t="s">
        <v>13</v>
      </c>
      <c r="D471" s="3">
        <v>45839</v>
      </c>
      <c r="E471" s="5">
        <v>134</v>
      </c>
      <c r="F471" s="4">
        <v>9785.7099999999991</v>
      </c>
      <c r="G471" s="4">
        <v>6566.1</v>
      </c>
      <c r="H471" s="4">
        <v>3219.6</v>
      </c>
      <c r="I471" s="6">
        <v>4.6399999999999997</v>
      </c>
      <c r="J471" s="5">
        <v>32</v>
      </c>
    </row>
    <row r="472" spans="1:10">
      <c r="A472" t="s">
        <v>24</v>
      </c>
      <c r="B472" t="s">
        <v>23</v>
      </c>
      <c r="C472" t="s">
        <v>14</v>
      </c>
      <c r="D472" s="3">
        <v>45839</v>
      </c>
      <c r="E472" s="5">
        <v>149</v>
      </c>
      <c r="F472" s="4">
        <v>7024</v>
      </c>
      <c r="G472" s="4">
        <v>4380.67</v>
      </c>
      <c r="H472" s="4">
        <v>2643.33</v>
      </c>
      <c r="I472" s="6">
        <v>4.66</v>
      </c>
      <c r="J472" s="5">
        <v>32</v>
      </c>
    </row>
    <row r="473" spans="1:10">
      <c r="A473" t="s">
        <v>24</v>
      </c>
      <c r="B473" t="s">
        <v>23</v>
      </c>
      <c r="C473" t="s">
        <v>15</v>
      </c>
      <c r="D473" s="3">
        <v>45839</v>
      </c>
      <c r="E473" s="5">
        <v>151</v>
      </c>
      <c r="F473" s="4">
        <v>5805.99</v>
      </c>
      <c r="G473" s="4">
        <v>2890.55</v>
      </c>
      <c r="H473" s="4">
        <v>2915.44</v>
      </c>
      <c r="I473" s="6">
        <v>4.72</v>
      </c>
      <c r="J473" s="5">
        <v>32</v>
      </c>
    </row>
    <row r="474" spans="1:10">
      <c r="A474" t="s">
        <v>24</v>
      </c>
      <c r="B474" t="s">
        <v>23</v>
      </c>
      <c r="C474" t="s">
        <v>16</v>
      </c>
      <c r="D474" s="3">
        <v>45839</v>
      </c>
      <c r="E474" s="5">
        <v>233</v>
      </c>
      <c r="F474" s="4">
        <v>4084.96</v>
      </c>
      <c r="G474" s="4">
        <v>3675.22</v>
      </c>
      <c r="H474" s="4">
        <v>409.74</v>
      </c>
      <c r="I474" s="6">
        <v>4.57</v>
      </c>
      <c r="J474" s="5">
        <v>32</v>
      </c>
    </row>
    <row r="475" spans="1:10">
      <c r="A475" t="s">
        <v>24</v>
      </c>
      <c r="B475" t="s">
        <v>23</v>
      </c>
      <c r="C475" t="s">
        <v>17</v>
      </c>
      <c r="D475" s="3">
        <v>45839</v>
      </c>
      <c r="E475" s="5">
        <v>139</v>
      </c>
      <c r="F475" s="4">
        <v>9213.6</v>
      </c>
      <c r="G475" s="4">
        <v>6170.01</v>
      </c>
      <c r="H475" s="4">
        <v>3043.59</v>
      </c>
      <c r="I475" s="6">
        <v>4.4000000000000004</v>
      </c>
      <c r="J475" s="5">
        <v>32</v>
      </c>
    </row>
    <row r="476" spans="1:10">
      <c r="A476" t="s">
        <v>24</v>
      </c>
      <c r="B476" t="s">
        <v>23</v>
      </c>
      <c r="C476" t="s">
        <v>12</v>
      </c>
      <c r="D476" s="3">
        <v>45870</v>
      </c>
      <c r="E476" s="5">
        <v>158</v>
      </c>
      <c r="F476" s="4">
        <v>23475.78</v>
      </c>
      <c r="G476" s="4">
        <v>18079.150000000001</v>
      </c>
      <c r="H476" s="4">
        <v>5396.63</v>
      </c>
      <c r="I476" s="6">
        <v>4.4000000000000004</v>
      </c>
      <c r="J476" s="5">
        <v>32</v>
      </c>
    </row>
    <row r="477" spans="1:10">
      <c r="A477" t="s">
        <v>24</v>
      </c>
      <c r="B477" t="s">
        <v>23</v>
      </c>
      <c r="C477" t="s">
        <v>13</v>
      </c>
      <c r="D477" s="3">
        <v>45870</v>
      </c>
      <c r="E477" s="5">
        <v>136</v>
      </c>
      <c r="F477" s="4">
        <v>10880.2</v>
      </c>
      <c r="G477" s="4">
        <v>7459.29</v>
      </c>
      <c r="H477" s="4">
        <v>3420.91</v>
      </c>
      <c r="I477" s="6">
        <v>4.6100000000000003</v>
      </c>
      <c r="J477" s="5">
        <v>32</v>
      </c>
    </row>
    <row r="478" spans="1:10">
      <c r="A478" t="s">
        <v>24</v>
      </c>
      <c r="B478" t="s">
        <v>23</v>
      </c>
      <c r="C478" t="s">
        <v>14</v>
      </c>
      <c r="D478" s="3">
        <v>45870</v>
      </c>
      <c r="E478" s="5">
        <v>201</v>
      </c>
      <c r="F478" s="4">
        <v>10294.27</v>
      </c>
      <c r="G478" s="4">
        <v>6327.42</v>
      </c>
      <c r="H478" s="4">
        <v>3966.84</v>
      </c>
      <c r="I478" s="6">
        <v>4.7</v>
      </c>
      <c r="J478" s="5">
        <v>32</v>
      </c>
    </row>
    <row r="479" spans="1:10">
      <c r="A479" t="s">
        <v>24</v>
      </c>
      <c r="B479" t="s">
        <v>23</v>
      </c>
      <c r="C479" t="s">
        <v>15</v>
      </c>
      <c r="D479" s="3">
        <v>45870</v>
      </c>
      <c r="E479" s="5">
        <v>148</v>
      </c>
      <c r="F479" s="4">
        <v>5166.3100000000004</v>
      </c>
      <c r="G479" s="4">
        <v>2545.25</v>
      </c>
      <c r="H479" s="4">
        <v>2621.06</v>
      </c>
      <c r="I479" s="6">
        <v>4.6399999999999997</v>
      </c>
      <c r="J479" s="5">
        <v>32</v>
      </c>
    </row>
    <row r="480" spans="1:10">
      <c r="A480" t="s">
        <v>24</v>
      </c>
      <c r="B480" t="s">
        <v>23</v>
      </c>
      <c r="C480" t="s">
        <v>16</v>
      </c>
      <c r="D480" s="3">
        <v>45870</v>
      </c>
      <c r="E480" s="5">
        <v>231</v>
      </c>
      <c r="F480" s="4">
        <v>4440.83</v>
      </c>
      <c r="G480" s="4">
        <v>4142.51</v>
      </c>
      <c r="H480" s="4">
        <v>298.33</v>
      </c>
      <c r="I480" s="6">
        <v>4.59</v>
      </c>
      <c r="J480" s="5">
        <v>32</v>
      </c>
    </row>
    <row r="481" spans="1:10">
      <c r="A481" t="s">
        <v>24</v>
      </c>
      <c r="B481" t="s">
        <v>23</v>
      </c>
      <c r="C481" t="s">
        <v>17</v>
      </c>
      <c r="D481" s="3">
        <v>45870</v>
      </c>
      <c r="E481" s="5">
        <v>116</v>
      </c>
      <c r="F481" s="4">
        <v>7159.84</v>
      </c>
      <c r="G481" s="4">
        <v>4665.68</v>
      </c>
      <c r="H481" s="4">
        <v>2494.16</v>
      </c>
      <c r="I481" s="6">
        <v>4.49</v>
      </c>
      <c r="J481" s="5">
        <v>32</v>
      </c>
    </row>
    <row r="482" spans="1:10">
      <c r="A482" t="s">
        <v>24</v>
      </c>
      <c r="B482" t="s">
        <v>23</v>
      </c>
      <c r="C482" t="s">
        <v>12</v>
      </c>
      <c r="D482" s="3">
        <v>45901</v>
      </c>
      <c r="E482" s="5">
        <v>131</v>
      </c>
      <c r="F482" s="4">
        <v>18810.68</v>
      </c>
      <c r="G482" s="4">
        <v>14796.17</v>
      </c>
      <c r="H482" s="4">
        <v>4014.51</v>
      </c>
      <c r="I482" s="6">
        <v>4.55</v>
      </c>
      <c r="J482" s="5">
        <v>31</v>
      </c>
    </row>
    <row r="483" spans="1:10">
      <c r="A483" t="s">
        <v>24</v>
      </c>
      <c r="B483" t="s">
        <v>23</v>
      </c>
      <c r="C483" t="s">
        <v>13</v>
      </c>
      <c r="D483" s="3">
        <v>45901</v>
      </c>
      <c r="E483" s="5">
        <v>136</v>
      </c>
      <c r="F483" s="4">
        <v>10435.42</v>
      </c>
      <c r="G483" s="4">
        <v>7006.66</v>
      </c>
      <c r="H483" s="4">
        <v>3428.76</v>
      </c>
      <c r="I483" s="6">
        <v>4.72</v>
      </c>
      <c r="J483" s="5">
        <v>31</v>
      </c>
    </row>
    <row r="484" spans="1:10">
      <c r="A484" t="s">
        <v>24</v>
      </c>
      <c r="B484" t="s">
        <v>23</v>
      </c>
      <c r="C484" t="s">
        <v>14</v>
      </c>
      <c r="D484" s="3">
        <v>45901</v>
      </c>
      <c r="E484" s="5">
        <v>137</v>
      </c>
      <c r="F484" s="4">
        <v>7023.21</v>
      </c>
      <c r="G484" s="4">
        <v>4376.3599999999997</v>
      </c>
      <c r="H484" s="4">
        <v>2646.85</v>
      </c>
      <c r="I484" s="6">
        <v>4.5199999999999996</v>
      </c>
      <c r="J484" s="5">
        <v>31</v>
      </c>
    </row>
    <row r="485" spans="1:10">
      <c r="A485" t="s">
        <v>24</v>
      </c>
      <c r="B485" t="s">
        <v>23</v>
      </c>
      <c r="C485" t="s">
        <v>15</v>
      </c>
      <c r="D485" s="3">
        <v>45901</v>
      </c>
      <c r="E485" s="5">
        <v>138</v>
      </c>
      <c r="F485" s="4">
        <v>5061.17</v>
      </c>
      <c r="G485" s="4">
        <v>2528.08</v>
      </c>
      <c r="H485" s="4">
        <v>2533.09</v>
      </c>
      <c r="I485" s="6">
        <v>4.42</v>
      </c>
      <c r="J485" s="5">
        <v>31</v>
      </c>
    </row>
    <row r="486" spans="1:10">
      <c r="A486" t="s">
        <v>24</v>
      </c>
      <c r="B486" t="s">
        <v>23</v>
      </c>
      <c r="C486" t="s">
        <v>16</v>
      </c>
      <c r="D486" s="3">
        <v>45901</v>
      </c>
      <c r="E486" s="5">
        <v>219</v>
      </c>
      <c r="F486" s="4">
        <v>4025.1</v>
      </c>
      <c r="G486" s="4">
        <v>3716.82</v>
      </c>
      <c r="H486" s="4">
        <v>308.27999999999997</v>
      </c>
      <c r="I486" s="6">
        <v>4.3899999999999997</v>
      </c>
      <c r="J486" s="5">
        <v>31</v>
      </c>
    </row>
    <row r="487" spans="1:10">
      <c r="A487" t="s">
        <v>24</v>
      </c>
      <c r="B487" t="s">
        <v>23</v>
      </c>
      <c r="C487" t="s">
        <v>17</v>
      </c>
      <c r="D487" s="3">
        <v>45901</v>
      </c>
      <c r="E487" s="5">
        <v>119</v>
      </c>
      <c r="F487" s="4">
        <v>7276.04</v>
      </c>
      <c r="G487" s="4">
        <v>4825.3599999999997</v>
      </c>
      <c r="H487" s="4">
        <v>2450.69</v>
      </c>
      <c r="I487" s="6">
        <v>4.67</v>
      </c>
      <c r="J487" s="5">
        <v>31</v>
      </c>
    </row>
    <row r="488" spans="1:10">
      <c r="A488" t="s">
        <v>24</v>
      </c>
      <c r="B488" t="s">
        <v>23</v>
      </c>
      <c r="C488" t="s">
        <v>12</v>
      </c>
      <c r="D488" s="3">
        <v>45931</v>
      </c>
      <c r="E488" s="5">
        <v>123</v>
      </c>
      <c r="F488" s="4">
        <v>17607.759999999998</v>
      </c>
      <c r="G488" s="4">
        <v>14380.34</v>
      </c>
      <c r="H488" s="4">
        <v>3227.42</v>
      </c>
      <c r="I488" s="6">
        <v>4.55</v>
      </c>
      <c r="J488" s="5">
        <v>32</v>
      </c>
    </row>
    <row r="489" spans="1:10">
      <c r="A489" t="s">
        <v>24</v>
      </c>
      <c r="B489" t="s">
        <v>23</v>
      </c>
      <c r="C489" t="s">
        <v>13</v>
      </c>
      <c r="D489" s="3">
        <v>45931</v>
      </c>
      <c r="E489" s="5">
        <v>127</v>
      </c>
      <c r="F489" s="4">
        <v>10050.61</v>
      </c>
      <c r="G489" s="4">
        <v>7075.39</v>
      </c>
      <c r="H489" s="4">
        <v>2975.21</v>
      </c>
      <c r="I489" s="6">
        <v>4.54</v>
      </c>
      <c r="J489" s="5">
        <v>32</v>
      </c>
    </row>
    <row r="490" spans="1:10">
      <c r="A490" t="s">
        <v>24</v>
      </c>
      <c r="B490" t="s">
        <v>23</v>
      </c>
      <c r="C490" t="s">
        <v>14</v>
      </c>
      <c r="D490" s="3">
        <v>45931</v>
      </c>
      <c r="E490" s="5">
        <v>169</v>
      </c>
      <c r="F490" s="4">
        <v>7784.23</v>
      </c>
      <c r="G490" s="4">
        <v>4948.9799999999996</v>
      </c>
      <c r="H490" s="4">
        <v>2835.24</v>
      </c>
      <c r="I490" s="6">
        <v>4.4400000000000004</v>
      </c>
      <c r="J490" s="5">
        <v>32</v>
      </c>
    </row>
    <row r="491" spans="1:10">
      <c r="A491" t="s">
        <v>24</v>
      </c>
      <c r="B491" t="s">
        <v>23</v>
      </c>
      <c r="C491" t="s">
        <v>15</v>
      </c>
      <c r="D491" s="3">
        <v>45931</v>
      </c>
      <c r="E491" s="5">
        <v>132</v>
      </c>
      <c r="F491" s="4">
        <v>5058.5600000000004</v>
      </c>
      <c r="G491" s="4">
        <v>2676.59</v>
      </c>
      <c r="H491" s="4">
        <v>2381.9699999999998</v>
      </c>
      <c r="I491" s="6">
        <v>4.71</v>
      </c>
      <c r="J491" s="5">
        <v>32</v>
      </c>
    </row>
    <row r="492" spans="1:10">
      <c r="A492" t="s">
        <v>24</v>
      </c>
      <c r="B492" t="s">
        <v>23</v>
      </c>
      <c r="C492" t="s">
        <v>16</v>
      </c>
      <c r="D492" s="3">
        <v>45931</v>
      </c>
      <c r="E492" s="5">
        <v>200</v>
      </c>
      <c r="F492" s="4">
        <v>3421.46</v>
      </c>
      <c r="G492" s="4">
        <v>3256.62</v>
      </c>
      <c r="H492" s="4">
        <v>164.84</v>
      </c>
      <c r="I492" s="6">
        <v>4.3600000000000003</v>
      </c>
      <c r="J492" s="5">
        <v>32</v>
      </c>
    </row>
    <row r="493" spans="1:10">
      <c r="A493" t="s">
        <v>24</v>
      </c>
      <c r="B493" t="s">
        <v>23</v>
      </c>
      <c r="C493" t="s">
        <v>17</v>
      </c>
      <c r="D493" s="3">
        <v>45931</v>
      </c>
      <c r="E493" s="5">
        <v>104</v>
      </c>
      <c r="F493" s="4">
        <v>6066.88</v>
      </c>
      <c r="G493" s="4">
        <v>4000.14</v>
      </c>
      <c r="H493" s="4">
        <v>2066.7399999999998</v>
      </c>
      <c r="I493" s="6">
        <v>4.5999999999999996</v>
      </c>
      <c r="J493" s="5">
        <v>32</v>
      </c>
    </row>
    <row r="494" spans="1:10">
      <c r="A494" t="s">
        <v>24</v>
      </c>
      <c r="B494" t="s">
        <v>23</v>
      </c>
      <c r="C494" t="s">
        <v>12</v>
      </c>
      <c r="D494" s="3">
        <v>45962</v>
      </c>
      <c r="E494" s="5">
        <v>240</v>
      </c>
      <c r="F494" s="4">
        <v>35175.93</v>
      </c>
      <c r="G494" s="4">
        <v>28275.73</v>
      </c>
      <c r="H494" s="4">
        <v>6900.2</v>
      </c>
      <c r="I494" s="6">
        <v>4.59</v>
      </c>
      <c r="J494" s="5">
        <v>32</v>
      </c>
    </row>
    <row r="495" spans="1:10">
      <c r="A495" t="s">
        <v>24</v>
      </c>
      <c r="B495" t="s">
        <v>23</v>
      </c>
      <c r="C495" t="s">
        <v>13</v>
      </c>
      <c r="D495" s="3">
        <v>45962</v>
      </c>
      <c r="E495" s="5">
        <v>159</v>
      </c>
      <c r="F495" s="4">
        <v>12486.95</v>
      </c>
      <c r="G495" s="4">
        <v>8801.9699999999993</v>
      </c>
      <c r="H495" s="4">
        <v>3684.98</v>
      </c>
      <c r="I495" s="6">
        <v>4.54</v>
      </c>
      <c r="J495" s="5">
        <v>32</v>
      </c>
    </row>
    <row r="496" spans="1:10">
      <c r="A496" t="s">
        <v>24</v>
      </c>
      <c r="B496" t="s">
        <v>23</v>
      </c>
      <c r="C496" t="s">
        <v>14</v>
      </c>
      <c r="D496" s="3">
        <v>45962</v>
      </c>
      <c r="E496" s="5">
        <v>238</v>
      </c>
      <c r="F496" s="4">
        <v>11620.84</v>
      </c>
      <c r="G496" s="4">
        <v>7219.5</v>
      </c>
      <c r="H496" s="4">
        <v>4401.33</v>
      </c>
      <c r="I496" s="6">
        <v>4.5599999999999996</v>
      </c>
      <c r="J496" s="5">
        <v>32</v>
      </c>
    </row>
    <row r="497" spans="1:10">
      <c r="A497" t="s">
        <v>24</v>
      </c>
      <c r="B497" t="s">
        <v>23</v>
      </c>
      <c r="C497" t="s">
        <v>15</v>
      </c>
      <c r="D497" s="3">
        <v>45962</v>
      </c>
      <c r="E497" s="5">
        <v>170</v>
      </c>
      <c r="F497" s="4">
        <v>5988.2</v>
      </c>
      <c r="G497" s="4">
        <v>3203.07</v>
      </c>
      <c r="H497" s="4">
        <v>2785.13</v>
      </c>
      <c r="I497" s="6">
        <v>4.38</v>
      </c>
      <c r="J497" s="5">
        <v>32</v>
      </c>
    </row>
    <row r="498" spans="1:10">
      <c r="A498" t="s">
        <v>24</v>
      </c>
      <c r="B498" t="s">
        <v>23</v>
      </c>
      <c r="C498" t="s">
        <v>16</v>
      </c>
      <c r="D498" s="3">
        <v>45962</v>
      </c>
      <c r="E498" s="5">
        <v>304</v>
      </c>
      <c r="F498" s="4">
        <v>5761.27</v>
      </c>
      <c r="G498" s="4">
        <v>5548.74</v>
      </c>
      <c r="H498" s="4">
        <v>212.53</v>
      </c>
      <c r="I498" s="6">
        <v>4.38</v>
      </c>
      <c r="J498" s="5">
        <v>32</v>
      </c>
    </row>
    <row r="499" spans="1:10">
      <c r="A499" t="s">
        <v>24</v>
      </c>
      <c r="B499" t="s">
        <v>23</v>
      </c>
      <c r="C499" t="s">
        <v>17</v>
      </c>
      <c r="D499" s="3">
        <v>45962</v>
      </c>
      <c r="E499" s="5">
        <v>114</v>
      </c>
      <c r="F499" s="4">
        <v>6739.22</v>
      </c>
      <c r="G499" s="4">
        <v>4486.13</v>
      </c>
      <c r="H499" s="4">
        <v>2253.09</v>
      </c>
      <c r="I499" s="6">
        <v>4.4400000000000004</v>
      </c>
      <c r="J499" s="5">
        <v>32</v>
      </c>
    </row>
    <row r="500" spans="1:10">
      <c r="A500" t="s">
        <v>24</v>
      </c>
      <c r="B500" t="s">
        <v>23</v>
      </c>
      <c r="C500" t="s">
        <v>12</v>
      </c>
      <c r="D500" s="3">
        <v>45992</v>
      </c>
      <c r="E500" s="5">
        <v>275</v>
      </c>
      <c r="F500" s="4">
        <v>39698.17</v>
      </c>
      <c r="G500" s="4">
        <v>32934.89</v>
      </c>
      <c r="H500" s="4">
        <v>6763.29</v>
      </c>
      <c r="I500" s="6">
        <v>4.5199999999999996</v>
      </c>
      <c r="J500" s="5">
        <v>33</v>
      </c>
    </row>
    <row r="501" spans="1:10">
      <c r="A501" t="s">
        <v>24</v>
      </c>
      <c r="B501" t="s">
        <v>23</v>
      </c>
      <c r="C501" t="s">
        <v>13</v>
      </c>
      <c r="D501" s="3">
        <v>45992</v>
      </c>
      <c r="E501" s="5">
        <v>170</v>
      </c>
      <c r="F501" s="4">
        <v>13166.78</v>
      </c>
      <c r="G501" s="4">
        <v>9840.25</v>
      </c>
      <c r="H501" s="4">
        <v>3326.53</v>
      </c>
      <c r="I501" s="6">
        <v>4.45</v>
      </c>
      <c r="J501" s="5">
        <v>33</v>
      </c>
    </row>
    <row r="502" spans="1:10">
      <c r="A502" t="s">
        <v>24</v>
      </c>
      <c r="B502" t="s">
        <v>23</v>
      </c>
      <c r="C502" t="s">
        <v>14</v>
      </c>
      <c r="D502" s="3">
        <v>45992</v>
      </c>
      <c r="E502" s="5">
        <v>253</v>
      </c>
      <c r="F502" s="4">
        <v>12526.82</v>
      </c>
      <c r="G502" s="4">
        <v>8522.17</v>
      </c>
      <c r="H502" s="4">
        <v>4004.64</v>
      </c>
      <c r="I502" s="6">
        <v>4.6399999999999997</v>
      </c>
      <c r="J502" s="5">
        <v>33</v>
      </c>
    </row>
    <row r="503" spans="1:10">
      <c r="A503" t="s">
        <v>24</v>
      </c>
      <c r="B503" t="s">
        <v>23</v>
      </c>
      <c r="C503" t="s">
        <v>15</v>
      </c>
      <c r="D503" s="3">
        <v>45992</v>
      </c>
      <c r="E503" s="5">
        <v>164</v>
      </c>
      <c r="F503" s="4">
        <v>5627.04</v>
      </c>
      <c r="G503" s="4">
        <v>3050.11</v>
      </c>
      <c r="H503" s="4">
        <v>2576.9299999999998</v>
      </c>
      <c r="I503" s="6">
        <v>4.57</v>
      </c>
      <c r="J503" s="5">
        <v>33</v>
      </c>
    </row>
    <row r="504" spans="1:10">
      <c r="A504" t="s">
        <v>24</v>
      </c>
      <c r="B504" t="s">
        <v>23</v>
      </c>
      <c r="C504" t="s">
        <v>16</v>
      </c>
      <c r="D504" s="3">
        <v>45992</v>
      </c>
      <c r="E504" s="5">
        <v>329</v>
      </c>
      <c r="F504" s="4">
        <v>5708.77</v>
      </c>
      <c r="G504" s="4">
        <v>5480.37</v>
      </c>
      <c r="H504" s="4">
        <v>228.4</v>
      </c>
      <c r="I504" s="6">
        <v>4.5</v>
      </c>
      <c r="J504" s="5">
        <v>33</v>
      </c>
    </row>
    <row r="505" spans="1:10">
      <c r="A505" t="s">
        <v>24</v>
      </c>
      <c r="B505" t="s">
        <v>23</v>
      </c>
      <c r="C505" t="s">
        <v>17</v>
      </c>
      <c r="D505" s="3">
        <v>45992</v>
      </c>
      <c r="E505" s="5">
        <v>142</v>
      </c>
      <c r="F505" s="4">
        <v>9242.5499999999993</v>
      </c>
      <c r="G505" s="4">
        <v>6551.02</v>
      </c>
      <c r="H505" s="4">
        <v>2691.53</v>
      </c>
      <c r="I505" s="6">
        <v>4.68</v>
      </c>
      <c r="J505" s="5">
        <v>33</v>
      </c>
    </row>
    <row r="506" spans="1:10">
      <c r="A506" t="s">
        <v>25</v>
      </c>
      <c r="B506" t="s">
        <v>23</v>
      </c>
      <c r="C506" t="s">
        <v>12</v>
      </c>
      <c r="D506" s="3">
        <v>45658</v>
      </c>
      <c r="E506" s="5">
        <v>117</v>
      </c>
      <c r="F506" s="4">
        <v>16492.82</v>
      </c>
      <c r="G506" s="4">
        <v>12667.43</v>
      </c>
      <c r="H506" s="4">
        <v>3825.39</v>
      </c>
      <c r="I506" s="6">
        <v>4.18</v>
      </c>
      <c r="J506" s="5">
        <v>25</v>
      </c>
    </row>
    <row r="507" spans="1:10">
      <c r="A507" t="s">
        <v>25</v>
      </c>
      <c r="B507" t="s">
        <v>23</v>
      </c>
      <c r="C507" t="s">
        <v>13</v>
      </c>
      <c r="D507" s="3">
        <v>45658</v>
      </c>
      <c r="E507" s="5">
        <v>80</v>
      </c>
      <c r="F507" s="4">
        <v>6197.65</v>
      </c>
      <c r="G507" s="4">
        <v>3912.02</v>
      </c>
      <c r="H507" s="4">
        <v>2285.63</v>
      </c>
      <c r="I507" s="6">
        <v>4.2699999999999996</v>
      </c>
      <c r="J507" s="5">
        <v>25</v>
      </c>
    </row>
    <row r="508" spans="1:10">
      <c r="A508" t="s">
        <v>25</v>
      </c>
      <c r="B508" t="s">
        <v>23</v>
      </c>
      <c r="C508" t="s">
        <v>14</v>
      </c>
      <c r="D508" s="3">
        <v>45658</v>
      </c>
      <c r="E508" s="5">
        <v>112</v>
      </c>
      <c r="F508" s="4">
        <v>5462.15</v>
      </c>
      <c r="G508" s="4">
        <v>3198.1</v>
      </c>
      <c r="H508" s="4">
        <v>2264.0500000000002</v>
      </c>
      <c r="I508" s="6">
        <v>4</v>
      </c>
      <c r="J508" s="5">
        <v>25</v>
      </c>
    </row>
    <row r="509" spans="1:10">
      <c r="A509" t="s">
        <v>25</v>
      </c>
      <c r="B509" t="s">
        <v>23</v>
      </c>
      <c r="C509" t="s">
        <v>15</v>
      </c>
      <c r="D509" s="3">
        <v>45658</v>
      </c>
      <c r="E509" s="5">
        <v>89</v>
      </c>
      <c r="F509" s="4">
        <v>3393.23</v>
      </c>
      <c r="G509" s="4">
        <v>1515.52</v>
      </c>
      <c r="H509" s="4">
        <v>1877.7</v>
      </c>
      <c r="I509" s="6">
        <v>4.01</v>
      </c>
      <c r="J509" s="5">
        <v>25</v>
      </c>
    </row>
    <row r="510" spans="1:10">
      <c r="A510" t="s">
        <v>25</v>
      </c>
      <c r="B510" t="s">
        <v>23</v>
      </c>
      <c r="C510" t="s">
        <v>16</v>
      </c>
      <c r="D510" s="3">
        <v>45658</v>
      </c>
      <c r="E510" s="5">
        <v>175</v>
      </c>
      <c r="F510" s="4">
        <v>3323.02</v>
      </c>
      <c r="G510" s="4">
        <v>2999.5</v>
      </c>
      <c r="H510" s="4">
        <v>323.51</v>
      </c>
      <c r="I510" s="6">
        <v>4.01</v>
      </c>
      <c r="J510" s="5">
        <v>25</v>
      </c>
    </row>
    <row r="511" spans="1:10">
      <c r="A511" t="s">
        <v>25</v>
      </c>
      <c r="B511" t="s">
        <v>23</v>
      </c>
      <c r="C511" t="s">
        <v>17</v>
      </c>
      <c r="D511" s="3">
        <v>45658</v>
      </c>
      <c r="E511" s="5">
        <v>81</v>
      </c>
      <c r="F511" s="4">
        <v>5117.1899999999996</v>
      </c>
      <c r="G511" s="4">
        <v>3185.35</v>
      </c>
      <c r="H511" s="4">
        <v>1931.84</v>
      </c>
      <c r="I511" s="6">
        <v>4.24</v>
      </c>
      <c r="J511" s="5">
        <v>25</v>
      </c>
    </row>
    <row r="512" spans="1:10">
      <c r="A512" t="s">
        <v>25</v>
      </c>
      <c r="B512" t="s">
        <v>23</v>
      </c>
      <c r="C512" t="s">
        <v>12</v>
      </c>
      <c r="D512" s="3">
        <v>45689</v>
      </c>
      <c r="E512" s="5">
        <v>89</v>
      </c>
      <c r="F512" s="4">
        <v>13558.89</v>
      </c>
      <c r="G512" s="4">
        <v>10366.950000000001</v>
      </c>
      <c r="H512" s="4">
        <v>3191.94</v>
      </c>
      <c r="I512" s="6">
        <v>3.96</v>
      </c>
      <c r="J512" s="5">
        <v>26</v>
      </c>
    </row>
    <row r="513" spans="1:10">
      <c r="A513" t="s">
        <v>25</v>
      </c>
      <c r="B513" t="s">
        <v>23</v>
      </c>
      <c r="C513" t="s">
        <v>13</v>
      </c>
      <c r="D513" s="3">
        <v>45689</v>
      </c>
      <c r="E513" s="5">
        <v>99</v>
      </c>
      <c r="F513" s="4">
        <v>7857.79</v>
      </c>
      <c r="G513" s="4">
        <v>5029.1899999999996</v>
      </c>
      <c r="H513" s="4">
        <v>2828.61</v>
      </c>
      <c r="I513" s="6">
        <v>3.97</v>
      </c>
      <c r="J513" s="5">
        <v>26</v>
      </c>
    </row>
    <row r="514" spans="1:10">
      <c r="A514" t="s">
        <v>25</v>
      </c>
      <c r="B514" t="s">
        <v>23</v>
      </c>
      <c r="C514" t="s">
        <v>14</v>
      </c>
      <c r="D514" s="3">
        <v>45689</v>
      </c>
      <c r="E514" s="5">
        <v>115</v>
      </c>
      <c r="F514" s="4">
        <v>5656.47</v>
      </c>
      <c r="G514" s="4">
        <v>3337.34</v>
      </c>
      <c r="H514" s="4">
        <v>2319.13</v>
      </c>
      <c r="I514" s="6">
        <v>4.1500000000000004</v>
      </c>
      <c r="J514" s="5">
        <v>26</v>
      </c>
    </row>
    <row r="515" spans="1:10">
      <c r="A515" t="s">
        <v>25</v>
      </c>
      <c r="B515" t="s">
        <v>23</v>
      </c>
      <c r="C515" t="s">
        <v>15</v>
      </c>
      <c r="D515" s="3">
        <v>45689</v>
      </c>
      <c r="E515" s="5">
        <v>99</v>
      </c>
      <c r="F515" s="4">
        <v>3833.61</v>
      </c>
      <c r="G515" s="4">
        <v>1767.85</v>
      </c>
      <c r="H515" s="4">
        <v>2065.7600000000002</v>
      </c>
      <c r="I515" s="6">
        <v>4.16</v>
      </c>
      <c r="J515" s="5">
        <v>26</v>
      </c>
    </row>
    <row r="516" spans="1:10">
      <c r="A516" t="s">
        <v>25</v>
      </c>
      <c r="B516" t="s">
        <v>23</v>
      </c>
      <c r="C516" t="s">
        <v>16</v>
      </c>
      <c r="D516" s="3">
        <v>45689</v>
      </c>
      <c r="E516" s="5">
        <v>161</v>
      </c>
      <c r="F516" s="4">
        <v>2816.68</v>
      </c>
      <c r="G516" s="4">
        <v>2503.52</v>
      </c>
      <c r="H516" s="4">
        <v>313.16000000000003</v>
      </c>
      <c r="I516" s="6">
        <v>4.04</v>
      </c>
      <c r="J516" s="5">
        <v>26</v>
      </c>
    </row>
    <row r="517" spans="1:10">
      <c r="A517" t="s">
        <v>25</v>
      </c>
      <c r="B517" t="s">
        <v>23</v>
      </c>
      <c r="C517" t="s">
        <v>17</v>
      </c>
      <c r="D517" s="3">
        <v>45689</v>
      </c>
      <c r="E517" s="5">
        <v>65</v>
      </c>
      <c r="F517" s="4">
        <v>3892.99</v>
      </c>
      <c r="G517" s="4">
        <v>2449.5700000000002</v>
      </c>
      <c r="H517" s="4">
        <v>1443.42</v>
      </c>
      <c r="I517" s="6">
        <v>4.07</v>
      </c>
      <c r="J517" s="5">
        <v>26</v>
      </c>
    </row>
    <row r="518" spans="1:10">
      <c r="A518" t="s">
        <v>25</v>
      </c>
      <c r="B518" t="s">
        <v>23</v>
      </c>
      <c r="C518" t="s">
        <v>12</v>
      </c>
      <c r="D518" s="3">
        <v>45717</v>
      </c>
      <c r="E518" s="5">
        <v>116</v>
      </c>
      <c r="F518" s="4">
        <v>16003.98</v>
      </c>
      <c r="G518" s="4">
        <v>11942.03</v>
      </c>
      <c r="H518" s="4">
        <v>4061.96</v>
      </c>
      <c r="I518" s="6">
        <v>4.1900000000000004</v>
      </c>
      <c r="J518" s="5">
        <v>26</v>
      </c>
    </row>
    <row r="519" spans="1:10">
      <c r="A519" t="s">
        <v>25</v>
      </c>
      <c r="B519" t="s">
        <v>23</v>
      </c>
      <c r="C519" t="s">
        <v>13</v>
      </c>
      <c r="D519" s="3">
        <v>45717</v>
      </c>
      <c r="E519" s="5">
        <v>87</v>
      </c>
      <c r="F519" s="4">
        <v>6802.07</v>
      </c>
      <c r="G519" s="4">
        <v>4498.72</v>
      </c>
      <c r="H519" s="4">
        <v>2303.35</v>
      </c>
      <c r="I519" s="6">
        <v>4.05</v>
      </c>
      <c r="J519" s="5">
        <v>26</v>
      </c>
    </row>
    <row r="520" spans="1:10">
      <c r="A520" t="s">
        <v>25</v>
      </c>
      <c r="B520" t="s">
        <v>23</v>
      </c>
      <c r="C520" t="s">
        <v>14</v>
      </c>
      <c r="D520" s="3">
        <v>45717</v>
      </c>
      <c r="E520" s="5">
        <v>151</v>
      </c>
      <c r="F520" s="4">
        <v>7125.93</v>
      </c>
      <c r="G520" s="4">
        <v>4183.09</v>
      </c>
      <c r="H520" s="4">
        <v>2942.83</v>
      </c>
      <c r="I520" s="6">
        <v>4.03</v>
      </c>
      <c r="J520" s="5">
        <v>26</v>
      </c>
    </row>
    <row r="521" spans="1:10">
      <c r="A521" t="s">
        <v>25</v>
      </c>
      <c r="B521" t="s">
        <v>23</v>
      </c>
      <c r="C521" t="s">
        <v>15</v>
      </c>
      <c r="D521" s="3">
        <v>45717</v>
      </c>
      <c r="E521" s="5">
        <v>107</v>
      </c>
      <c r="F521" s="4">
        <v>3692.34</v>
      </c>
      <c r="G521" s="4">
        <v>1710.1</v>
      </c>
      <c r="H521" s="4">
        <v>1982.24</v>
      </c>
      <c r="I521" s="6">
        <v>4.0999999999999996</v>
      </c>
      <c r="J521" s="5">
        <v>26</v>
      </c>
    </row>
    <row r="522" spans="1:10">
      <c r="A522" t="s">
        <v>25</v>
      </c>
      <c r="B522" t="s">
        <v>23</v>
      </c>
      <c r="C522" t="s">
        <v>16</v>
      </c>
      <c r="D522" s="3">
        <v>45717</v>
      </c>
      <c r="E522" s="5">
        <v>161</v>
      </c>
      <c r="F522" s="4">
        <v>2734.77</v>
      </c>
      <c r="G522" s="4">
        <v>2418.04</v>
      </c>
      <c r="H522" s="4">
        <v>316.74</v>
      </c>
      <c r="I522" s="6">
        <v>3.94</v>
      </c>
      <c r="J522" s="5">
        <v>26</v>
      </c>
    </row>
    <row r="523" spans="1:10">
      <c r="A523" t="s">
        <v>25</v>
      </c>
      <c r="B523" t="s">
        <v>23</v>
      </c>
      <c r="C523" t="s">
        <v>17</v>
      </c>
      <c r="D523" s="3">
        <v>45717</v>
      </c>
      <c r="E523" s="5">
        <v>77</v>
      </c>
      <c r="F523" s="4">
        <v>4887.2700000000004</v>
      </c>
      <c r="G523" s="4">
        <v>3056.22</v>
      </c>
      <c r="H523" s="4">
        <v>1831.05</v>
      </c>
      <c r="I523" s="6">
        <v>4.07</v>
      </c>
      <c r="J523" s="5">
        <v>26</v>
      </c>
    </row>
    <row r="524" spans="1:10">
      <c r="A524" t="s">
        <v>25</v>
      </c>
      <c r="B524" t="s">
        <v>23</v>
      </c>
      <c r="C524" t="s">
        <v>12</v>
      </c>
      <c r="D524" s="3">
        <v>45748</v>
      </c>
      <c r="E524" s="5">
        <v>105</v>
      </c>
      <c r="F524" s="4">
        <v>15856.5</v>
      </c>
      <c r="G524" s="4">
        <v>12221.3</v>
      </c>
      <c r="H524" s="4">
        <v>3635.21</v>
      </c>
      <c r="I524" s="6">
        <v>4.29</v>
      </c>
      <c r="J524" s="5">
        <v>26</v>
      </c>
    </row>
    <row r="525" spans="1:10">
      <c r="A525" t="s">
        <v>25</v>
      </c>
      <c r="B525" t="s">
        <v>23</v>
      </c>
      <c r="C525" t="s">
        <v>13</v>
      </c>
      <c r="D525" s="3">
        <v>45748</v>
      </c>
      <c r="E525" s="5">
        <v>117</v>
      </c>
      <c r="F525" s="4">
        <v>8660.67</v>
      </c>
      <c r="G525" s="4">
        <v>5705.93</v>
      </c>
      <c r="H525" s="4">
        <v>2954.73</v>
      </c>
      <c r="I525" s="6">
        <v>4.18</v>
      </c>
      <c r="J525" s="5">
        <v>26</v>
      </c>
    </row>
    <row r="526" spans="1:10">
      <c r="A526" t="s">
        <v>25</v>
      </c>
      <c r="B526" t="s">
        <v>23</v>
      </c>
      <c r="C526" t="s">
        <v>14</v>
      </c>
      <c r="D526" s="3">
        <v>45748</v>
      </c>
      <c r="E526" s="5">
        <v>168</v>
      </c>
      <c r="F526" s="4">
        <v>7883.18</v>
      </c>
      <c r="G526" s="4">
        <v>4614</v>
      </c>
      <c r="H526" s="4">
        <v>3269.19</v>
      </c>
      <c r="I526" s="6">
        <v>3.99</v>
      </c>
      <c r="J526" s="5">
        <v>26</v>
      </c>
    </row>
    <row r="527" spans="1:10">
      <c r="A527" t="s">
        <v>25</v>
      </c>
      <c r="B527" t="s">
        <v>23</v>
      </c>
      <c r="C527" t="s">
        <v>15</v>
      </c>
      <c r="D527" s="3">
        <v>45748</v>
      </c>
      <c r="E527" s="5">
        <v>122</v>
      </c>
      <c r="F527" s="4">
        <v>4298.16</v>
      </c>
      <c r="G527" s="4">
        <v>2029.84</v>
      </c>
      <c r="H527" s="4">
        <v>2268.33</v>
      </c>
      <c r="I527" s="6">
        <v>4.22</v>
      </c>
      <c r="J527" s="5">
        <v>26</v>
      </c>
    </row>
    <row r="528" spans="1:10">
      <c r="A528" t="s">
        <v>25</v>
      </c>
      <c r="B528" t="s">
        <v>23</v>
      </c>
      <c r="C528" t="s">
        <v>16</v>
      </c>
      <c r="D528" s="3">
        <v>45748</v>
      </c>
      <c r="E528" s="5">
        <v>165</v>
      </c>
      <c r="F528" s="4">
        <v>3091.55</v>
      </c>
      <c r="G528" s="4">
        <v>2775.51</v>
      </c>
      <c r="H528" s="4">
        <v>316.04000000000002</v>
      </c>
      <c r="I528" s="6">
        <v>4.13</v>
      </c>
      <c r="J528" s="5">
        <v>26</v>
      </c>
    </row>
    <row r="529" spans="1:10">
      <c r="A529" t="s">
        <v>25</v>
      </c>
      <c r="B529" t="s">
        <v>23</v>
      </c>
      <c r="C529" t="s">
        <v>17</v>
      </c>
      <c r="D529" s="3">
        <v>45748</v>
      </c>
      <c r="E529" s="5">
        <v>100</v>
      </c>
      <c r="F529" s="4">
        <v>6225.42</v>
      </c>
      <c r="G529" s="4">
        <v>3884.95</v>
      </c>
      <c r="H529" s="4">
        <v>2340.4699999999998</v>
      </c>
      <c r="I529" s="6">
        <v>3.94</v>
      </c>
      <c r="J529" s="5">
        <v>26</v>
      </c>
    </row>
    <row r="530" spans="1:10">
      <c r="A530" t="s">
        <v>25</v>
      </c>
      <c r="B530" t="s">
        <v>23</v>
      </c>
      <c r="C530" t="s">
        <v>12</v>
      </c>
      <c r="D530" s="3">
        <v>45778</v>
      </c>
      <c r="E530" s="5">
        <v>121</v>
      </c>
      <c r="F530" s="4">
        <v>18467.349999999999</v>
      </c>
      <c r="G530" s="4">
        <v>14147.54</v>
      </c>
      <c r="H530" s="4">
        <v>4319.8100000000004</v>
      </c>
      <c r="I530" s="6">
        <v>4.0599999999999996</v>
      </c>
      <c r="J530" s="5">
        <v>27</v>
      </c>
    </row>
    <row r="531" spans="1:10">
      <c r="A531" t="s">
        <v>25</v>
      </c>
      <c r="B531" t="s">
        <v>23</v>
      </c>
      <c r="C531" t="s">
        <v>13</v>
      </c>
      <c r="D531" s="3">
        <v>45778</v>
      </c>
      <c r="E531" s="5">
        <v>128</v>
      </c>
      <c r="F531" s="4">
        <v>10254.93</v>
      </c>
      <c r="G531" s="4">
        <v>6956.15</v>
      </c>
      <c r="H531" s="4">
        <v>3298.78</v>
      </c>
      <c r="I531" s="6">
        <v>4.29</v>
      </c>
      <c r="J531" s="5">
        <v>27</v>
      </c>
    </row>
    <row r="532" spans="1:10">
      <c r="A532" t="s">
        <v>25</v>
      </c>
      <c r="B532" t="s">
        <v>23</v>
      </c>
      <c r="C532" t="s">
        <v>14</v>
      </c>
      <c r="D532" s="3">
        <v>45778</v>
      </c>
      <c r="E532" s="5">
        <v>154</v>
      </c>
      <c r="F532" s="4">
        <v>7928.8</v>
      </c>
      <c r="G532" s="4">
        <v>4703.04</v>
      </c>
      <c r="H532" s="4">
        <v>3225.76</v>
      </c>
      <c r="I532" s="6">
        <v>4.05</v>
      </c>
      <c r="J532" s="5">
        <v>27</v>
      </c>
    </row>
    <row r="533" spans="1:10">
      <c r="A533" t="s">
        <v>25</v>
      </c>
      <c r="B533" t="s">
        <v>23</v>
      </c>
      <c r="C533" t="s">
        <v>15</v>
      </c>
      <c r="D533" s="3">
        <v>45778</v>
      </c>
      <c r="E533" s="5">
        <v>130</v>
      </c>
      <c r="F533" s="4">
        <v>5031.1899999999996</v>
      </c>
      <c r="G533" s="4">
        <v>2503.58</v>
      </c>
      <c r="H533" s="4">
        <v>2527.61</v>
      </c>
      <c r="I533" s="6">
        <v>4.04</v>
      </c>
      <c r="J533" s="5">
        <v>27</v>
      </c>
    </row>
    <row r="534" spans="1:10">
      <c r="A534" t="s">
        <v>25</v>
      </c>
      <c r="B534" t="s">
        <v>23</v>
      </c>
      <c r="C534" t="s">
        <v>16</v>
      </c>
      <c r="D534" s="3">
        <v>45778</v>
      </c>
      <c r="E534" s="5">
        <v>196</v>
      </c>
      <c r="F534" s="4">
        <v>3600.76</v>
      </c>
      <c r="G534" s="4">
        <v>3204.78</v>
      </c>
      <c r="H534" s="4">
        <v>395.98</v>
      </c>
      <c r="I534" s="6">
        <v>4.04</v>
      </c>
      <c r="J534" s="5">
        <v>27</v>
      </c>
    </row>
    <row r="535" spans="1:10">
      <c r="A535" t="s">
        <v>25</v>
      </c>
      <c r="B535" t="s">
        <v>23</v>
      </c>
      <c r="C535" t="s">
        <v>17</v>
      </c>
      <c r="D535" s="3">
        <v>45778</v>
      </c>
      <c r="E535" s="5">
        <v>107</v>
      </c>
      <c r="F535" s="4">
        <v>6994.29</v>
      </c>
      <c r="G535" s="4">
        <v>4475.3900000000003</v>
      </c>
      <c r="H535" s="4">
        <v>2518.9</v>
      </c>
      <c r="I535" s="6">
        <v>3.98</v>
      </c>
      <c r="J535" s="5">
        <v>27</v>
      </c>
    </row>
    <row r="536" spans="1:10">
      <c r="A536" t="s">
        <v>25</v>
      </c>
      <c r="B536" t="s">
        <v>23</v>
      </c>
      <c r="C536" t="s">
        <v>12</v>
      </c>
      <c r="D536" s="3">
        <v>45809</v>
      </c>
      <c r="E536" s="5">
        <v>123</v>
      </c>
      <c r="F536" s="4">
        <v>18467.07</v>
      </c>
      <c r="G536" s="4">
        <v>14447.61</v>
      </c>
      <c r="H536" s="4">
        <v>4019.46</v>
      </c>
      <c r="I536" s="6">
        <v>4.28</v>
      </c>
      <c r="J536" s="5">
        <v>27</v>
      </c>
    </row>
    <row r="537" spans="1:10">
      <c r="A537" t="s">
        <v>25</v>
      </c>
      <c r="B537" t="s">
        <v>23</v>
      </c>
      <c r="C537" t="s">
        <v>13</v>
      </c>
      <c r="D537" s="3">
        <v>45809</v>
      </c>
      <c r="E537" s="5">
        <v>115</v>
      </c>
      <c r="F537" s="4">
        <v>8780.44</v>
      </c>
      <c r="G537" s="4">
        <v>5956.44</v>
      </c>
      <c r="H537" s="4">
        <v>2824</v>
      </c>
      <c r="I537" s="6">
        <v>4.09</v>
      </c>
      <c r="J537" s="5">
        <v>27</v>
      </c>
    </row>
    <row r="538" spans="1:10">
      <c r="A538" t="s">
        <v>25</v>
      </c>
      <c r="B538" t="s">
        <v>23</v>
      </c>
      <c r="C538" t="s">
        <v>14</v>
      </c>
      <c r="D538" s="3">
        <v>45809</v>
      </c>
      <c r="E538" s="5">
        <v>149</v>
      </c>
      <c r="F538" s="4">
        <v>7542.89</v>
      </c>
      <c r="G538" s="4">
        <v>4682.79</v>
      </c>
      <c r="H538" s="4">
        <v>2860.11</v>
      </c>
      <c r="I538" s="6">
        <v>4.08</v>
      </c>
      <c r="J538" s="5">
        <v>27</v>
      </c>
    </row>
    <row r="539" spans="1:10">
      <c r="A539" t="s">
        <v>25</v>
      </c>
      <c r="B539" t="s">
        <v>23</v>
      </c>
      <c r="C539" t="s">
        <v>15</v>
      </c>
      <c r="D539" s="3">
        <v>45809</v>
      </c>
      <c r="E539" s="5">
        <v>144</v>
      </c>
      <c r="F539" s="4">
        <v>5235.33</v>
      </c>
      <c r="G539" s="4">
        <v>2585.84</v>
      </c>
      <c r="H539" s="4">
        <v>2649.5</v>
      </c>
      <c r="I539" s="6">
        <v>4.0199999999999996</v>
      </c>
      <c r="J539" s="5">
        <v>27</v>
      </c>
    </row>
    <row r="540" spans="1:10">
      <c r="A540" t="s">
        <v>25</v>
      </c>
      <c r="B540" t="s">
        <v>23</v>
      </c>
      <c r="C540" t="s">
        <v>16</v>
      </c>
      <c r="D540" s="3">
        <v>45809</v>
      </c>
      <c r="E540" s="5">
        <v>197</v>
      </c>
      <c r="F540" s="4">
        <v>3724.97</v>
      </c>
      <c r="G540" s="4">
        <v>3303.07</v>
      </c>
      <c r="H540" s="4">
        <v>421.9</v>
      </c>
      <c r="I540" s="6">
        <v>4.26</v>
      </c>
      <c r="J540" s="5">
        <v>27</v>
      </c>
    </row>
    <row r="541" spans="1:10">
      <c r="A541" t="s">
        <v>25</v>
      </c>
      <c r="B541" t="s">
        <v>23</v>
      </c>
      <c r="C541" t="s">
        <v>17</v>
      </c>
      <c r="D541" s="3">
        <v>45809</v>
      </c>
      <c r="E541" s="5">
        <v>110</v>
      </c>
      <c r="F541" s="4">
        <v>6868.37</v>
      </c>
      <c r="G541" s="4">
        <v>4437.87</v>
      </c>
      <c r="H541" s="4">
        <v>2430.5</v>
      </c>
      <c r="I541" s="6">
        <v>4.12</v>
      </c>
      <c r="J541" s="5">
        <v>27</v>
      </c>
    </row>
    <row r="542" spans="1:10">
      <c r="A542" t="s">
        <v>25</v>
      </c>
      <c r="B542" t="s">
        <v>23</v>
      </c>
      <c r="C542" t="s">
        <v>12</v>
      </c>
      <c r="D542" s="3">
        <v>45839</v>
      </c>
      <c r="E542" s="5">
        <v>121</v>
      </c>
      <c r="F542" s="4">
        <v>17375.41</v>
      </c>
      <c r="G542" s="4">
        <v>13981.16</v>
      </c>
      <c r="H542" s="4">
        <v>3394.25</v>
      </c>
      <c r="I542" s="6">
        <v>4.13</v>
      </c>
      <c r="J542" s="5">
        <v>28</v>
      </c>
    </row>
    <row r="543" spans="1:10">
      <c r="A543" t="s">
        <v>25</v>
      </c>
      <c r="B543" t="s">
        <v>23</v>
      </c>
      <c r="C543" t="s">
        <v>13</v>
      </c>
      <c r="D543" s="3">
        <v>45839</v>
      </c>
      <c r="E543" s="5">
        <v>122</v>
      </c>
      <c r="F543" s="4">
        <v>9544.09</v>
      </c>
      <c r="G543" s="4">
        <v>6291.15</v>
      </c>
      <c r="H543" s="4">
        <v>3252.94</v>
      </c>
      <c r="I543" s="6">
        <v>4.21</v>
      </c>
      <c r="J543" s="5">
        <v>28</v>
      </c>
    </row>
    <row r="544" spans="1:10">
      <c r="A544" t="s">
        <v>25</v>
      </c>
      <c r="B544" t="s">
        <v>23</v>
      </c>
      <c r="C544" t="s">
        <v>14</v>
      </c>
      <c r="D544" s="3">
        <v>45839</v>
      </c>
      <c r="E544" s="5">
        <v>154</v>
      </c>
      <c r="F544" s="4">
        <v>7618.05</v>
      </c>
      <c r="G544" s="4">
        <v>4564.41</v>
      </c>
      <c r="H544" s="4">
        <v>3053.64</v>
      </c>
      <c r="I544" s="6">
        <v>4.29</v>
      </c>
      <c r="J544" s="5">
        <v>28</v>
      </c>
    </row>
    <row r="545" spans="1:10">
      <c r="A545" t="s">
        <v>25</v>
      </c>
      <c r="B545" t="s">
        <v>23</v>
      </c>
      <c r="C545" t="s">
        <v>15</v>
      </c>
      <c r="D545" s="3">
        <v>45839</v>
      </c>
      <c r="E545" s="5">
        <v>126</v>
      </c>
      <c r="F545" s="4">
        <v>4694.0600000000004</v>
      </c>
      <c r="G545" s="4">
        <v>2314.23</v>
      </c>
      <c r="H545" s="4">
        <v>2379.83</v>
      </c>
      <c r="I545" s="6">
        <v>4.21</v>
      </c>
      <c r="J545" s="5">
        <v>28</v>
      </c>
    </row>
    <row r="546" spans="1:10">
      <c r="A546" t="s">
        <v>25</v>
      </c>
      <c r="B546" t="s">
        <v>23</v>
      </c>
      <c r="C546" t="s">
        <v>16</v>
      </c>
      <c r="D546" s="3">
        <v>45839</v>
      </c>
      <c r="E546" s="5">
        <v>240</v>
      </c>
      <c r="F546" s="4">
        <v>4067.18</v>
      </c>
      <c r="G546" s="4">
        <v>3671.61</v>
      </c>
      <c r="H546" s="4">
        <v>395.57</v>
      </c>
      <c r="I546" s="6">
        <v>4.09</v>
      </c>
      <c r="J546" s="5">
        <v>28</v>
      </c>
    </row>
    <row r="547" spans="1:10">
      <c r="A547" t="s">
        <v>25</v>
      </c>
      <c r="B547" t="s">
        <v>23</v>
      </c>
      <c r="C547" t="s">
        <v>17</v>
      </c>
      <c r="D547" s="3">
        <v>45839</v>
      </c>
      <c r="E547" s="5">
        <v>126</v>
      </c>
      <c r="F547" s="4">
        <v>7910.68</v>
      </c>
      <c r="G547" s="4">
        <v>5214.4799999999996</v>
      </c>
      <c r="H547" s="4">
        <v>2696.2</v>
      </c>
      <c r="I547" s="6">
        <v>4.1399999999999997</v>
      </c>
      <c r="J547" s="5">
        <v>28</v>
      </c>
    </row>
    <row r="548" spans="1:10">
      <c r="A548" t="s">
        <v>25</v>
      </c>
      <c r="B548" t="s">
        <v>23</v>
      </c>
      <c r="C548" t="s">
        <v>12</v>
      </c>
      <c r="D548" s="3">
        <v>45870</v>
      </c>
      <c r="E548" s="5">
        <v>126</v>
      </c>
      <c r="F548" s="4">
        <v>18911.97</v>
      </c>
      <c r="G548" s="4">
        <v>15149.42</v>
      </c>
      <c r="H548" s="4">
        <v>3762.54</v>
      </c>
      <c r="I548" s="6">
        <v>3.99</v>
      </c>
      <c r="J548" s="5">
        <v>28</v>
      </c>
    </row>
    <row r="549" spans="1:10">
      <c r="A549" t="s">
        <v>25</v>
      </c>
      <c r="B549" t="s">
        <v>23</v>
      </c>
      <c r="C549" t="s">
        <v>13</v>
      </c>
      <c r="D549" s="3">
        <v>45870</v>
      </c>
      <c r="E549" s="5">
        <v>129</v>
      </c>
      <c r="F549" s="4">
        <v>10585.17</v>
      </c>
      <c r="G549" s="4">
        <v>7211.62</v>
      </c>
      <c r="H549" s="4">
        <v>3373.55</v>
      </c>
      <c r="I549" s="6">
        <v>4.04</v>
      </c>
      <c r="J549" s="5">
        <v>28</v>
      </c>
    </row>
    <row r="550" spans="1:10">
      <c r="A550" t="s">
        <v>25</v>
      </c>
      <c r="B550" t="s">
        <v>23</v>
      </c>
      <c r="C550" t="s">
        <v>14</v>
      </c>
      <c r="D550" s="3">
        <v>45870</v>
      </c>
      <c r="E550" s="5">
        <v>186</v>
      </c>
      <c r="F550" s="4">
        <v>9431.4</v>
      </c>
      <c r="G550" s="4">
        <v>5947.34</v>
      </c>
      <c r="H550" s="4">
        <v>3484.06</v>
      </c>
      <c r="I550" s="6">
        <v>4.0599999999999996</v>
      </c>
      <c r="J550" s="5">
        <v>28</v>
      </c>
    </row>
    <row r="551" spans="1:10">
      <c r="A551" t="s">
        <v>25</v>
      </c>
      <c r="B551" t="s">
        <v>23</v>
      </c>
      <c r="C551" t="s">
        <v>15</v>
      </c>
      <c r="D551" s="3">
        <v>45870</v>
      </c>
      <c r="E551" s="5">
        <v>126</v>
      </c>
      <c r="F551" s="4">
        <v>4481.7</v>
      </c>
      <c r="G551" s="4">
        <v>2288.19</v>
      </c>
      <c r="H551" s="4">
        <v>2193.5100000000002</v>
      </c>
      <c r="I551" s="6">
        <v>4.12</v>
      </c>
      <c r="J551" s="5">
        <v>28</v>
      </c>
    </row>
    <row r="552" spans="1:10">
      <c r="A552" t="s">
        <v>25</v>
      </c>
      <c r="B552" t="s">
        <v>23</v>
      </c>
      <c r="C552" t="s">
        <v>16</v>
      </c>
      <c r="D552" s="3">
        <v>45870</v>
      </c>
      <c r="E552" s="5">
        <v>206</v>
      </c>
      <c r="F552" s="4">
        <v>3860.32</v>
      </c>
      <c r="G552" s="4">
        <v>3549.06</v>
      </c>
      <c r="H552" s="4">
        <v>311.26</v>
      </c>
      <c r="I552" s="6">
        <v>3.93</v>
      </c>
      <c r="J552" s="5">
        <v>28</v>
      </c>
    </row>
    <row r="553" spans="1:10">
      <c r="A553" t="s">
        <v>25</v>
      </c>
      <c r="B553" t="s">
        <v>23</v>
      </c>
      <c r="C553" t="s">
        <v>17</v>
      </c>
      <c r="D553" s="3">
        <v>45870</v>
      </c>
      <c r="E553" s="5">
        <v>126</v>
      </c>
      <c r="F553" s="4">
        <v>7392.15</v>
      </c>
      <c r="G553" s="4">
        <v>4955.49</v>
      </c>
      <c r="H553" s="4">
        <v>2436.66</v>
      </c>
      <c r="I553" s="6">
        <v>3.94</v>
      </c>
      <c r="J553" s="5">
        <v>28</v>
      </c>
    </row>
    <row r="554" spans="1:10">
      <c r="A554" t="s">
        <v>25</v>
      </c>
      <c r="B554" t="s">
        <v>23</v>
      </c>
      <c r="C554" t="s">
        <v>12</v>
      </c>
      <c r="D554" s="3">
        <v>45901</v>
      </c>
      <c r="E554" s="5">
        <v>119</v>
      </c>
      <c r="F554" s="4">
        <v>16616.73</v>
      </c>
      <c r="G554" s="4">
        <v>13645.15</v>
      </c>
      <c r="H554" s="4">
        <v>2971.58</v>
      </c>
      <c r="I554" s="6">
        <v>4.0199999999999996</v>
      </c>
      <c r="J554" s="5">
        <v>26</v>
      </c>
    </row>
    <row r="555" spans="1:10">
      <c r="A555" t="s">
        <v>25</v>
      </c>
      <c r="B555" t="s">
        <v>23</v>
      </c>
      <c r="C555" t="s">
        <v>13</v>
      </c>
      <c r="D555" s="3">
        <v>45901</v>
      </c>
      <c r="E555" s="5">
        <v>105</v>
      </c>
      <c r="F555" s="4">
        <v>7696.1</v>
      </c>
      <c r="G555" s="4">
        <v>5186.9399999999996</v>
      </c>
      <c r="H555" s="4">
        <v>2509.16</v>
      </c>
      <c r="I555" s="6">
        <v>4.1399999999999997</v>
      </c>
      <c r="J555" s="5">
        <v>26</v>
      </c>
    </row>
    <row r="556" spans="1:10">
      <c r="A556" t="s">
        <v>25</v>
      </c>
      <c r="B556" t="s">
        <v>23</v>
      </c>
      <c r="C556" t="s">
        <v>14</v>
      </c>
      <c r="D556" s="3">
        <v>45901</v>
      </c>
      <c r="E556" s="5">
        <v>155</v>
      </c>
      <c r="F556" s="4">
        <v>7415.5</v>
      </c>
      <c r="G556" s="4">
        <v>4568.76</v>
      </c>
      <c r="H556" s="4">
        <v>2846.73</v>
      </c>
      <c r="I556" s="6">
        <v>4.17</v>
      </c>
      <c r="J556" s="5">
        <v>26</v>
      </c>
    </row>
    <row r="557" spans="1:10">
      <c r="A557" t="s">
        <v>25</v>
      </c>
      <c r="B557" t="s">
        <v>23</v>
      </c>
      <c r="C557" t="s">
        <v>15</v>
      </c>
      <c r="D557" s="3">
        <v>45901</v>
      </c>
      <c r="E557" s="5">
        <v>120</v>
      </c>
      <c r="F557" s="4">
        <v>4322.1499999999996</v>
      </c>
      <c r="G557" s="4">
        <v>2133.63</v>
      </c>
      <c r="H557" s="4">
        <v>2188.52</v>
      </c>
      <c r="I557" s="6">
        <v>4.16</v>
      </c>
      <c r="J557" s="5">
        <v>26</v>
      </c>
    </row>
    <row r="558" spans="1:10">
      <c r="A558" t="s">
        <v>25</v>
      </c>
      <c r="B558" t="s">
        <v>23</v>
      </c>
      <c r="C558" t="s">
        <v>16</v>
      </c>
      <c r="D558" s="3">
        <v>45901</v>
      </c>
      <c r="E558" s="5">
        <v>209</v>
      </c>
      <c r="F558" s="4">
        <v>3741.07</v>
      </c>
      <c r="G558" s="4">
        <v>3514.36</v>
      </c>
      <c r="H558" s="4">
        <v>226.71</v>
      </c>
      <c r="I558" s="6">
        <v>3.98</v>
      </c>
      <c r="J558" s="5">
        <v>26</v>
      </c>
    </row>
    <row r="559" spans="1:10">
      <c r="A559" t="s">
        <v>25</v>
      </c>
      <c r="B559" t="s">
        <v>23</v>
      </c>
      <c r="C559" t="s">
        <v>17</v>
      </c>
      <c r="D559" s="3">
        <v>45901</v>
      </c>
      <c r="E559" s="5">
        <v>101</v>
      </c>
      <c r="F559" s="4">
        <v>6545.83</v>
      </c>
      <c r="G559" s="4">
        <v>4453.6099999999997</v>
      </c>
      <c r="H559" s="4">
        <v>2092.2199999999998</v>
      </c>
      <c r="I559" s="6">
        <v>3.96</v>
      </c>
      <c r="J559" s="5">
        <v>26</v>
      </c>
    </row>
    <row r="560" spans="1:10">
      <c r="A560" t="s">
        <v>25</v>
      </c>
      <c r="B560" t="s">
        <v>23</v>
      </c>
      <c r="C560" t="s">
        <v>12</v>
      </c>
      <c r="D560" s="3">
        <v>45931</v>
      </c>
      <c r="E560" s="5">
        <v>140</v>
      </c>
      <c r="F560" s="4">
        <v>20121.580000000002</v>
      </c>
      <c r="G560" s="4">
        <v>15883.71</v>
      </c>
      <c r="H560" s="4">
        <v>4237.87</v>
      </c>
      <c r="I560" s="6">
        <v>3.98</v>
      </c>
      <c r="J560" s="5">
        <v>25</v>
      </c>
    </row>
    <row r="561" spans="1:10">
      <c r="A561" t="s">
        <v>25</v>
      </c>
      <c r="B561" t="s">
        <v>23</v>
      </c>
      <c r="C561" t="s">
        <v>13</v>
      </c>
      <c r="D561" s="3">
        <v>45931</v>
      </c>
      <c r="E561" s="5">
        <v>111</v>
      </c>
      <c r="F561" s="4">
        <v>8721.9699999999993</v>
      </c>
      <c r="G561" s="4">
        <v>6049.22</v>
      </c>
      <c r="H561" s="4">
        <v>2672.74</v>
      </c>
      <c r="I561" s="6">
        <v>4.28</v>
      </c>
      <c r="J561" s="5">
        <v>25</v>
      </c>
    </row>
    <row r="562" spans="1:10">
      <c r="A562" t="s">
        <v>25</v>
      </c>
      <c r="B562" t="s">
        <v>23</v>
      </c>
      <c r="C562" t="s">
        <v>14</v>
      </c>
      <c r="D562" s="3">
        <v>45931</v>
      </c>
      <c r="E562" s="5">
        <v>150</v>
      </c>
      <c r="F562" s="4">
        <v>7163.68</v>
      </c>
      <c r="G562" s="4">
        <v>4436.6499999999996</v>
      </c>
      <c r="H562" s="4">
        <v>2727.03</v>
      </c>
      <c r="I562" s="6">
        <v>4.0599999999999996</v>
      </c>
      <c r="J562" s="5">
        <v>25</v>
      </c>
    </row>
    <row r="563" spans="1:10">
      <c r="A563" t="s">
        <v>25</v>
      </c>
      <c r="B563" t="s">
        <v>23</v>
      </c>
      <c r="C563" t="s">
        <v>15</v>
      </c>
      <c r="D563" s="3">
        <v>45931</v>
      </c>
      <c r="E563" s="5">
        <v>138</v>
      </c>
      <c r="F563" s="4">
        <v>4988.37</v>
      </c>
      <c r="G563" s="4">
        <v>2513.64</v>
      </c>
      <c r="H563" s="4">
        <v>2474.73</v>
      </c>
      <c r="I563" s="6">
        <v>4.18</v>
      </c>
      <c r="J563" s="5">
        <v>25</v>
      </c>
    </row>
    <row r="564" spans="1:10">
      <c r="A564" t="s">
        <v>25</v>
      </c>
      <c r="B564" t="s">
        <v>23</v>
      </c>
      <c r="C564" t="s">
        <v>16</v>
      </c>
      <c r="D564" s="3">
        <v>45931</v>
      </c>
      <c r="E564" s="5">
        <v>225</v>
      </c>
      <c r="F564" s="4">
        <v>4141.63</v>
      </c>
      <c r="G564" s="4">
        <v>3908.22</v>
      </c>
      <c r="H564" s="4">
        <v>233.4</v>
      </c>
      <c r="I564" s="6">
        <v>4.0199999999999996</v>
      </c>
      <c r="J564" s="5">
        <v>25</v>
      </c>
    </row>
    <row r="565" spans="1:10">
      <c r="A565" t="s">
        <v>25</v>
      </c>
      <c r="B565" t="s">
        <v>23</v>
      </c>
      <c r="C565" t="s">
        <v>17</v>
      </c>
      <c r="D565" s="3">
        <v>45931</v>
      </c>
      <c r="E565" s="5">
        <v>81</v>
      </c>
      <c r="F565" s="4">
        <v>4888.42</v>
      </c>
      <c r="G565" s="4">
        <v>3219.07</v>
      </c>
      <c r="H565" s="4">
        <v>1669.35</v>
      </c>
      <c r="I565" s="6">
        <v>4.07</v>
      </c>
      <c r="J565" s="5">
        <v>25</v>
      </c>
    </row>
    <row r="566" spans="1:10">
      <c r="A566" t="s">
        <v>25</v>
      </c>
      <c r="B566" t="s">
        <v>23</v>
      </c>
      <c r="C566" t="s">
        <v>12</v>
      </c>
      <c r="D566" s="3">
        <v>45962</v>
      </c>
      <c r="E566" s="5">
        <v>202</v>
      </c>
      <c r="F566" s="4">
        <v>28097.94</v>
      </c>
      <c r="G566" s="4">
        <v>22600.53</v>
      </c>
      <c r="H566" s="4">
        <v>5497.41</v>
      </c>
      <c r="I566" s="6">
        <v>4</v>
      </c>
      <c r="J566" s="5">
        <v>28</v>
      </c>
    </row>
    <row r="567" spans="1:10">
      <c r="A567" t="s">
        <v>25</v>
      </c>
      <c r="B567" t="s">
        <v>23</v>
      </c>
      <c r="C567" t="s">
        <v>13</v>
      </c>
      <c r="D567" s="3">
        <v>45962</v>
      </c>
      <c r="E567" s="5">
        <v>146</v>
      </c>
      <c r="F567" s="4">
        <v>11417.45</v>
      </c>
      <c r="G567" s="4">
        <v>8084.98</v>
      </c>
      <c r="H567" s="4">
        <v>3332.48</v>
      </c>
      <c r="I567" s="6">
        <v>4.17</v>
      </c>
      <c r="J567" s="5">
        <v>28</v>
      </c>
    </row>
    <row r="568" spans="1:10">
      <c r="A568" t="s">
        <v>25</v>
      </c>
      <c r="B568" t="s">
        <v>23</v>
      </c>
      <c r="C568" t="s">
        <v>14</v>
      </c>
      <c r="D568" s="3">
        <v>45962</v>
      </c>
      <c r="E568" s="5">
        <v>240</v>
      </c>
      <c r="F568" s="4">
        <v>11618.49</v>
      </c>
      <c r="G568" s="4">
        <v>7275.35</v>
      </c>
      <c r="H568" s="4">
        <v>4343.1400000000003</v>
      </c>
      <c r="I568" s="6">
        <v>4.05</v>
      </c>
      <c r="J568" s="5">
        <v>28</v>
      </c>
    </row>
    <row r="569" spans="1:10">
      <c r="A569" t="s">
        <v>25</v>
      </c>
      <c r="B569" t="s">
        <v>23</v>
      </c>
      <c r="C569" t="s">
        <v>15</v>
      </c>
      <c r="D569" s="3">
        <v>45962</v>
      </c>
      <c r="E569" s="5">
        <v>154</v>
      </c>
      <c r="F569" s="4">
        <v>5561.41</v>
      </c>
      <c r="G569" s="4">
        <v>2814.48</v>
      </c>
      <c r="H569" s="4">
        <v>2746.93</v>
      </c>
      <c r="I569" s="6">
        <v>4.0599999999999996</v>
      </c>
      <c r="J569" s="5">
        <v>28</v>
      </c>
    </row>
    <row r="570" spans="1:10">
      <c r="A570" t="s">
        <v>25</v>
      </c>
      <c r="B570" t="s">
        <v>23</v>
      </c>
      <c r="C570" t="s">
        <v>16</v>
      </c>
      <c r="D570" s="3">
        <v>45962</v>
      </c>
      <c r="E570" s="5">
        <v>276</v>
      </c>
      <c r="F570" s="4">
        <v>5236.92</v>
      </c>
      <c r="G570" s="4">
        <v>5059.7</v>
      </c>
      <c r="H570" s="4">
        <v>177.22</v>
      </c>
      <c r="I570" s="6">
        <v>4.09</v>
      </c>
      <c r="J570" s="5">
        <v>28</v>
      </c>
    </row>
    <row r="571" spans="1:10">
      <c r="A571" t="s">
        <v>25</v>
      </c>
      <c r="B571" t="s">
        <v>23</v>
      </c>
      <c r="C571" t="s">
        <v>17</v>
      </c>
      <c r="D571" s="3">
        <v>45962</v>
      </c>
      <c r="E571" s="5">
        <v>116</v>
      </c>
      <c r="F571" s="4">
        <v>7258.86</v>
      </c>
      <c r="G571" s="4">
        <v>4990.72</v>
      </c>
      <c r="H571" s="4">
        <v>2268.13</v>
      </c>
      <c r="I571" s="6">
        <v>4.08</v>
      </c>
      <c r="J571" s="5">
        <v>28</v>
      </c>
    </row>
    <row r="572" spans="1:10">
      <c r="A572" t="s">
        <v>25</v>
      </c>
      <c r="B572" t="s">
        <v>23</v>
      </c>
      <c r="C572" t="s">
        <v>12</v>
      </c>
      <c r="D572" s="3">
        <v>45992</v>
      </c>
      <c r="E572" s="5">
        <v>237</v>
      </c>
      <c r="F572" s="4">
        <v>32451.57</v>
      </c>
      <c r="G572" s="4">
        <v>27554.46</v>
      </c>
      <c r="H572" s="4">
        <v>4897.12</v>
      </c>
      <c r="I572" s="6">
        <v>4.04</v>
      </c>
      <c r="J572" s="5">
        <v>29</v>
      </c>
    </row>
    <row r="573" spans="1:10">
      <c r="A573" t="s">
        <v>25</v>
      </c>
      <c r="B573" t="s">
        <v>23</v>
      </c>
      <c r="C573" t="s">
        <v>13</v>
      </c>
      <c r="D573" s="3">
        <v>45992</v>
      </c>
      <c r="E573" s="5">
        <v>164</v>
      </c>
      <c r="F573" s="4">
        <v>12195.77</v>
      </c>
      <c r="G573" s="4">
        <v>8874.11</v>
      </c>
      <c r="H573" s="4">
        <v>3321.66</v>
      </c>
      <c r="I573" s="6">
        <v>4</v>
      </c>
      <c r="J573" s="5">
        <v>29</v>
      </c>
    </row>
    <row r="574" spans="1:10">
      <c r="A574" t="s">
        <v>25</v>
      </c>
      <c r="B574" t="s">
        <v>23</v>
      </c>
      <c r="C574" t="s">
        <v>14</v>
      </c>
      <c r="D574" s="3">
        <v>45992</v>
      </c>
      <c r="E574" s="5">
        <v>215</v>
      </c>
      <c r="F574" s="4">
        <v>10807.4</v>
      </c>
      <c r="G574" s="4">
        <v>7219.2</v>
      </c>
      <c r="H574" s="4">
        <v>3588.2</v>
      </c>
      <c r="I574" s="6">
        <v>3.98</v>
      </c>
      <c r="J574" s="5">
        <v>29</v>
      </c>
    </row>
    <row r="575" spans="1:10">
      <c r="A575" t="s">
        <v>25</v>
      </c>
      <c r="B575" t="s">
        <v>23</v>
      </c>
      <c r="C575" t="s">
        <v>15</v>
      </c>
      <c r="D575" s="3">
        <v>45992</v>
      </c>
      <c r="E575" s="5">
        <v>178</v>
      </c>
      <c r="F575" s="4">
        <v>6125.98</v>
      </c>
      <c r="G575" s="4">
        <v>3400</v>
      </c>
      <c r="H575" s="4">
        <v>2725.98</v>
      </c>
      <c r="I575" s="6">
        <v>4.2300000000000004</v>
      </c>
      <c r="J575" s="5">
        <v>29</v>
      </c>
    </row>
    <row r="576" spans="1:10">
      <c r="A576" t="s">
        <v>25</v>
      </c>
      <c r="B576" t="s">
        <v>23</v>
      </c>
      <c r="C576" t="s">
        <v>16</v>
      </c>
      <c r="D576" s="3">
        <v>45992</v>
      </c>
      <c r="E576" s="5">
        <v>269</v>
      </c>
      <c r="F576" s="4">
        <v>4579.6899999999996</v>
      </c>
      <c r="G576" s="4">
        <v>4454.26</v>
      </c>
      <c r="H576" s="4">
        <v>125.42</v>
      </c>
      <c r="I576" s="6">
        <v>4.0999999999999996</v>
      </c>
      <c r="J576" s="5">
        <v>29</v>
      </c>
    </row>
    <row r="577" spans="1:10">
      <c r="A577" t="s">
        <v>25</v>
      </c>
      <c r="B577" t="s">
        <v>23</v>
      </c>
      <c r="C577" t="s">
        <v>17</v>
      </c>
      <c r="D577" s="3">
        <v>45992</v>
      </c>
      <c r="E577" s="5">
        <v>143</v>
      </c>
      <c r="F577" s="4">
        <v>9562.59</v>
      </c>
      <c r="G577" s="4">
        <v>6590.14</v>
      </c>
      <c r="H577" s="4">
        <v>2972.45</v>
      </c>
      <c r="I577" s="6">
        <v>4.2300000000000004</v>
      </c>
      <c r="J577" s="5">
        <v>29</v>
      </c>
    </row>
    <row r="578" spans="1:10">
      <c r="A578" t="s">
        <v>26</v>
      </c>
      <c r="B578" t="s">
        <v>23</v>
      </c>
      <c r="C578" t="s">
        <v>12</v>
      </c>
      <c r="D578" s="3">
        <v>45658</v>
      </c>
      <c r="E578" s="5">
        <v>75</v>
      </c>
      <c r="F578" s="4">
        <v>10907.22</v>
      </c>
      <c r="G578" s="4">
        <v>8106.09</v>
      </c>
      <c r="H578" s="4">
        <v>2801.13</v>
      </c>
      <c r="I578" s="6">
        <v>3.8</v>
      </c>
      <c r="J578" s="5">
        <v>24</v>
      </c>
    </row>
    <row r="579" spans="1:10">
      <c r="A579" t="s">
        <v>26</v>
      </c>
      <c r="B579" t="s">
        <v>23</v>
      </c>
      <c r="C579" t="s">
        <v>13</v>
      </c>
      <c r="D579" s="3">
        <v>45658</v>
      </c>
      <c r="E579" s="5">
        <v>101</v>
      </c>
      <c r="F579" s="4">
        <v>7687.28</v>
      </c>
      <c r="G579" s="4">
        <v>5065.67</v>
      </c>
      <c r="H579" s="4">
        <v>2621.61</v>
      </c>
      <c r="I579" s="6">
        <v>3.79</v>
      </c>
      <c r="J579" s="5">
        <v>24</v>
      </c>
    </row>
    <row r="580" spans="1:10">
      <c r="A580" t="s">
        <v>26</v>
      </c>
      <c r="B580" t="s">
        <v>23</v>
      </c>
      <c r="C580" t="s">
        <v>14</v>
      </c>
      <c r="D580" s="3">
        <v>45658</v>
      </c>
      <c r="E580" s="5">
        <v>97</v>
      </c>
      <c r="F580" s="4">
        <v>4759.87</v>
      </c>
      <c r="G580" s="4">
        <v>2735.98</v>
      </c>
      <c r="H580" s="4">
        <v>2023.89</v>
      </c>
      <c r="I580" s="6">
        <v>3.76</v>
      </c>
      <c r="J580" s="5">
        <v>24</v>
      </c>
    </row>
    <row r="581" spans="1:10">
      <c r="A581" t="s">
        <v>26</v>
      </c>
      <c r="B581" t="s">
        <v>23</v>
      </c>
      <c r="C581" t="s">
        <v>15</v>
      </c>
      <c r="D581" s="3">
        <v>45658</v>
      </c>
      <c r="E581" s="5">
        <v>93</v>
      </c>
      <c r="F581" s="4">
        <v>3443.71</v>
      </c>
      <c r="G581" s="4">
        <v>1552.36</v>
      </c>
      <c r="H581" s="4">
        <v>1891.35</v>
      </c>
      <c r="I581" s="6">
        <v>3.56</v>
      </c>
      <c r="J581" s="5">
        <v>24</v>
      </c>
    </row>
    <row r="582" spans="1:10">
      <c r="A582" t="s">
        <v>26</v>
      </c>
      <c r="B582" t="s">
        <v>23</v>
      </c>
      <c r="C582" t="s">
        <v>16</v>
      </c>
      <c r="D582" s="3">
        <v>45658</v>
      </c>
      <c r="E582" s="5">
        <v>134</v>
      </c>
      <c r="F582" s="4">
        <v>2287.3200000000002</v>
      </c>
      <c r="G582" s="4">
        <v>1994.83</v>
      </c>
      <c r="H582" s="4">
        <v>292.5</v>
      </c>
      <c r="I582" s="6">
        <v>3.58</v>
      </c>
      <c r="J582" s="5">
        <v>24</v>
      </c>
    </row>
    <row r="583" spans="1:10">
      <c r="A583" t="s">
        <v>26</v>
      </c>
      <c r="B583" t="s">
        <v>23</v>
      </c>
      <c r="C583" t="s">
        <v>17</v>
      </c>
      <c r="D583" s="3">
        <v>45658</v>
      </c>
      <c r="E583" s="5">
        <v>63</v>
      </c>
      <c r="F583" s="4">
        <v>3966.26</v>
      </c>
      <c r="G583" s="4">
        <v>2433.06</v>
      </c>
      <c r="H583" s="4">
        <v>1533.2</v>
      </c>
      <c r="I583" s="6">
        <v>3.76</v>
      </c>
      <c r="J583" s="5">
        <v>24</v>
      </c>
    </row>
    <row r="584" spans="1:10">
      <c r="A584" t="s">
        <v>26</v>
      </c>
      <c r="B584" t="s">
        <v>23</v>
      </c>
      <c r="C584" t="s">
        <v>12</v>
      </c>
      <c r="D584" s="3">
        <v>45689</v>
      </c>
      <c r="E584" s="5">
        <v>67</v>
      </c>
      <c r="F584" s="4">
        <v>9831.76</v>
      </c>
      <c r="G584" s="4">
        <v>7611.26</v>
      </c>
      <c r="H584" s="4">
        <v>2220.4899999999998</v>
      </c>
      <c r="I584" s="6">
        <v>3.8</v>
      </c>
      <c r="J584" s="5">
        <v>24</v>
      </c>
    </row>
    <row r="585" spans="1:10">
      <c r="A585" t="s">
        <v>26</v>
      </c>
      <c r="B585" t="s">
        <v>23</v>
      </c>
      <c r="C585" t="s">
        <v>13</v>
      </c>
      <c r="D585" s="3">
        <v>45689</v>
      </c>
      <c r="E585" s="5">
        <v>68</v>
      </c>
      <c r="F585" s="4">
        <v>4956.0200000000004</v>
      </c>
      <c r="G585" s="4">
        <v>3249.63</v>
      </c>
      <c r="H585" s="4">
        <v>1706.39</v>
      </c>
      <c r="I585" s="6">
        <v>3.66</v>
      </c>
      <c r="J585" s="5">
        <v>24</v>
      </c>
    </row>
    <row r="586" spans="1:10">
      <c r="A586" t="s">
        <v>26</v>
      </c>
      <c r="B586" t="s">
        <v>23</v>
      </c>
      <c r="C586" t="s">
        <v>14</v>
      </c>
      <c r="D586" s="3">
        <v>45689</v>
      </c>
      <c r="E586" s="5">
        <v>102</v>
      </c>
      <c r="F586" s="4">
        <v>5051.82</v>
      </c>
      <c r="G586" s="4">
        <v>2996.14</v>
      </c>
      <c r="H586" s="4">
        <v>2055.67</v>
      </c>
      <c r="I586" s="6">
        <v>3.56</v>
      </c>
      <c r="J586" s="5">
        <v>24</v>
      </c>
    </row>
    <row r="587" spans="1:10">
      <c r="A587" t="s">
        <v>26</v>
      </c>
      <c r="B587" t="s">
        <v>23</v>
      </c>
      <c r="C587" t="s">
        <v>15</v>
      </c>
      <c r="D587" s="3">
        <v>45689</v>
      </c>
      <c r="E587" s="5">
        <v>81</v>
      </c>
      <c r="F587" s="4">
        <v>2800.74</v>
      </c>
      <c r="G587" s="4">
        <v>1291.21</v>
      </c>
      <c r="H587" s="4">
        <v>1509.53</v>
      </c>
      <c r="I587" s="6">
        <v>3.6</v>
      </c>
      <c r="J587" s="5">
        <v>24</v>
      </c>
    </row>
    <row r="588" spans="1:10">
      <c r="A588" t="s">
        <v>26</v>
      </c>
      <c r="B588" t="s">
        <v>23</v>
      </c>
      <c r="C588" t="s">
        <v>16</v>
      </c>
      <c r="D588" s="3">
        <v>45689</v>
      </c>
      <c r="E588" s="5">
        <v>138</v>
      </c>
      <c r="F588" s="4">
        <v>2384.4</v>
      </c>
      <c r="G588" s="4">
        <v>2129.36</v>
      </c>
      <c r="H588" s="4">
        <v>255.04</v>
      </c>
      <c r="I588" s="6">
        <v>3.7</v>
      </c>
      <c r="J588" s="5">
        <v>24</v>
      </c>
    </row>
    <row r="589" spans="1:10">
      <c r="A589" t="s">
        <v>26</v>
      </c>
      <c r="B589" t="s">
        <v>23</v>
      </c>
      <c r="C589" t="s">
        <v>17</v>
      </c>
      <c r="D589" s="3">
        <v>45689</v>
      </c>
      <c r="E589" s="5">
        <v>55</v>
      </c>
      <c r="F589" s="4">
        <v>3384.51</v>
      </c>
      <c r="G589" s="4">
        <v>2064.7399999999998</v>
      </c>
      <c r="H589" s="4">
        <v>1319.77</v>
      </c>
      <c r="I589" s="6">
        <v>3.79</v>
      </c>
      <c r="J589" s="5">
        <v>24</v>
      </c>
    </row>
    <row r="590" spans="1:10">
      <c r="A590" t="s">
        <v>26</v>
      </c>
      <c r="B590" t="s">
        <v>23</v>
      </c>
      <c r="C590" t="s">
        <v>12</v>
      </c>
      <c r="D590" s="3">
        <v>45717</v>
      </c>
      <c r="E590" s="5">
        <v>82</v>
      </c>
      <c r="F590" s="4">
        <v>12333</v>
      </c>
      <c r="G590" s="4">
        <v>9610.5</v>
      </c>
      <c r="H590" s="4">
        <v>2722.5</v>
      </c>
      <c r="I590" s="6">
        <v>3.67</v>
      </c>
      <c r="J590" s="5">
        <v>23</v>
      </c>
    </row>
    <row r="591" spans="1:10">
      <c r="A591" t="s">
        <v>26</v>
      </c>
      <c r="B591" t="s">
        <v>23</v>
      </c>
      <c r="C591" t="s">
        <v>13</v>
      </c>
      <c r="D591" s="3">
        <v>45717</v>
      </c>
      <c r="E591" s="5">
        <v>91</v>
      </c>
      <c r="F591" s="4">
        <v>6973.58</v>
      </c>
      <c r="G591" s="4">
        <v>4569.13</v>
      </c>
      <c r="H591" s="4">
        <v>2404.4499999999998</v>
      </c>
      <c r="I591" s="6">
        <v>3.82</v>
      </c>
      <c r="J591" s="5">
        <v>23</v>
      </c>
    </row>
    <row r="592" spans="1:10">
      <c r="A592" t="s">
        <v>26</v>
      </c>
      <c r="B592" t="s">
        <v>23</v>
      </c>
      <c r="C592" t="s">
        <v>14</v>
      </c>
      <c r="D592" s="3">
        <v>45717</v>
      </c>
      <c r="E592" s="5">
        <v>128</v>
      </c>
      <c r="F592" s="4">
        <v>6611.56</v>
      </c>
      <c r="G592" s="4">
        <v>3945.71</v>
      </c>
      <c r="H592" s="4">
        <v>2665.85</v>
      </c>
      <c r="I592" s="6">
        <v>3.76</v>
      </c>
      <c r="J592" s="5">
        <v>23</v>
      </c>
    </row>
    <row r="593" spans="1:10">
      <c r="A593" t="s">
        <v>26</v>
      </c>
      <c r="B593" t="s">
        <v>23</v>
      </c>
      <c r="C593" t="s">
        <v>15</v>
      </c>
      <c r="D593" s="3">
        <v>45717</v>
      </c>
      <c r="E593" s="5">
        <v>85</v>
      </c>
      <c r="F593" s="4">
        <v>3240.59</v>
      </c>
      <c r="G593" s="4">
        <v>1556.69</v>
      </c>
      <c r="H593" s="4">
        <v>1683.89</v>
      </c>
      <c r="I593" s="6">
        <v>3.65</v>
      </c>
      <c r="J593" s="5">
        <v>23</v>
      </c>
    </row>
    <row r="594" spans="1:10">
      <c r="A594" t="s">
        <v>26</v>
      </c>
      <c r="B594" t="s">
        <v>23</v>
      </c>
      <c r="C594" t="s">
        <v>16</v>
      </c>
      <c r="D594" s="3">
        <v>45717</v>
      </c>
      <c r="E594" s="5">
        <v>169</v>
      </c>
      <c r="F594" s="4">
        <v>3070.17</v>
      </c>
      <c r="G594" s="4">
        <v>2709.48</v>
      </c>
      <c r="H594" s="4">
        <v>360.68</v>
      </c>
      <c r="I594" s="6">
        <v>3.58</v>
      </c>
      <c r="J594" s="5">
        <v>23</v>
      </c>
    </row>
    <row r="595" spans="1:10">
      <c r="A595" t="s">
        <v>26</v>
      </c>
      <c r="B595" t="s">
        <v>23</v>
      </c>
      <c r="C595" t="s">
        <v>17</v>
      </c>
      <c r="D595" s="3">
        <v>45717</v>
      </c>
      <c r="E595" s="5">
        <v>64</v>
      </c>
      <c r="F595" s="4">
        <v>4033.96</v>
      </c>
      <c r="G595" s="4">
        <v>2492.96</v>
      </c>
      <c r="H595" s="4">
        <v>1541.01</v>
      </c>
      <c r="I595" s="6">
        <v>3.82</v>
      </c>
      <c r="J595" s="5">
        <v>23</v>
      </c>
    </row>
    <row r="596" spans="1:10">
      <c r="A596" t="s">
        <v>26</v>
      </c>
      <c r="B596" t="s">
        <v>23</v>
      </c>
      <c r="C596" t="s">
        <v>12</v>
      </c>
      <c r="D596" s="3">
        <v>45748</v>
      </c>
      <c r="E596" s="5">
        <v>112</v>
      </c>
      <c r="F596" s="4">
        <v>15370.06</v>
      </c>
      <c r="G596" s="4">
        <v>11893.57</v>
      </c>
      <c r="H596" s="4">
        <v>3476.49</v>
      </c>
      <c r="I596" s="6">
        <v>3.81</v>
      </c>
      <c r="J596" s="5">
        <v>24</v>
      </c>
    </row>
    <row r="597" spans="1:10">
      <c r="A597" t="s">
        <v>26</v>
      </c>
      <c r="B597" t="s">
        <v>23</v>
      </c>
      <c r="C597" t="s">
        <v>13</v>
      </c>
      <c r="D597" s="3">
        <v>45748</v>
      </c>
      <c r="E597" s="5">
        <v>83</v>
      </c>
      <c r="F597" s="4">
        <v>5943.9</v>
      </c>
      <c r="G597" s="4">
        <v>4011.86</v>
      </c>
      <c r="H597" s="4">
        <v>1932.04</v>
      </c>
      <c r="I597" s="6">
        <v>3.57</v>
      </c>
      <c r="J597" s="5">
        <v>24</v>
      </c>
    </row>
    <row r="598" spans="1:10">
      <c r="A598" t="s">
        <v>26</v>
      </c>
      <c r="B598" t="s">
        <v>23</v>
      </c>
      <c r="C598" t="s">
        <v>14</v>
      </c>
      <c r="D598" s="3">
        <v>45748</v>
      </c>
      <c r="E598" s="5">
        <v>101</v>
      </c>
      <c r="F598" s="4">
        <v>4847.4799999999996</v>
      </c>
      <c r="G598" s="4">
        <v>2985.01</v>
      </c>
      <c r="H598" s="4">
        <v>1862.47</v>
      </c>
      <c r="I598" s="6">
        <v>3.84</v>
      </c>
      <c r="J598" s="5">
        <v>24</v>
      </c>
    </row>
    <row r="599" spans="1:10">
      <c r="A599" t="s">
        <v>26</v>
      </c>
      <c r="B599" t="s">
        <v>23</v>
      </c>
      <c r="C599" t="s">
        <v>15</v>
      </c>
      <c r="D599" s="3">
        <v>45748</v>
      </c>
      <c r="E599" s="5">
        <v>102</v>
      </c>
      <c r="F599" s="4">
        <v>3905.17</v>
      </c>
      <c r="G599" s="4">
        <v>1844.48</v>
      </c>
      <c r="H599" s="4">
        <v>2060.69</v>
      </c>
      <c r="I599" s="6">
        <v>3.82</v>
      </c>
      <c r="J599" s="5">
        <v>24</v>
      </c>
    </row>
    <row r="600" spans="1:10">
      <c r="A600" t="s">
        <v>26</v>
      </c>
      <c r="B600" t="s">
        <v>23</v>
      </c>
      <c r="C600" t="s">
        <v>16</v>
      </c>
      <c r="D600" s="3">
        <v>45748</v>
      </c>
      <c r="E600" s="5">
        <v>162</v>
      </c>
      <c r="F600" s="4">
        <v>2888.18</v>
      </c>
      <c r="G600" s="4">
        <v>2528.61</v>
      </c>
      <c r="H600" s="4">
        <v>359.58</v>
      </c>
      <c r="I600" s="6">
        <v>3.72</v>
      </c>
      <c r="J600" s="5">
        <v>24</v>
      </c>
    </row>
    <row r="601" spans="1:10">
      <c r="A601" t="s">
        <v>26</v>
      </c>
      <c r="B601" t="s">
        <v>23</v>
      </c>
      <c r="C601" t="s">
        <v>17</v>
      </c>
      <c r="D601" s="3">
        <v>45748</v>
      </c>
      <c r="E601" s="5">
        <v>70</v>
      </c>
      <c r="F601" s="4">
        <v>4473.88</v>
      </c>
      <c r="G601" s="4">
        <v>2777.57</v>
      </c>
      <c r="H601" s="4">
        <v>1696.3</v>
      </c>
      <c r="I601" s="6">
        <v>3.73</v>
      </c>
      <c r="J601" s="5">
        <v>24</v>
      </c>
    </row>
    <row r="602" spans="1:10">
      <c r="A602" t="s">
        <v>26</v>
      </c>
      <c r="B602" t="s">
        <v>23</v>
      </c>
      <c r="C602" t="s">
        <v>12</v>
      </c>
      <c r="D602" s="3">
        <v>45778</v>
      </c>
      <c r="E602" s="5">
        <v>104</v>
      </c>
      <c r="F602" s="4">
        <v>14376.15</v>
      </c>
      <c r="G602" s="4">
        <v>10935.81</v>
      </c>
      <c r="H602" s="4">
        <v>3440.34</v>
      </c>
      <c r="I602" s="6">
        <v>3.54</v>
      </c>
      <c r="J602" s="5">
        <v>24</v>
      </c>
    </row>
    <row r="603" spans="1:10">
      <c r="A603" t="s">
        <v>26</v>
      </c>
      <c r="B603" t="s">
        <v>23</v>
      </c>
      <c r="C603" t="s">
        <v>13</v>
      </c>
      <c r="D603" s="3">
        <v>45778</v>
      </c>
      <c r="E603" s="5">
        <v>98</v>
      </c>
      <c r="F603" s="4">
        <v>7620.16</v>
      </c>
      <c r="G603" s="4">
        <v>5065.6899999999996</v>
      </c>
      <c r="H603" s="4">
        <v>2554.4699999999998</v>
      </c>
      <c r="I603" s="6">
        <v>3.67</v>
      </c>
      <c r="J603" s="5">
        <v>24</v>
      </c>
    </row>
    <row r="604" spans="1:10">
      <c r="A604" t="s">
        <v>26</v>
      </c>
      <c r="B604" t="s">
        <v>23</v>
      </c>
      <c r="C604" t="s">
        <v>14</v>
      </c>
      <c r="D604" s="3">
        <v>45778</v>
      </c>
      <c r="E604" s="5">
        <v>132</v>
      </c>
      <c r="F604" s="4">
        <v>6062.81</v>
      </c>
      <c r="G604" s="4">
        <v>3741.11</v>
      </c>
      <c r="H604" s="4">
        <v>2321.6999999999998</v>
      </c>
      <c r="I604" s="6">
        <v>3.76</v>
      </c>
      <c r="J604" s="5">
        <v>24</v>
      </c>
    </row>
    <row r="605" spans="1:10">
      <c r="A605" t="s">
        <v>26</v>
      </c>
      <c r="B605" t="s">
        <v>23</v>
      </c>
      <c r="C605" t="s">
        <v>15</v>
      </c>
      <c r="D605" s="3">
        <v>45778</v>
      </c>
      <c r="E605" s="5">
        <v>102</v>
      </c>
      <c r="F605" s="4">
        <v>3697.26</v>
      </c>
      <c r="G605" s="4">
        <v>1760.37</v>
      </c>
      <c r="H605" s="4">
        <v>1936.89</v>
      </c>
      <c r="I605" s="6">
        <v>3.54</v>
      </c>
      <c r="J605" s="5">
        <v>24</v>
      </c>
    </row>
    <row r="606" spans="1:10">
      <c r="A606" t="s">
        <v>26</v>
      </c>
      <c r="B606" t="s">
        <v>23</v>
      </c>
      <c r="C606" t="s">
        <v>16</v>
      </c>
      <c r="D606" s="3">
        <v>45778</v>
      </c>
      <c r="E606" s="5">
        <v>171</v>
      </c>
      <c r="F606" s="4">
        <v>3051.71</v>
      </c>
      <c r="G606" s="4">
        <v>2725.52</v>
      </c>
      <c r="H606" s="4">
        <v>326.19</v>
      </c>
      <c r="I606" s="6">
        <v>3.62</v>
      </c>
      <c r="J606" s="5">
        <v>24</v>
      </c>
    </row>
    <row r="607" spans="1:10">
      <c r="A607" t="s">
        <v>26</v>
      </c>
      <c r="B607" t="s">
        <v>23</v>
      </c>
      <c r="C607" t="s">
        <v>17</v>
      </c>
      <c r="D607" s="3">
        <v>45778</v>
      </c>
      <c r="E607" s="5">
        <v>94</v>
      </c>
      <c r="F607" s="4">
        <v>6141.96</v>
      </c>
      <c r="G607" s="4">
        <v>4044.3</v>
      </c>
      <c r="H607" s="4">
        <v>2097.66</v>
      </c>
      <c r="I607" s="6">
        <v>3.74</v>
      </c>
      <c r="J607" s="5">
        <v>24</v>
      </c>
    </row>
    <row r="608" spans="1:10">
      <c r="A608" t="s">
        <v>26</v>
      </c>
      <c r="B608" t="s">
        <v>23</v>
      </c>
      <c r="C608" t="s">
        <v>12</v>
      </c>
      <c r="D608" s="3">
        <v>45809</v>
      </c>
      <c r="E608" s="5">
        <v>123</v>
      </c>
      <c r="F608" s="4">
        <v>18288.810000000001</v>
      </c>
      <c r="G608" s="4">
        <v>13977.78</v>
      </c>
      <c r="H608" s="4">
        <v>4311.03</v>
      </c>
      <c r="I608" s="6">
        <v>3.63</v>
      </c>
      <c r="J608" s="5">
        <v>25</v>
      </c>
    </row>
    <row r="609" spans="1:10">
      <c r="A609" t="s">
        <v>26</v>
      </c>
      <c r="B609" t="s">
        <v>23</v>
      </c>
      <c r="C609" t="s">
        <v>13</v>
      </c>
      <c r="D609" s="3">
        <v>45809</v>
      </c>
      <c r="E609" s="5">
        <v>106</v>
      </c>
      <c r="F609" s="4">
        <v>7812.93</v>
      </c>
      <c r="G609" s="4">
        <v>5312.64</v>
      </c>
      <c r="H609" s="4">
        <v>2500.29</v>
      </c>
      <c r="I609" s="6">
        <v>3.84</v>
      </c>
      <c r="J609" s="5">
        <v>25</v>
      </c>
    </row>
    <row r="610" spans="1:10">
      <c r="A610" t="s">
        <v>26</v>
      </c>
      <c r="B610" t="s">
        <v>23</v>
      </c>
      <c r="C610" t="s">
        <v>14</v>
      </c>
      <c r="D610" s="3">
        <v>45809</v>
      </c>
      <c r="E610" s="5">
        <v>120</v>
      </c>
      <c r="F610" s="4">
        <v>5589.59</v>
      </c>
      <c r="G610" s="4">
        <v>3490.78</v>
      </c>
      <c r="H610" s="4">
        <v>2098.8000000000002</v>
      </c>
      <c r="I610" s="6">
        <v>3.56</v>
      </c>
      <c r="J610" s="5">
        <v>25</v>
      </c>
    </row>
    <row r="611" spans="1:10">
      <c r="A611" t="s">
        <v>26</v>
      </c>
      <c r="B611" t="s">
        <v>23</v>
      </c>
      <c r="C611" t="s">
        <v>15</v>
      </c>
      <c r="D611" s="3">
        <v>45809</v>
      </c>
      <c r="E611" s="5">
        <v>100</v>
      </c>
      <c r="F611" s="4">
        <v>3446.07</v>
      </c>
      <c r="G611" s="4">
        <v>1711.88</v>
      </c>
      <c r="H611" s="4">
        <v>1734.19</v>
      </c>
      <c r="I611" s="6">
        <v>3.63</v>
      </c>
      <c r="J611" s="5">
        <v>25</v>
      </c>
    </row>
    <row r="612" spans="1:10">
      <c r="A612" t="s">
        <v>26</v>
      </c>
      <c r="B612" t="s">
        <v>23</v>
      </c>
      <c r="C612" t="s">
        <v>16</v>
      </c>
      <c r="D612" s="3">
        <v>45809</v>
      </c>
      <c r="E612" s="5">
        <v>153</v>
      </c>
      <c r="F612" s="4">
        <v>2684.3</v>
      </c>
      <c r="G612" s="4">
        <v>2463.91</v>
      </c>
      <c r="H612" s="4">
        <v>220.39</v>
      </c>
      <c r="I612" s="6">
        <v>3.57</v>
      </c>
      <c r="J612" s="5">
        <v>25</v>
      </c>
    </row>
    <row r="613" spans="1:10">
      <c r="A613" t="s">
        <v>26</v>
      </c>
      <c r="B613" t="s">
        <v>23</v>
      </c>
      <c r="C613" t="s">
        <v>17</v>
      </c>
      <c r="D613" s="3">
        <v>45809</v>
      </c>
      <c r="E613" s="5">
        <v>109</v>
      </c>
      <c r="F613" s="4">
        <v>6921.14</v>
      </c>
      <c r="G613" s="4">
        <v>4558.4399999999996</v>
      </c>
      <c r="H613" s="4">
        <v>2362.6999999999998</v>
      </c>
      <c r="I613" s="6">
        <v>3.61</v>
      </c>
      <c r="J613" s="5">
        <v>25</v>
      </c>
    </row>
    <row r="614" spans="1:10">
      <c r="A614" t="s">
        <v>26</v>
      </c>
      <c r="B614" t="s">
        <v>23</v>
      </c>
      <c r="C614" t="s">
        <v>12</v>
      </c>
      <c r="D614" s="3">
        <v>45839</v>
      </c>
      <c r="E614" s="5">
        <v>125</v>
      </c>
      <c r="F614" s="4">
        <v>17802.939999999999</v>
      </c>
      <c r="G614" s="4">
        <v>14008.01</v>
      </c>
      <c r="H614" s="4">
        <v>3794.93</v>
      </c>
      <c r="I614" s="6">
        <v>3.69</v>
      </c>
      <c r="J614" s="5">
        <v>24</v>
      </c>
    </row>
    <row r="615" spans="1:10">
      <c r="A615" t="s">
        <v>26</v>
      </c>
      <c r="B615" t="s">
        <v>23</v>
      </c>
      <c r="C615" t="s">
        <v>13</v>
      </c>
      <c r="D615" s="3">
        <v>45839</v>
      </c>
      <c r="E615" s="5">
        <v>96</v>
      </c>
      <c r="F615" s="4">
        <v>7622.12</v>
      </c>
      <c r="G615" s="4">
        <v>5089.34</v>
      </c>
      <c r="H615" s="4">
        <v>2532.77</v>
      </c>
      <c r="I615" s="6">
        <v>3.53</v>
      </c>
      <c r="J615" s="5">
        <v>24</v>
      </c>
    </row>
    <row r="616" spans="1:10">
      <c r="A616" t="s">
        <v>26</v>
      </c>
      <c r="B616" t="s">
        <v>23</v>
      </c>
      <c r="C616" t="s">
        <v>14</v>
      </c>
      <c r="D616" s="3">
        <v>45839</v>
      </c>
      <c r="E616" s="5">
        <v>156</v>
      </c>
      <c r="F616" s="4">
        <v>7557.52</v>
      </c>
      <c r="G616" s="4">
        <v>4547.26</v>
      </c>
      <c r="H616" s="4">
        <v>3010.26</v>
      </c>
      <c r="I616" s="6">
        <v>3.69</v>
      </c>
      <c r="J616" s="5">
        <v>24</v>
      </c>
    </row>
    <row r="617" spans="1:10">
      <c r="A617" t="s">
        <v>26</v>
      </c>
      <c r="B617" t="s">
        <v>23</v>
      </c>
      <c r="C617" t="s">
        <v>15</v>
      </c>
      <c r="D617" s="3">
        <v>45839</v>
      </c>
      <c r="E617" s="5">
        <v>98</v>
      </c>
      <c r="F617" s="4">
        <v>3609.67</v>
      </c>
      <c r="G617" s="4">
        <v>1793.44</v>
      </c>
      <c r="H617" s="4">
        <v>1816.24</v>
      </c>
      <c r="I617" s="6">
        <v>3.86</v>
      </c>
      <c r="J617" s="5">
        <v>24</v>
      </c>
    </row>
    <row r="618" spans="1:10">
      <c r="A618" t="s">
        <v>26</v>
      </c>
      <c r="B618" t="s">
        <v>23</v>
      </c>
      <c r="C618" t="s">
        <v>16</v>
      </c>
      <c r="D618" s="3">
        <v>45839</v>
      </c>
      <c r="E618" s="5">
        <v>219</v>
      </c>
      <c r="F618" s="4">
        <v>3778.32</v>
      </c>
      <c r="G618" s="4">
        <v>3535.87</v>
      </c>
      <c r="H618" s="4">
        <v>242.45</v>
      </c>
      <c r="I618" s="6">
        <v>3.68</v>
      </c>
      <c r="J618" s="5">
        <v>24</v>
      </c>
    </row>
    <row r="619" spans="1:10">
      <c r="A619" t="s">
        <v>26</v>
      </c>
      <c r="B619" t="s">
        <v>23</v>
      </c>
      <c r="C619" t="s">
        <v>17</v>
      </c>
      <c r="D619" s="3">
        <v>45839</v>
      </c>
      <c r="E619" s="5">
        <v>105</v>
      </c>
      <c r="F619" s="4">
        <v>6452.44</v>
      </c>
      <c r="G619" s="4">
        <v>4279.26</v>
      </c>
      <c r="H619" s="4">
        <v>2173.1799999999998</v>
      </c>
      <c r="I619" s="6">
        <v>3.78</v>
      </c>
      <c r="J619" s="5">
        <v>24</v>
      </c>
    </row>
    <row r="620" spans="1:10">
      <c r="A620" t="s">
        <v>26</v>
      </c>
      <c r="B620" t="s">
        <v>23</v>
      </c>
      <c r="C620" t="s">
        <v>12</v>
      </c>
      <c r="D620" s="3">
        <v>45870</v>
      </c>
      <c r="E620" s="5">
        <v>115</v>
      </c>
      <c r="F620" s="4">
        <v>16286.57</v>
      </c>
      <c r="G620" s="4">
        <v>12542.82</v>
      </c>
      <c r="H620" s="4">
        <v>3743.75</v>
      </c>
      <c r="I620" s="6">
        <v>3.53</v>
      </c>
      <c r="J620" s="5">
        <v>24</v>
      </c>
    </row>
    <row r="621" spans="1:10">
      <c r="A621" t="s">
        <v>26</v>
      </c>
      <c r="B621" t="s">
        <v>23</v>
      </c>
      <c r="C621" t="s">
        <v>13</v>
      </c>
      <c r="D621" s="3">
        <v>45870</v>
      </c>
      <c r="E621" s="5">
        <v>101</v>
      </c>
      <c r="F621" s="4">
        <v>8063.64</v>
      </c>
      <c r="G621" s="4">
        <v>5501.59</v>
      </c>
      <c r="H621" s="4">
        <v>2562.06</v>
      </c>
      <c r="I621" s="6">
        <v>3.73</v>
      </c>
      <c r="J621" s="5">
        <v>24</v>
      </c>
    </row>
    <row r="622" spans="1:10">
      <c r="A622" t="s">
        <v>26</v>
      </c>
      <c r="B622" t="s">
        <v>23</v>
      </c>
      <c r="C622" t="s">
        <v>14</v>
      </c>
      <c r="D622" s="3">
        <v>45870</v>
      </c>
      <c r="E622" s="5">
        <v>138</v>
      </c>
      <c r="F622" s="4">
        <v>6877.39</v>
      </c>
      <c r="G622" s="4">
        <v>4170.5600000000004</v>
      </c>
      <c r="H622" s="4">
        <v>2706.83</v>
      </c>
      <c r="I622" s="6">
        <v>3.7</v>
      </c>
      <c r="J622" s="5">
        <v>24</v>
      </c>
    </row>
    <row r="623" spans="1:10">
      <c r="A623" t="s">
        <v>26</v>
      </c>
      <c r="B623" t="s">
        <v>23</v>
      </c>
      <c r="C623" t="s">
        <v>15</v>
      </c>
      <c r="D623" s="3">
        <v>45870</v>
      </c>
      <c r="E623" s="5">
        <v>106</v>
      </c>
      <c r="F623" s="4">
        <v>3916.16</v>
      </c>
      <c r="G623" s="4">
        <v>1939.66</v>
      </c>
      <c r="H623" s="4">
        <v>1976.49</v>
      </c>
      <c r="I623" s="6">
        <v>3.62</v>
      </c>
      <c r="J623" s="5">
        <v>24</v>
      </c>
    </row>
    <row r="624" spans="1:10">
      <c r="A624" t="s">
        <v>26</v>
      </c>
      <c r="B624" t="s">
        <v>23</v>
      </c>
      <c r="C624" t="s">
        <v>16</v>
      </c>
      <c r="D624" s="3">
        <v>45870</v>
      </c>
      <c r="E624" s="5">
        <v>166</v>
      </c>
      <c r="F624" s="4">
        <v>3146.75</v>
      </c>
      <c r="G624" s="4">
        <v>2907.64</v>
      </c>
      <c r="H624" s="4">
        <v>239.11</v>
      </c>
      <c r="I624" s="6">
        <v>3.62</v>
      </c>
      <c r="J624" s="5">
        <v>24</v>
      </c>
    </row>
    <row r="625" spans="1:10">
      <c r="A625" t="s">
        <v>26</v>
      </c>
      <c r="B625" t="s">
        <v>23</v>
      </c>
      <c r="C625" t="s">
        <v>17</v>
      </c>
      <c r="D625" s="3">
        <v>45870</v>
      </c>
      <c r="E625" s="5">
        <v>102</v>
      </c>
      <c r="F625" s="4">
        <v>6506.14</v>
      </c>
      <c r="G625" s="4">
        <v>4393.51</v>
      </c>
      <c r="H625" s="4">
        <v>2112.63</v>
      </c>
      <c r="I625" s="6">
        <v>3.75</v>
      </c>
      <c r="J625" s="5">
        <v>24</v>
      </c>
    </row>
    <row r="626" spans="1:10">
      <c r="A626" t="s">
        <v>26</v>
      </c>
      <c r="B626" t="s">
        <v>23</v>
      </c>
      <c r="C626" t="s">
        <v>12</v>
      </c>
      <c r="D626" s="3">
        <v>45901</v>
      </c>
      <c r="E626" s="5">
        <v>103</v>
      </c>
      <c r="F626" s="4">
        <v>16032.42</v>
      </c>
      <c r="G626" s="4">
        <v>12593.24</v>
      </c>
      <c r="H626" s="4">
        <v>3439.18</v>
      </c>
      <c r="I626" s="6">
        <v>3.6</v>
      </c>
      <c r="J626" s="5">
        <v>23</v>
      </c>
    </row>
    <row r="627" spans="1:10">
      <c r="A627" t="s">
        <v>26</v>
      </c>
      <c r="B627" t="s">
        <v>23</v>
      </c>
      <c r="C627" t="s">
        <v>13</v>
      </c>
      <c r="D627" s="3">
        <v>45901</v>
      </c>
      <c r="E627" s="5">
        <v>104</v>
      </c>
      <c r="F627" s="4">
        <v>8452.92</v>
      </c>
      <c r="G627" s="4">
        <v>5681.61</v>
      </c>
      <c r="H627" s="4">
        <v>2771.31</v>
      </c>
      <c r="I627" s="6">
        <v>3.73</v>
      </c>
      <c r="J627" s="5">
        <v>23</v>
      </c>
    </row>
    <row r="628" spans="1:10">
      <c r="A628" t="s">
        <v>26</v>
      </c>
      <c r="B628" t="s">
        <v>23</v>
      </c>
      <c r="C628" t="s">
        <v>14</v>
      </c>
      <c r="D628" s="3">
        <v>45901</v>
      </c>
      <c r="E628" s="5">
        <v>136</v>
      </c>
      <c r="F628" s="4">
        <v>6737.73</v>
      </c>
      <c r="G628" s="4">
        <v>4148.95</v>
      </c>
      <c r="H628" s="4">
        <v>2588.7800000000002</v>
      </c>
      <c r="I628" s="6">
        <v>3.51</v>
      </c>
      <c r="J628" s="5">
        <v>23</v>
      </c>
    </row>
    <row r="629" spans="1:10">
      <c r="A629" t="s">
        <v>26</v>
      </c>
      <c r="B629" t="s">
        <v>23</v>
      </c>
      <c r="C629" t="s">
        <v>15</v>
      </c>
      <c r="D629" s="3">
        <v>45901</v>
      </c>
      <c r="E629" s="5">
        <v>106</v>
      </c>
      <c r="F629" s="4">
        <v>3660.34</v>
      </c>
      <c r="G629" s="4">
        <v>1804.94</v>
      </c>
      <c r="H629" s="4">
        <v>1855.41</v>
      </c>
      <c r="I629" s="6">
        <v>3.69</v>
      </c>
      <c r="J629" s="5">
        <v>23</v>
      </c>
    </row>
    <row r="630" spans="1:10">
      <c r="A630" t="s">
        <v>26</v>
      </c>
      <c r="B630" t="s">
        <v>23</v>
      </c>
      <c r="C630" t="s">
        <v>16</v>
      </c>
      <c r="D630" s="3">
        <v>45901</v>
      </c>
      <c r="E630" s="5">
        <v>159</v>
      </c>
      <c r="F630" s="4">
        <v>3019.84</v>
      </c>
      <c r="G630" s="4">
        <v>2761.93</v>
      </c>
      <c r="H630" s="4">
        <v>257.91000000000003</v>
      </c>
      <c r="I630" s="6">
        <v>3.61</v>
      </c>
      <c r="J630" s="5">
        <v>23</v>
      </c>
    </row>
    <row r="631" spans="1:10">
      <c r="A631" t="s">
        <v>26</v>
      </c>
      <c r="B631" t="s">
        <v>23</v>
      </c>
      <c r="C631" t="s">
        <v>17</v>
      </c>
      <c r="D631" s="3">
        <v>45901</v>
      </c>
      <c r="E631" s="5">
        <v>82</v>
      </c>
      <c r="F631" s="4">
        <v>5312.62</v>
      </c>
      <c r="G631" s="4">
        <v>3628.35</v>
      </c>
      <c r="H631" s="4">
        <v>1684.27</v>
      </c>
      <c r="I631" s="6">
        <v>3.77</v>
      </c>
      <c r="J631" s="5">
        <v>23</v>
      </c>
    </row>
    <row r="632" spans="1:10">
      <c r="A632" t="s">
        <v>26</v>
      </c>
      <c r="B632" t="s">
        <v>23</v>
      </c>
      <c r="C632" t="s">
        <v>12</v>
      </c>
      <c r="D632" s="3">
        <v>45931</v>
      </c>
      <c r="E632" s="5">
        <v>113</v>
      </c>
      <c r="F632" s="4">
        <v>17253.32</v>
      </c>
      <c r="G632" s="4">
        <v>13681.89</v>
      </c>
      <c r="H632" s="4">
        <v>3571.43</v>
      </c>
      <c r="I632" s="6">
        <v>3.53</v>
      </c>
      <c r="J632" s="5">
        <v>23</v>
      </c>
    </row>
    <row r="633" spans="1:10">
      <c r="A633" t="s">
        <v>26</v>
      </c>
      <c r="B633" t="s">
        <v>23</v>
      </c>
      <c r="C633" t="s">
        <v>13</v>
      </c>
      <c r="D633" s="3">
        <v>45931</v>
      </c>
      <c r="E633" s="5">
        <v>100</v>
      </c>
      <c r="F633" s="4">
        <v>7901.91</v>
      </c>
      <c r="G633" s="4">
        <v>5509.15</v>
      </c>
      <c r="H633" s="4">
        <v>2392.7600000000002</v>
      </c>
      <c r="I633" s="6">
        <v>3.54</v>
      </c>
      <c r="J633" s="5">
        <v>23</v>
      </c>
    </row>
    <row r="634" spans="1:10">
      <c r="A634" t="s">
        <v>26</v>
      </c>
      <c r="B634" t="s">
        <v>23</v>
      </c>
      <c r="C634" t="s">
        <v>14</v>
      </c>
      <c r="D634" s="3">
        <v>45931</v>
      </c>
      <c r="E634" s="5">
        <v>120</v>
      </c>
      <c r="F634" s="4">
        <v>5817.29</v>
      </c>
      <c r="G634" s="4">
        <v>3702.96</v>
      </c>
      <c r="H634" s="4">
        <v>2114.33</v>
      </c>
      <c r="I634" s="6">
        <v>3.64</v>
      </c>
      <c r="J634" s="5">
        <v>23</v>
      </c>
    </row>
    <row r="635" spans="1:10">
      <c r="A635" t="s">
        <v>26</v>
      </c>
      <c r="B635" t="s">
        <v>23</v>
      </c>
      <c r="C635" t="s">
        <v>15</v>
      </c>
      <c r="D635" s="3">
        <v>45931</v>
      </c>
      <c r="E635" s="5">
        <v>110</v>
      </c>
      <c r="F635" s="4">
        <v>3863.84</v>
      </c>
      <c r="G635" s="4">
        <v>1938.69</v>
      </c>
      <c r="H635" s="4">
        <v>1925.14</v>
      </c>
      <c r="I635" s="6">
        <v>3.71</v>
      </c>
      <c r="J635" s="5">
        <v>23</v>
      </c>
    </row>
    <row r="636" spans="1:10">
      <c r="A636" t="s">
        <v>26</v>
      </c>
      <c r="B636" t="s">
        <v>23</v>
      </c>
      <c r="C636" t="s">
        <v>16</v>
      </c>
      <c r="D636" s="3">
        <v>45931</v>
      </c>
      <c r="E636" s="5">
        <v>176</v>
      </c>
      <c r="F636" s="4">
        <v>3203.59</v>
      </c>
      <c r="G636" s="4">
        <v>2910.3</v>
      </c>
      <c r="H636" s="4">
        <v>293.3</v>
      </c>
      <c r="I636" s="6">
        <v>3.79</v>
      </c>
      <c r="J636" s="5">
        <v>23</v>
      </c>
    </row>
    <row r="637" spans="1:10">
      <c r="A637" t="s">
        <v>26</v>
      </c>
      <c r="B637" t="s">
        <v>23</v>
      </c>
      <c r="C637" t="s">
        <v>17</v>
      </c>
      <c r="D637" s="3">
        <v>45931</v>
      </c>
      <c r="E637" s="5">
        <v>76</v>
      </c>
      <c r="F637" s="4">
        <v>4590.6099999999997</v>
      </c>
      <c r="G637" s="4">
        <v>3088.83</v>
      </c>
      <c r="H637" s="4">
        <v>1501.78</v>
      </c>
      <c r="I637" s="6">
        <v>3.65</v>
      </c>
      <c r="J637" s="5">
        <v>23</v>
      </c>
    </row>
    <row r="638" spans="1:10">
      <c r="A638" t="s">
        <v>26</v>
      </c>
      <c r="B638" t="s">
        <v>23</v>
      </c>
      <c r="C638" t="s">
        <v>12</v>
      </c>
      <c r="D638" s="3">
        <v>45962</v>
      </c>
      <c r="E638" s="5">
        <v>198</v>
      </c>
      <c r="F638" s="4">
        <v>27129.54</v>
      </c>
      <c r="G638" s="4">
        <v>22374.58</v>
      </c>
      <c r="H638" s="4">
        <v>4754.96</v>
      </c>
      <c r="I638" s="6">
        <v>3.77</v>
      </c>
      <c r="J638" s="5">
        <v>26</v>
      </c>
    </row>
    <row r="639" spans="1:10">
      <c r="A639" t="s">
        <v>26</v>
      </c>
      <c r="B639" t="s">
        <v>23</v>
      </c>
      <c r="C639" t="s">
        <v>13</v>
      </c>
      <c r="D639" s="3">
        <v>45962</v>
      </c>
      <c r="E639" s="5">
        <v>143</v>
      </c>
      <c r="F639" s="4">
        <v>11213.59</v>
      </c>
      <c r="G639" s="4">
        <v>7719.76</v>
      </c>
      <c r="H639" s="4">
        <v>3493.82</v>
      </c>
      <c r="I639" s="6">
        <v>3.6</v>
      </c>
      <c r="J639" s="5">
        <v>26</v>
      </c>
    </row>
    <row r="640" spans="1:10">
      <c r="A640" t="s">
        <v>26</v>
      </c>
      <c r="B640" t="s">
        <v>23</v>
      </c>
      <c r="C640" t="s">
        <v>14</v>
      </c>
      <c r="D640" s="3">
        <v>45962</v>
      </c>
      <c r="E640" s="5">
        <v>193</v>
      </c>
      <c r="F640" s="4">
        <v>9779.4500000000007</v>
      </c>
      <c r="G640" s="4">
        <v>6285.71</v>
      </c>
      <c r="H640" s="4">
        <v>3493.74</v>
      </c>
      <c r="I640" s="6">
        <v>3.55</v>
      </c>
      <c r="J640" s="5">
        <v>26</v>
      </c>
    </row>
    <row r="641" spans="1:10">
      <c r="A641" t="s">
        <v>26</v>
      </c>
      <c r="B641" t="s">
        <v>23</v>
      </c>
      <c r="C641" t="s">
        <v>15</v>
      </c>
      <c r="D641" s="3">
        <v>45962</v>
      </c>
      <c r="E641" s="5">
        <v>124</v>
      </c>
      <c r="F641" s="4">
        <v>4616.96</v>
      </c>
      <c r="G641" s="4">
        <v>2336.38</v>
      </c>
      <c r="H641" s="4">
        <v>2280.58</v>
      </c>
      <c r="I641" s="6">
        <v>3.59</v>
      </c>
      <c r="J641" s="5">
        <v>26</v>
      </c>
    </row>
    <row r="642" spans="1:10">
      <c r="A642" t="s">
        <v>26</v>
      </c>
      <c r="B642" t="s">
        <v>23</v>
      </c>
      <c r="C642" t="s">
        <v>16</v>
      </c>
      <c r="D642" s="3">
        <v>45962</v>
      </c>
      <c r="E642" s="5">
        <v>216</v>
      </c>
      <c r="F642" s="4">
        <v>3872.95</v>
      </c>
      <c r="G642" s="4">
        <v>3722.92</v>
      </c>
      <c r="H642" s="4">
        <v>150.03</v>
      </c>
      <c r="I642" s="6">
        <v>3.79</v>
      </c>
      <c r="J642" s="5">
        <v>26</v>
      </c>
    </row>
    <row r="643" spans="1:10">
      <c r="A643" t="s">
        <v>26</v>
      </c>
      <c r="B643" t="s">
        <v>23</v>
      </c>
      <c r="C643" t="s">
        <v>17</v>
      </c>
      <c r="D643" s="3">
        <v>45962</v>
      </c>
      <c r="E643" s="5">
        <v>96</v>
      </c>
      <c r="F643" s="4">
        <v>6239.44</v>
      </c>
      <c r="G643" s="4">
        <v>4194.63</v>
      </c>
      <c r="H643" s="4">
        <v>2044.81</v>
      </c>
      <c r="I643" s="6">
        <v>3.54</v>
      </c>
      <c r="J643" s="5">
        <v>26</v>
      </c>
    </row>
    <row r="644" spans="1:10">
      <c r="A644" t="s">
        <v>26</v>
      </c>
      <c r="B644" t="s">
        <v>23</v>
      </c>
      <c r="C644" t="s">
        <v>12</v>
      </c>
      <c r="D644" s="3">
        <v>45992</v>
      </c>
      <c r="E644" s="5">
        <v>214</v>
      </c>
      <c r="F644" s="4">
        <v>31617.49</v>
      </c>
      <c r="G644" s="4">
        <v>26121.23</v>
      </c>
      <c r="H644" s="4">
        <v>5496.25</v>
      </c>
      <c r="I644" s="6">
        <v>3.73</v>
      </c>
      <c r="J644" s="5">
        <v>27</v>
      </c>
    </row>
    <row r="645" spans="1:10">
      <c r="A645" t="s">
        <v>26</v>
      </c>
      <c r="B645" t="s">
        <v>23</v>
      </c>
      <c r="C645" t="s">
        <v>13</v>
      </c>
      <c r="D645" s="3">
        <v>45992</v>
      </c>
      <c r="E645" s="5">
        <v>137</v>
      </c>
      <c r="F645" s="4">
        <v>10463.540000000001</v>
      </c>
      <c r="G645" s="4">
        <v>7638.32</v>
      </c>
      <c r="H645" s="4">
        <v>2825.22</v>
      </c>
      <c r="I645" s="6">
        <v>3.69</v>
      </c>
      <c r="J645" s="5">
        <v>27</v>
      </c>
    </row>
    <row r="646" spans="1:10">
      <c r="A646" t="s">
        <v>26</v>
      </c>
      <c r="B646" t="s">
        <v>23</v>
      </c>
      <c r="C646" t="s">
        <v>14</v>
      </c>
      <c r="D646" s="3">
        <v>45992</v>
      </c>
      <c r="E646" s="5">
        <v>205</v>
      </c>
      <c r="F646" s="4">
        <v>10490.05</v>
      </c>
      <c r="G646" s="4">
        <v>7095.56</v>
      </c>
      <c r="H646" s="4">
        <v>3394.49</v>
      </c>
      <c r="I646" s="6">
        <v>3.6</v>
      </c>
      <c r="J646" s="5">
        <v>27</v>
      </c>
    </row>
    <row r="647" spans="1:10">
      <c r="A647" t="s">
        <v>26</v>
      </c>
      <c r="B647" t="s">
        <v>23</v>
      </c>
      <c r="C647" t="s">
        <v>15</v>
      </c>
      <c r="D647" s="3">
        <v>45992</v>
      </c>
      <c r="E647" s="5">
        <v>137</v>
      </c>
      <c r="F647" s="4">
        <v>4640.4799999999996</v>
      </c>
      <c r="G647" s="4">
        <v>2520.0300000000002</v>
      </c>
      <c r="H647" s="4">
        <v>2120.46</v>
      </c>
      <c r="I647" s="6">
        <v>3.59</v>
      </c>
      <c r="J647" s="5">
        <v>27</v>
      </c>
    </row>
    <row r="648" spans="1:10">
      <c r="A648" t="s">
        <v>26</v>
      </c>
      <c r="B648" t="s">
        <v>23</v>
      </c>
      <c r="C648" t="s">
        <v>16</v>
      </c>
      <c r="D648" s="3">
        <v>45992</v>
      </c>
      <c r="E648" s="5">
        <v>226</v>
      </c>
      <c r="F648" s="4">
        <v>4323.5</v>
      </c>
      <c r="G648" s="4">
        <v>4262.87</v>
      </c>
      <c r="H648" s="4">
        <v>60.63</v>
      </c>
      <c r="I648" s="6">
        <v>3.48</v>
      </c>
      <c r="J648" s="5">
        <v>27</v>
      </c>
    </row>
    <row r="649" spans="1:10">
      <c r="A649" t="s">
        <v>26</v>
      </c>
      <c r="B649" t="s">
        <v>23</v>
      </c>
      <c r="C649" t="s">
        <v>17</v>
      </c>
      <c r="D649" s="3">
        <v>45992</v>
      </c>
      <c r="E649" s="5">
        <v>120</v>
      </c>
      <c r="F649" s="4">
        <v>7678.25</v>
      </c>
      <c r="G649" s="4">
        <v>5534.36</v>
      </c>
      <c r="H649" s="4">
        <v>2143.89</v>
      </c>
      <c r="I649" s="6">
        <v>3.77</v>
      </c>
      <c r="J649" s="5">
        <v>27</v>
      </c>
    </row>
    <row r="650" spans="1:10">
      <c r="A650" t="s">
        <v>27</v>
      </c>
      <c r="B650" t="s">
        <v>23</v>
      </c>
      <c r="C650" t="s">
        <v>12</v>
      </c>
      <c r="D650" s="3">
        <v>45658</v>
      </c>
      <c r="E650" s="5">
        <v>90</v>
      </c>
      <c r="F650" s="4">
        <v>13034</v>
      </c>
      <c r="G650" s="4">
        <v>10046</v>
      </c>
      <c r="H650" s="4">
        <v>2988</v>
      </c>
      <c r="I650" s="6">
        <v>3.86</v>
      </c>
      <c r="J650" s="5">
        <v>26</v>
      </c>
    </row>
    <row r="651" spans="1:10">
      <c r="A651" t="s">
        <v>27</v>
      </c>
      <c r="B651" t="s">
        <v>23</v>
      </c>
      <c r="C651" t="s">
        <v>13</v>
      </c>
      <c r="D651" s="3">
        <v>45658</v>
      </c>
      <c r="E651" s="5">
        <v>94</v>
      </c>
      <c r="F651" s="4">
        <v>6857.76</v>
      </c>
      <c r="G651" s="4">
        <v>4330.9799999999996</v>
      </c>
      <c r="H651" s="4">
        <v>2526.77</v>
      </c>
      <c r="I651" s="6">
        <v>3.52</v>
      </c>
      <c r="J651" s="5">
        <v>26</v>
      </c>
    </row>
    <row r="652" spans="1:10">
      <c r="A652" t="s">
        <v>27</v>
      </c>
      <c r="B652" t="s">
        <v>23</v>
      </c>
      <c r="C652" t="s">
        <v>14</v>
      </c>
      <c r="D652" s="3">
        <v>45658</v>
      </c>
      <c r="E652" s="5">
        <v>98</v>
      </c>
      <c r="F652" s="4">
        <v>4693.78</v>
      </c>
      <c r="G652" s="4">
        <v>2787.01</v>
      </c>
      <c r="H652" s="4">
        <v>1906.77</v>
      </c>
      <c r="I652" s="6">
        <v>3.67</v>
      </c>
      <c r="J652" s="5">
        <v>26</v>
      </c>
    </row>
    <row r="653" spans="1:10">
      <c r="A653" t="s">
        <v>27</v>
      </c>
      <c r="B653" t="s">
        <v>23</v>
      </c>
      <c r="C653" t="s">
        <v>15</v>
      </c>
      <c r="D653" s="3">
        <v>45658</v>
      </c>
      <c r="E653" s="5">
        <v>93</v>
      </c>
      <c r="F653" s="4">
        <v>3497.68</v>
      </c>
      <c r="G653" s="4">
        <v>1616.73</v>
      </c>
      <c r="H653" s="4">
        <v>1880.95</v>
      </c>
      <c r="I653" s="6">
        <v>3.69</v>
      </c>
      <c r="J653" s="5">
        <v>26</v>
      </c>
    </row>
    <row r="654" spans="1:10">
      <c r="A654" t="s">
        <v>27</v>
      </c>
      <c r="B654" t="s">
        <v>23</v>
      </c>
      <c r="C654" t="s">
        <v>16</v>
      </c>
      <c r="D654" s="3">
        <v>45658</v>
      </c>
      <c r="E654" s="5">
        <v>124</v>
      </c>
      <c r="F654" s="4">
        <v>2283.04</v>
      </c>
      <c r="G654" s="4">
        <v>1956.31</v>
      </c>
      <c r="H654" s="4">
        <v>326.73</v>
      </c>
      <c r="I654" s="6">
        <v>3.71</v>
      </c>
      <c r="J654" s="5">
        <v>26</v>
      </c>
    </row>
    <row r="655" spans="1:10">
      <c r="A655" t="s">
        <v>27</v>
      </c>
      <c r="B655" t="s">
        <v>23</v>
      </c>
      <c r="C655" t="s">
        <v>17</v>
      </c>
      <c r="D655" s="3">
        <v>45658</v>
      </c>
      <c r="E655" s="5">
        <v>55</v>
      </c>
      <c r="F655" s="4">
        <v>3267.8</v>
      </c>
      <c r="G655" s="4">
        <v>2000.71</v>
      </c>
      <c r="H655" s="4">
        <v>1267.0899999999999</v>
      </c>
      <c r="I655" s="6">
        <v>3.81</v>
      </c>
      <c r="J655" s="5">
        <v>26</v>
      </c>
    </row>
    <row r="656" spans="1:10">
      <c r="A656" t="s">
        <v>27</v>
      </c>
      <c r="B656" t="s">
        <v>23</v>
      </c>
      <c r="C656" t="s">
        <v>12</v>
      </c>
      <c r="D656" s="3">
        <v>45689</v>
      </c>
      <c r="E656" s="5">
        <v>79</v>
      </c>
      <c r="F656" s="4">
        <v>11277.77</v>
      </c>
      <c r="G656" s="4">
        <v>8409.34</v>
      </c>
      <c r="H656" s="4">
        <v>2868.43</v>
      </c>
      <c r="I656" s="6">
        <v>3.53</v>
      </c>
      <c r="J656" s="5">
        <v>28</v>
      </c>
    </row>
    <row r="657" spans="1:10">
      <c r="A657" t="s">
        <v>27</v>
      </c>
      <c r="B657" t="s">
        <v>23</v>
      </c>
      <c r="C657" t="s">
        <v>13</v>
      </c>
      <c r="D657" s="3">
        <v>45689</v>
      </c>
      <c r="E657" s="5">
        <v>65</v>
      </c>
      <c r="F657" s="4">
        <v>4783.8</v>
      </c>
      <c r="G657" s="4">
        <v>3142.24</v>
      </c>
      <c r="H657" s="4">
        <v>1641.56</v>
      </c>
      <c r="I657" s="6">
        <v>3.72</v>
      </c>
      <c r="J657" s="5">
        <v>28</v>
      </c>
    </row>
    <row r="658" spans="1:10">
      <c r="A658" t="s">
        <v>27</v>
      </c>
      <c r="B658" t="s">
        <v>23</v>
      </c>
      <c r="C658" t="s">
        <v>14</v>
      </c>
      <c r="D658" s="3">
        <v>45689</v>
      </c>
      <c r="E658" s="5">
        <v>98</v>
      </c>
      <c r="F658" s="4">
        <v>4728.6899999999996</v>
      </c>
      <c r="G658" s="4">
        <v>2755.47</v>
      </c>
      <c r="H658" s="4">
        <v>1973.22</v>
      </c>
      <c r="I658" s="6">
        <v>3.7</v>
      </c>
      <c r="J658" s="5">
        <v>28</v>
      </c>
    </row>
    <row r="659" spans="1:10">
      <c r="A659" t="s">
        <v>27</v>
      </c>
      <c r="B659" t="s">
        <v>23</v>
      </c>
      <c r="C659" t="s">
        <v>15</v>
      </c>
      <c r="D659" s="3">
        <v>45689</v>
      </c>
      <c r="E659" s="5">
        <v>83</v>
      </c>
      <c r="F659" s="4">
        <v>3212.25</v>
      </c>
      <c r="G659" s="4">
        <v>1470.65</v>
      </c>
      <c r="H659" s="4">
        <v>1741.6</v>
      </c>
      <c r="I659" s="6">
        <v>3.62</v>
      </c>
      <c r="J659" s="5">
        <v>28</v>
      </c>
    </row>
    <row r="660" spans="1:10">
      <c r="A660" t="s">
        <v>27</v>
      </c>
      <c r="B660" t="s">
        <v>23</v>
      </c>
      <c r="C660" t="s">
        <v>16</v>
      </c>
      <c r="D660" s="3">
        <v>45689</v>
      </c>
      <c r="E660" s="5">
        <v>130</v>
      </c>
      <c r="F660" s="4">
        <v>2251.23</v>
      </c>
      <c r="G660" s="4">
        <v>2016.86</v>
      </c>
      <c r="H660" s="4">
        <v>234.37</v>
      </c>
      <c r="I660" s="6">
        <v>3.77</v>
      </c>
      <c r="J660" s="5">
        <v>28</v>
      </c>
    </row>
    <row r="661" spans="1:10">
      <c r="A661" t="s">
        <v>27</v>
      </c>
      <c r="B661" t="s">
        <v>23</v>
      </c>
      <c r="C661" t="s">
        <v>17</v>
      </c>
      <c r="D661" s="3">
        <v>45689</v>
      </c>
      <c r="E661" s="5">
        <v>62</v>
      </c>
      <c r="F661" s="4">
        <v>3988.39</v>
      </c>
      <c r="G661" s="4">
        <v>2427.87</v>
      </c>
      <c r="H661" s="4">
        <v>1560.52</v>
      </c>
      <c r="I661" s="6">
        <v>3.81</v>
      </c>
      <c r="J661" s="5">
        <v>28</v>
      </c>
    </row>
    <row r="662" spans="1:10">
      <c r="A662" t="s">
        <v>27</v>
      </c>
      <c r="B662" t="s">
        <v>23</v>
      </c>
      <c r="C662" t="s">
        <v>12</v>
      </c>
      <c r="D662" s="3">
        <v>45717</v>
      </c>
      <c r="E662" s="5">
        <v>100</v>
      </c>
      <c r="F662" s="4">
        <v>15595.85</v>
      </c>
      <c r="G662" s="4">
        <v>11810.06</v>
      </c>
      <c r="H662" s="4">
        <v>3785.79</v>
      </c>
      <c r="I662" s="6">
        <v>3.52</v>
      </c>
      <c r="J662" s="5">
        <v>27</v>
      </c>
    </row>
    <row r="663" spans="1:10">
      <c r="A663" t="s">
        <v>27</v>
      </c>
      <c r="B663" t="s">
        <v>23</v>
      </c>
      <c r="C663" t="s">
        <v>13</v>
      </c>
      <c r="D663" s="3">
        <v>45717</v>
      </c>
      <c r="E663" s="5">
        <v>93</v>
      </c>
      <c r="F663" s="4">
        <v>6939.63</v>
      </c>
      <c r="G663" s="4">
        <v>4611.54</v>
      </c>
      <c r="H663" s="4">
        <v>2328.09</v>
      </c>
      <c r="I663" s="6">
        <v>3.57</v>
      </c>
      <c r="J663" s="5">
        <v>27</v>
      </c>
    </row>
    <row r="664" spans="1:10">
      <c r="A664" t="s">
        <v>27</v>
      </c>
      <c r="B664" t="s">
        <v>23</v>
      </c>
      <c r="C664" t="s">
        <v>14</v>
      </c>
      <c r="D664" s="3">
        <v>45717</v>
      </c>
      <c r="E664" s="5">
        <v>145</v>
      </c>
      <c r="F664" s="4">
        <v>7084.12</v>
      </c>
      <c r="G664" s="4">
        <v>4206.41</v>
      </c>
      <c r="H664" s="4">
        <v>2877.71</v>
      </c>
      <c r="I664" s="6">
        <v>3.54</v>
      </c>
      <c r="J664" s="5">
        <v>27</v>
      </c>
    </row>
    <row r="665" spans="1:10">
      <c r="A665" t="s">
        <v>27</v>
      </c>
      <c r="B665" t="s">
        <v>23</v>
      </c>
      <c r="C665" t="s">
        <v>15</v>
      </c>
      <c r="D665" s="3">
        <v>45717</v>
      </c>
      <c r="E665" s="5">
        <v>84</v>
      </c>
      <c r="F665" s="4">
        <v>2885.7</v>
      </c>
      <c r="G665" s="4">
        <v>1386.06</v>
      </c>
      <c r="H665" s="4">
        <v>1499.64</v>
      </c>
      <c r="I665" s="6">
        <v>3.55</v>
      </c>
      <c r="J665" s="5">
        <v>27</v>
      </c>
    </row>
    <row r="666" spans="1:10">
      <c r="A666" t="s">
        <v>27</v>
      </c>
      <c r="B666" t="s">
        <v>23</v>
      </c>
      <c r="C666" t="s">
        <v>16</v>
      </c>
      <c r="D666" s="3">
        <v>45717</v>
      </c>
      <c r="E666" s="5">
        <v>166</v>
      </c>
      <c r="F666" s="4">
        <v>2901.71</v>
      </c>
      <c r="G666" s="4">
        <v>2541.44</v>
      </c>
      <c r="H666" s="4">
        <v>360.26</v>
      </c>
      <c r="I666" s="6">
        <v>3.62</v>
      </c>
      <c r="J666" s="5">
        <v>27</v>
      </c>
    </row>
    <row r="667" spans="1:10">
      <c r="A667" t="s">
        <v>27</v>
      </c>
      <c r="B667" t="s">
        <v>23</v>
      </c>
      <c r="C667" t="s">
        <v>17</v>
      </c>
      <c r="D667" s="3">
        <v>45717</v>
      </c>
      <c r="E667" s="5">
        <v>70</v>
      </c>
      <c r="F667" s="4">
        <v>4496.59</v>
      </c>
      <c r="G667" s="4">
        <v>2916.45</v>
      </c>
      <c r="H667" s="4">
        <v>1580.13</v>
      </c>
      <c r="I667" s="6">
        <v>3.54</v>
      </c>
      <c r="J667" s="5">
        <v>27</v>
      </c>
    </row>
    <row r="668" spans="1:10">
      <c r="A668" t="s">
        <v>27</v>
      </c>
      <c r="B668" t="s">
        <v>23</v>
      </c>
      <c r="C668" t="s">
        <v>12</v>
      </c>
      <c r="D668" s="3">
        <v>45748</v>
      </c>
      <c r="E668" s="5">
        <v>103</v>
      </c>
      <c r="F668" s="4">
        <v>16123.86</v>
      </c>
      <c r="G668" s="4">
        <v>12158.56</v>
      </c>
      <c r="H668" s="4">
        <v>3965.3</v>
      </c>
      <c r="I668" s="6">
        <v>3.74</v>
      </c>
      <c r="J668" s="5">
        <v>27</v>
      </c>
    </row>
    <row r="669" spans="1:10">
      <c r="A669" t="s">
        <v>27</v>
      </c>
      <c r="B669" t="s">
        <v>23</v>
      </c>
      <c r="C669" t="s">
        <v>13</v>
      </c>
      <c r="D669" s="3">
        <v>45748</v>
      </c>
      <c r="E669" s="5">
        <v>89</v>
      </c>
      <c r="F669" s="4">
        <v>7124.53</v>
      </c>
      <c r="G669" s="4">
        <v>4573.18</v>
      </c>
      <c r="H669" s="4">
        <v>2551.36</v>
      </c>
      <c r="I669" s="6">
        <v>3.81</v>
      </c>
      <c r="J669" s="5">
        <v>27</v>
      </c>
    </row>
    <row r="670" spans="1:10">
      <c r="A670" t="s">
        <v>27</v>
      </c>
      <c r="B670" t="s">
        <v>23</v>
      </c>
      <c r="C670" t="s">
        <v>14</v>
      </c>
      <c r="D670" s="3">
        <v>45748</v>
      </c>
      <c r="E670" s="5">
        <v>137</v>
      </c>
      <c r="F670" s="4">
        <v>7048.94</v>
      </c>
      <c r="G670" s="4">
        <v>4101.62</v>
      </c>
      <c r="H670" s="4">
        <v>2947.33</v>
      </c>
      <c r="I670" s="6">
        <v>3.84</v>
      </c>
      <c r="J670" s="5">
        <v>27</v>
      </c>
    </row>
    <row r="671" spans="1:10">
      <c r="A671" t="s">
        <v>27</v>
      </c>
      <c r="B671" t="s">
        <v>23</v>
      </c>
      <c r="C671" t="s">
        <v>15</v>
      </c>
      <c r="D671" s="3">
        <v>45748</v>
      </c>
      <c r="E671" s="5">
        <v>91</v>
      </c>
      <c r="F671" s="4">
        <v>3278.1</v>
      </c>
      <c r="G671" s="4">
        <v>1588.03</v>
      </c>
      <c r="H671" s="4">
        <v>1690.07</v>
      </c>
      <c r="I671" s="6">
        <v>3.68</v>
      </c>
      <c r="J671" s="5">
        <v>27</v>
      </c>
    </row>
    <row r="672" spans="1:10">
      <c r="A672" t="s">
        <v>27</v>
      </c>
      <c r="B672" t="s">
        <v>23</v>
      </c>
      <c r="C672" t="s">
        <v>16</v>
      </c>
      <c r="D672" s="3">
        <v>45748</v>
      </c>
      <c r="E672" s="5">
        <v>147</v>
      </c>
      <c r="F672" s="4">
        <v>2618.35</v>
      </c>
      <c r="G672" s="4">
        <v>2408.88</v>
      </c>
      <c r="H672" s="4">
        <v>209.47</v>
      </c>
      <c r="I672" s="6">
        <v>3.57</v>
      </c>
      <c r="J672" s="5">
        <v>27</v>
      </c>
    </row>
    <row r="673" spans="1:10">
      <c r="A673" t="s">
        <v>27</v>
      </c>
      <c r="B673" t="s">
        <v>23</v>
      </c>
      <c r="C673" t="s">
        <v>17</v>
      </c>
      <c r="D673" s="3">
        <v>45748</v>
      </c>
      <c r="E673" s="5">
        <v>76</v>
      </c>
      <c r="F673" s="4">
        <v>4723.5</v>
      </c>
      <c r="G673" s="4">
        <v>2950.06</v>
      </c>
      <c r="H673" s="4">
        <v>1773.44</v>
      </c>
      <c r="I673" s="6">
        <v>3.73</v>
      </c>
      <c r="J673" s="5">
        <v>27</v>
      </c>
    </row>
    <row r="674" spans="1:10">
      <c r="A674" t="s">
        <v>27</v>
      </c>
      <c r="B674" t="s">
        <v>23</v>
      </c>
      <c r="C674" t="s">
        <v>12</v>
      </c>
      <c r="D674" s="3">
        <v>45778</v>
      </c>
      <c r="E674" s="5">
        <v>101</v>
      </c>
      <c r="F674" s="4">
        <v>15576.26</v>
      </c>
      <c r="G674" s="4">
        <v>12040.86</v>
      </c>
      <c r="H674" s="4">
        <v>3535.4</v>
      </c>
      <c r="I674" s="6">
        <v>3.54</v>
      </c>
      <c r="J674" s="5">
        <v>27</v>
      </c>
    </row>
    <row r="675" spans="1:10">
      <c r="A675" t="s">
        <v>27</v>
      </c>
      <c r="B675" t="s">
        <v>23</v>
      </c>
      <c r="C675" t="s">
        <v>13</v>
      </c>
      <c r="D675" s="3">
        <v>45778</v>
      </c>
      <c r="E675" s="5">
        <v>89</v>
      </c>
      <c r="F675" s="4">
        <v>6720.86</v>
      </c>
      <c r="G675" s="4">
        <v>4441.03</v>
      </c>
      <c r="H675" s="4">
        <v>2279.83</v>
      </c>
      <c r="I675" s="6">
        <v>3.74</v>
      </c>
      <c r="J675" s="5">
        <v>27</v>
      </c>
    </row>
    <row r="676" spans="1:10">
      <c r="A676" t="s">
        <v>27</v>
      </c>
      <c r="B676" t="s">
        <v>23</v>
      </c>
      <c r="C676" t="s">
        <v>14</v>
      </c>
      <c r="D676" s="3">
        <v>45778</v>
      </c>
      <c r="E676" s="5">
        <v>125</v>
      </c>
      <c r="F676" s="4">
        <v>6475.03</v>
      </c>
      <c r="G676" s="4">
        <v>3921.16</v>
      </c>
      <c r="H676" s="4">
        <v>2553.87</v>
      </c>
      <c r="I676" s="6">
        <v>3.51</v>
      </c>
      <c r="J676" s="5">
        <v>27</v>
      </c>
    </row>
    <row r="677" spans="1:10">
      <c r="A677" t="s">
        <v>27</v>
      </c>
      <c r="B677" t="s">
        <v>23</v>
      </c>
      <c r="C677" t="s">
        <v>15</v>
      </c>
      <c r="D677" s="3">
        <v>45778</v>
      </c>
      <c r="E677" s="5">
        <v>96</v>
      </c>
      <c r="F677" s="4">
        <v>3433.71</v>
      </c>
      <c r="G677" s="4">
        <v>1683.19</v>
      </c>
      <c r="H677" s="4">
        <v>1750.52</v>
      </c>
      <c r="I677" s="6">
        <v>3.68</v>
      </c>
      <c r="J677" s="5">
        <v>27</v>
      </c>
    </row>
    <row r="678" spans="1:10">
      <c r="A678" t="s">
        <v>27</v>
      </c>
      <c r="B678" t="s">
        <v>23</v>
      </c>
      <c r="C678" t="s">
        <v>16</v>
      </c>
      <c r="D678" s="3">
        <v>45778</v>
      </c>
      <c r="E678" s="5">
        <v>171</v>
      </c>
      <c r="F678" s="4">
        <v>3137.07</v>
      </c>
      <c r="G678" s="4">
        <v>2805.56</v>
      </c>
      <c r="H678" s="4">
        <v>331.51</v>
      </c>
      <c r="I678" s="6">
        <v>3.57</v>
      </c>
      <c r="J678" s="5">
        <v>27</v>
      </c>
    </row>
    <row r="679" spans="1:10">
      <c r="A679" t="s">
        <v>27</v>
      </c>
      <c r="B679" t="s">
        <v>23</v>
      </c>
      <c r="C679" t="s">
        <v>17</v>
      </c>
      <c r="D679" s="3">
        <v>45778</v>
      </c>
      <c r="E679" s="5">
        <v>90</v>
      </c>
      <c r="F679" s="4">
        <v>5265.56</v>
      </c>
      <c r="G679" s="4">
        <v>3410.78</v>
      </c>
      <c r="H679" s="4">
        <v>1854.78</v>
      </c>
      <c r="I679" s="6">
        <v>3.52</v>
      </c>
      <c r="J679" s="5">
        <v>27</v>
      </c>
    </row>
    <row r="680" spans="1:10">
      <c r="A680" t="s">
        <v>27</v>
      </c>
      <c r="B680" t="s">
        <v>23</v>
      </c>
      <c r="C680" t="s">
        <v>12</v>
      </c>
      <c r="D680" s="3">
        <v>45809</v>
      </c>
      <c r="E680" s="5">
        <v>139</v>
      </c>
      <c r="F680" s="4">
        <v>20439.599999999999</v>
      </c>
      <c r="G680" s="4">
        <v>16198.14</v>
      </c>
      <c r="H680" s="4">
        <v>4241.46</v>
      </c>
      <c r="I680" s="6">
        <v>3.86</v>
      </c>
      <c r="J680" s="5">
        <v>28</v>
      </c>
    </row>
    <row r="681" spans="1:10">
      <c r="A681" t="s">
        <v>27</v>
      </c>
      <c r="B681" t="s">
        <v>23</v>
      </c>
      <c r="C681" t="s">
        <v>13</v>
      </c>
      <c r="D681" s="3">
        <v>45809</v>
      </c>
      <c r="E681" s="5">
        <v>111</v>
      </c>
      <c r="F681" s="4">
        <v>9080.15</v>
      </c>
      <c r="G681" s="4">
        <v>5937.74</v>
      </c>
      <c r="H681" s="4">
        <v>3142.41</v>
      </c>
      <c r="I681" s="6">
        <v>3.74</v>
      </c>
      <c r="J681" s="5">
        <v>28</v>
      </c>
    </row>
    <row r="682" spans="1:10">
      <c r="A682" t="s">
        <v>27</v>
      </c>
      <c r="B682" t="s">
        <v>23</v>
      </c>
      <c r="C682" t="s">
        <v>14</v>
      </c>
      <c r="D682" s="3">
        <v>45809</v>
      </c>
      <c r="E682" s="5">
        <v>126</v>
      </c>
      <c r="F682" s="4">
        <v>6461.78</v>
      </c>
      <c r="G682" s="4">
        <v>3836.66</v>
      </c>
      <c r="H682" s="4">
        <v>2625.12</v>
      </c>
      <c r="I682" s="6">
        <v>3.86</v>
      </c>
      <c r="J682" s="5">
        <v>28</v>
      </c>
    </row>
    <row r="683" spans="1:10">
      <c r="A683" t="s">
        <v>27</v>
      </c>
      <c r="B683" t="s">
        <v>23</v>
      </c>
      <c r="C683" t="s">
        <v>15</v>
      </c>
      <c r="D683" s="3">
        <v>45809</v>
      </c>
      <c r="E683" s="5">
        <v>123</v>
      </c>
      <c r="F683" s="4">
        <v>4298.34</v>
      </c>
      <c r="G683" s="4">
        <v>2149.9699999999998</v>
      </c>
      <c r="H683" s="4">
        <v>2148.36</v>
      </c>
      <c r="I683" s="6">
        <v>3.79</v>
      </c>
      <c r="J683" s="5">
        <v>28</v>
      </c>
    </row>
    <row r="684" spans="1:10">
      <c r="A684" t="s">
        <v>27</v>
      </c>
      <c r="B684" t="s">
        <v>23</v>
      </c>
      <c r="C684" t="s">
        <v>16</v>
      </c>
      <c r="D684" s="3">
        <v>45809</v>
      </c>
      <c r="E684" s="5">
        <v>159</v>
      </c>
      <c r="F684" s="4">
        <v>3028.94</v>
      </c>
      <c r="G684" s="4">
        <v>2702.77</v>
      </c>
      <c r="H684" s="4">
        <v>326.17</v>
      </c>
      <c r="I684" s="6">
        <v>3.69</v>
      </c>
      <c r="J684" s="5">
        <v>28</v>
      </c>
    </row>
    <row r="685" spans="1:10">
      <c r="A685" t="s">
        <v>27</v>
      </c>
      <c r="B685" t="s">
        <v>23</v>
      </c>
      <c r="C685" t="s">
        <v>17</v>
      </c>
      <c r="D685" s="3">
        <v>45809</v>
      </c>
      <c r="E685" s="5">
        <v>115</v>
      </c>
      <c r="F685" s="4">
        <v>7506.96</v>
      </c>
      <c r="G685" s="4">
        <v>4937.38</v>
      </c>
      <c r="H685" s="4">
        <v>2569.58</v>
      </c>
      <c r="I685" s="6">
        <v>3.83</v>
      </c>
      <c r="J685" s="5">
        <v>28</v>
      </c>
    </row>
    <row r="686" spans="1:10">
      <c r="A686" t="s">
        <v>27</v>
      </c>
      <c r="B686" t="s">
        <v>23</v>
      </c>
      <c r="C686" t="s">
        <v>12</v>
      </c>
      <c r="D686" s="3">
        <v>45839</v>
      </c>
      <c r="E686" s="5">
        <v>114</v>
      </c>
      <c r="F686" s="4">
        <v>16851.86</v>
      </c>
      <c r="G686" s="4">
        <v>12961.13</v>
      </c>
      <c r="H686" s="4">
        <v>3890.73</v>
      </c>
      <c r="I686" s="6">
        <v>3.85</v>
      </c>
      <c r="J686" s="5">
        <v>27</v>
      </c>
    </row>
    <row r="687" spans="1:10">
      <c r="A687" t="s">
        <v>27</v>
      </c>
      <c r="B687" t="s">
        <v>23</v>
      </c>
      <c r="C687" t="s">
        <v>13</v>
      </c>
      <c r="D687" s="3">
        <v>45839</v>
      </c>
      <c r="E687" s="5">
        <v>98</v>
      </c>
      <c r="F687" s="4">
        <v>7873.56</v>
      </c>
      <c r="G687" s="4">
        <v>5421.65</v>
      </c>
      <c r="H687" s="4">
        <v>2451.91</v>
      </c>
      <c r="I687" s="6">
        <v>3.85</v>
      </c>
      <c r="J687" s="5">
        <v>27</v>
      </c>
    </row>
    <row r="688" spans="1:10">
      <c r="A688" t="s">
        <v>27</v>
      </c>
      <c r="B688" t="s">
        <v>23</v>
      </c>
      <c r="C688" t="s">
        <v>14</v>
      </c>
      <c r="D688" s="3">
        <v>45839</v>
      </c>
      <c r="E688" s="5">
        <v>127</v>
      </c>
      <c r="F688" s="4">
        <v>5762.64</v>
      </c>
      <c r="G688" s="4">
        <v>3455.26</v>
      </c>
      <c r="H688" s="4">
        <v>2307.38</v>
      </c>
      <c r="I688" s="6">
        <v>3.72</v>
      </c>
      <c r="J688" s="5">
        <v>27</v>
      </c>
    </row>
    <row r="689" spans="1:10">
      <c r="A689" t="s">
        <v>27</v>
      </c>
      <c r="B689" t="s">
        <v>23</v>
      </c>
      <c r="C689" t="s">
        <v>15</v>
      </c>
      <c r="D689" s="3">
        <v>45839</v>
      </c>
      <c r="E689" s="5">
        <v>110</v>
      </c>
      <c r="F689" s="4">
        <v>3733.45</v>
      </c>
      <c r="G689" s="4">
        <v>1849.34</v>
      </c>
      <c r="H689" s="4">
        <v>1884.1</v>
      </c>
      <c r="I689" s="6">
        <v>3.62</v>
      </c>
      <c r="J689" s="5">
        <v>27</v>
      </c>
    </row>
    <row r="690" spans="1:10">
      <c r="A690" t="s">
        <v>27</v>
      </c>
      <c r="B690" t="s">
        <v>23</v>
      </c>
      <c r="C690" t="s">
        <v>16</v>
      </c>
      <c r="D690" s="3">
        <v>45839</v>
      </c>
      <c r="E690" s="5">
        <v>164</v>
      </c>
      <c r="F690" s="4">
        <v>2915.71</v>
      </c>
      <c r="G690" s="4">
        <v>2619.1</v>
      </c>
      <c r="H690" s="4">
        <v>296.61</v>
      </c>
      <c r="I690" s="6">
        <v>3.76</v>
      </c>
      <c r="J690" s="5">
        <v>27</v>
      </c>
    </row>
    <row r="691" spans="1:10">
      <c r="A691" t="s">
        <v>27</v>
      </c>
      <c r="B691" t="s">
        <v>23</v>
      </c>
      <c r="C691" t="s">
        <v>17</v>
      </c>
      <c r="D691" s="3">
        <v>45839</v>
      </c>
      <c r="E691" s="5">
        <v>97</v>
      </c>
      <c r="F691" s="4">
        <v>6384.16</v>
      </c>
      <c r="G691" s="4">
        <v>4077.34</v>
      </c>
      <c r="H691" s="4">
        <v>2306.83</v>
      </c>
      <c r="I691" s="6">
        <v>3.56</v>
      </c>
      <c r="J691" s="5">
        <v>27</v>
      </c>
    </row>
    <row r="692" spans="1:10">
      <c r="A692" t="s">
        <v>27</v>
      </c>
      <c r="B692" t="s">
        <v>23</v>
      </c>
      <c r="C692" t="s">
        <v>12</v>
      </c>
      <c r="D692" s="3">
        <v>45870</v>
      </c>
      <c r="E692" s="5">
        <v>114</v>
      </c>
      <c r="F692" s="4">
        <v>17529.96</v>
      </c>
      <c r="G692" s="4">
        <v>14267.39</v>
      </c>
      <c r="H692" s="4">
        <v>3262.58</v>
      </c>
      <c r="I692" s="6">
        <v>3.64</v>
      </c>
      <c r="J692" s="5">
        <v>28</v>
      </c>
    </row>
    <row r="693" spans="1:10">
      <c r="A693" t="s">
        <v>27</v>
      </c>
      <c r="B693" t="s">
        <v>23</v>
      </c>
      <c r="C693" t="s">
        <v>13</v>
      </c>
      <c r="D693" s="3">
        <v>45870</v>
      </c>
      <c r="E693" s="5">
        <v>85</v>
      </c>
      <c r="F693" s="4">
        <v>6924.28</v>
      </c>
      <c r="G693" s="4">
        <v>4692.7700000000004</v>
      </c>
      <c r="H693" s="4">
        <v>2231.5</v>
      </c>
      <c r="I693" s="6">
        <v>3.54</v>
      </c>
      <c r="J693" s="5">
        <v>28</v>
      </c>
    </row>
    <row r="694" spans="1:10">
      <c r="A694" t="s">
        <v>27</v>
      </c>
      <c r="B694" t="s">
        <v>23</v>
      </c>
      <c r="C694" t="s">
        <v>14</v>
      </c>
      <c r="D694" s="3">
        <v>45870</v>
      </c>
      <c r="E694" s="5">
        <v>148</v>
      </c>
      <c r="F694" s="4">
        <v>6834.41</v>
      </c>
      <c r="G694" s="4">
        <v>4365.4399999999996</v>
      </c>
      <c r="H694" s="4">
        <v>2468.96</v>
      </c>
      <c r="I694" s="6">
        <v>3.79</v>
      </c>
      <c r="J694" s="5">
        <v>28</v>
      </c>
    </row>
    <row r="695" spans="1:10">
      <c r="A695" t="s">
        <v>27</v>
      </c>
      <c r="B695" t="s">
        <v>23</v>
      </c>
      <c r="C695" t="s">
        <v>15</v>
      </c>
      <c r="D695" s="3">
        <v>45870</v>
      </c>
      <c r="E695" s="5">
        <v>110</v>
      </c>
      <c r="F695" s="4">
        <v>4254.99</v>
      </c>
      <c r="G695" s="4">
        <v>2155.12</v>
      </c>
      <c r="H695" s="4">
        <v>2099.87</v>
      </c>
      <c r="I695" s="6">
        <v>3.57</v>
      </c>
      <c r="J695" s="5">
        <v>28</v>
      </c>
    </row>
    <row r="696" spans="1:10">
      <c r="A696" t="s">
        <v>27</v>
      </c>
      <c r="B696" t="s">
        <v>23</v>
      </c>
      <c r="C696" t="s">
        <v>16</v>
      </c>
      <c r="D696" s="3">
        <v>45870</v>
      </c>
      <c r="E696" s="5">
        <v>197</v>
      </c>
      <c r="F696" s="4">
        <v>3794.36</v>
      </c>
      <c r="G696" s="4">
        <v>3558.64</v>
      </c>
      <c r="H696" s="4">
        <v>235.72</v>
      </c>
      <c r="I696" s="6">
        <v>3.56</v>
      </c>
      <c r="J696" s="5">
        <v>28</v>
      </c>
    </row>
    <row r="697" spans="1:10">
      <c r="A697" t="s">
        <v>27</v>
      </c>
      <c r="B697" t="s">
        <v>23</v>
      </c>
      <c r="C697" t="s">
        <v>17</v>
      </c>
      <c r="D697" s="3">
        <v>45870</v>
      </c>
      <c r="E697" s="5">
        <v>99</v>
      </c>
      <c r="F697" s="4">
        <v>6275.82</v>
      </c>
      <c r="G697" s="4">
        <v>4073.66</v>
      </c>
      <c r="H697" s="4">
        <v>2202.15</v>
      </c>
      <c r="I697" s="6">
        <v>3.62</v>
      </c>
      <c r="J697" s="5">
        <v>28</v>
      </c>
    </row>
    <row r="698" spans="1:10">
      <c r="A698" t="s">
        <v>27</v>
      </c>
      <c r="B698" t="s">
        <v>23</v>
      </c>
      <c r="C698" t="s">
        <v>12</v>
      </c>
      <c r="D698" s="3">
        <v>45901</v>
      </c>
      <c r="E698" s="5">
        <v>116</v>
      </c>
      <c r="F698" s="4">
        <v>18045.009999999998</v>
      </c>
      <c r="G698" s="4">
        <v>14787.59</v>
      </c>
      <c r="H698" s="4">
        <v>3257.42</v>
      </c>
      <c r="I698" s="6">
        <v>3.65</v>
      </c>
      <c r="J698" s="5">
        <v>27</v>
      </c>
    </row>
    <row r="699" spans="1:10">
      <c r="A699" t="s">
        <v>27</v>
      </c>
      <c r="B699" t="s">
        <v>23</v>
      </c>
      <c r="C699" t="s">
        <v>13</v>
      </c>
      <c r="D699" s="3">
        <v>45901</v>
      </c>
      <c r="E699" s="5">
        <v>105</v>
      </c>
      <c r="F699" s="4">
        <v>8612.01</v>
      </c>
      <c r="G699" s="4">
        <v>6090.44</v>
      </c>
      <c r="H699" s="4">
        <v>2521.5700000000002</v>
      </c>
      <c r="I699" s="6">
        <v>3.52</v>
      </c>
      <c r="J699" s="5">
        <v>27</v>
      </c>
    </row>
    <row r="700" spans="1:10">
      <c r="A700" t="s">
        <v>27</v>
      </c>
      <c r="B700" t="s">
        <v>23</v>
      </c>
      <c r="C700" t="s">
        <v>14</v>
      </c>
      <c r="D700" s="3">
        <v>45901</v>
      </c>
      <c r="E700" s="5">
        <v>105</v>
      </c>
      <c r="F700" s="4">
        <v>5420.29</v>
      </c>
      <c r="G700" s="4">
        <v>3346.94</v>
      </c>
      <c r="H700" s="4">
        <v>2073.35</v>
      </c>
      <c r="I700" s="6">
        <v>3.71</v>
      </c>
      <c r="J700" s="5">
        <v>27</v>
      </c>
    </row>
    <row r="701" spans="1:10">
      <c r="A701" t="s">
        <v>27</v>
      </c>
      <c r="B701" t="s">
        <v>23</v>
      </c>
      <c r="C701" t="s">
        <v>15</v>
      </c>
      <c r="D701" s="3">
        <v>45901</v>
      </c>
      <c r="E701" s="5">
        <v>91</v>
      </c>
      <c r="F701" s="4">
        <v>3509.04</v>
      </c>
      <c r="G701" s="4">
        <v>1744.16</v>
      </c>
      <c r="H701" s="4">
        <v>1764.88</v>
      </c>
      <c r="I701" s="6">
        <v>3.77</v>
      </c>
      <c r="J701" s="5">
        <v>27</v>
      </c>
    </row>
    <row r="702" spans="1:10">
      <c r="A702" t="s">
        <v>27</v>
      </c>
      <c r="B702" t="s">
        <v>23</v>
      </c>
      <c r="C702" t="s">
        <v>16</v>
      </c>
      <c r="D702" s="3">
        <v>45901</v>
      </c>
      <c r="E702" s="5">
        <v>171</v>
      </c>
      <c r="F702" s="4">
        <v>2965.67</v>
      </c>
      <c r="G702" s="4">
        <v>2815.77</v>
      </c>
      <c r="H702" s="4">
        <v>149.9</v>
      </c>
      <c r="I702" s="6">
        <v>3.51</v>
      </c>
      <c r="J702" s="5">
        <v>27</v>
      </c>
    </row>
    <row r="703" spans="1:10">
      <c r="A703" t="s">
        <v>27</v>
      </c>
      <c r="B703" t="s">
        <v>23</v>
      </c>
      <c r="C703" t="s">
        <v>17</v>
      </c>
      <c r="D703" s="3">
        <v>45901</v>
      </c>
      <c r="E703" s="5">
        <v>93</v>
      </c>
      <c r="F703" s="4">
        <v>5992.35</v>
      </c>
      <c r="G703" s="4">
        <v>4036.3</v>
      </c>
      <c r="H703" s="4">
        <v>1956.05</v>
      </c>
      <c r="I703" s="6">
        <v>3.82</v>
      </c>
      <c r="J703" s="5">
        <v>27</v>
      </c>
    </row>
    <row r="704" spans="1:10">
      <c r="A704" t="s">
        <v>27</v>
      </c>
      <c r="B704" t="s">
        <v>23</v>
      </c>
      <c r="C704" t="s">
        <v>12</v>
      </c>
      <c r="D704" s="3">
        <v>45931</v>
      </c>
      <c r="E704" s="5">
        <v>119</v>
      </c>
      <c r="F704" s="4">
        <v>17894.21</v>
      </c>
      <c r="G704" s="4">
        <v>14257.87</v>
      </c>
      <c r="H704" s="4">
        <v>3636.33</v>
      </c>
      <c r="I704" s="6">
        <v>3.79</v>
      </c>
      <c r="J704" s="5">
        <v>28</v>
      </c>
    </row>
    <row r="705" spans="1:10">
      <c r="A705" t="s">
        <v>27</v>
      </c>
      <c r="B705" t="s">
        <v>23</v>
      </c>
      <c r="C705" t="s">
        <v>13</v>
      </c>
      <c r="D705" s="3">
        <v>45931</v>
      </c>
      <c r="E705" s="5">
        <v>102</v>
      </c>
      <c r="F705" s="4">
        <v>8068.73</v>
      </c>
      <c r="G705" s="4">
        <v>5447.88</v>
      </c>
      <c r="H705" s="4">
        <v>2620.85</v>
      </c>
      <c r="I705" s="6">
        <v>3.66</v>
      </c>
      <c r="J705" s="5">
        <v>28</v>
      </c>
    </row>
    <row r="706" spans="1:10">
      <c r="A706" t="s">
        <v>27</v>
      </c>
      <c r="B706" t="s">
        <v>23</v>
      </c>
      <c r="C706" t="s">
        <v>14</v>
      </c>
      <c r="D706" s="3">
        <v>45931</v>
      </c>
      <c r="E706" s="5">
        <v>124</v>
      </c>
      <c r="F706" s="4">
        <v>5939.87</v>
      </c>
      <c r="G706" s="4">
        <v>3852.14</v>
      </c>
      <c r="H706" s="4">
        <v>2087.73</v>
      </c>
      <c r="I706" s="6">
        <v>3.63</v>
      </c>
      <c r="J706" s="5">
        <v>28</v>
      </c>
    </row>
    <row r="707" spans="1:10">
      <c r="A707" t="s">
        <v>27</v>
      </c>
      <c r="B707" t="s">
        <v>23</v>
      </c>
      <c r="C707" t="s">
        <v>15</v>
      </c>
      <c r="D707" s="3">
        <v>45931</v>
      </c>
      <c r="E707" s="5">
        <v>110</v>
      </c>
      <c r="F707" s="4">
        <v>3930.49</v>
      </c>
      <c r="G707" s="4">
        <v>2060.13</v>
      </c>
      <c r="H707" s="4">
        <v>1870.36</v>
      </c>
      <c r="I707" s="6">
        <v>3.79</v>
      </c>
      <c r="J707" s="5">
        <v>28</v>
      </c>
    </row>
    <row r="708" spans="1:10">
      <c r="A708" t="s">
        <v>27</v>
      </c>
      <c r="B708" t="s">
        <v>23</v>
      </c>
      <c r="C708" t="s">
        <v>16</v>
      </c>
      <c r="D708" s="3">
        <v>45931</v>
      </c>
      <c r="E708" s="5">
        <v>157</v>
      </c>
      <c r="F708" s="4">
        <v>2745.69</v>
      </c>
      <c r="G708" s="4">
        <v>2556.98</v>
      </c>
      <c r="H708" s="4">
        <v>188.71</v>
      </c>
      <c r="I708" s="6">
        <v>3.76</v>
      </c>
      <c r="J708" s="5">
        <v>28</v>
      </c>
    </row>
    <row r="709" spans="1:10">
      <c r="A709" t="s">
        <v>27</v>
      </c>
      <c r="B709" t="s">
        <v>23</v>
      </c>
      <c r="C709" t="s">
        <v>17</v>
      </c>
      <c r="D709" s="3">
        <v>45931</v>
      </c>
      <c r="E709" s="5">
        <v>75</v>
      </c>
      <c r="F709" s="4">
        <v>4392.75</v>
      </c>
      <c r="G709" s="4">
        <v>2875.46</v>
      </c>
      <c r="H709" s="4">
        <v>1517.29</v>
      </c>
      <c r="I709" s="6">
        <v>3.6</v>
      </c>
      <c r="J709" s="5">
        <v>28</v>
      </c>
    </row>
    <row r="710" spans="1:10">
      <c r="A710" t="s">
        <v>27</v>
      </c>
      <c r="B710" t="s">
        <v>23</v>
      </c>
      <c r="C710" t="s">
        <v>12</v>
      </c>
      <c r="D710" s="3">
        <v>45962</v>
      </c>
      <c r="E710" s="5">
        <v>190</v>
      </c>
      <c r="F710" s="4">
        <v>27345.14</v>
      </c>
      <c r="G710" s="4">
        <v>22457.87</v>
      </c>
      <c r="H710" s="4">
        <v>4887.2700000000004</v>
      </c>
      <c r="I710" s="6">
        <v>3.7</v>
      </c>
      <c r="J710" s="5">
        <v>28</v>
      </c>
    </row>
    <row r="711" spans="1:10">
      <c r="A711" t="s">
        <v>27</v>
      </c>
      <c r="B711" t="s">
        <v>23</v>
      </c>
      <c r="C711" t="s">
        <v>13</v>
      </c>
      <c r="D711" s="3">
        <v>45962</v>
      </c>
      <c r="E711" s="5">
        <v>124</v>
      </c>
      <c r="F711" s="4">
        <v>10043.51</v>
      </c>
      <c r="G711" s="4">
        <v>6858.82</v>
      </c>
      <c r="H711" s="4">
        <v>3184.69</v>
      </c>
      <c r="I711" s="6">
        <v>3.72</v>
      </c>
      <c r="J711" s="5">
        <v>28</v>
      </c>
    </row>
    <row r="712" spans="1:10">
      <c r="A712" t="s">
        <v>27</v>
      </c>
      <c r="B712" t="s">
        <v>23</v>
      </c>
      <c r="C712" t="s">
        <v>14</v>
      </c>
      <c r="D712" s="3">
        <v>45962</v>
      </c>
      <c r="E712" s="5">
        <v>170</v>
      </c>
      <c r="F712" s="4">
        <v>7705.81</v>
      </c>
      <c r="G712" s="4">
        <v>5062.6400000000003</v>
      </c>
      <c r="H712" s="4">
        <v>2643.17</v>
      </c>
      <c r="I712" s="6">
        <v>3.56</v>
      </c>
      <c r="J712" s="5">
        <v>28</v>
      </c>
    </row>
    <row r="713" spans="1:10">
      <c r="A713" t="s">
        <v>27</v>
      </c>
      <c r="B713" t="s">
        <v>23</v>
      </c>
      <c r="C713" t="s">
        <v>15</v>
      </c>
      <c r="D713" s="3">
        <v>45962</v>
      </c>
      <c r="E713" s="5">
        <v>121</v>
      </c>
      <c r="F713" s="4">
        <v>4637.25</v>
      </c>
      <c r="G713" s="4">
        <v>2361.7600000000002</v>
      </c>
      <c r="H713" s="4">
        <v>2275.4899999999998</v>
      </c>
      <c r="I713" s="6">
        <v>3.54</v>
      </c>
      <c r="J713" s="5">
        <v>28</v>
      </c>
    </row>
    <row r="714" spans="1:10">
      <c r="A714" t="s">
        <v>27</v>
      </c>
      <c r="B714" t="s">
        <v>23</v>
      </c>
      <c r="C714" t="s">
        <v>16</v>
      </c>
      <c r="D714" s="3">
        <v>45962</v>
      </c>
      <c r="E714" s="5">
        <v>224</v>
      </c>
      <c r="F714" s="4">
        <v>4183.63</v>
      </c>
      <c r="G714" s="4">
        <v>3985.01</v>
      </c>
      <c r="H714" s="4">
        <v>198.63</v>
      </c>
      <c r="I714" s="6">
        <v>3.74</v>
      </c>
      <c r="J714" s="5">
        <v>28</v>
      </c>
    </row>
    <row r="715" spans="1:10">
      <c r="A715" t="s">
        <v>27</v>
      </c>
      <c r="B715" t="s">
        <v>23</v>
      </c>
      <c r="C715" t="s">
        <v>17</v>
      </c>
      <c r="D715" s="3">
        <v>45962</v>
      </c>
      <c r="E715" s="5">
        <v>101</v>
      </c>
      <c r="F715" s="4">
        <v>6118.83</v>
      </c>
      <c r="G715" s="4">
        <v>4106.26</v>
      </c>
      <c r="H715" s="4">
        <v>2012.57</v>
      </c>
      <c r="I715" s="6">
        <v>3.59</v>
      </c>
      <c r="J715" s="5">
        <v>28</v>
      </c>
    </row>
    <row r="716" spans="1:10">
      <c r="A716" t="s">
        <v>27</v>
      </c>
      <c r="B716" t="s">
        <v>23</v>
      </c>
      <c r="C716" t="s">
        <v>12</v>
      </c>
      <c r="D716" s="3">
        <v>45992</v>
      </c>
      <c r="E716" s="5">
        <v>188</v>
      </c>
      <c r="F716" s="4">
        <v>27498.06</v>
      </c>
      <c r="G716" s="4">
        <v>22373.9</v>
      </c>
      <c r="H716" s="4">
        <v>5124.1499999999996</v>
      </c>
      <c r="I716" s="6">
        <v>3.51</v>
      </c>
      <c r="J716" s="5">
        <v>28</v>
      </c>
    </row>
    <row r="717" spans="1:10">
      <c r="A717" t="s">
        <v>27</v>
      </c>
      <c r="B717" t="s">
        <v>23</v>
      </c>
      <c r="C717" t="s">
        <v>13</v>
      </c>
      <c r="D717" s="3">
        <v>45992</v>
      </c>
      <c r="E717" s="5">
        <v>144</v>
      </c>
      <c r="F717" s="4">
        <v>10421.620000000001</v>
      </c>
      <c r="G717" s="4">
        <v>7713.13</v>
      </c>
      <c r="H717" s="4">
        <v>2708.49</v>
      </c>
      <c r="I717" s="6">
        <v>3.73</v>
      </c>
      <c r="J717" s="5">
        <v>28</v>
      </c>
    </row>
    <row r="718" spans="1:10">
      <c r="A718" t="s">
        <v>27</v>
      </c>
      <c r="B718" t="s">
        <v>23</v>
      </c>
      <c r="C718" t="s">
        <v>14</v>
      </c>
      <c r="D718" s="3">
        <v>45992</v>
      </c>
      <c r="E718" s="5">
        <v>196</v>
      </c>
      <c r="F718" s="4">
        <v>9116.1</v>
      </c>
      <c r="G718" s="4">
        <v>6121.66</v>
      </c>
      <c r="H718" s="4">
        <v>2994.44</v>
      </c>
      <c r="I718" s="6">
        <v>3.86</v>
      </c>
      <c r="J718" s="5">
        <v>28</v>
      </c>
    </row>
    <row r="719" spans="1:10">
      <c r="A719" t="s">
        <v>27</v>
      </c>
      <c r="B719" t="s">
        <v>23</v>
      </c>
      <c r="C719" t="s">
        <v>15</v>
      </c>
      <c r="D719" s="3">
        <v>45992</v>
      </c>
      <c r="E719" s="5">
        <v>144</v>
      </c>
      <c r="F719" s="4">
        <v>5216.66</v>
      </c>
      <c r="G719" s="4">
        <v>2782.59</v>
      </c>
      <c r="H719" s="4">
        <v>2434.0700000000002</v>
      </c>
      <c r="I719" s="6">
        <v>3.79</v>
      </c>
      <c r="J719" s="5">
        <v>28</v>
      </c>
    </row>
    <row r="720" spans="1:10">
      <c r="A720" t="s">
        <v>27</v>
      </c>
      <c r="B720" t="s">
        <v>23</v>
      </c>
      <c r="C720" t="s">
        <v>16</v>
      </c>
      <c r="D720" s="3">
        <v>45992</v>
      </c>
      <c r="E720" s="5">
        <v>208</v>
      </c>
      <c r="F720" s="4">
        <v>3658.26</v>
      </c>
      <c r="G720" s="4">
        <v>3541.83</v>
      </c>
      <c r="H720" s="4">
        <v>116.44</v>
      </c>
      <c r="I720" s="6">
        <v>3.61</v>
      </c>
      <c r="J720" s="5">
        <v>28</v>
      </c>
    </row>
    <row r="721" spans="1:10">
      <c r="A721" t="s">
        <v>27</v>
      </c>
      <c r="B721" t="s">
        <v>23</v>
      </c>
      <c r="C721" t="s">
        <v>17</v>
      </c>
      <c r="D721" s="3">
        <v>45992</v>
      </c>
      <c r="E721" s="5">
        <v>111</v>
      </c>
      <c r="F721" s="4">
        <v>6826.55</v>
      </c>
      <c r="G721" s="4">
        <v>4785.26</v>
      </c>
      <c r="H721" s="4">
        <v>2041.29</v>
      </c>
      <c r="I721" s="6">
        <v>3.57</v>
      </c>
      <c r="J721" s="5">
        <v>28</v>
      </c>
    </row>
    <row r="722" spans="1:10">
      <c r="A722" t="s">
        <v>28</v>
      </c>
      <c r="B722" t="s">
        <v>29</v>
      </c>
      <c r="C722" t="s">
        <v>12</v>
      </c>
      <c r="D722" s="3">
        <v>45658</v>
      </c>
      <c r="E722" s="5">
        <v>70</v>
      </c>
      <c r="F722" s="4">
        <v>9862.49</v>
      </c>
      <c r="G722" s="4">
        <v>7294.15</v>
      </c>
      <c r="H722" s="4">
        <v>2568.34</v>
      </c>
      <c r="I722" s="6">
        <v>3.43</v>
      </c>
      <c r="J722" s="5">
        <v>17</v>
      </c>
    </row>
    <row r="723" spans="1:10">
      <c r="A723" t="s">
        <v>28</v>
      </c>
      <c r="B723" t="s">
        <v>29</v>
      </c>
      <c r="C723" t="s">
        <v>13</v>
      </c>
      <c r="D723" s="3">
        <v>45658</v>
      </c>
      <c r="E723" s="5">
        <v>71</v>
      </c>
      <c r="F723" s="4">
        <v>5640.51</v>
      </c>
      <c r="G723" s="4">
        <v>3646.2</v>
      </c>
      <c r="H723" s="4">
        <v>1994.31</v>
      </c>
      <c r="I723" s="6">
        <v>3.44</v>
      </c>
      <c r="J723" s="5">
        <v>17</v>
      </c>
    </row>
    <row r="724" spans="1:10">
      <c r="A724" t="s">
        <v>28</v>
      </c>
      <c r="B724" t="s">
        <v>29</v>
      </c>
      <c r="C724" t="s">
        <v>14</v>
      </c>
      <c r="D724" s="3">
        <v>45658</v>
      </c>
      <c r="E724" s="5">
        <v>76</v>
      </c>
      <c r="F724" s="4">
        <v>3924.88</v>
      </c>
      <c r="G724" s="4">
        <v>2288.69</v>
      </c>
      <c r="H724" s="4">
        <v>1636.19</v>
      </c>
      <c r="I724" s="6">
        <v>3.6</v>
      </c>
      <c r="J724" s="5">
        <v>17</v>
      </c>
    </row>
    <row r="725" spans="1:10">
      <c r="A725" t="s">
        <v>28</v>
      </c>
      <c r="B725" t="s">
        <v>29</v>
      </c>
      <c r="C725" t="s">
        <v>15</v>
      </c>
      <c r="D725" s="3">
        <v>45658</v>
      </c>
      <c r="E725" s="5">
        <v>74</v>
      </c>
      <c r="F725" s="4">
        <v>2817.74</v>
      </c>
      <c r="G725" s="4">
        <v>1320.92</v>
      </c>
      <c r="H725" s="4">
        <v>1496.82</v>
      </c>
      <c r="I725" s="6">
        <v>3.56</v>
      </c>
      <c r="J725" s="5">
        <v>17</v>
      </c>
    </row>
    <row r="726" spans="1:10">
      <c r="A726" t="s">
        <v>28</v>
      </c>
      <c r="B726" t="s">
        <v>29</v>
      </c>
      <c r="C726" t="s">
        <v>16</v>
      </c>
      <c r="D726" s="3">
        <v>45658</v>
      </c>
      <c r="E726" s="5">
        <v>92</v>
      </c>
      <c r="F726" s="4">
        <v>1666.72</v>
      </c>
      <c r="G726" s="4">
        <v>1500.3</v>
      </c>
      <c r="H726" s="4">
        <v>166.42</v>
      </c>
      <c r="I726" s="6">
        <v>3.55</v>
      </c>
      <c r="J726" s="5">
        <v>17</v>
      </c>
    </row>
    <row r="727" spans="1:10">
      <c r="A727" t="s">
        <v>28</v>
      </c>
      <c r="B727" t="s">
        <v>29</v>
      </c>
      <c r="C727" t="s">
        <v>17</v>
      </c>
      <c r="D727" s="3">
        <v>45658</v>
      </c>
      <c r="E727" s="5">
        <v>49</v>
      </c>
      <c r="F727" s="4">
        <v>2889.3</v>
      </c>
      <c r="G727" s="4">
        <v>1834.66</v>
      </c>
      <c r="H727" s="4">
        <v>1054.6400000000001</v>
      </c>
      <c r="I727" s="6">
        <v>3.66</v>
      </c>
      <c r="J727" s="5">
        <v>17</v>
      </c>
    </row>
    <row r="728" spans="1:10">
      <c r="A728" t="s">
        <v>28</v>
      </c>
      <c r="B728" t="s">
        <v>29</v>
      </c>
      <c r="C728" t="s">
        <v>12</v>
      </c>
      <c r="D728" s="3">
        <v>45689</v>
      </c>
      <c r="E728" s="5">
        <v>78</v>
      </c>
      <c r="F728" s="4">
        <v>10905.14</v>
      </c>
      <c r="G728" s="4">
        <v>8483.8799999999992</v>
      </c>
      <c r="H728" s="4">
        <v>2421.2600000000002</v>
      </c>
      <c r="I728" s="6">
        <v>3.76</v>
      </c>
      <c r="J728" s="5">
        <v>18</v>
      </c>
    </row>
    <row r="729" spans="1:10">
      <c r="A729" t="s">
        <v>28</v>
      </c>
      <c r="B729" t="s">
        <v>29</v>
      </c>
      <c r="C729" t="s">
        <v>13</v>
      </c>
      <c r="D729" s="3">
        <v>45689</v>
      </c>
      <c r="E729" s="5">
        <v>70</v>
      </c>
      <c r="F729" s="4">
        <v>5602.94</v>
      </c>
      <c r="G729" s="4">
        <v>3538.32</v>
      </c>
      <c r="H729" s="4">
        <v>2064.62</v>
      </c>
      <c r="I729" s="6">
        <v>3.56</v>
      </c>
      <c r="J729" s="5">
        <v>18</v>
      </c>
    </row>
    <row r="730" spans="1:10">
      <c r="A730" t="s">
        <v>28</v>
      </c>
      <c r="B730" t="s">
        <v>29</v>
      </c>
      <c r="C730" t="s">
        <v>14</v>
      </c>
      <c r="D730" s="3">
        <v>45689</v>
      </c>
      <c r="E730" s="5">
        <v>89</v>
      </c>
      <c r="F730" s="4">
        <v>4612.13</v>
      </c>
      <c r="G730" s="4">
        <v>2723.34</v>
      </c>
      <c r="H730" s="4">
        <v>1888.79</v>
      </c>
      <c r="I730" s="6">
        <v>3.71</v>
      </c>
      <c r="J730" s="5">
        <v>18</v>
      </c>
    </row>
    <row r="731" spans="1:10">
      <c r="A731" t="s">
        <v>28</v>
      </c>
      <c r="B731" t="s">
        <v>29</v>
      </c>
      <c r="C731" t="s">
        <v>15</v>
      </c>
      <c r="D731" s="3">
        <v>45689</v>
      </c>
      <c r="E731" s="5">
        <v>67</v>
      </c>
      <c r="F731" s="4">
        <v>2354.36</v>
      </c>
      <c r="G731" s="4">
        <v>1124.18</v>
      </c>
      <c r="H731" s="4">
        <v>1230.19</v>
      </c>
      <c r="I731" s="6">
        <v>3.73</v>
      </c>
      <c r="J731" s="5">
        <v>18</v>
      </c>
    </row>
    <row r="732" spans="1:10">
      <c r="A732" t="s">
        <v>28</v>
      </c>
      <c r="B732" t="s">
        <v>29</v>
      </c>
      <c r="C732" t="s">
        <v>16</v>
      </c>
      <c r="D732" s="3">
        <v>45689</v>
      </c>
      <c r="E732" s="5">
        <v>120</v>
      </c>
      <c r="F732" s="4">
        <v>2150.56</v>
      </c>
      <c r="G732" s="4">
        <v>1885.52</v>
      </c>
      <c r="H732" s="4">
        <v>265.04000000000002</v>
      </c>
      <c r="I732" s="6">
        <v>3.47</v>
      </c>
      <c r="J732" s="5">
        <v>18</v>
      </c>
    </row>
    <row r="733" spans="1:10">
      <c r="A733" t="s">
        <v>28</v>
      </c>
      <c r="B733" t="s">
        <v>29</v>
      </c>
      <c r="C733" t="s">
        <v>17</v>
      </c>
      <c r="D733" s="3">
        <v>45689</v>
      </c>
      <c r="E733" s="5">
        <v>52</v>
      </c>
      <c r="F733" s="4">
        <v>3237.35</v>
      </c>
      <c r="G733" s="4">
        <v>2072</v>
      </c>
      <c r="H733" s="4">
        <v>1165.3599999999999</v>
      </c>
      <c r="I733" s="6">
        <v>3.69</v>
      </c>
      <c r="J733" s="5">
        <v>18</v>
      </c>
    </row>
    <row r="734" spans="1:10">
      <c r="A734" t="s">
        <v>28</v>
      </c>
      <c r="B734" t="s">
        <v>29</v>
      </c>
      <c r="C734" t="s">
        <v>12</v>
      </c>
      <c r="D734" s="3">
        <v>45717</v>
      </c>
      <c r="E734" s="5">
        <v>82</v>
      </c>
      <c r="F734" s="4">
        <v>12119.75</v>
      </c>
      <c r="G734" s="4">
        <v>9281.06</v>
      </c>
      <c r="H734" s="4">
        <v>2838.69</v>
      </c>
      <c r="I734" s="6">
        <v>3.75</v>
      </c>
      <c r="J734" s="5">
        <v>19</v>
      </c>
    </row>
    <row r="735" spans="1:10">
      <c r="A735" t="s">
        <v>28</v>
      </c>
      <c r="B735" t="s">
        <v>29</v>
      </c>
      <c r="C735" t="s">
        <v>13</v>
      </c>
      <c r="D735" s="3">
        <v>45717</v>
      </c>
      <c r="E735" s="5">
        <v>73</v>
      </c>
      <c r="F735" s="4">
        <v>5292.95</v>
      </c>
      <c r="G735" s="4">
        <v>3369.35</v>
      </c>
      <c r="H735" s="4">
        <v>1923.6</v>
      </c>
      <c r="I735" s="6">
        <v>3.69</v>
      </c>
      <c r="J735" s="5">
        <v>19</v>
      </c>
    </row>
    <row r="736" spans="1:10">
      <c r="A736" t="s">
        <v>28</v>
      </c>
      <c r="B736" t="s">
        <v>29</v>
      </c>
      <c r="C736" t="s">
        <v>14</v>
      </c>
      <c r="D736" s="3">
        <v>45717</v>
      </c>
      <c r="E736" s="5">
        <v>110</v>
      </c>
      <c r="F736" s="4">
        <v>5613.8</v>
      </c>
      <c r="G736" s="4">
        <v>3398.72</v>
      </c>
      <c r="H736" s="4">
        <v>2215.08</v>
      </c>
      <c r="I736" s="6">
        <v>3.5</v>
      </c>
      <c r="J736" s="5">
        <v>19</v>
      </c>
    </row>
    <row r="737" spans="1:10">
      <c r="A737" t="s">
        <v>28</v>
      </c>
      <c r="B737" t="s">
        <v>29</v>
      </c>
      <c r="C737" t="s">
        <v>15</v>
      </c>
      <c r="D737" s="3">
        <v>45717</v>
      </c>
      <c r="E737" s="5">
        <v>62</v>
      </c>
      <c r="F737" s="4">
        <v>2302.69</v>
      </c>
      <c r="G737" s="4">
        <v>1091.57</v>
      </c>
      <c r="H737" s="4">
        <v>1211.1199999999999</v>
      </c>
      <c r="I737" s="6">
        <v>3.58</v>
      </c>
      <c r="J737" s="5">
        <v>19</v>
      </c>
    </row>
    <row r="738" spans="1:10">
      <c r="A738" t="s">
        <v>28</v>
      </c>
      <c r="B738" t="s">
        <v>29</v>
      </c>
      <c r="C738" t="s">
        <v>16</v>
      </c>
      <c r="D738" s="3">
        <v>45717</v>
      </c>
      <c r="E738" s="5">
        <v>129</v>
      </c>
      <c r="F738" s="4">
        <v>2383.66</v>
      </c>
      <c r="G738" s="4">
        <v>2149.29</v>
      </c>
      <c r="H738" s="4">
        <v>234.37</v>
      </c>
      <c r="I738" s="6">
        <v>3.52</v>
      </c>
      <c r="J738" s="5">
        <v>19</v>
      </c>
    </row>
    <row r="739" spans="1:10">
      <c r="A739" t="s">
        <v>28</v>
      </c>
      <c r="B739" t="s">
        <v>29</v>
      </c>
      <c r="C739" t="s">
        <v>17</v>
      </c>
      <c r="D739" s="3">
        <v>45717</v>
      </c>
      <c r="E739" s="5">
        <v>60</v>
      </c>
      <c r="F739" s="4">
        <v>3702.93</v>
      </c>
      <c r="G739" s="4">
        <v>2393.46</v>
      </c>
      <c r="H739" s="4">
        <v>1309.47</v>
      </c>
      <c r="I739" s="6">
        <v>3.65</v>
      </c>
      <c r="J739" s="5">
        <v>19</v>
      </c>
    </row>
    <row r="740" spans="1:10">
      <c r="A740" t="s">
        <v>28</v>
      </c>
      <c r="B740" t="s">
        <v>29</v>
      </c>
      <c r="C740" t="s">
        <v>12</v>
      </c>
      <c r="D740" s="3">
        <v>45748</v>
      </c>
      <c r="E740" s="5">
        <v>85</v>
      </c>
      <c r="F740" s="4">
        <v>13133.33</v>
      </c>
      <c r="G740" s="4">
        <v>9796.0499999999993</v>
      </c>
      <c r="H740" s="4">
        <v>3337.28</v>
      </c>
      <c r="I740" s="6">
        <v>3.7</v>
      </c>
      <c r="J740" s="5">
        <v>17</v>
      </c>
    </row>
    <row r="741" spans="1:10">
      <c r="A741" t="s">
        <v>28</v>
      </c>
      <c r="B741" t="s">
        <v>29</v>
      </c>
      <c r="C741" t="s">
        <v>13</v>
      </c>
      <c r="D741" s="3">
        <v>45748</v>
      </c>
      <c r="E741" s="5">
        <v>62</v>
      </c>
      <c r="F741" s="4">
        <v>4629.2</v>
      </c>
      <c r="G741" s="4">
        <v>3005.87</v>
      </c>
      <c r="H741" s="4">
        <v>1623.33</v>
      </c>
      <c r="I741" s="6">
        <v>3.58</v>
      </c>
      <c r="J741" s="5">
        <v>17</v>
      </c>
    </row>
    <row r="742" spans="1:10">
      <c r="A742" t="s">
        <v>28</v>
      </c>
      <c r="B742" t="s">
        <v>29</v>
      </c>
      <c r="C742" t="s">
        <v>14</v>
      </c>
      <c r="D742" s="3">
        <v>45748</v>
      </c>
      <c r="E742" s="5">
        <v>114</v>
      </c>
      <c r="F742" s="4">
        <v>5809.33</v>
      </c>
      <c r="G742" s="4">
        <v>3397.77</v>
      </c>
      <c r="H742" s="4">
        <v>2411.56</v>
      </c>
      <c r="I742" s="6">
        <v>3.76</v>
      </c>
      <c r="J742" s="5">
        <v>17</v>
      </c>
    </row>
    <row r="743" spans="1:10">
      <c r="A743" t="s">
        <v>28</v>
      </c>
      <c r="B743" t="s">
        <v>29</v>
      </c>
      <c r="C743" t="s">
        <v>15</v>
      </c>
      <c r="D743" s="3">
        <v>45748</v>
      </c>
      <c r="E743" s="5">
        <v>78</v>
      </c>
      <c r="F743" s="4">
        <v>2813.72</v>
      </c>
      <c r="G743" s="4">
        <v>1371.25</v>
      </c>
      <c r="H743" s="4">
        <v>1442.47</v>
      </c>
      <c r="I743" s="6">
        <v>3.5</v>
      </c>
      <c r="J743" s="5">
        <v>17</v>
      </c>
    </row>
    <row r="744" spans="1:10">
      <c r="A744" t="s">
        <v>28</v>
      </c>
      <c r="B744" t="s">
        <v>29</v>
      </c>
      <c r="C744" t="s">
        <v>16</v>
      </c>
      <c r="D744" s="3">
        <v>45748</v>
      </c>
      <c r="E744" s="5">
        <v>120</v>
      </c>
      <c r="F744" s="4">
        <v>2087.23</v>
      </c>
      <c r="G744" s="4">
        <v>1841.88</v>
      </c>
      <c r="H744" s="4">
        <v>245.35</v>
      </c>
      <c r="I744" s="6">
        <v>3.67</v>
      </c>
      <c r="J744" s="5">
        <v>17</v>
      </c>
    </row>
    <row r="745" spans="1:10">
      <c r="A745" t="s">
        <v>28</v>
      </c>
      <c r="B745" t="s">
        <v>29</v>
      </c>
      <c r="C745" t="s">
        <v>17</v>
      </c>
      <c r="D745" s="3">
        <v>45748</v>
      </c>
      <c r="E745" s="5">
        <v>64</v>
      </c>
      <c r="F745" s="4">
        <v>4141.53</v>
      </c>
      <c r="G745" s="4">
        <v>2683.44</v>
      </c>
      <c r="H745" s="4">
        <v>1458.09</v>
      </c>
      <c r="I745" s="6">
        <v>3.72</v>
      </c>
      <c r="J745" s="5">
        <v>17</v>
      </c>
    </row>
    <row r="746" spans="1:10">
      <c r="A746" t="s">
        <v>28</v>
      </c>
      <c r="B746" t="s">
        <v>29</v>
      </c>
      <c r="C746" t="s">
        <v>12</v>
      </c>
      <c r="D746" s="3">
        <v>45778</v>
      </c>
      <c r="E746" s="5">
        <v>87</v>
      </c>
      <c r="F746" s="4">
        <v>12407.57</v>
      </c>
      <c r="G746" s="4">
        <v>9607.3799999999992</v>
      </c>
      <c r="H746" s="4">
        <v>2800.2</v>
      </c>
      <c r="I746" s="6">
        <v>3.45</v>
      </c>
      <c r="J746" s="5">
        <v>17</v>
      </c>
    </row>
    <row r="747" spans="1:10">
      <c r="A747" t="s">
        <v>28</v>
      </c>
      <c r="B747" t="s">
        <v>29</v>
      </c>
      <c r="C747" t="s">
        <v>13</v>
      </c>
      <c r="D747" s="3">
        <v>45778</v>
      </c>
      <c r="E747" s="5">
        <v>82</v>
      </c>
      <c r="F747" s="4">
        <v>6600.82</v>
      </c>
      <c r="G747" s="4">
        <v>4482.7</v>
      </c>
      <c r="H747" s="4">
        <v>2118.12</v>
      </c>
      <c r="I747" s="6">
        <v>3.42</v>
      </c>
      <c r="J747" s="5">
        <v>17</v>
      </c>
    </row>
    <row r="748" spans="1:10">
      <c r="A748" t="s">
        <v>28</v>
      </c>
      <c r="B748" t="s">
        <v>29</v>
      </c>
      <c r="C748" t="s">
        <v>14</v>
      </c>
      <c r="D748" s="3">
        <v>45778</v>
      </c>
      <c r="E748" s="5">
        <v>110</v>
      </c>
      <c r="F748" s="4">
        <v>5581.89</v>
      </c>
      <c r="G748" s="4">
        <v>3320.79</v>
      </c>
      <c r="H748" s="4">
        <v>2261.1</v>
      </c>
      <c r="I748" s="6">
        <v>3.57</v>
      </c>
      <c r="J748" s="5">
        <v>17</v>
      </c>
    </row>
    <row r="749" spans="1:10">
      <c r="A749" t="s">
        <v>28</v>
      </c>
      <c r="B749" t="s">
        <v>29</v>
      </c>
      <c r="C749" t="s">
        <v>15</v>
      </c>
      <c r="D749" s="3">
        <v>45778</v>
      </c>
      <c r="E749" s="5">
        <v>100</v>
      </c>
      <c r="F749" s="4">
        <v>3846.69</v>
      </c>
      <c r="G749" s="4">
        <v>1884.66</v>
      </c>
      <c r="H749" s="4">
        <v>1962.03</v>
      </c>
      <c r="I749" s="6">
        <v>3.5</v>
      </c>
      <c r="J749" s="5">
        <v>17</v>
      </c>
    </row>
    <row r="750" spans="1:10">
      <c r="A750" t="s">
        <v>28</v>
      </c>
      <c r="B750" t="s">
        <v>29</v>
      </c>
      <c r="C750" t="s">
        <v>16</v>
      </c>
      <c r="D750" s="3">
        <v>45778</v>
      </c>
      <c r="E750" s="5">
        <v>150</v>
      </c>
      <c r="F750" s="4">
        <v>2778.18</v>
      </c>
      <c r="G750" s="4">
        <v>2454.8000000000002</v>
      </c>
      <c r="H750" s="4">
        <v>323.38</v>
      </c>
      <c r="I750" s="6">
        <v>3.39</v>
      </c>
      <c r="J750" s="5">
        <v>17</v>
      </c>
    </row>
    <row r="751" spans="1:10">
      <c r="A751" t="s">
        <v>28</v>
      </c>
      <c r="B751" t="s">
        <v>29</v>
      </c>
      <c r="C751" t="s">
        <v>17</v>
      </c>
      <c r="D751" s="3">
        <v>45778</v>
      </c>
      <c r="E751" s="5">
        <v>76</v>
      </c>
      <c r="F751" s="4">
        <v>4674.99</v>
      </c>
      <c r="G751" s="4">
        <v>3027.68</v>
      </c>
      <c r="H751" s="4">
        <v>1647.31</v>
      </c>
      <c r="I751" s="6">
        <v>3.47</v>
      </c>
      <c r="J751" s="5">
        <v>17</v>
      </c>
    </row>
    <row r="752" spans="1:10">
      <c r="A752" t="s">
        <v>28</v>
      </c>
      <c r="B752" t="s">
        <v>29</v>
      </c>
      <c r="C752" t="s">
        <v>12</v>
      </c>
      <c r="D752" s="3">
        <v>45809</v>
      </c>
      <c r="E752" s="5">
        <v>89</v>
      </c>
      <c r="F752" s="4">
        <v>12426.12</v>
      </c>
      <c r="G752" s="4">
        <v>9921.7900000000009</v>
      </c>
      <c r="H752" s="4">
        <v>2504.33</v>
      </c>
      <c r="I752" s="6">
        <v>3.68</v>
      </c>
      <c r="J752" s="5">
        <v>20</v>
      </c>
    </row>
    <row r="753" spans="1:10">
      <c r="A753" t="s">
        <v>28</v>
      </c>
      <c r="B753" t="s">
        <v>29</v>
      </c>
      <c r="C753" t="s">
        <v>13</v>
      </c>
      <c r="D753" s="3">
        <v>45809</v>
      </c>
      <c r="E753" s="5">
        <v>83</v>
      </c>
      <c r="F753" s="4">
        <v>6537.86</v>
      </c>
      <c r="G753" s="4">
        <v>4323.88</v>
      </c>
      <c r="H753" s="4">
        <v>2213.98</v>
      </c>
      <c r="I753" s="6">
        <v>3.54</v>
      </c>
      <c r="J753" s="5">
        <v>20</v>
      </c>
    </row>
    <row r="754" spans="1:10">
      <c r="A754" t="s">
        <v>28</v>
      </c>
      <c r="B754" t="s">
        <v>29</v>
      </c>
      <c r="C754" t="s">
        <v>14</v>
      </c>
      <c r="D754" s="3">
        <v>45809</v>
      </c>
      <c r="E754" s="5">
        <v>115</v>
      </c>
      <c r="F754" s="4">
        <v>5934.49</v>
      </c>
      <c r="G754" s="4">
        <v>3697.6</v>
      </c>
      <c r="H754" s="4">
        <v>2236.89</v>
      </c>
      <c r="I754" s="6">
        <v>3.64</v>
      </c>
      <c r="J754" s="5">
        <v>20</v>
      </c>
    </row>
    <row r="755" spans="1:10">
      <c r="A755" t="s">
        <v>28</v>
      </c>
      <c r="B755" t="s">
        <v>29</v>
      </c>
      <c r="C755" t="s">
        <v>15</v>
      </c>
      <c r="D755" s="3">
        <v>45809</v>
      </c>
      <c r="E755" s="5">
        <v>99</v>
      </c>
      <c r="F755" s="4">
        <v>3688.3</v>
      </c>
      <c r="G755" s="4">
        <v>1782.23</v>
      </c>
      <c r="H755" s="4">
        <v>1906.07</v>
      </c>
      <c r="I755" s="6">
        <v>3.55</v>
      </c>
      <c r="J755" s="5">
        <v>20</v>
      </c>
    </row>
    <row r="756" spans="1:10">
      <c r="A756" t="s">
        <v>28</v>
      </c>
      <c r="B756" t="s">
        <v>29</v>
      </c>
      <c r="C756" t="s">
        <v>16</v>
      </c>
      <c r="D756" s="3">
        <v>45809</v>
      </c>
      <c r="E756" s="5">
        <v>171</v>
      </c>
      <c r="F756" s="4">
        <v>3224.08</v>
      </c>
      <c r="G756" s="4">
        <v>2847.46</v>
      </c>
      <c r="H756" s="4">
        <v>376.62</v>
      </c>
      <c r="I756" s="6">
        <v>3.7</v>
      </c>
      <c r="J756" s="5">
        <v>20</v>
      </c>
    </row>
    <row r="757" spans="1:10">
      <c r="A757" t="s">
        <v>28</v>
      </c>
      <c r="B757" t="s">
        <v>29</v>
      </c>
      <c r="C757" t="s">
        <v>17</v>
      </c>
      <c r="D757" s="3">
        <v>45809</v>
      </c>
      <c r="E757" s="5">
        <v>89</v>
      </c>
      <c r="F757" s="4">
        <v>5687.03</v>
      </c>
      <c r="G757" s="4">
        <v>3719</v>
      </c>
      <c r="H757" s="4">
        <v>1968.03</v>
      </c>
      <c r="I757" s="6">
        <v>3.41</v>
      </c>
      <c r="J757" s="5">
        <v>20</v>
      </c>
    </row>
    <row r="758" spans="1:10">
      <c r="A758" t="s">
        <v>28</v>
      </c>
      <c r="B758" t="s">
        <v>29</v>
      </c>
      <c r="C758" t="s">
        <v>12</v>
      </c>
      <c r="D758" s="3">
        <v>45839</v>
      </c>
      <c r="E758" s="5">
        <v>84</v>
      </c>
      <c r="F758" s="4">
        <v>12664.57</v>
      </c>
      <c r="G758" s="4">
        <v>10079.4</v>
      </c>
      <c r="H758" s="4">
        <v>2585.17</v>
      </c>
      <c r="I758" s="6">
        <v>3.5</v>
      </c>
      <c r="J758" s="5">
        <v>19</v>
      </c>
    </row>
    <row r="759" spans="1:10">
      <c r="A759" t="s">
        <v>28</v>
      </c>
      <c r="B759" t="s">
        <v>29</v>
      </c>
      <c r="C759" t="s">
        <v>13</v>
      </c>
      <c r="D759" s="3">
        <v>45839</v>
      </c>
      <c r="E759" s="5">
        <v>79</v>
      </c>
      <c r="F759" s="4">
        <v>6396.47</v>
      </c>
      <c r="G759" s="4">
        <v>4415.2299999999996</v>
      </c>
      <c r="H759" s="4">
        <v>1981.24</v>
      </c>
      <c r="I759" s="6">
        <v>3.57</v>
      </c>
      <c r="J759" s="5">
        <v>19</v>
      </c>
    </row>
    <row r="760" spans="1:10">
      <c r="A760" t="s">
        <v>28</v>
      </c>
      <c r="B760" t="s">
        <v>29</v>
      </c>
      <c r="C760" t="s">
        <v>14</v>
      </c>
      <c r="D760" s="3">
        <v>45839</v>
      </c>
      <c r="E760" s="5">
        <v>115</v>
      </c>
      <c r="F760" s="4">
        <v>5591.15</v>
      </c>
      <c r="G760" s="4">
        <v>3469.69</v>
      </c>
      <c r="H760" s="4">
        <v>2121.46</v>
      </c>
      <c r="I760" s="6">
        <v>3.62</v>
      </c>
      <c r="J760" s="5">
        <v>19</v>
      </c>
    </row>
    <row r="761" spans="1:10">
      <c r="A761" t="s">
        <v>28</v>
      </c>
      <c r="B761" t="s">
        <v>29</v>
      </c>
      <c r="C761" t="s">
        <v>15</v>
      </c>
      <c r="D761" s="3">
        <v>45839</v>
      </c>
      <c r="E761" s="5">
        <v>101</v>
      </c>
      <c r="F761" s="4">
        <v>3421.58</v>
      </c>
      <c r="G761" s="4">
        <v>1747.96</v>
      </c>
      <c r="H761" s="4">
        <v>1673.62</v>
      </c>
      <c r="I761" s="6">
        <v>3.75</v>
      </c>
      <c r="J761" s="5">
        <v>19</v>
      </c>
    </row>
    <row r="762" spans="1:10">
      <c r="A762" t="s">
        <v>28</v>
      </c>
      <c r="B762" t="s">
        <v>29</v>
      </c>
      <c r="C762" t="s">
        <v>16</v>
      </c>
      <c r="D762" s="3">
        <v>45839</v>
      </c>
      <c r="E762" s="5">
        <v>165</v>
      </c>
      <c r="F762" s="4">
        <v>3038.69</v>
      </c>
      <c r="G762" s="4">
        <v>2747.15</v>
      </c>
      <c r="H762" s="4">
        <v>291.54000000000002</v>
      </c>
      <c r="I762" s="6">
        <v>3.62</v>
      </c>
      <c r="J762" s="5">
        <v>19</v>
      </c>
    </row>
    <row r="763" spans="1:10">
      <c r="A763" t="s">
        <v>28</v>
      </c>
      <c r="B763" t="s">
        <v>29</v>
      </c>
      <c r="C763" t="s">
        <v>17</v>
      </c>
      <c r="D763" s="3">
        <v>45839</v>
      </c>
      <c r="E763" s="5">
        <v>83</v>
      </c>
      <c r="F763" s="4">
        <v>5184.3</v>
      </c>
      <c r="G763" s="4">
        <v>3367.5</v>
      </c>
      <c r="H763" s="4">
        <v>1816.81</v>
      </c>
      <c r="I763" s="6">
        <v>3.5</v>
      </c>
      <c r="J763" s="5">
        <v>19</v>
      </c>
    </row>
    <row r="764" spans="1:10">
      <c r="A764" t="s">
        <v>28</v>
      </c>
      <c r="B764" t="s">
        <v>29</v>
      </c>
      <c r="C764" t="s">
        <v>12</v>
      </c>
      <c r="D764" s="3">
        <v>45870</v>
      </c>
      <c r="E764" s="5">
        <v>99</v>
      </c>
      <c r="F764" s="4">
        <v>14922.79</v>
      </c>
      <c r="G764" s="4">
        <v>12097.09</v>
      </c>
      <c r="H764" s="4">
        <v>2825.69</v>
      </c>
      <c r="I764" s="6">
        <v>3.51</v>
      </c>
      <c r="J764" s="5">
        <v>19</v>
      </c>
    </row>
    <row r="765" spans="1:10">
      <c r="A765" t="s">
        <v>28</v>
      </c>
      <c r="B765" t="s">
        <v>29</v>
      </c>
      <c r="C765" t="s">
        <v>13</v>
      </c>
      <c r="D765" s="3">
        <v>45870</v>
      </c>
      <c r="E765" s="5">
        <v>82</v>
      </c>
      <c r="F765" s="4">
        <v>5988.89</v>
      </c>
      <c r="G765" s="4">
        <v>4149.4799999999996</v>
      </c>
      <c r="H765" s="4">
        <v>1839.41</v>
      </c>
      <c r="I765" s="6">
        <v>3.73</v>
      </c>
      <c r="J765" s="5">
        <v>19</v>
      </c>
    </row>
    <row r="766" spans="1:10">
      <c r="A766" t="s">
        <v>28</v>
      </c>
      <c r="B766" t="s">
        <v>29</v>
      </c>
      <c r="C766" t="s">
        <v>14</v>
      </c>
      <c r="D766" s="3">
        <v>45870</v>
      </c>
      <c r="E766" s="5">
        <v>134</v>
      </c>
      <c r="F766" s="4">
        <v>6586.4</v>
      </c>
      <c r="G766" s="4">
        <v>4136.2</v>
      </c>
      <c r="H766" s="4">
        <v>2450.1999999999998</v>
      </c>
      <c r="I766" s="6">
        <v>3.65</v>
      </c>
      <c r="J766" s="5">
        <v>19</v>
      </c>
    </row>
    <row r="767" spans="1:10">
      <c r="A767" t="s">
        <v>28</v>
      </c>
      <c r="B767" t="s">
        <v>29</v>
      </c>
      <c r="C767" t="s">
        <v>15</v>
      </c>
      <c r="D767" s="3">
        <v>45870</v>
      </c>
      <c r="E767" s="5">
        <v>78</v>
      </c>
      <c r="F767" s="4">
        <v>2923.07</v>
      </c>
      <c r="G767" s="4">
        <v>1481.06</v>
      </c>
      <c r="H767" s="4">
        <v>1442.01</v>
      </c>
      <c r="I767" s="6">
        <v>3.76</v>
      </c>
      <c r="J767" s="5">
        <v>19</v>
      </c>
    </row>
    <row r="768" spans="1:10">
      <c r="A768" t="s">
        <v>28</v>
      </c>
      <c r="B768" t="s">
        <v>29</v>
      </c>
      <c r="C768" t="s">
        <v>16</v>
      </c>
      <c r="D768" s="3">
        <v>45870</v>
      </c>
      <c r="E768" s="5">
        <v>148</v>
      </c>
      <c r="F768" s="4">
        <v>2648.97</v>
      </c>
      <c r="G768" s="4">
        <v>2374.2600000000002</v>
      </c>
      <c r="H768" s="4">
        <v>274.70999999999998</v>
      </c>
      <c r="I768" s="6">
        <v>3.63</v>
      </c>
      <c r="J768" s="5">
        <v>19</v>
      </c>
    </row>
    <row r="769" spans="1:10">
      <c r="A769" t="s">
        <v>28</v>
      </c>
      <c r="B769" t="s">
        <v>29</v>
      </c>
      <c r="C769" t="s">
        <v>17</v>
      </c>
      <c r="D769" s="3">
        <v>45870</v>
      </c>
      <c r="E769" s="5">
        <v>94</v>
      </c>
      <c r="F769" s="4">
        <v>5945.06</v>
      </c>
      <c r="G769" s="4">
        <v>3862.41</v>
      </c>
      <c r="H769" s="4">
        <v>2082.65</v>
      </c>
      <c r="I769" s="6">
        <v>3.67</v>
      </c>
      <c r="J769" s="5">
        <v>19</v>
      </c>
    </row>
    <row r="770" spans="1:10">
      <c r="A770" t="s">
        <v>28</v>
      </c>
      <c r="B770" t="s">
        <v>29</v>
      </c>
      <c r="C770" t="s">
        <v>12</v>
      </c>
      <c r="D770" s="3">
        <v>45901</v>
      </c>
      <c r="E770" s="5">
        <v>87</v>
      </c>
      <c r="F770" s="4">
        <v>12698.3</v>
      </c>
      <c r="G770" s="4">
        <v>10401.16</v>
      </c>
      <c r="H770" s="4">
        <v>2297.13</v>
      </c>
      <c r="I770" s="6">
        <v>3.53</v>
      </c>
      <c r="J770" s="5">
        <v>18</v>
      </c>
    </row>
    <row r="771" spans="1:10">
      <c r="A771" t="s">
        <v>28</v>
      </c>
      <c r="B771" t="s">
        <v>29</v>
      </c>
      <c r="C771" t="s">
        <v>13</v>
      </c>
      <c r="D771" s="3">
        <v>45901</v>
      </c>
      <c r="E771" s="5">
        <v>73</v>
      </c>
      <c r="F771" s="4">
        <v>5448.29</v>
      </c>
      <c r="G771" s="4">
        <v>3674.2</v>
      </c>
      <c r="H771" s="4">
        <v>1774.09</v>
      </c>
      <c r="I771" s="6">
        <v>3.64</v>
      </c>
      <c r="J771" s="5">
        <v>18</v>
      </c>
    </row>
    <row r="772" spans="1:10">
      <c r="A772" t="s">
        <v>28</v>
      </c>
      <c r="B772" t="s">
        <v>29</v>
      </c>
      <c r="C772" t="s">
        <v>14</v>
      </c>
      <c r="D772" s="3">
        <v>45901</v>
      </c>
      <c r="E772" s="5">
        <v>97</v>
      </c>
      <c r="F772" s="4">
        <v>4683.51</v>
      </c>
      <c r="G772" s="4">
        <v>2983.76</v>
      </c>
      <c r="H772" s="4">
        <v>1699.75</v>
      </c>
      <c r="I772" s="6">
        <v>3.67</v>
      </c>
      <c r="J772" s="5">
        <v>18</v>
      </c>
    </row>
    <row r="773" spans="1:10">
      <c r="A773" t="s">
        <v>28</v>
      </c>
      <c r="B773" t="s">
        <v>29</v>
      </c>
      <c r="C773" t="s">
        <v>15</v>
      </c>
      <c r="D773" s="3">
        <v>45901</v>
      </c>
      <c r="E773" s="5">
        <v>84</v>
      </c>
      <c r="F773" s="4">
        <v>3079.23</v>
      </c>
      <c r="G773" s="4">
        <v>1602.98</v>
      </c>
      <c r="H773" s="4">
        <v>1476.26</v>
      </c>
      <c r="I773" s="6">
        <v>3.75</v>
      </c>
      <c r="J773" s="5">
        <v>18</v>
      </c>
    </row>
    <row r="774" spans="1:10">
      <c r="A774" t="s">
        <v>28</v>
      </c>
      <c r="B774" t="s">
        <v>29</v>
      </c>
      <c r="C774" t="s">
        <v>16</v>
      </c>
      <c r="D774" s="3">
        <v>45901</v>
      </c>
      <c r="E774" s="5">
        <v>156</v>
      </c>
      <c r="F774" s="4">
        <v>2726.89</v>
      </c>
      <c r="G774" s="4">
        <v>2488.5500000000002</v>
      </c>
      <c r="H774" s="4">
        <v>238.34</v>
      </c>
      <c r="I774" s="6">
        <v>3.69</v>
      </c>
      <c r="J774" s="5">
        <v>18</v>
      </c>
    </row>
    <row r="775" spans="1:10">
      <c r="A775" t="s">
        <v>28</v>
      </c>
      <c r="B775" t="s">
        <v>29</v>
      </c>
      <c r="C775" t="s">
        <v>17</v>
      </c>
      <c r="D775" s="3">
        <v>45901</v>
      </c>
      <c r="E775" s="5">
        <v>60</v>
      </c>
      <c r="F775" s="4">
        <v>3715.78</v>
      </c>
      <c r="G775" s="4">
        <v>2539.75</v>
      </c>
      <c r="H775" s="4">
        <v>1176.03</v>
      </c>
      <c r="I775" s="6">
        <v>3.54</v>
      </c>
      <c r="J775" s="5">
        <v>18</v>
      </c>
    </row>
    <row r="776" spans="1:10">
      <c r="A776" t="s">
        <v>28</v>
      </c>
      <c r="B776" t="s">
        <v>29</v>
      </c>
      <c r="C776" t="s">
        <v>12</v>
      </c>
      <c r="D776" s="3">
        <v>45931</v>
      </c>
      <c r="E776" s="5">
        <v>92</v>
      </c>
      <c r="F776" s="4">
        <v>12639.85</v>
      </c>
      <c r="G776" s="4">
        <v>10244.379999999999</v>
      </c>
      <c r="H776" s="4">
        <v>2395.46</v>
      </c>
      <c r="I776" s="6">
        <v>3.61</v>
      </c>
      <c r="J776" s="5">
        <v>18</v>
      </c>
    </row>
    <row r="777" spans="1:10">
      <c r="A777" t="s">
        <v>28</v>
      </c>
      <c r="B777" t="s">
        <v>29</v>
      </c>
      <c r="C777" t="s">
        <v>13</v>
      </c>
      <c r="D777" s="3">
        <v>45931</v>
      </c>
      <c r="E777" s="5">
        <v>87</v>
      </c>
      <c r="F777" s="4">
        <v>6789.81</v>
      </c>
      <c r="G777" s="4">
        <v>4704.2700000000004</v>
      </c>
      <c r="H777" s="4">
        <v>2085.54</v>
      </c>
      <c r="I777" s="6">
        <v>3.48</v>
      </c>
      <c r="J777" s="5">
        <v>18</v>
      </c>
    </row>
    <row r="778" spans="1:10">
      <c r="A778" t="s">
        <v>28</v>
      </c>
      <c r="B778" t="s">
        <v>29</v>
      </c>
      <c r="C778" t="s">
        <v>14</v>
      </c>
      <c r="D778" s="3">
        <v>45931</v>
      </c>
      <c r="E778" s="5">
        <v>119</v>
      </c>
      <c r="F778" s="4">
        <v>5792.98</v>
      </c>
      <c r="G778" s="4">
        <v>3653.6</v>
      </c>
      <c r="H778" s="4">
        <v>2139.38</v>
      </c>
      <c r="I778" s="6">
        <v>3.72</v>
      </c>
      <c r="J778" s="5">
        <v>18</v>
      </c>
    </row>
    <row r="779" spans="1:10">
      <c r="A779" t="s">
        <v>28</v>
      </c>
      <c r="B779" t="s">
        <v>29</v>
      </c>
      <c r="C779" t="s">
        <v>15</v>
      </c>
      <c r="D779" s="3">
        <v>45931</v>
      </c>
      <c r="E779" s="5">
        <v>99</v>
      </c>
      <c r="F779" s="4">
        <v>3425.39</v>
      </c>
      <c r="G779" s="4">
        <v>1812.66</v>
      </c>
      <c r="H779" s="4">
        <v>1612.73</v>
      </c>
      <c r="I779" s="6">
        <v>3.53</v>
      </c>
      <c r="J779" s="5">
        <v>18</v>
      </c>
    </row>
    <row r="780" spans="1:10">
      <c r="A780" t="s">
        <v>28</v>
      </c>
      <c r="B780" t="s">
        <v>29</v>
      </c>
      <c r="C780" t="s">
        <v>16</v>
      </c>
      <c r="D780" s="3">
        <v>45931</v>
      </c>
      <c r="E780" s="5">
        <v>176</v>
      </c>
      <c r="F780" s="4">
        <v>3415.52</v>
      </c>
      <c r="G780" s="4">
        <v>3121.81</v>
      </c>
      <c r="H780" s="4">
        <v>293.70999999999998</v>
      </c>
      <c r="I780" s="6">
        <v>3.69</v>
      </c>
      <c r="J780" s="5">
        <v>18</v>
      </c>
    </row>
    <row r="781" spans="1:10">
      <c r="A781" t="s">
        <v>28</v>
      </c>
      <c r="B781" t="s">
        <v>29</v>
      </c>
      <c r="C781" t="s">
        <v>17</v>
      </c>
      <c r="D781" s="3">
        <v>45931</v>
      </c>
      <c r="E781" s="5">
        <v>67</v>
      </c>
      <c r="F781" s="4">
        <v>4009.65</v>
      </c>
      <c r="G781" s="4">
        <v>2634.53</v>
      </c>
      <c r="H781" s="4">
        <v>1375.12</v>
      </c>
      <c r="I781" s="6">
        <v>3.53</v>
      </c>
      <c r="J781" s="5">
        <v>18</v>
      </c>
    </row>
    <row r="782" spans="1:10">
      <c r="A782" t="s">
        <v>28</v>
      </c>
      <c r="B782" t="s">
        <v>29</v>
      </c>
      <c r="C782" t="s">
        <v>12</v>
      </c>
      <c r="D782" s="3">
        <v>45962</v>
      </c>
      <c r="E782" s="5">
        <v>153</v>
      </c>
      <c r="F782" s="4">
        <v>22257.93</v>
      </c>
      <c r="G782" s="4">
        <v>17714.55</v>
      </c>
      <c r="H782" s="4">
        <v>4543.38</v>
      </c>
      <c r="I782" s="6">
        <v>3.68</v>
      </c>
      <c r="J782" s="5">
        <v>20</v>
      </c>
    </row>
    <row r="783" spans="1:10">
      <c r="A783" t="s">
        <v>28</v>
      </c>
      <c r="B783" t="s">
        <v>29</v>
      </c>
      <c r="C783" t="s">
        <v>13</v>
      </c>
      <c r="D783" s="3">
        <v>45962</v>
      </c>
      <c r="E783" s="5">
        <v>106</v>
      </c>
      <c r="F783" s="4">
        <v>8222.59</v>
      </c>
      <c r="G783" s="4">
        <v>5637.85</v>
      </c>
      <c r="H783" s="4">
        <v>2584.7399999999998</v>
      </c>
      <c r="I783" s="6">
        <v>3.69</v>
      </c>
      <c r="J783" s="5">
        <v>20</v>
      </c>
    </row>
    <row r="784" spans="1:10">
      <c r="A784" t="s">
        <v>28</v>
      </c>
      <c r="B784" t="s">
        <v>29</v>
      </c>
      <c r="C784" t="s">
        <v>14</v>
      </c>
      <c r="D784" s="3">
        <v>45962</v>
      </c>
      <c r="E784" s="5">
        <v>156</v>
      </c>
      <c r="F784" s="4">
        <v>7493.39</v>
      </c>
      <c r="G784" s="4">
        <v>4775.46</v>
      </c>
      <c r="H784" s="4">
        <v>2717.93</v>
      </c>
      <c r="I784" s="6">
        <v>3.56</v>
      </c>
      <c r="J784" s="5">
        <v>20</v>
      </c>
    </row>
    <row r="785" spans="1:10">
      <c r="A785" t="s">
        <v>28</v>
      </c>
      <c r="B785" t="s">
        <v>29</v>
      </c>
      <c r="C785" t="s">
        <v>15</v>
      </c>
      <c r="D785" s="3">
        <v>45962</v>
      </c>
      <c r="E785" s="5">
        <v>105</v>
      </c>
      <c r="F785" s="4">
        <v>3805.84</v>
      </c>
      <c r="G785" s="4">
        <v>1920.22</v>
      </c>
      <c r="H785" s="4">
        <v>1885.62</v>
      </c>
      <c r="I785" s="6">
        <v>3.6</v>
      </c>
      <c r="J785" s="5">
        <v>20</v>
      </c>
    </row>
    <row r="786" spans="1:10">
      <c r="A786" t="s">
        <v>28</v>
      </c>
      <c r="B786" t="s">
        <v>29</v>
      </c>
      <c r="C786" t="s">
        <v>16</v>
      </c>
      <c r="D786" s="3">
        <v>45962</v>
      </c>
      <c r="E786" s="5">
        <v>183</v>
      </c>
      <c r="F786" s="4">
        <v>3507.72</v>
      </c>
      <c r="G786" s="4">
        <v>3348.07</v>
      </c>
      <c r="H786" s="4">
        <v>159.65</v>
      </c>
      <c r="I786" s="6">
        <v>3.57</v>
      </c>
      <c r="J786" s="5">
        <v>20</v>
      </c>
    </row>
    <row r="787" spans="1:10">
      <c r="A787" t="s">
        <v>28</v>
      </c>
      <c r="B787" t="s">
        <v>29</v>
      </c>
      <c r="C787" t="s">
        <v>17</v>
      </c>
      <c r="D787" s="3">
        <v>45962</v>
      </c>
      <c r="E787" s="5">
        <v>66</v>
      </c>
      <c r="F787" s="4">
        <v>3856.74</v>
      </c>
      <c r="G787" s="4">
        <v>2544.56</v>
      </c>
      <c r="H787" s="4">
        <v>1312.19</v>
      </c>
      <c r="I787" s="6">
        <v>3.67</v>
      </c>
      <c r="J787" s="5">
        <v>20</v>
      </c>
    </row>
    <row r="788" spans="1:10">
      <c r="A788" t="s">
        <v>28</v>
      </c>
      <c r="B788" t="s">
        <v>29</v>
      </c>
      <c r="C788" t="s">
        <v>12</v>
      </c>
      <c r="D788" s="3">
        <v>45992</v>
      </c>
      <c r="E788" s="5">
        <v>169</v>
      </c>
      <c r="F788" s="4">
        <v>23477.02</v>
      </c>
      <c r="G788" s="4">
        <v>19489.66</v>
      </c>
      <c r="H788" s="4">
        <v>3987.36</v>
      </c>
      <c r="I788" s="6">
        <v>3.62</v>
      </c>
      <c r="J788" s="5">
        <v>20</v>
      </c>
    </row>
    <row r="789" spans="1:10">
      <c r="A789" t="s">
        <v>28</v>
      </c>
      <c r="B789" t="s">
        <v>29</v>
      </c>
      <c r="C789" t="s">
        <v>13</v>
      </c>
      <c r="D789" s="3">
        <v>45992</v>
      </c>
      <c r="E789" s="5">
        <v>108</v>
      </c>
      <c r="F789" s="4">
        <v>7907.45</v>
      </c>
      <c r="G789" s="4">
        <v>5852.35</v>
      </c>
      <c r="H789" s="4">
        <v>2055.09</v>
      </c>
      <c r="I789" s="6">
        <v>3.51</v>
      </c>
      <c r="J789" s="5">
        <v>20</v>
      </c>
    </row>
    <row r="790" spans="1:10">
      <c r="A790" t="s">
        <v>28</v>
      </c>
      <c r="B790" t="s">
        <v>29</v>
      </c>
      <c r="C790" t="s">
        <v>14</v>
      </c>
      <c r="D790" s="3">
        <v>45992</v>
      </c>
      <c r="E790" s="5">
        <v>168</v>
      </c>
      <c r="F790" s="4">
        <v>8253.44</v>
      </c>
      <c r="G790" s="4">
        <v>5443.31</v>
      </c>
      <c r="H790" s="4">
        <v>2810.13</v>
      </c>
      <c r="I790" s="6">
        <v>3.73</v>
      </c>
      <c r="J790" s="5">
        <v>20</v>
      </c>
    </row>
    <row r="791" spans="1:10">
      <c r="A791" t="s">
        <v>28</v>
      </c>
      <c r="B791" t="s">
        <v>29</v>
      </c>
      <c r="C791" t="s">
        <v>15</v>
      </c>
      <c r="D791" s="3">
        <v>45992</v>
      </c>
      <c r="E791" s="5">
        <v>136</v>
      </c>
      <c r="F791" s="4">
        <v>5284.58</v>
      </c>
      <c r="G791" s="4">
        <v>2858.15</v>
      </c>
      <c r="H791" s="4">
        <v>2426.42</v>
      </c>
      <c r="I791" s="6">
        <v>3.73</v>
      </c>
      <c r="J791" s="5">
        <v>20</v>
      </c>
    </row>
    <row r="792" spans="1:10">
      <c r="A792" t="s">
        <v>28</v>
      </c>
      <c r="B792" t="s">
        <v>29</v>
      </c>
      <c r="C792" t="s">
        <v>16</v>
      </c>
      <c r="D792" s="3">
        <v>45992</v>
      </c>
      <c r="E792" s="5">
        <v>203</v>
      </c>
      <c r="F792" s="4">
        <v>3919.76</v>
      </c>
      <c r="G792" s="4">
        <v>3857.39</v>
      </c>
      <c r="H792" s="4">
        <v>62.37</v>
      </c>
      <c r="I792" s="6">
        <v>3.52</v>
      </c>
      <c r="J792" s="5">
        <v>20</v>
      </c>
    </row>
    <row r="793" spans="1:10">
      <c r="A793" t="s">
        <v>28</v>
      </c>
      <c r="B793" t="s">
        <v>29</v>
      </c>
      <c r="C793" t="s">
        <v>17</v>
      </c>
      <c r="D793" s="3">
        <v>45992</v>
      </c>
      <c r="E793" s="5">
        <v>95</v>
      </c>
      <c r="F793" s="4">
        <v>5724.95</v>
      </c>
      <c r="G793" s="4">
        <v>4096.91</v>
      </c>
      <c r="H793" s="4">
        <v>1628.05</v>
      </c>
      <c r="I793" s="6">
        <v>3.45</v>
      </c>
      <c r="J793" s="5">
        <v>20</v>
      </c>
    </row>
    <row r="794" spans="1:10">
      <c r="A794" t="s">
        <v>30</v>
      </c>
      <c r="B794" t="s">
        <v>29</v>
      </c>
      <c r="C794" t="s">
        <v>12</v>
      </c>
      <c r="D794" s="3">
        <v>45658</v>
      </c>
      <c r="E794" s="5">
        <v>60</v>
      </c>
      <c r="F794" s="4">
        <v>8624.51</v>
      </c>
      <c r="G794" s="4">
        <v>6831.39</v>
      </c>
      <c r="H794" s="4">
        <v>1793.12</v>
      </c>
      <c r="I794" s="6">
        <v>3.08</v>
      </c>
      <c r="J794" s="5">
        <v>16</v>
      </c>
    </row>
    <row r="795" spans="1:10">
      <c r="A795" t="s">
        <v>30</v>
      </c>
      <c r="B795" t="s">
        <v>29</v>
      </c>
      <c r="C795" t="s">
        <v>13</v>
      </c>
      <c r="D795" s="3">
        <v>45658</v>
      </c>
      <c r="E795" s="5">
        <v>55</v>
      </c>
      <c r="F795" s="4">
        <v>4442.1499999999996</v>
      </c>
      <c r="G795" s="4">
        <v>2954.52</v>
      </c>
      <c r="H795" s="4">
        <v>1487.64</v>
      </c>
      <c r="I795" s="6">
        <v>3.26</v>
      </c>
      <c r="J795" s="5">
        <v>16</v>
      </c>
    </row>
    <row r="796" spans="1:10">
      <c r="A796" t="s">
        <v>30</v>
      </c>
      <c r="B796" t="s">
        <v>29</v>
      </c>
      <c r="C796" t="s">
        <v>14</v>
      </c>
      <c r="D796" s="3">
        <v>45658</v>
      </c>
      <c r="E796" s="5">
        <v>92</v>
      </c>
      <c r="F796" s="4">
        <v>4560.3</v>
      </c>
      <c r="G796" s="4">
        <v>2830.42</v>
      </c>
      <c r="H796" s="4">
        <v>1729.87</v>
      </c>
      <c r="I796" s="6">
        <v>3.08</v>
      </c>
      <c r="J796" s="5">
        <v>16</v>
      </c>
    </row>
    <row r="797" spans="1:10">
      <c r="A797" t="s">
        <v>30</v>
      </c>
      <c r="B797" t="s">
        <v>29</v>
      </c>
      <c r="C797" t="s">
        <v>15</v>
      </c>
      <c r="D797" s="3">
        <v>45658</v>
      </c>
      <c r="E797" s="5">
        <v>65</v>
      </c>
      <c r="F797" s="4">
        <v>2425.56</v>
      </c>
      <c r="G797" s="4">
        <v>1194.6600000000001</v>
      </c>
      <c r="H797" s="4">
        <v>1230.9000000000001</v>
      </c>
      <c r="I797" s="6">
        <v>3.21</v>
      </c>
      <c r="J797" s="5">
        <v>16</v>
      </c>
    </row>
    <row r="798" spans="1:10">
      <c r="A798" t="s">
        <v>30</v>
      </c>
      <c r="B798" t="s">
        <v>29</v>
      </c>
      <c r="C798" t="s">
        <v>16</v>
      </c>
      <c r="D798" s="3">
        <v>45658</v>
      </c>
      <c r="E798" s="5">
        <v>89</v>
      </c>
      <c r="F798" s="4">
        <v>1540.22</v>
      </c>
      <c r="G798" s="4">
        <v>1425.81</v>
      </c>
      <c r="H798" s="4">
        <v>114.41</v>
      </c>
      <c r="I798" s="6">
        <v>3.27</v>
      </c>
      <c r="J798" s="5">
        <v>16</v>
      </c>
    </row>
    <row r="799" spans="1:10">
      <c r="A799" t="s">
        <v>30</v>
      </c>
      <c r="B799" t="s">
        <v>29</v>
      </c>
      <c r="C799" t="s">
        <v>17</v>
      </c>
      <c r="D799" s="3">
        <v>45658</v>
      </c>
      <c r="E799" s="5">
        <v>43</v>
      </c>
      <c r="F799" s="4">
        <v>2618.4299999999998</v>
      </c>
      <c r="G799" s="4">
        <v>1731.71</v>
      </c>
      <c r="H799" s="4">
        <v>886.72</v>
      </c>
      <c r="I799" s="6">
        <v>3.31</v>
      </c>
      <c r="J799" s="5">
        <v>16</v>
      </c>
    </row>
    <row r="800" spans="1:10">
      <c r="A800" t="s">
        <v>30</v>
      </c>
      <c r="B800" t="s">
        <v>29</v>
      </c>
      <c r="C800" t="s">
        <v>12</v>
      </c>
      <c r="D800" s="3">
        <v>45689</v>
      </c>
      <c r="E800" s="5">
        <v>56</v>
      </c>
      <c r="F800" s="4">
        <v>8108.92</v>
      </c>
      <c r="G800" s="4">
        <v>6567.57</v>
      </c>
      <c r="H800" s="4">
        <v>1541.36</v>
      </c>
      <c r="I800" s="6">
        <v>3.25</v>
      </c>
      <c r="J800" s="5">
        <v>17</v>
      </c>
    </row>
    <row r="801" spans="1:10">
      <c r="A801" t="s">
        <v>30</v>
      </c>
      <c r="B801" t="s">
        <v>29</v>
      </c>
      <c r="C801" t="s">
        <v>13</v>
      </c>
      <c r="D801" s="3">
        <v>45689</v>
      </c>
      <c r="E801" s="5">
        <v>51</v>
      </c>
      <c r="F801" s="4">
        <v>3978.63</v>
      </c>
      <c r="G801" s="4">
        <v>2674.12</v>
      </c>
      <c r="H801" s="4">
        <v>1304.51</v>
      </c>
      <c r="I801" s="6">
        <v>3.35</v>
      </c>
      <c r="J801" s="5">
        <v>17</v>
      </c>
    </row>
    <row r="802" spans="1:10">
      <c r="A802" t="s">
        <v>30</v>
      </c>
      <c r="B802" t="s">
        <v>29</v>
      </c>
      <c r="C802" t="s">
        <v>14</v>
      </c>
      <c r="D802" s="3">
        <v>45689</v>
      </c>
      <c r="E802" s="5">
        <v>63</v>
      </c>
      <c r="F802" s="4">
        <v>3171.92</v>
      </c>
      <c r="G802" s="4">
        <v>2008.94</v>
      </c>
      <c r="H802" s="4">
        <v>1162.98</v>
      </c>
      <c r="I802" s="6">
        <v>3.42</v>
      </c>
      <c r="J802" s="5">
        <v>17</v>
      </c>
    </row>
    <row r="803" spans="1:10">
      <c r="A803" t="s">
        <v>30</v>
      </c>
      <c r="B803" t="s">
        <v>29</v>
      </c>
      <c r="C803" t="s">
        <v>15</v>
      </c>
      <c r="D803" s="3">
        <v>45689</v>
      </c>
      <c r="E803" s="5">
        <v>60</v>
      </c>
      <c r="F803" s="4">
        <v>2138.64</v>
      </c>
      <c r="G803" s="4">
        <v>1065.6500000000001</v>
      </c>
      <c r="H803" s="4">
        <v>1072.98</v>
      </c>
      <c r="I803" s="6">
        <v>3.13</v>
      </c>
      <c r="J803" s="5">
        <v>17</v>
      </c>
    </row>
    <row r="804" spans="1:10">
      <c r="A804" t="s">
        <v>30</v>
      </c>
      <c r="B804" t="s">
        <v>29</v>
      </c>
      <c r="C804" t="s">
        <v>16</v>
      </c>
      <c r="D804" s="3">
        <v>45689</v>
      </c>
      <c r="E804" s="5">
        <v>80</v>
      </c>
      <c r="F804" s="4">
        <v>1492.34</v>
      </c>
      <c r="G804" s="4">
        <v>1372.85</v>
      </c>
      <c r="H804" s="4">
        <v>119.49</v>
      </c>
      <c r="I804" s="6">
        <v>3.12</v>
      </c>
      <c r="J804" s="5">
        <v>17</v>
      </c>
    </row>
    <row r="805" spans="1:10">
      <c r="A805" t="s">
        <v>30</v>
      </c>
      <c r="B805" t="s">
        <v>29</v>
      </c>
      <c r="C805" t="s">
        <v>17</v>
      </c>
      <c r="D805" s="3">
        <v>45689</v>
      </c>
      <c r="E805" s="5">
        <v>42</v>
      </c>
      <c r="F805" s="4">
        <v>2452.41</v>
      </c>
      <c r="G805" s="4">
        <v>1581.07</v>
      </c>
      <c r="H805" s="4">
        <v>871.34</v>
      </c>
      <c r="I805" s="6">
        <v>3.11</v>
      </c>
      <c r="J805" s="5">
        <v>17</v>
      </c>
    </row>
    <row r="806" spans="1:10">
      <c r="A806" t="s">
        <v>30</v>
      </c>
      <c r="B806" t="s">
        <v>29</v>
      </c>
      <c r="C806" t="s">
        <v>12</v>
      </c>
      <c r="D806" s="3">
        <v>45717</v>
      </c>
      <c r="E806" s="5">
        <v>71</v>
      </c>
      <c r="F806" s="4">
        <v>10414.82</v>
      </c>
      <c r="G806" s="4">
        <v>8411.9599999999991</v>
      </c>
      <c r="H806" s="4">
        <v>2002.87</v>
      </c>
      <c r="I806" s="6">
        <v>3.11</v>
      </c>
      <c r="J806" s="5">
        <v>18</v>
      </c>
    </row>
    <row r="807" spans="1:10">
      <c r="A807" t="s">
        <v>30</v>
      </c>
      <c r="B807" t="s">
        <v>29</v>
      </c>
      <c r="C807" t="s">
        <v>13</v>
      </c>
      <c r="D807" s="3">
        <v>45717</v>
      </c>
      <c r="E807" s="5">
        <v>65</v>
      </c>
      <c r="F807" s="4">
        <v>4820.57</v>
      </c>
      <c r="G807" s="4">
        <v>3258.32</v>
      </c>
      <c r="H807" s="4">
        <v>1562.26</v>
      </c>
      <c r="I807" s="6">
        <v>3.43</v>
      </c>
      <c r="J807" s="5">
        <v>18</v>
      </c>
    </row>
    <row r="808" spans="1:10">
      <c r="A808" t="s">
        <v>30</v>
      </c>
      <c r="B808" t="s">
        <v>29</v>
      </c>
      <c r="C808" t="s">
        <v>14</v>
      </c>
      <c r="D808" s="3">
        <v>45717</v>
      </c>
      <c r="E808" s="5">
        <v>91</v>
      </c>
      <c r="F808" s="4">
        <v>4166.96</v>
      </c>
      <c r="G808" s="4">
        <v>2561.69</v>
      </c>
      <c r="H808" s="4">
        <v>1605.27</v>
      </c>
      <c r="I808" s="6">
        <v>3.08</v>
      </c>
      <c r="J808" s="5">
        <v>18</v>
      </c>
    </row>
    <row r="809" spans="1:10">
      <c r="A809" t="s">
        <v>30</v>
      </c>
      <c r="B809" t="s">
        <v>29</v>
      </c>
      <c r="C809" t="s">
        <v>15</v>
      </c>
      <c r="D809" s="3">
        <v>45717</v>
      </c>
      <c r="E809" s="5">
        <v>72</v>
      </c>
      <c r="F809" s="4">
        <v>2541.92</v>
      </c>
      <c r="G809" s="4">
        <v>1312.07</v>
      </c>
      <c r="H809" s="4">
        <v>1229.8499999999999</v>
      </c>
      <c r="I809" s="6">
        <v>3.18</v>
      </c>
      <c r="J809" s="5">
        <v>18</v>
      </c>
    </row>
    <row r="810" spans="1:10">
      <c r="A810" t="s">
        <v>30</v>
      </c>
      <c r="B810" t="s">
        <v>29</v>
      </c>
      <c r="C810" t="s">
        <v>16</v>
      </c>
      <c r="D810" s="3">
        <v>45717</v>
      </c>
      <c r="E810" s="5">
        <v>109</v>
      </c>
      <c r="F810" s="4">
        <v>2052.54</v>
      </c>
      <c r="G810" s="4">
        <v>1850.87</v>
      </c>
      <c r="H810" s="4">
        <v>201.68</v>
      </c>
      <c r="I810" s="6">
        <v>3.35</v>
      </c>
      <c r="J810" s="5">
        <v>18</v>
      </c>
    </row>
    <row r="811" spans="1:10">
      <c r="A811" t="s">
        <v>30</v>
      </c>
      <c r="B811" t="s">
        <v>29</v>
      </c>
      <c r="C811" t="s">
        <v>17</v>
      </c>
      <c r="D811" s="3">
        <v>45717</v>
      </c>
      <c r="E811" s="5">
        <v>48</v>
      </c>
      <c r="F811" s="4">
        <v>3073.82</v>
      </c>
      <c r="G811" s="4">
        <v>2009.71</v>
      </c>
      <c r="H811" s="4">
        <v>1064.1099999999999</v>
      </c>
      <c r="I811" s="6">
        <v>3.2</v>
      </c>
      <c r="J811" s="5">
        <v>18</v>
      </c>
    </row>
    <row r="812" spans="1:10">
      <c r="A812" t="s">
        <v>30</v>
      </c>
      <c r="B812" t="s">
        <v>29</v>
      </c>
      <c r="C812" t="s">
        <v>12</v>
      </c>
      <c r="D812" s="3">
        <v>45748</v>
      </c>
      <c r="E812" s="5">
        <v>80</v>
      </c>
      <c r="F812" s="4">
        <v>12094.5</v>
      </c>
      <c r="G812" s="4">
        <v>9637.66</v>
      </c>
      <c r="H812" s="4">
        <v>2456.84</v>
      </c>
      <c r="I812" s="6">
        <v>3.19</v>
      </c>
      <c r="J812" s="5">
        <v>18</v>
      </c>
    </row>
    <row r="813" spans="1:10">
      <c r="A813" t="s">
        <v>30</v>
      </c>
      <c r="B813" t="s">
        <v>29</v>
      </c>
      <c r="C813" t="s">
        <v>13</v>
      </c>
      <c r="D813" s="3">
        <v>45748</v>
      </c>
      <c r="E813" s="5">
        <v>67</v>
      </c>
      <c r="F813" s="4">
        <v>4867.63</v>
      </c>
      <c r="G813" s="4">
        <v>3353.08</v>
      </c>
      <c r="H813" s="4">
        <v>1514.55</v>
      </c>
      <c r="I813" s="6">
        <v>3.23</v>
      </c>
      <c r="J813" s="5">
        <v>18</v>
      </c>
    </row>
    <row r="814" spans="1:10">
      <c r="A814" t="s">
        <v>30</v>
      </c>
      <c r="B814" t="s">
        <v>29</v>
      </c>
      <c r="C814" t="s">
        <v>14</v>
      </c>
      <c r="D814" s="3">
        <v>45748</v>
      </c>
      <c r="E814" s="5">
        <v>109</v>
      </c>
      <c r="F814" s="4">
        <v>5268.38</v>
      </c>
      <c r="G814" s="4">
        <v>3319.23</v>
      </c>
      <c r="H814" s="4">
        <v>1949.16</v>
      </c>
      <c r="I814" s="6">
        <v>3.39</v>
      </c>
      <c r="J814" s="5">
        <v>18</v>
      </c>
    </row>
    <row r="815" spans="1:10">
      <c r="A815" t="s">
        <v>30</v>
      </c>
      <c r="B815" t="s">
        <v>29</v>
      </c>
      <c r="C815" t="s">
        <v>15</v>
      </c>
      <c r="D815" s="3">
        <v>45748</v>
      </c>
      <c r="E815" s="5">
        <v>64</v>
      </c>
      <c r="F815" s="4">
        <v>2219.56</v>
      </c>
      <c r="G815" s="4">
        <v>1113.53</v>
      </c>
      <c r="H815" s="4">
        <v>1106.03</v>
      </c>
      <c r="I815" s="6">
        <v>3.33</v>
      </c>
      <c r="J815" s="5">
        <v>18</v>
      </c>
    </row>
    <row r="816" spans="1:10">
      <c r="A816" t="s">
        <v>30</v>
      </c>
      <c r="B816" t="s">
        <v>29</v>
      </c>
      <c r="C816" t="s">
        <v>16</v>
      </c>
      <c r="D816" s="3">
        <v>45748</v>
      </c>
      <c r="E816" s="5">
        <v>138</v>
      </c>
      <c r="F816" s="4">
        <v>2371.0300000000002</v>
      </c>
      <c r="G816" s="4">
        <v>2266.75</v>
      </c>
      <c r="H816" s="4">
        <v>104.28</v>
      </c>
      <c r="I816" s="6">
        <v>3.21</v>
      </c>
      <c r="J816" s="5">
        <v>18</v>
      </c>
    </row>
    <row r="817" spans="1:10">
      <c r="A817" t="s">
        <v>30</v>
      </c>
      <c r="B817" t="s">
        <v>29</v>
      </c>
      <c r="C817" t="s">
        <v>17</v>
      </c>
      <c r="D817" s="3">
        <v>45748</v>
      </c>
      <c r="E817" s="5">
        <v>53</v>
      </c>
      <c r="F817" s="4">
        <v>3350.58</v>
      </c>
      <c r="G817" s="4">
        <v>2246.5700000000002</v>
      </c>
      <c r="H817" s="4">
        <v>1104</v>
      </c>
      <c r="I817" s="6">
        <v>3.29</v>
      </c>
      <c r="J817" s="5">
        <v>18</v>
      </c>
    </row>
    <row r="818" spans="1:10">
      <c r="A818" t="s">
        <v>30</v>
      </c>
      <c r="B818" t="s">
        <v>29</v>
      </c>
      <c r="C818" t="s">
        <v>12</v>
      </c>
      <c r="D818" s="3">
        <v>45778</v>
      </c>
      <c r="E818" s="5">
        <v>70</v>
      </c>
      <c r="F818" s="4">
        <v>10791.41</v>
      </c>
      <c r="G818" s="4">
        <v>8849.2999999999993</v>
      </c>
      <c r="H818" s="4">
        <v>1942.11</v>
      </c>
      <c r="I818" s="6">
        <v>3.39</v>
      </c>
      <c r="J818" s="5">
        <v>17</v>
      </c>
    </row>
    <row r="819" spans="1:10">
      <c r="A819" t="s">
        <v>30</v>
      </c>
      <c r="B819" t="s">
        <v>29</v>
      </c>
      <c r="C819" t="s">
        <v>13</v>
      </c>
      <c r="D819" s="3">
        <v>45778</v>
      </c>
      <c r="E819" s="5">
        <v>65</v>
      </c>
      <c r="F819" s="4">
        <v>4977.7</v>
      </c>
      <c r="G819" s="4">
        <v>3476.93</v>
      </c>
      <c r="H819" s="4">
        <v>1500.77</v>
      </c>
      <c r="I819" s="6">
        <v>3.39</v>
      </c>
      <c r="J819" s="5">
        <v>17</v>
      </c>
    </row>
    <row r="820" spans="1:10">
      <c r="A820" t="s">
        <v>30</v>
      </c>
      <c r="B820" t="s">
        <v>29</v>
      </c>
      <c r="C820" t="s">
        <v>14</v>
      </c>
      <c r="D820" s="3">
        <v>45778</v>
      </c>
      <c r="E820" s="5">
        <v>89</v>
      </c>
      <c r="F820" s="4">
        <v>4407.41</v>
      </c>
      <c r="G820" s="4">
        <v>2733.93</v>
      </c>
      <c r="H820" s="4">
        <v>1673.48</v>
      </c>
      <c r="I820" s="6">
        <v>3.38</v>
      </c>
      <c r="J820" s="5">
        <v>17</v>
      </c>
    </row>
    <row r="821" spans="1:10">
      <c r="A821" t="s">
        <v>30</v>
      </c>
      <c r="B821" t="s">
        <v>29</v>
      </c>
      <c r="C821" t="s">
        <v>15</v>
      </c>
      <c r="D821" s="3">
        <v>45778</v>
      </c>
      <c r="E821" s="5">
        <v>77</v>
      </c>
      <c r="F821" s="4">
        <v>2809.35</v>
      </c>
      <c r="G821" s="4">
        <v>1479.37</v>
      </c>
      <c r="H821" s="4">
        <v>1329.99</v>
      </c>
      <c r="I821" s="6">
        <v>3.33</v>
      </c>
      <c r="J821" s="5">
        <v>17</v>
      </c>
    </row>
    <row r="822" spans="1:10">
      <c r="A822" t="s">
        <v>30</v>
      </c>
      <c r="B822" t="s">
        <v>29</v>
      </c>
      <c r="C822" t="s">
        <v>16</v>
      </c>
      <c r="D822" s="3">
        <v>45778</v>
      </c>
      <c r="E822" s="5">
        <v>131</v>
      </c>
      <c r="F822" s="4">
        <v>2504.7600000000002</v>
      </c>
      <c r="G822" s="4">
        <v>2354.67</v>
      </c>
      <c r="H822" s="4">
        <v>150.1</v>
      </c>
      <c r="I822" s="6">
        <v>3.29</v>
      </c>
      <c r="J822" s="5">
        <v>17</v>
      </c>
    </row>
    <row r="823" spans="1:10">
      <c r="A823" t="s">
        <v>30</v>
      </c>
      <c r="B823" t="s">
        <v>29</v>
      </c>
      <c r="C823" t="s">
        <v>17</v>
      </c>
      <c r="D823" s="3">
        <v>45778</v>
      </c>
      <c r="E823" s="5">
        <v>89</v>
      </c>
      <c r="F823" s="4">
        <v>5664.52</v>
      </c>
      <c r="G823" s="4">
        <v>3830.71</v>
      </c>
      <c r="H823" s="4">
        <v>1833.81</v>
      </c>
      <c r="I823" s="6">
        <v>3.33</v>
      </c>
      <c r="J823" s="5">
        <v>17</v>
      </c>
    </row>
    <row r="824" spans="1:10">
      <c r="A824" t="s">
        <v>30</v>
      </c>
      <c r="B824" t="s">
        <v>29</v>
      </c>
      <c r="C824" t="s">
        <v>12</v>
      </c>
      <c r="D824" s="3">
        <v>45809</v>
      </c>
      <c r="E824" s="5">
        <v>78</v>
      </c>
      <c r="F824" s="4">
        <v>11240.81</v>
      </c>
      <c r="G824" s="4">
        <v>9347.6200000000008</v>
      </c>
      <c r="H824" s="4">
        <v>1893.19</v>
      </c>
      <c r="I824" s="6">
        <v>3.27</v>
      </c>
      <c r="J824" s="5">
        <v>19</v>
      </c>
    </row>
    <row r="825" spans="1:10">
      <c r="A825" t="s">
        <v>30</v>
      </c>
      <c r="B825" t="s">
        <v>29</v>
      </c>
      <c r="C825" t="s">
        <v>13</v>
      </c>
      <c r="D825" s="3">
        <v>45809</v>
      </c>
      <c r="E825" s="5">
        <v>84</v>
      </c>
      <c r="F825" s="4">
        <v>6883.81</v>
      </c>
      <c r="G825" s="4">
        <v>4723.38</v>
      </c>
      <c r="H825" s="4">
        <v>2160.4299999999998</v>
      </c>
      <c r="I825" s="6">
        <v>3.3</v>
      </c>
      <c r="J825" s="5">
        <v>19</v>
      </c>
    </row>
    <row r="826" spans="1:10">
      <c r="A826" t="s">
        <v>30</v>
      </c>
      <c r="B826" t="s">
        <v>29</v>
      </c>
      <c r="C826" t="s">
        <v>14</v>
      </c>
      <c r="D826" s="3">
        <v>45809</v>
      </c>
      <c r="E826" s="5">
        <v>105</v>
      </c>
      <c r="F826" s="4">
        <v>5338.68</v>
      </c>
      <c r="G826" s="4">
        <v>3519.77</v>
      </c>
      <c r="H826" s="4">
        <v>1818.91</v>
      </c>
      <c r="I826" s="6">
        <v>3.1</v>
      </c>
      <c r="J826" s="5">
        <v>19</v>
      </c>
    </row>
    <row r="827" spans="1:10">
      <c r="A827" t="s">
        <v>30</v>
      </c>
      <c r="B827" t="s">
        <v>29</v>
      </c>
      <c r="C827" t="s">
        <v>15</v>
      </c>
      <c r="D827" s="3">
        <v>45809</v>
      </c>
      <c r="E827" s="5">
        <v>91</v>
      </c>
      <c r="F827" s="4">
        <v>3304.93</v>
      </c>
      <c r="G827" s="4">
        <v>1708.11</v>
      </c>
      <c r="H827" s="4">
        <v>1596.82</v>
      </c>
      <c r="I827" s="6">
        <v>3.42</v>
      </c>
      <c r="J827" s="5">
        <v>19</v>
      </c>
    </row>
    <row r="828" spans="1:10">
      <c r="A828" t="s">
        <v>30</v>
      </c>
      <c r="B828" t="s">
        <v>29</v>
      </c>
      <c r="C828" t="s">
        <v>16</v>
      </c>
      <c r="D828" s="3">
        <v>45809</v>
      </c>
      <c r="E828" s="5">
        <v>140</v>
      </c>
      <c r="F828" s="4">
        <v>2595.7600000000002</v>
      </c>
      <c r="G828" s="4">
        <v>2438.7600000000002</v>
      </c>
      <c r="H828" s="4">
        <v>157</v>
      </c>
      <c r="I828" s="6">
        <v>3.12</v>
      </c>
      <c r="J828" s="5">
        <v>19</v>
      </c>
    </row>
    <row r="829" spans="1:10">
      <c r="A829" t="s">
        <v>30</v>
      </c>
      <c r="B829" t="s">
        <v>29</v>
      </c>
      <c r="C829" t="s">
        <v>17</v>
      </c>
      <c r="D829" s="3">
        <v>45809</v>
      </c>
      <c r="E829" s="5">
        <v>78</v>
      </c>
      <c r="F829" s="4">
        <v>4856.67</v>
      </c>
      <c r="G829" s="4">
        <v>3386.95</v>
      </c>
      <c r="H829" s="4">
        <v>1469.72</v>
      </c>
      <c r="I829" s="6">
        <v>3.23</v>
      </c>
      <c r="J829" s="5">
        <v>19</v>
      </c>
    </row>
    <row r="830" spans="1:10">
      <c r="A830" t="s">
        <v>30</v>
      </c>
      <c r="B830" t="s">
        <v>29</v>
      </c>
      <c r="C830" t="s">
        <v>12</v>
      </c>
      <c r="D830" s="3">
        <v>45839</v>
      </c>
      <c r="E830" s="5">
        <v>85</v>
      </c>
      <c r="F830" s="4">
        <v>12443.72</v>
      </c>
      <c r="G830" s="4">
        <v>10310.31</v>
      </c>
      <c r="H830" s="4">
        <v>2133.41</v>
      </c>
      <c r="I830" s="6">
        <v>3.11</v>
      </c>
      <c r="J830" s="5">
        <v>19</v>
      </c>
    </row>
    <row r="831" spans="1:10">
      <c r="A831" t="s">
        <v>30</v>
      </c>
      <c r="B831" t="s">
        <v>29</v>
      </c>
      <c r="C831" t="s">
        <v>13</v>
      </c>
      <c r="D831" s="3">
        <v>45839</v>
      </c>
      <c r="E831" s="5">
        <v>81</v>
      </c>
      <c r="F831" s="4">
        <v>6142.01</v>
      </c>
      <c r="G831" s="4">
        <v>4381.9399999999996</v>
      </c>
      <c r="H831" s="4">
        <v>1760.07</v>
      </c>
      <c r="I831" s="6">
        <v>3.07</v>
      </c>
      <c r="J831" s="5">
        <v>19</v>
      </c>
    </row>
    <row r="832" spans="1:10">
      <c r="A832" t="s">
        <v>30</v>
      </c>
      <c r="B832" t="s">
        <v>29</v>
      </c>
      <c r="C832" t="s">
        <v>14</v>
      </c>
      <c r="D832" s="3">
        <v>45839</v>
      </c>
      <c r="E832" s="5">
        <v>110</v>
      </c>
      <c r="F832" s="4">
        <v>5420.81</v>
      </c>
      <c r="G832" s="4">
        <v>3487.58</v>
      </c>
      <c r="H832" s="4">
        <v>1933.24</v>
      </c>
      <c r="I832" s="6">
        <v>3.25</v>
      </c>
      <c r="J832" s="5">
        <v>19</v>
      </c>
    </row>
    <row r="833" spans="1:10">
      <c r="A833" t="s">
        <v>30</v>
      </c>
      <c r="B833" t="s">
        <v>29</v>
      </c>
      <c r="C833" t="s">
        <v>15</v>
      </c>
      <c r="D833" s="3">
        <v>45839</v>
      </c>
      <c r="E833" s="5">
        <v>89</v>
      </c>
      <c r="F833" s="4">
        <v>3104.55</v>
      </c>
      <c r="G833" s="4">
        <v>1665.47</v>
      </c>
      <c r="H833" s="4">
        <v>1439.07</v>
      </c>
      <c r="I833" s="6">
        <v>3.41</v>
      </c>
      <c r="J833" s="5">
        <v>19</v>
      </c>
    </row>
    <row r="834" spans="1:10">
      <c r="A834" t="s">
        <v>30</v>
      </c>
      <c r="B834" t="s">
        <v>29</v>
      </c>
      <c r="C834" t="s">
        <v>16</v>
      </c>
      <c r="D834" s="3">
        <v>45839</v>
      </c>
      <c r="E834" s="5">
        <v>136</v>
      </c>
      <c r="F834" s="4">
        <v>2377.52</v>
      </c>
      <c r="G834" s="4">
        <v>2254.84</v>
      </c>
      <c r="H834" s="4">
        <v>122.68</v>
      </c>
      <c r="I834" s="6">
        <v>3.24</v>
      </c>
      <c r="J834" s="5">
        <v>19</v>
      </c>
    </row>
    <row r="835" spans="1:10">
      <c r="A835" t="s">
        <v>30</v>
      </c>
      <c r="B835" t="s">
        <v>29</v>
      </c>
      <c r="C835" t="s">
        <v>17</v>
      </c>
      <c r="D835" s="3">
        <v>45839</v>
      </c>
      <c r="E835" s="5">
        <v>82</v>
      </c>
      <c r="F835" s="4">
        <v>5220.08</v>
      </c>
      <c r="G835" s="4">
        <v>3601.26</v>
      </c>
      <c r="H835" s="4">
        <v>1618.82</v>
      </c>
      <c r="I835" s="6">
        <v>3.31</v>
      </c>
      <c r="J835" s="5">
        <v>19</v>
      </c>
    </row>
    <row r="836" spans="1:10">
      <c r="A836" t="s">
        <v>30</v>
      </c>
      <c r="B836" t="s">
        <v>29</v>
      </c>
      <c r="C836" t="s">
        <v>12</v>
      </c>
      <c r="D836" s="3">
        <v>45870</v>
      </c>
      <c r="E836" s="5">
        <v>92</v>
      </c>
      <c r="F836" s="4">
        <v>12953.73</v>
      </c>
      <c r="G836" s="4">
        <v>10610.77</v>
      </c>
      <c r="H836" s="4">
        <v>2342.9699999999998</v>
      </c>
      <c r="I836" s="6">
        <v>3.37</v>
      </c>
      <c r="J836" s="5">
        <v>19</v>
      </c>
    </row>
    <row r="837" spans="1:10">
      <c r="A837" t="s">
        <v>30</v>
      </c>
      <c r="B837" t="s">
        <v>29</v>
      </c>
      <c r="C837" t="s">
        <v>13</v>
      </c>
      <c r="D837" s="3">
        <v>45870</v>
      </c>
      <c r="E837" s="5">
        <v>83</v>
      </c>
      <c r="F837" s="4">
        <v>6781.23</v>
      </c>
      <c r="G837" s="4">
        <v>4801.46</v>
      </c>
      <c r="H837" s="4">
        <v>1979.77</v>
      </c>
      <c r="I837" s="6">
        <v>3.26</v>
      </c>
      <c r="J837" s="5">
        <v>19</v>
      </c>
    </row>
    <row r="838" spans="1:10">
      <c r="A838" t="s">
        <v>30</v>
      </c>
      <c r="B838" t="s">
        <v>29</v>
      </c>
      <c r="C838" t="s">
        <v>14</v>
      </c>
      <c r="D838" s="3">
        <v>45870</v>
      </c>
      <c r="E838" s="5">
        <v>112</v>
      </c>
      <c r="F838" s="4">
        <v>5176.99</v>
      </c>
      <c r="G838" s="4">
        <v>3327.91</v>
      </c>
      <c r="H838" s="4">
        <v>1849.08</v>
      </c>
      <c r="I838" s="6">
        <v>3.33</v>
      </c>
      <c r="J838" s="5">
        <v>19</v>
      </c>
    </row>
    <row r="839" spans="1:10">
      <c r="A839" t="s">
        <v>30</v>
      </c>
      <c r="B839" t="s">
        <v>29</v>
      </c>
      <c r="C839" t="s">
        <v>15</v>
      </c>
      <c r="D839" s="3">
        <v>45870</v>
      </c>
      <c r="E839" s="5">
        <v>78</v>
      </c>
      <c r="F839" s="4">
        <v>2923.18</v>
      </c>
      <c r="G839" s="4">
        <v>1532.73</v>
      </c>
      <c r="H839" s="4">
        <v>1390.45</v>
      </c>
      <c r="I839" s="6">
        <v>3.29</v>
      </c>
      <c r="J839" s="5">
        <v>19</v>
      </c>
    </row>
    <row r="840" spans="1:10">
      <c r="A840" t="s">
        <v>30</v>
      </c>
      <c r="B840" t="s">
        <v>29</v>
      </c>
      <c r="C840" t="s">
        <v>16</v>
      </c>
      <c r="D840" s="3">
        <v>45870</v>
      </c>
      <c r="E840" s="5">
        <v>141</v>
      </c>
      <c r="F840" s="4">
        <v>2525.3200000000002</v>
      </c>
      <c r="G840" s="4">
        <v>2410.5100000000002</v>
      </c>
      <c r="H840" s="4">
        <v>114.82</v>
      </c>
      <c r="I840" s="6">
        <v>3.32</v>
      </c>
      <c r="J840" s="5">
        <v>19</v>
      </c>
    </row>
    <row r="841" spans="1:10">
      <c r="A841" t="s">
        <v>30</v>
      </c>
      <c r="B841" t="s">
        <v>29</v>
      </c>
      <c r="C841" t="s">
        <v>17</v>
      </c>
      <c r="D841" s="3">
        <v>45870</v>
      </c>
      <c r="E841" s="5">
        <v>90</v>
      </c>
      <c r="F841" s="4">
        <v>5805.15</v>
      </c>
      <c r="G841" s="4">
        <v>3950.97</v>
      </c>
      <c r="H841" s="4">
        <v>1854.19</v>
      </c>
      <c r="I841" s="6">
        <v>3.22</v>
      </c>
      <c r="J841" s="5">
        <v>19</v>
      </c>
    </row>
    <row r="842" spans="1:10">
      <c r="A842" t="s">
        <v>30</v>
      </c>
      <c r="B842" t="s">
        <v>29</v>
      </c>
      <c r="C842" t="s">
        <v>12</v>
      </c>
      <c r="D842" s="3">
        <v>45901</v>
      </c>
      <c r="E842" s="5">
        <v>81</v>
      </c>
      <c r="F842" s="4">
        <v>12123</v>
      </c>
      <c r="G842" s="4">
        <v>10374.870000000001</v>
      </c>
      <c r="H842" s="4">
        <v>1748.13</v>
      </c>
      <c r="I842" s="6">
        <v>3.09</v>
      </c>
      <c r="J842" s="5">
        <v>16</v>
      </c>
    </row>
    <row r="843" spans="1:10">
      <c r="A843" t="s">
        <v>30</v>
      </c>
      <c r="B843" t="s">
        <v>29</v>
      </c>
      <c r="C843" t="s">
        <v>13</v>
      </c>
      <c r="D843" s="3">
        <v>45901</v>
      </c>
      <c r="E843" s="5">
        <v>66</v>
      </c>
      <c r="F843" s="4">
        <v>5065.34</v>
      </c>
      <c r="G843" s="4">
        <v>3668.91</v>
      </c>
      <c r="H843" s="4">
        <v>1396.43</v>
      </c>
      <c r="I843" s="6">
        <v>3.09</v>
      </c>
      <c r="J843" s="5">
        <v>16</v>
      </c>
    </row>
    <row r="844" spans="1:10">
      <c r="A844" t="s">
        <v>30</v>
      </c>
      <c r="B844" t="s">
        <v>29</v>
      </c>
      <c r="C844" t="s">
        <v>14</v>
      </c>
      <c r="D844" s="3">
        <v>45901</v>
      </c>
      <c r="E844" s="5">
        <v>104</v>
      </c>
      <c r="F844" s="4">
        <v>5029.99</v>
      </c>
      <c r="G844" s="4">
        <v>3336.55</v>
      </c>
      <c r="H844" s="4">
        <v>1693.44</v>
      </c>
      <c r="I844" s="6">
        <v>3.4</v>
      </c>
      <c r="J844" s="5">
        <v>16</v>
      </c>
    </row>
    <row r="845" spans="1:10">
      <c r="A845" t="s">
        <v>30</v>
      </c>
      <c r="B845" t="s">
        <v>29</v>
      </c>
      <c r="C845" t="s">
        <v>15</v>
      </c>
      <c r="D845" s="3">
        <v>45901</v>
      </c>
      <c r="E845" s="5">
        <v>72</v>
      </c>
      <c r="F845" s="4">
        <v>2500.7800000000002</v>
      </c>
      <c r="G845" s="4">
        <v>1364.33</v>
      </c>
      <c r="H845" s="4">
        <v>1136.46</v>
      </c>
      <c r="I845" s="6">
        <v>3.33</v>
      </c>
      <c r="J845" s="5">
        <v>16</v>
      </c>
    </row>
    <row r="846" spans="1:10">
      <c r="A846" t="s">
        <v>30</v>
      </c>
      <c r="B846" t="s">
        <v>29</v>
      </c>
      <c r="C846" t="s">
        <v>16</v>
      </c>
      <c r="D846" s="3">
        <v>45901</v>
      </c>
      <c r="E846" s="5">
        <v>133</v>
      </c>
      <c r="F846" s="4">
        <v>2451.64</v>
      </c>
      <c r="G846" s="4">
        <v>2407.62</v>
      </c>
      <c r="H846" s="4">
        <v>44.02</v>
      </c>
      <c r="I846" s="6">
        <v>3.22</v>
      </c>
      <c r="J846" s="5">
        <v>16</v>
      </c>
    </row>
    <row r="847" spans="1:10">
      <c r="A847" t="s">
        <v>30</v>
      </c>
      <c r="B847" t="s">
        <v>29</v>
      </c>
      <c r="C847" t="s">
        <v>17</v>
      </c>
      <c r="D847" s="3">
        <v>45901</v>
      </c>
      <c r="E847" s="5">
        <v>60</v>
      </c>
      <c r="F847" s="4">
        <v>3697.13</v>
      </c>
      <c r="G847" s="4">
        <v>2673.86</v>
      </c>
      <c r="H847" s="4">
        <v>1023.27</v>
      </c>
      <c r="I847" s="6">
        <v>3.4</v>
      </c>
      <c r="J847" s="5">
        <v>16</v>
      </c>
    </row>
    <row r="848" spans="1:10">
      <c r="A848" t="s">
        <v>30</v>
      </c>
      <c r="B848" t="s">
        <v>29</v>
      </c>
      <c r="C848" t="s">
        <v>12</v>
      </c>
      <c r="D848" s="3">
        <v>45931</v>
      </c>
      <c r="E848" s="5">
        <v>82</v>
      </c>
      <c r="F848" s="4">
        <v>12792.08</v>
      </c>
      <c r="G848" s="4">
        <v>10702.19</v>
      </c>
      <c r="H848" s="4">
        <v>2089.89</v>
      </c>
      <c r="I848" s="6">
        <v>3.12</v>
      </c>
      <c r="J848" s="5">
        <v>17</v>
      </c>
    </row>
    <row r="849" spans="1:10">
      <c r="A849" t="s">
        <v>30</v>
      </c>
      <c r="B849" t="s">
        <v>29</v>
      </c>
      <c r="C849" t="s">
        <v>13</v>
      </c>
      <c r="D849" s="3">
        <v>45931</v>
      </c>
      <c r="E849" s="5">
        <v>92</v>
      </c>
      <c r="F849" s="4">
        <v>6976.51</v>
      </c>
      <c r="G849" s="4">
        <v>5146.91</v>
      </c>
      <c r="H849" s="4">
        <v>1829.6</v>
      </c>
      <c r="I849" s="6">
        <v>3.34</v>
      </c>
      <c r="J849" s="5">
        <v>17</v>
      </c>
    </row>
    <row r="850" spans="1:10">
      <c r="A850" t="s">
        <v>30</v>
      </c>
      <c r="B850" t="s">
        <v>29</v>
      </c>
      <c r="C850" t="s">
        <v>14</v>
      </c>
      <c r="D850" s="3">
        <v>45931</v>
      </c>
      <c r="E850" s="5">
        <v>93</v>
      </c>
      <c r="F850" s="4">
        <v>4734.07</v>
      </c>
      <c r="G850" s="4">
        <v>3207.35</v>
      </c>
      <c r="H850" s="4">
        <v>1526.71</v>
      </c>
      <c r="I850" s="6">
        <v>3.41</v>
      </c>
      <c r="J850" s="5">
        <v>17</v>
      </c>
    </row>
    <row r="851" spans="1:10">
      <c r="A851" t="s">
        <v>30</v>
      </c>
      <c r="B851" t="s">
        <v>29</v>
      </c>
      <c r="C851" t="s">
        <v>15</v>
      </c>
      <c r="D851" s="3">
        <v>45931</v>
      </c>
      <c r="E851" s="5">
        <v>90</v>
      </c>
      <c r="F851" s="4">
        <v>3332.54</v>
      </c>
      <c r="G851" s="4">
        <v>1796.73</v>
      </c>
      <c r="H851" s="4">
        <v>1535.81</v>
      </c>
      <c r="I851" s="6">
        <v>3.29</v>
      </c>
      <c r="J851" s="5">
        <v>17</v>
      </c>
    </row>
    <row r="852" spans="1:10">
      <c r="A852" t="s">
        <v>30</v>
      </c>
      <c r="B852" t="s">
        <v>29</v>
      </c>
      <c r="C852" t="s">
        <v>16</v>
      </c>
      <c r="D852" s="3">
        <v>45931</v>
      </c>
      <c r="E852" s="5">
        <v>131</v>
      </c>
      <c r="F852" s="4">
        <v>2438.48</v>
      </c>
      <c r="G852" s="4">
        <v>2408.5500000000002</v>
      </c>
      <c r="H852" s="4">
        <v>29.93</v>
      </c>
      <c r="I852" s="6">
        <v>3.27</v>
      </c>
      <c r="J852" s="5">
        <v>17</v>
      </c>
    </row>
    <row r="853" spans="1:10">
      <c r="A853" t="s">
        <v>30</v>
      </c>
      <c r="B853" t="s">
        <v>29</v>
      </c>
      <c r="C853" t="s">
        <v>17</v>
      </c>
      <c r="D853" s="3">
        <v>45931</v>
      </c>
      <c r="E853" s="5">
        <v>65</v>
      </c>
      <c r="F853" s="4">
        <v>4328.8900000000003</v>
      </c>
      <c r="G853" s="4">
        <v>3069.9</v>
      </c>
      <c r="H853" s="4">
        <v>1258.99</v>
      </c>
      <c r="I853" s="6">
        <v>3.32</v>
      </c>
      <c r="J853" s="5">
        <v>17</v>
      </c>
    </row>
    <row r="854" spans="1:10">
      <c r="A854" t="s">
        <v>30</v>
      </c>
      <c r="B854" t="s">
        <v>29</v>
      </c>
      <c r="C854" t="s">
        <v>12</v>
      </c>
      <c r="D854" s="3">
        <v>45962</v>
      </c>
      <c r="E854" s="5">
        <v>133</v>
      </c>
      <c r="F854" s="4">
        <v>19646</v>
      </c>
      <c r="G854" s="4">
        <v>16683.349999999999</v>
      </c>
      <c r="H854" s="4">
        <v>2962.65</v>
      </c>
      <c r="I854" s="6">
        <v>3.41</v>
      </c>
      <c r="J854" s="5">
        <v>19</v>
      </c>
    </row>
    <row r="855" spans="1:10">
      <c r="A855" t="s">
        <v>30</v>
      </c>
      <c r="B855" t="s">
        <v>29</v>
      </c>
      <c r="C855" t="s">
        <v>13</v>
      </c>
      <c r="D855" s="3">
        <v>45962</v>
      </c>
      <c r="E855" s="5">
        <v>80</v>
      </c>
      <c r="F855" s="4">
        <v>6319.66</v>
      </c>
      <c r="G855" s="4">
        <v>4693.51</v>
      </c>
      <c r="H855" s="4">
        <v>1626.15</v>
      </c>
      <c r="I855" s="6">
        <v>3.39</v>
      </c>
      <c r="J855" s="5">
        <v>19</v>
      </c>
    </row>
    <row r="856" spans="1:10">
      <c r="A856" t="s">
        <v>30</v>
      </c>
      <c r="B856" t="s">
        <v>29</v>
      </c>
      <c r="C856" t="s">
        <v>14</v>
      </c>
      <c r="D856" s="3">
        <v>45962</v>
      </c>
      <c r="E856" s="5">
        <v>116</v>
      </c>
      <c r="F856" s="4">
        <v>5563.18</v>
      </c>
      <c r="G856" s="4">
        <v>3645.37</v>
      </c>
      <c r="H856" s="4">
        <v>1917.81</v>
      </c>
      <c r="I856" s="6">
        <v>3.11</v>
      </c>
      <c r="J856" s="5">
        <v>19</v>
      </c>
    </row>
    <row r="857" spans="1:10">
      <c r="A857" t="s">
        <v>30</v>
      </c>
      <c r="B857" t="s">
        <v>29</v>
      </c>
      <c r="C857" t="s">
        <v>15</v>
      </c>
      <c r="D857" s="3">
        <v>45962</v>
      </c>
      <c r="E857" s="5">
        <v>93</v>
      </c>
      <c r="F857" s="4">
        <v>3325.64</v>
      </c>
      <c r="G857" s="4">
        <v>1796.24</v>
      </c>
      <c r="H857" s="4">
        <v>1529.41</v>
      </c>
      <c r="I857" s="6">
        <v>3.09</v>
      </c>
      <c r="J857" s="5">
        <v>19</v>
      </c>
    </row>
    <row r="858" spans="1:10">
      <c r="A858" t="s">
        <v>30</v>
      </c>
      <c r="B858" t="s">
        <v>29</v>
      </c>
      <c r="C858" t="s">
        <v>16</v>
      </c>
      <c r="D858" s="3">
        <v>45962</v>
      </c>
      <c r="E858" s="5">
        <v>164</v>
      </c>
      <c r="F858" s="4">
        <v>3181.35</v>
      </c>
      <c r="G858" s="4">
        <v>3087.71</v>
      </c>
      <c r="H858" s="4">
        <v>93.65</v>
      </c>
      <c r="I858" s="6">
        <v>3.09</v>
      </c>
      <c r="J858" s="5">
        <v>19</v>
      </c>
    </row>
    <row r="859" spans="1:10">
      <c r="A859" t="s">
        <v>30</v>
      </c>
      <c r="B859" t="s">
        <v>29</v>
      </c>
      <c r="C859" t="s">
        <v>17</v>
      </c>
      <c r="D859" s="3">
        <v>45962</v>
      </c>
      <c r="E859" s="5">
        <v>82</v>
      </c>
      <c r="F859" s="4">
        <v>4823.1099999999997</v>
      </c>
      <c r="G859" s="4">
        <v>3507.36</v>
      </c>
      <c r="H859" s="4">
        <v>1315.75</v>
      </c>
      <c r="I859" s="6">
        <v>3.14</v>
      </c>
      <c r="J859" s="5">
        <v>19</v>
      </c>
    </row>
    <row r="860" spans="1:10">
      <c r="A860" t="s">
        <v>30</v>
      </c>
      <c r="B860" t="s">
        <v>29</v>
      </c>
      <c r="C860" t="s">
        <v>12</v>
      </c>
      <c r="D860" s="3">
        <v>45992</v>
      </c>
      <c r="E860" s="5">
        <v>145</v>
      </c>
      <c r="F860" s="4">
        <v>21577.02</v>
      </c>
      <c r="G860" s="4">
        <v>18991.509999999998</v>
      </c>
      <c r="H860" s="4">
        <v>2585.5100000000002</v>
      </c>
      <c r="I860" s="6">
        <v>3.24</v>
      </c>
      <c r="J860" s="5">
        <v>18</v>
      </c>
    </row>
    <row r="861" spans="1:10">
      <c r="A861" t="s">
        <v>30</v>
      </c>
      <c r="B861" t="s">
        <v>29</v>
      </c>
      <c r="C861" t="s">
        <v>13</v>
      </c>
      <c r="D861" s="3">
        <v>45992</v>
      </c>
      <c r="E861" s="5">
        <v>109</v>
      </c>
      <c r="F861" s="4">
        <v>8047.1</v>
      </c>
      <c r="G861" s="4">
        <v>6177.9</v>
      </c>
      <c r="H861" s="4">
        <v>1869.2</v>
      </c>
      <c r="I861" s="6">
        <v>3.21</v>
      </c>
      <c r="J861" s="5">
        <v>18</v>
      </c>
    </row>
    <row r="862" spans="1:10">
      <c r="A862" t="s">
        <v>30</v>
      </c>
      <c r="B862" t="s">
        <v>29</v>
      </c>
      <c r="C862" t="s">
        <v>14</v>
      </c>
      <c r="D862" s="3">
        <v>45992</v>
      </c>
      <c r="E862" s="5">
        <v>132</v>
      </c>
      <c r="F862" s="4">
        <v>6573.33</v>
      </c>
      <c r="G862" s="4">
        <v>4661.25</v>
      </c>
      <c r="H862" s="4">
        <v>1912.08</v>
      </c>
      <c r="I862" s="6">
        <v>3.09</v>
      </c>
      <c r="J862" s="5">
        <v>18</v>
      </c>
    </row>
    <row r="863" spans="1:10">
      <c r="A863" t="s">
        <v>30</v>
      </c>
      <c r="B863" t="s">
        <v>29</v>
      </c>
      <c r="C863" t="s">
        <v>15</v>
      </c>
      <c r="D863" s="3">
        <v>45992</v>
      </c>
      <c r="E863" s="5">
        <v>107</v>
      </c>
      <c r="F863" s="4">
        <v>3826.66</v>
      </c>
      <c r="G863" s="4">
        <v>2212.16</v>
      </c>
      <c r="H863" s="4">
        <v>1614.5</v>
      </c>
      <c r="I863" s="6">
        <v>3.35</v>
      </c>
      <c r="J863" s="5">
        <v>18</v>
      </c>
    </row>
    <row r="864" spans="1:10">
      <c r="A864" t="s">
        <v>30</v>
      </c>
      <c r="B864" t="s">
        <v>29</v>
      </c>
      <c r="C864" t="s">
        <v>16</v>
      </c>
      <c r="D864" s="3">
        <v>45992</v>
      </c>
      <c r="E864" s="5">
        <v>171</v>
      </c>
      <c r="F864" s="4">
        <v>2916.5</v>
      </c>
      <c r="G864" s="4">
        <v>2840.78</v>
      </c>
      <c r="H864" s="4">
        <v>75.73</v>
      </c>
      <c r="I864" s="6">
        <v>3.11</v>
      </c>
      <c r="J864" s="5">
        <v>18</v>
      </c>
    </row>
    <row r="865" spans="1:10">
      <c r="A865" t="s">
        <v>30</v>
      </c>
      <c r="B865" t="s">
        <v>29</v>
      </c>
      <c r="C865" t="s">
        <v>17</v>
      </c>
      <c r="D865" s="3">
        <v>45992</v>
      </c>
      <c r="E865" s="5">
        <v>66</v>
      </c>
      <c r="F865" s="4">
        <v>4344.2299999999996</v>
      </c>
      <c r="G865" s="4">
        <v>3288.69</v>
      </c>
      <c r="H865" s="4">
        <v>1055.54</v>
      </c>
      <c r="I865" s="6">
        <v>3.23</v>
      </c>
      <c r="J865" s="5">
        <v>18</v>
      </c>
    </row>
    <row r="866" spans="1:10">
      <c r="A866" t="s">
        <v>31</v>
      </c>
      <c r="B866" t="s">
        <v>29</v>
      </c>
      <c r="C866" t="s">
        <v>12</v>
      </c>
      <c r="D866" s="3">
        <v>45658</v>
      </c>
      <c r="E866" s="5">
        <v>96</v>
      </c>
      <c r="F866" s="4">
        <v>14346.91</v>
      </c>
      <c r="G866" s="4">
        <v>10924.88</v>
      </c>
      <c r="H866" s="4">
        <v>3422.03</v>
      </c>
      <c r="I866" s="6">
        <v>3.58</v>
      </c>
      <c r="J866" s="5">
        <v>26</v>
      </c>
    </row>
    <row r="867" spans="1:10">
      <c r="A867" t="s">
        <v>31</v>
      </c>
      <c r="B867" t="s">
        <v>29</v>
      </c>
      <c r="C867" t="s">
        <v>13</v>
      </c>
      <c r="D867" s="3">
        <v>45658</v>
      </c>
      <c r="E867" s="5">
        <v>71</v>
      </c>
      <c r="F867" s="4">
        <v>5528.06</v>
      </c>
      <c r="G867" s="4">
        <v>3596.58</v>
      </c>
      <c r="H867" s="4">
        <v>1931.48</v>
      </c>
      <c r="I867" s="6">
        <v>3.73</v>
      </c>
      <c r="J867" s="5">
        <v>26</v>
      </c>
    </row>
    <row r="868" spans="1:10">
      <c r="A868" t="s">
        <v>31</v>
      </c>
      <c r="B868" t="s">
        <v>29</v>
      </c>
      <c r="C868" t="s">
        <v>14</v>
      </c>
      <c r="D868" s="3">
        <v>45658</v>
      </c>
      <c r="E868" s="5">
        <v>96</v>
      </c>
      <c r="F868" s="4">
        <v>4771.92</v>
      </c>
      <c r="G868" s="4">
        <v>2715.73</v>
      </c>
      <c r="H868" s="4">
        <v>2056.19</v>
      </c>
      <c r="I868" s="6">
        <v>3.45</v>
      </c>
      <c r="J868" s="5">
        <v>26</v>
      </c>
    </row>
    <row r="869" spans="1:10">
      <c r="A869" t="s">
        <v>31</v>
      </c>
      <c r="B869" t="s">
        <v>29</v>
      </c>
      <c r="C869" t="s">
        <v>15</v>
      </c>
      <c r="D869" s="3">
        <v>45658</v>
      </c>
      <c r="E869" s="5">
        <v>86</v>
      </c>
      <c r="F869" s="4">
        <v>3132.96</v>
      </c>
      <c r="G869" s="4">
        <v>1430.54</v>
      </c>
      <c r="H869" s="4">
        <v>1702.42</v>
      </c>
      <c r="I869" s="6">
        <v>3.54</v>
      </c>
      <c r="J869" s="5">
        <v>26</v>
      </c>
    </row>
    <row r="870" spans="1:10">
      <c r="A870" t="s">
        <v>31</v>
      </c>
      <c r="B870" t="s">
        <v>29</v>
      </c>
      <c r="C870" t="s">
        <v>16</v>
      </c>
      <c r="D870" s="3">
        <v>45658</v>
      </c>
      <c r="E870" s="5">
        <v>129</v>
      </c>
      <c r="F870" s="4">
        <v>2372.52</v>
      </c>
      <c r="G870" s="4">
        <v>2057.13</v>
      </c>
      <c r="H870" s="4">
        <v>315.39</v>
      </c>
      <c r="I870" s="6">
        <v>3.47</v>
      </c>
      <c r="J870" s="5">
        <v>26</v>
      </c>
    </row>
    <row r="871" spans="1:10">
      <c r="A871" t="s">
        <v>31</v>
      </c>
      <c r="B871" t="s">
        <v>29</v>
      </c>
      <c r="C871" t="s">
        <v>17</v>
      </c>
      <c r="D871" s="3">
        <v>45658</v>
      </c>
      <c r="E871" s="5">
        <v>60</v>
      </c>
      <c r="F871" s="4">
        <v>3866.41</v>
      </c>
      <c r="G871" s="4">
        <v>2347.52</v>
      </c>
      <c r="H871" s="4">
        <v>1518.88</v>
      </c>
      <c r="I871" s="6">
        <v>3.44</v>
      </c>
      <c r="J871" s="5">
        <v>26</v>
      </c>
    </row>
    <row r="872" spans="1:10">
      <c r="A872" t="s">
        <v>31</v>
      </c>
      <c r="B872" t="s">
        <v>29</v>
      </c>
      <c r="C872" t="s">
        <v>12</v>
      </c>
      <c r="D872" s="3">
        <v>45689</v>
      </c>
      <c r="E872" s="5">
        <v>74</v>
      </c>
      <c r="F872" s="4">
        <v>11025.63</v>
      </c>
      <c r="G872" s="4">
        <v>8506.99</v>
      </c>
      <c r="H872" s="4">
        <v>2518.64</v>
      </c>
      <c r="I872" s="6">
        <v>3.49</v>
      </c>
      <c r="J872" s="5">
        <v>26</v>
      </c>
    </row>
    <row r="873" spans="1:10">
      <c r="A873" t="s">
        <v>31</v>
      </c>
      <c r="B873" t="s">
        <v>29</v>
      </c>
      <c r="C873" t="s">
        <v>13</v>
      </c>
      <c r="D873" s="3">
        <v>45689</v>
      </c>
      <c r="E873" s="5">
        <v>70</v>
      </c>
      <c r="F873" s="4">
        <v>5589.12</v>
      </c>
      <c r="G873" s="4">
        <v>3621.44</v>
      </c>
      <c r="H873" s="4">
        <v>1967.68</v>
      </c>
      <c r="I873" s="6">
        <v>3.41</v>
      </c>
      <c r="J873" s="5">
        <v>26</v>
      </c>
    </row>
    <row r="874" spans="1:10">
      <c r="A874" t="s">
        <v>31</v>
      </c>
      <c r="B874" t="s">
        <v>29</v>
      </c>
      <c r="C874" t="s">
        <v>14</v>
      </c>
      <c r="D874" s="3">
        <v>45689</v>
      </c>
      <c r="E874" s="5">
        <v>94</v>
      </c>
      <c r="F874" s="4">
        <v>4845.79</v>
      </c>
      <c r="G874" s="4">
        <v>2843.14</v>
      </c>
      <c r="H874" s="4">
        <v>2002.65</v>
      </c>
      <c r="I874" s="6">
        <v>3.67</v>
      </c>
      <c r="J874" s="5">
        <v>26</v>
      </c>
    </row>
    <row r="875" spans="1:10">
      <c r="A875" t="s">
        <v>31</v>
      </c>
      <c r="B875" t="s">
        <v>29</v>
      </c>
      <c r="C875" t="s">
        <v>15</v>
      </c>
      <c r="D875" s="3">
        <v>45689</v>
      </c>
      <c r="E875" s="5">
        <v>72</v>
      </c>
      <c r="F875" s="4">
        <v>2494.31</v>
      </c>
      <c r="G875" s="4">
        <v>1165.3499999999999</v>
      </c>
      <c r="H875" s="4">
        <v>1328.96</v>
      </c>
      <c r="I875" s="6">
        <v>3.53</v>
      </c>
      <c r="J875" s="5">
        <v>26</v>
      </c>
    </row>
    <row r="876" spans="1:10">
      <c r="A876" t="s">
        <v>31</v>
      </c>
      <c r="B876" t="s">
        <v>29</v>
      </c>
      <c r="C876" t="s">
        <v>16</v>
      </c>
      <c r="D876" s="3">
        <v>45689</v>
      </c>
      <c r="E876" s="5">
        <v>119</v>
      </c>
      <c r="F876" s="4">
        <v>2212.4</v>
      </c>
      <c r="G876" s="4">
        <v>1940.32</v>
      </c>
      <c r="H876" s="4">
        <v>272.08</v>
      </c>
      <c r="I876" s="6">
        <v>3.46</v>
      </c>
      <c r="J876" s="5">
        <v>26</v>
      </c>
    </row>
    <row r="877" spans="1:10">
      <c r="A877" t="s">
        <v>31</v>
      </c>
      <c r="B877" t="s">
        <v>29</v>
      </c>
      <c r="C877" t="s">
        <v>17</v>
      </c>
      <c r="D877" s="3">
        <v>45689</v>
      </c>
      <c r="E877" s="5">
        <v>70</v>
      </c>
      <c r="F877" s="4">
        <v>4657.01</v>
      </c>
      <c r="G877" s="4">
        <v>2935.98</v>
      </c>
      <c r="H877" s="4">
        <v>1721.03</v>
      </c>
      <c r="I877" s="6">
        <v>3.56</v>
      </c>
      <c r="J877" s="5">
        <v>26</v>
      </c>
    </row>
    <row r="878" spans="1:10">
      <c r="A878" t="s">
        <v>31</v>
      </c>
      <c r="B878" t="s">
        <v>29</v>
      </c>
      <c r="C878" t="s">
        <v>12</v>
      </c>
      <c r="D878" s="3">
        <v>45717</v>
      </c>
      <c r="E878" s="5">
        <v>100</v>
      </c>
      <c r="F878" s="4">
        <v>14117.91</v>
      </c>
      <c r="G878" s="4">
        <v>10849.67</v>
      </c>
      <c r="H878" s="4">
        <v>3268.23</v>
      </c>
      <c r="I878" s="6">
        <v>3.72</v>
      </c>
      <c r="J878" s="5">
        <v>25</v>
      </c>
    </row>
    <row r="879" spans="1:10">
      <c r="A879" t="s">
        <v>31</v>
      </c>
      <c r="B879" t="s">
        <v>29</v>
      </c>
      <c r="C879" t="s">
        <v>13</v>
      </c>
      <c r="D879" s="3">
        <v>45717</v>
      </c>
      <c r="E879" s="5">
        <v>90</v>
      </c>
      <c r="F879" s="4">
        <v>6663.09</v>
      </c>
      <c r="G879" s="4">
        <v>4224.3999999999996</v>
      </c>
      <c r="H879" s="4">
        <v>2438.69</v>
      </c>
      <c r="I879" s="6">
        <v>3.7</v>
      </c>
      <c r="J879" s="5">
        <v>25</v>
      </c>
    </row>
    <row r="880" spans="1:10">
      <c r="A880" t="s">
        <v>31</v>
      </c>
      <c r="B880" t="s">
        <v>29</v>
      </c>
      <c r="C880" t="s">
        <v>14</v>
      </c>
      <c r="D880" s="3">
        <v>45717</v>
      </c>
      <c r="E880" s="5">
        <v>113</v>
      </c>
      <c r="F880" s="4">
        <v>5184.6499999999996</v>
      </c>
      <c r="G880" s="4">
        <v>3024.49</v>
      </c>
      <c r="H880" s="4">
        <v>2160.16</v>
      </c>
      <c r="I880" s="6">
        <v>3.65</v>
      </c>
      <c r="J880" s="5">
        <v>25</v>
      </c>
    </row>
    <row r="881" spans="1:10">
      <c r="A881" t="s">
        <v>31</v>
      </c>
      <c r="B881" t="s">
        <v>29</v>
      </c>
      <c r="C881" t="s">
        <v>15</v>
      </c>
      <c r="D881" s="3">
        <v>45717</v>
      </c>
      <c r="E881" s="5">
        <v>100</v>
      </c>
      <c r="F881" s="4">
        <v>3396.45</v>
      </c>
      <c r="G881" s="4">
        <v>1604.75</v>
      </c>
      <c r="H881" s="4">
        <v>1791.7</v>
      </c>
      <c r="I881" s="6">
        <v>3.66</v>
      </c>
      <c r="J881" s="5">
        <v>25</v>
      </c>
    </row>
    <row r="882" spans="1:10">
      <c r="A882" t="s">
        <v>31</v>
      </c>
      <c r="B882" t="s">
        <v>29</v>
      </c>
      <c r="C882" t="s">
        <v>16</v>
      </c>
      <c r="D882" s="3">
        <v>45717</v>
      </c>
      <c r="E882" s="5">
        <v>134</v>
      </c>
      <c r="F882" s="4">
        <v>2431.66</v>
      </c>
      <c r="G882" s="4">
        <v>2142.5500000000002</v>
      </c>
      <c r="H882" s="4">
        <v>289.11</v>
      </c>
      <c r="I882" s="6">
        <v>3.59</v>
      </c>
      <c r="J882" s="5">
        <v>25</v>
      </c>
    </row>
    <row r="883" spans="1:10">
      <c r="A883" t="s">
        <v>31</v>
      </c>
      <c r="B883" t="s">
        <v>29</v>
      </c>
      <c r="C883" t="s">
        <v>17</v>
      </c>
      <c r="D883" s="3">
        <v>45717</v>
      </c>
      <c r="E883" s="5">
        <v>67</v>
      </c>
      <c r="F883" s="4">
        <v>4091.04</v>
      </c>
      <c r="G883" s="4">
        <v>2520.75</v>
      </c>
      <c r="H883" s="4">
        <v>1570.29</v>
      </c>
      <c r="I883" s="6">
        <v>3.42</v>
      </c>
      <c r="J883" s="5">
        <v>25</v>
      </c>
    </row>
    <row r="884" spans="1:10">
      <c r="A884" t="s">
        <v>31</v>
      </c>
      <c r="B884" t="s">
        <v>29</v>
      </c>
      <c r="C884" t="s">
        <v>12</v>
      </c>
      <c r="D884" s="3">
        <v>45748</v>
      </c>
      <c r="E884" s="5">
        <v>98</v>
      </c>
      <c r="F884" s="4">
        <v>14609.76</v>
      </c>
      <c r="G884" s="4">
        <v>11027.2</v>
      </c>
      <c r="H884" s="4">
        <v>3582.56</v>
      </c>
      <c r="I884" s="6">
        <v>3.63</v>
      </c>
      <c r="J884" s="5">
        <v>25</v>
      </c>
    </row>
    <row r="885" spans="1:10">
      <c r="A885" t="s">
        <v>31</v>
      </c>
      <c r="B885" t="s">
        <v>29</v>
      </c>
      <c r="C885" t="s">
        <v>13</v>
      </c>
      <c r="D885" s="3">
        <v>45748</v>
      </c>
      <c r="E885" s="5">
        <v>89</v>
      </c>
      <c r="F885" s="4">
        <v>7149.5</v>
      </c>
      <c r="G885" s="4">
        <v>4621.2700000000004</v>
      </c>
      <c r="H885" s="4">
        <v>2528.23</v>
      </c>
      <c r="I885" s="6">
        <v>3.68</v>
      </c>
      <c r="J885" s="5">
        <v>25</v>
      </c>
    </row>
    <row r="886" spans="1:10">
      <c r="A886" t="s">
        <v>31</v>
      </c>
      <c r="B886" t="s">
        <v>29</v>
      </c>
      <c r="C886" t="s">
        <v>14</v>
      </c>
      <c r="D886" s="3">
        <v>45748</v>
      </c>
      <c r="E886" s="5">
        <v>152</v>
      </c>
      <c r="F886" s="4">
        <v>7302.81</v>
      </c>
      <c r="G886" s="4">
        <v>4450.08</v>
      </c>
      <c r="H886" s="4">
        <v>2852.73</v>
      </c>
      <c r="I886" s="6">
        <v>3.41</v>
      </c>
      <c r="J886" s="5">
        <v>25</v>
      </c>
    </row>
    <row r="887" spans="1:10">
      <c r="A887" t="s">
        <v>31</v>
      </c>
      <c r="B887" t="s">
        <v>29</v>
      </c>
      <c r="C887" t="s">
        <v>15</v>
      </c>
      <c r="D887" s="3">
        <v>45748</v>
      </c>
      <c r="E887" s="5">
        <v>88</v>
      </c>
      <c r="F887" s="4">
        <v>3282.19</v>
      </c>
      <c r="G887" s="4">
        <v>1524.06</v>
      </c>
      <c r="H887" s="4">
        <v>1758.14</v>
      </c>
      <c r="I887" s="6">
        <v>3.64</v>
      </c>
      <c r="J887" s="5">
        <v>25</v>
      </c>
    </row>
    <row r="888" spans="1:10">
      <c r="A888" t="s">
        <v>31</v>
      </c>
      <c r="B888" t="s">
        <v>29</v>
      </c>
      <c r="C888" t="s">
        <v>16</v>
      </c>
      <c r="D888" s="3">
        <v>45748</v>
      </c>
      <c r="E888" s="5">
        <v>167</v>
      </c>
      <c r="F888" s="4">
        <v>2900.55</v>
      </c>
      <c r="G888" s="4">
        <v>2565.92</v>
      </c>
      <c r="H888" s="4">
        <v>334.63</v>
      </c>
      <c r="I888" s="6">
        <v>3.38</v>
      </c>
      <c r="J888" s="5">
        <v>25</v>
      </c>
    </row>
    <row r="889" spans="1:10">
      <c r="A889" t="s">
        <v>31</v>
      </c>
      <c r="B889" t="s">
        <v>29</v>
      </c>
      <c r="C889" t="s">
        <v>17</v>
      </c>
      <c r="D889" s="3">
        <v>45748</v>
      </c>
      <c r="E889" s="5">
        <v>74</v>
      </c>
      <c r="F889" s="4">
        <v>4840.46</v>
      </c>
      <c r="G889" s="4">
        <v>3164.37</v>
      </c>
      <c r="H889" s="4">
        <v>1676.09</v>
      </c>
      <c r="I889" s="6">
        <v>3.53</v>
      </c>
      <c r="J889" s="5">
        <v>25</v>
      </c>
    </row>
    <row r="890" spans="1:10">
      <c r="A890" t="s">
        <v>31</v>
      </c>
      <c r="B890" t="s">
        <v>29</v>
      </c>
      <c r="C890" t="s">
        <v>12</v>
      </c>
      <c r="D890" s="3">
        <v>45778</v>
      </c>
      <c r="E890" s="5">
        <v>103</v>
      </c>
      <c r="F890" s="4">
        <v>14074.22</v>
      </c>
      <c r="G890" s="4">
        <v>11006.71</v>
      </c>
      <c r="H890" s="4">
        <v>3067.5</v>
      </c>
      <c r="I890" s="6">
        <v>3.58</v>
      </c>
      <c r="J890" s="5">
        <v>27</v>
      </c>
    </row>
    <row r="891" spans="1:10">
      <c r="A891" t="s">
        <v>31</v>
      </c>
      <c r="B891" t="s">
        <v>29</v>
      </c>
      <c r="C891" t="s">
        <v>13</v>
      </c>
      <c r="D891" s="3">
        <v>45778</v>
      </c>
      <c r="E891" s="5">
        <v>92</v>
      </c>
      <c r="F891" s="4">
        <v>7200.36</v>
      </c>
      <c r="G891" s="4">
        <v>4814.99</v>
      </c>
      <c r="H891" s="4">
        <v>2385.37</v>
      </c>
      <c r="I891" s="6">
        <v>3.66</v>
      </c>
      <c r="J891" s="5">
        <v>27</v>
      </c>
    </row>
    <row r="892" spans="1:10">
      <c r="A892" t="s">
        <v>31</v>
      </c>
      <c r="B892" t="s">
        <v>29</v>
      </c>
      <c r="C892" t="s">
        <v>14</v>
      </c>
      <c r="D892" s="3">
        <v>45778</v>
      </c>
      <c r="E892" s="5">
        <v>111</v>
      </c>
      <c r="F892" s="4">
        <v>5062.47</v>
      </c>
      <c r="G892" s="4">
        <v>3136.26</v>
      </c>
      <c r="H892" s="4">
        <v>1926.21</v>
      </c>
      <c r="I892" s="6">
        <v>3.42</v>
      </c>
      <c r="J892" s="5">
        <v>27</v>
      </c>
    </row>
    <row r="893" spans="1:10">
      <c r="A893" t="s">
        <v>31</v>
      </c>
      <c r="B893" t="s">
        <v>29</v>
      </c>
      <c r="C893" t="s">
        <v>15</v>
      </c>
      <c r="D893" s="3">
        <v>45778</v>
      </c>
      <c r="E893" s="5">
        <v>97</v>
      </c>
      <c r="F893" s="4">
        <v>3667.18</v>
      </c>
      <c r="G893" s="4">
        <v>1753.76</v>
      </c>
      <c r="H893" s="4">
        <v>1913.42</v>
      </c>
      <c r="I893" s="6">
        <v>3.42</v>
      </c>
      <c r="J893" s="5">
        <v>27</v>
      </c>
    </row>
    <row r="894" spans="1:10">
      <c r="A894" t="s">
        <v>31</v>
      </c>
      <c r="B894" t="s">
        <v>29</v>
      </c>
      <c r="C894" t="s">
        <v>16</v>
      </c>
      <c r="D894" s="3">
        <v>45778</v>
      </c>
      <c r="E894" s="5">
        <v>174</v>
      </c>
      <c r="F894" s="4">
        <v>3117.33</v>
      </c>
      <c r="G894" s="4">
        <v>2845.24</v>
      </c>
      <c r="H894" s="4">
        <v>272.08999999999997</v>
      </c>
      <c r="I894" s="6">
        <v>3.53</v>
      </c>
      <c r="J894" s="5">
        <v>27</v>
      </c>
    </row>
    <row r="895" spans="1:10">
      <c r="A895" t="s">
        <v>31</v>
      </c>
      <c r="B895" t="s">
        <v>29</v>
      </c>
      <c r="C895" t="s">
        <v>17</v>
      </c>
      <c r="D895" s="3">
        <v>45778</v>
      </c>
      <c r="E895" s="5">
        <v>91</v>
      </c>
      <c r="F895" s="4">
        <v>5724.86</v>
      </c>
      <c r="G895" s="4">
        <v>3606.37</v>
      </c>
      <c r="H895" s="4">
        <v>2118.48</v>
      </c>
      <c r="I895" s="6">
        <v>3.53</v>
      </c>
      <c r="J895" s="5">
        <v>27</v>
      </c>
    </row>
    <row r="896" spans="1:10">
      <c r="A896" t="s">
        <v>31</v>
      </c>
      <c r="B896" t="s">
        <v>29</v>
      </c>
      <c r="C896" t="s">
        <v>12</v>
      </c>
      <c r="D896" s="3">
        <v>45809</v>
      </c>
      <c r="E896" s="5">
        <v>120</v>
      </c>
      <c r="F896" s="4">
        <v>18005.88</v>
      </c>
      <c r="G896" s="4">
        <v>14393.59</v>
      </c>
      <c r="H896" s="4">
        <v>3612.28</v>
      </c>
      <c r="I896" s="6">
        <v>3.67</v>
      </c>
      <c r="J896" s="5">
        <v>27</v>
      </c>
    </row>
    <row r="897" spans="1:10">
      <c r="A897" t="s">
        <v>31</v>
      </c>
      <c r="B897" t="s">
        <v>29</v>
      </c>
      <c r="C897" t="s">
        <v>13</v>
      </c>
      <c r="D897" s="3">
        <v>45809</v>
      </c>
      <c r="E897" s="5">
        <v>102</v>
      </c>
      <c r="F897" s="4">
        <v>8078.4</v>
      </c>
      <c r="G897" s="4">
        <v>5371.33</v>
      </c>
      <c r="H897" s="4">
        <v>2707.07</v>
      </c>
      <c r="I897" s="6">
        <v>3.73</v>
      </c>
      <c r="J897" s="5">
        <v>27</v>
      </c>
    </row>
    <row r="898" spans="1:10">
      <c r="A898" t="s">
        <v>31</v>
      </c>
      <c r="B898" t="s">
        <v>29</v>
      </c>
      <c r="C898" t="s">
        <v>14</v>
      </c>
      <c r="D898" s="3">
        <v>45809</v>
      </c>
      <c r="E898" s="5">
        <v>118</v>
      </c>
      <c r="F898" s="4">
        <v>5421.88</v>
      </c>
      <c r="G898" s="4">
        <v>3209.12</v>
      </c>
      <c r="H898" s="4">
        <v>2212.7600000000002</v>
      </c>
      <c r="I898" s="6">
        <v>3.6</v>
      </c>
      <c r="J898" s="5">
        <v>27</v>
      </c>
    </row>
    <row r="899" spans="1:10">
      <c r="A899" t="s">
        <v>31</v>
      </c>
      <c r="B899" t="s">
        <v>29</v>
      </c>
      <c r="C899" t="s">
        <v>15</v>
      </c>
      <c r="D899" s="3">
        <v>45809</v>
      </c>
      <c r="E899" s="5">
        <v>105</v>
      </c>
      <c r="F899" s="4">
        <v>3837.46</v>
      </c>
      <c r="G899" s="4">
        <v>1930.78</v>
      </c>
      <c r="H899" s="4">
        <v>1906.68</v>
      </c>
      <c r="I899" s="6">
        <v>3.49</v>
      </c>
      <c r="J899" s="5">
        <v>27</v>
      </c>
    </row>
    <row r="900" spans="1:10">
      <c r="A900" t="s">
        <v>31</v>
      </c>
      <c r="B900" t="s">
        <v>29</v>
      </c>
      <c r="C900" t="s">
        <v>16</v>
      </c>
      <c r="D900" s="3">
        <v>45809</v>
      </c>
      <c r="E900" s="5">
        <v>180</v>
      </c>
      <c r="F900" s="4">
        <v>3201.57</v>
      </c>
      <c r="G900" s="4">
        <v>2898.16</v>
      </c>
      <c r="H900" s="4">
        <v>303.41000000000003</v>
      </c>
      <c r="I900" s="6">
        <v>3.59</v>
      </c>
      <c r="J900" s="5">
        <v>27</v>
      </c>
    </row>
    <row r="901" spans="1:10">
      <c r="A901" t="s">
        <v>31</v>
      </c>
      <c r="B901" t="s">
        <v>29</v>
      </c>
      <c r="C901" t="s">
        <v>17</v>
      </c>
      <c r="D901" s="3">
        <v>45809</v>
      </c>
      <c r="E901" s="5">
        <v>86</v>
      </c>
      <c r="F901" s="4">
        <v>5394.69</v>
      </c>
      <c r="G901" s="4">
        <v>3435.22</v>
      </c>
      <c r="H901" s="4">
        <v>1959.47</v>
      </c>
      <c r="I901" s="6">
        <v>3.46</v>
      </c>
      <c r="J901" s="5">
        <v>27</v>
      </c>
    </row>
    <row r="902" spans="1:10">
      <c r="A902" t="s">
        <v>31</v>
      </c>
      <c r="B902" t="s">
        <v>29</v>
      </c>
      <c r="C902" t="s">
        <v>12</v>
      </c>
      <c r="D902" s="3">
        <v>45839</v>
      </c>
      <c r="E902" s="5">
        <v>122</v>
      </c>
      <c r="F902" s="4">
        <v>18609.04</v>
      </c>
      <c r="G902" s="4">
        <v>14935.84</v>
      </c>
      <c r="H902" s="4">
        <v>3673.2</v>
      </c>
      <c r="I902" s="6">
        <v>3.69</v>
      </c>
      <c r="J902" s="5">
        <v>27</v>
      </c>
    </row>
    <row r="903" spans="1:10">
      <c r="A903" t="s">
        <v>31</v>
      </c>
      <c r="B903" t="s">
        <v>29</v>
      </c>
      <c r="C903" t="s">
        <v>13</v>
      </c>
      <c r="D903" s="3">
        <v>45839</v>
      </c>
      <c r="E903" s="5">
        <v>113</v>
      </c>
      <c r="F903" s="4">
        <v>9193.73</v>
      </c>
      <c r="G903" s="4">
        <v>6399.29</v>
      </c>
      <c r="H903" s="4">
        <v>2794.44</v>
      </c>
      <c r="I903" s="6">
        <v>3.55</v>
      </c>
      <c r="J903" s="5">
        <v>27</v>
      </c>
    </row>
    <row r="904" spans="1:10">
      <c r="A904" t="s">
        <v>31</v>
      </c>
      <c r="B904" t="s">
        <v>29</v>
      </c>
      <c r="C904" t="s">
        <v>14</v>
      </c>
      <c r="D904" s="3">
        <v>45839</v>
      </c>
      <c r="E904" s="5">
        <v>128</v>
      </c>
      <c r="F904" s="4">
        <v>5833.3</v>
      </c>
      <c r="G904" s="4">
        <v>3506.69</v>
      </c>
      <c r="H904" s="4">
        <v>2326.62</v>
      </c>
      <c r="I904" s="6">
        <v>3.65</v>
      </c>
      <c r="J904" s="5">
        <v>27</v>
      </c>
    </row>
    <row r="905" spans="1:10">
      <c r="A905" t="s">
        <v>31</v>
      </c>
      <c r="B905" t="s">
        <v>29</v>
      </c>
      <c r="C905" t="s">
        <v>15</v>
      </c>
      <c r="D905" s="3">
        <v>45839</v>
      </c>
      <c r="E905" s="5">
        <v>112</v>
      </c>
      <c r="F905" s="4">
        <v>4065.09</v>
      </c>
      <c r="G905" s="4">
        <v>1995.82</v>
      </c>
      <c r="H905" s="4">
        <v>2069.27</v>
      </c>
      <c r="I905" s="6">
        <v>3.43</v>
      </c>
      <c r="J905" s="5">
        <v>27</v>
      </c>
    </row>
    <row r="906" spans="1:10">
      <c r="A906" t="s">
        <v>31</v>
      </c>
      <c r="B906" t="s">
        <v>29</v>
      </c>
      <c r="C906" t="s">
        <v>16</v>
      </c>
      <c r="D906" s="3">
        <v>45839</v>
      </c>
      <c r="E906" s="5">
        <v>184</v>
      </c>
      <c r="F906" s="4">
        <v>3400.54</v>
      </c>
      <c r="G906" s="4">
        <v>3189.67</v>
      </c>
      <c r="H906" s="4">
        <v>210.87</v>
      </c>
      <c r="I906" s="6">
        <v>3.47</v>
      </c>
      <c r="J906" s="5">
        <v>27</v>
      </c>
    </row>
    <row r="907" spans="1:10">
      <c r="A907" t="s">
        <v>31</v>
      </c>
      <c r="B907" t="s">
        <v>29</v>
      </c>
      <c r="C907" t="s">
        <v>17</v>
      </c>
      <c r="D907" s="3">
        <v>45839</v>
      </c>
      <c r="E907" s="5">
        <v>106</v>
      </c>
      <c r="F907" s="4">
        <v>6592.31</v>
      </c>
      <c r="G907" s="4">
        <v>4354.74</v>
      </c>
      <c r="H907" s="4">
        <v>2237.5700000000002</v>
      </c>
      <c r="I907" s="6">
        <v>3.49</v>
      </c>
      <c r="J907" s="5">
        <v>27</v>
      </c>
    </row>
    <row r="908" spans="1:10">
      <c r="A908" t="s">
        <v>31</v>
      </c>
      <c r="B908" t="s">
        <v>29</v>
      </c>
      <c r="C908" t="s">
        <v>12</v>
      </c>
      <c r="D908" s="3">
        <v>45870</v>
      </c>
      <c r="E908" s="5">
        <v>106</v>
      </c>
      <c r="F908" s="4">
        <v>15128.49</v>
      </c>
      <c r="G908" s="4">
        <v>11930.22</v>
      </c>
      <c r="H908" s="4">
        <v>3198.27</v>
      </c>
      <c r="I908" s="6">
        <v>3.39</v>
      </c>
      <c r="J908" s="5">
        <v>27</v>
      </c>
    </row>
    <row r="909" spans="1:10">
      <c r="A909" t="s">
        <v>31</v>
      </c>
      <c r="B909" t="s">
        <v>29</v>
      </c>
      <c r="C909" t="s">
        <v>13</v>
      </c>
      <c r="D909" s="3">
        <v>45870</v>
      </c>
      <c r="E909" s="5">
        <v>100</v>
      </c>
      <c r="F909" s="4">
        <v>7405.93</v>
      </c>
      <c r="G909" s="4">
        <v>4966.45</v>
      </c>
      <c r="H909" s="4">
        <v>2439.48</v>
      </c>
      <c r="I909" s="6">
        <v>3.65</v>
      </c>
      <c r="J909" s="5">
        <v>27</v>
      </c>
    </row>
    <row r="910" spans="1:10">
      <c r="A910" t="s">
        <v>31</v>
      </c>
      <c r="B910" t="s">
        <v>29</v>
      </c>
      <c r="C910" t="s">
        <v>14</v>
      </c>
      <c r="D910" s="3">
        <v>45870</v>
      </c>
      <c r="E910" s="5">
        <v>132</v>
      </c>
      <c r="F910" s="4">
        <v>6074.97</v>
      </c>
      <c r="G910" s="4">
        <v>3831.45</v>
      </c>
      <c r="H910" s="4">
        <v>2243.52</v>
      </c>
      <c r="I910" s="6">
        <v>3.7</v>
      </c>
      <c r="J910" s="5">
        <v>27</v>
      </c>
    </row>
    <row r="911" spans="1:10">
      <c r="A911" t="s">
        <v>31</v>
      </c>
      <c r="B911" t="s">
        <v>29</v>
      </c>
      <c r="C911" t="s">
        <v>15</v>
      </c>
      <c r="D911" s="3">
        <v>45870</v>
      </c>
      <c r="E911" s="5">
        <v>115</v>
      </c>
      <c r="F911" s="4">
        <v>4159.87</v>
      </c>
      <c r="G911" s="4">
        <v>2070.5500000000002</v>
      </c>
      <c r="H911" s="4">
        <v>2089.31</v>
      </c>
      <c r="I911" s="6">
        <v>3.49</v>
      </c>
      <c r="J911" s="5">
        <v>27</v>
      </c>
    </row>
    <row r="912" spans="1:10">
      <c r="A912" t="s">
        <v>31</v>
      </c>
      <c r="B912" t="s">
        <v>29</v>
      </c>
      <c r="C912" t="s">
        <v>16</v>
      </c>
      <c r="D912" s="3">
        <v>45870</v>
      </c>
      <c r="E912" s="5">
        <v>171</v>
      </c>
      <c r="F912" s="4">
        <v>3154.73</v>
      </c>
      <c r="G912" s="4">
        <v>2968.31</v>
      </c>
      <c r="H912" s="4">
        <v>186.42</v>
      </c>
      <c r="I912" s="6">
        <v>3.66</v>
      </c>
      <c r="J912" s="5">
        <v>27</v>
      </c>
    </row>
    <row r="913" spans="1:10">
      <c r="A913" t="s">
        <v>31</v>
      </c>
      <c r="B913" t="s">
        <v>29</v>
      </c>
      <c r="C913" t="s">
        <v>17</v>
      </c>
      <c r="D913" s="3">
        <v>45870</v>
      </c>
      <c r="E913" s="5">
        <v>102</v>
      </c>
      <c r="F913" s="4">
        <v>6068.51</v>
      </c>
      <c r="G913" s="4">
        <v>4026.66</v>
      </c>
      <c r="H913" s="4">
        <v>2041.85</v>
      </c>
      <c r="I913" s="6">
        <v>3.48</v>
      </c>
      <c r="J913" s="5">
        <v>27</v>
      </c>
    </row>
    <row r="914" spans="1:10">
      <c r="A914" t="s">
        <v>31</v>
      </c>
      <c r="B914" t="s">
        <v>29</v>
      </c>
      <c r="C914" t="s">
        <v>12</v>
      </c>
      <c r="D914" s="3">
        <v>45901</v>
      </c>
      <c r="E914" s="5">
        <v>106</v>
      </c>
      <c r="F914" s="4">
        <v>16275.94</v>
      </c>
      <c r="G914" s="4">
        <v>13090.78</v>
      </c>
      <c r="H914" s="4">
        <v>3185.16</v>
      </c>
      <c r="I914" s="6">
        <v>3.68</v>
      </c>
      <c r="J914" s="5">
        <v>25</v>
      </c>
    </row>
    <row r="915" spans="1:10">
      <c r="A915" t="s">
        <v>31</v>
      </c>
      <c r="B915" t="s">
        <v>29</v>
      </c>
      <c r="C915" t="s">
        <v>13</v>
      </c>
      <c r="D915" s="3">
        <v>45901</v>
      </c>
      <c r="E915" s="5">
        <v>82</v>
      </c>
      <c r="F915" s="4">
        <v>6363.16</v>
      </c>
      <c r="G915" s="4">
        <v>4448.5600000000004</v>
      </c>
      <c r="H915" s="4">
        <v>1914.59</v>
      </c>
      <c r="I915" s="6">
        <v>3.46</v>
      </c>
      <c r="J915" s="5">
        <v>25</v>
      </c>
    </row>
    <row r="916" spans="1:10">
      <c r="A916" t="s">
        <v>31</v>
      </c>
      <c r="B916" t="s">
        <v>29</v>
      </c>
      <c r="C916" t="s">
        <v>14</v>
      </c>
      <c r="D916" s="3">
        <v>45901</v>
      </c>
      <c r="E916" s="5">
        <v>132</v>
      </c>
      <c r="F916" s="4">
        <v>6748.84</v>
      </c>
      <c r="G916" s="4">
        <v>4248.3599999999997</v>
      </c>
      <c r="H916" s="4">
        <v>2500.48</v>
      </c>
      <c r="I916" s="6">
        <v>3.62</v>
      </c>
      <c r="J916" s="5">
        <v>25</v>
      </c>
    </row>
    <row r="917" spans="1:10">
      <c r="A917" t="s">
        <v>31</v>
      </c>
      <c r="B917" t="s">
        <v>29</v>
      </c>
      <c r="C917" t="s">
        <v>15</v>
      </c>
      <c r="D917" s="3">
        <v>45901</v>
      </c>
      <c r="E917" s="5">
        <v>105</v>
      </c>
      <c r="F917" s="4">
        <v>3631.86</v>
      </c>
      <c r="G917" s="4">
        <v>1833.08</v>
      </c>
      <c r="H917" s="4">
        <v>1798.77</v>
      </c>
      <c r="I917" s="6">
        <v>3.71</v>
      </c>
      <c r="J917" s="5">
        <v>25</v>
      </c>
    </row>
    <row r="918" spans="1:10">
      <c r="A918" t="s">
        <v>31</v>
      </c>
      <c r="B918" t="s">
        <v>29</v>
      </c>
      <c r="C918" t="s">
        <v>16</v>
      </c>
      <c r="D918" s="3">
        <v>45901</v>
      </c>
      <c r="E918" s="5">
        <v>149</v>
      </c>
      <c r="F918" s="4">
        <v>2571.35</v>
      </c>
      <c r="G918" s="4">
        <v>2386.37</v>
      </c>
      <c r="H918" s="4">
        <v>184.98</v>
      </c>
      <c r="I918" s="6">
        <v>3.39</v>
      </c>
      <c r="J918" s="5">
        <v>25</v>
      </c>
    </row>
    <row r="919" spans="1:10">
      <c r="A919" t="s">
        <v>31</v>
      </c>
      <c r="B919" t="s">
        <v>29</v>
      </c>
      <c r="C919" t="s">
        <v>17</v>
      </c>
      <c r="D919" s="3">
        <v>45901</v>
      </c>
      <c r="E919" s="5">
        <v>71</v>
      </c>
      <c r="F919" s="4">
        <v>4362.12</v>
      </c>
      <c r="G919" s="4">
        <v>2828.33</v>
      </c>
      <c r="H919" s="4">
        <v>1533.79</v>
      </c>
      <c r="I919" s="6">
        <v>3.47</v>
      </c>
      <c r="J919" s="5">
        <v>25</v>
      </c>
    </row>
    <row r="920" spans="1:10">
      <c r="A920" t="s">
        <v>31</v>
      </c>
      <c r="B920" t="s">
        <v>29</v>
      </c>
      <c r="C920" t="s">
        <v>12</v>
      </c>
      <c r="D920" s="3">
        <v>45931</v>
      </c>
      <c r="E920" s="5">
        <v>115</v>
      </c>
      <c r="F920" s="4">
        <v>16046.2</v>
      </c>
      <c r="G920" s="4">
        <v>12952.51</v>
      </c>
      <c r="H920" s="4">
        <v>3093.69</v>
      </c>
      <c r="I920" s="6">
        <v>3.59</v>
      </c>
      <c r="J920" s="5">
        <v>26</v>
      </c>
    </row>
    <row r="921" spans="1:10">
      <c r="A921" t="s">
        <v>31</v>
      </c>
      <c r="B921" t="s">
        <v>29</v>
      </c>
      <c r="C921" t="s">
        <v>13</v>
      </c>
      <c r="D921" s="3">
        <v>45931</v>
      </c>
      <c r="E921" s="5">
        <v>100</v>
      </c>
      <c r="F921" s="4">
        <v>8072.02</v>
      </c>
      <c r="G921" s="4">
        <v>5483.06</v>
      </c>
      <c r="H921" s="4">
        <v>2588.96</v>
      </c>
      <c r="I921" s="6">
        <v>3.65</v>
      </c>
      <c r="J921" s="5">
        <v>26</v>
      </c>
    </row>
    <row r="922" spans="1:10">
      <c r="A922" t="s">
        <v>31</v>
      </c>
      <c r="B922" t="s">
        <v>29</v>
      </c>
      <c r="C922" t="s">
        <v>14</v>
      </c>
      <c r="D922" s="3">
        <v>45931</v>
      </c>
      <c r="E922" s="5">
        <v>135</v>
      </c>
      <c r="F922" s="4">
        <v>6782.01</v>
      </c>
      <c r="G922" s="4">
        <v>4230.59</v>
      </c>
      <c r="H922" s="4">
        <v>2551.42</v>
      </c>
      <c r="I922" s="6">
        <v>3.48</v>
      </c>
      <c r="J922" s="5">
        <v>26</v>
      </c>
    </row>
    <row r="923" spans="1:10">
      <c r="A923" t="s">
        <v>31</v>
      </c>
      <c r="B923" t="s">
        <v>29</v>
      </c>
      <c r="C923" t="s">
        <v>15</v>
      </c>
      <c r="D923" s="3">
        <v>45931</v>
      </c>
      <c r="E923" s="5">
        <v>109</v>
      </c>
      <c r="F923" s="4">
        <v>3817.12</v>
      </c>
      <c r="G923" s="4">
        <v>1981.85</v>
      </c>
      <c r="H923" s="4">
        <v>1835.27</v>
      </c>
      <c r="I923" s="6">
        <v>3.57</v>
      </c>
      <c r="J923" s="5">
        <v>26</v>
      </c>
    </row>
    <row r="924" spans="1:10">
      <c r="A924" t="s">
        <v>31</v>
      </c>
      <c r="B924" t="s">
        <v>29</v>
      </c>
      <c r="C924" t="s">
        <v>16</v>
      </c>
      <c r="D924" s="3">
        <v>45931</v>
      </c>
      <c r="E924" s="5">
        <v>185</v>
      </c>
      <c r="F924" s="4">
        <v>3558.13</v>
      </c>
      <c r="G924" s="4">
        <v>3399.37</v>
      </c>
      <c r="H924" s="4">
        <v>158.76</v>
      </c>
      <c r="I924" s="6">
        <v>3.37</v>
      </c>
      <c r="J924" s="5">
        <v>26</v>
      </c>
    </row>
    <row r="925" spans="1:10">
      <c r="A925" t="s">
        <v>31</v>
      </c>
      <c r="B925" t="s">
        <v>29</v>
      </c>
      <c r="C925" t="s">
        <v>17</v>
      </c>
      <c r="D925" s="3">
        <v>45931</v>
      </c>
      <c r="E925" s="5">
        <v>76</v>
      </c>
      <c r="F925" s="4">
        <v>4857.1000000000004</v>
      </c>
      <c r="G925" s="4">
        <v>3195.75</v>
      </c>
      <c r="H925" s="4">
        <v>1661.35</v>
      </c>
      <c r="I925" s="6">
        <v>3.73</v>
      </c>
      <c r="J925" s="5">
        <v>26</v>
      </c>
    </row>
    <row r="926" spans="1:10">
      <c r="A926" t="s">
        <v>31</v>
      </c>
      <c r="B926" t="s">
        <v>29</v>
      </c>
      <c r="C926" t="s">
        <v>12</v>
      </c>
      <c r="D926" s="3">
        <v>45962</v>
      </c>
      <c r="E926" s="5">
        <v>192</v>
      </c>
      <c r="F926" s="4">
        <v>28291.26</v>
      </c>
      <c r="G926" s="4">
        <v>22467.48</v>
      </c>
      <c r="H926" s="4">
        <v>5823.78</v>
      </c>
      <c r="I926" s="6">
        <v>3.62</v>
      </c>
      <c r="J926" s="5">
        <v>28</v>
      </c>
    </row>
    <row r="927" spans="1:10">
      <c r="A927" t="s">
        <v>31</v>
      </c>
      <c r="B927" t="s">
        <v>29</v>
      </c>
      <c r="C927" t="s">
        <v>13</v>
      </c>
      <c r="D927" s="3">
        <v>45962</v>
      </c>
      <c r="E927" s="5">
        <v>118</v>
      </c>
      <c r="F927" s="4">
        <v>8888.56</v>
      </c>
      <c r="G927" s="4">
        <v>6279.23</v>
      </c>
      <c r="H927" s="4">
        <v>2609.3200000000002</v>
      </c>
      <c r="I927" s="6">
        <v>3.69</v>
      </c>
      <c r="J927" s="5">
        <v>28</v>
      </c>
    </row>
    <row r="928" spans="1:10">
      <c r="A928" t="s">
        <v>31</v>
      </c>
      <c r="B928" t="s">
        <v>29</v>
      </c>
      <c r="C928" t="s">
        <v>14</v>
      </c>
      <c r="D928" s="3">
        <v>45962</v>
      </c>
      <c r="E928" s="5">
        <v>172</v>
      </c>
      <c r="F928" s="4">
        <v>8809.27</v>
      </c>
      <c r="G928" s="4">
        <v>5643.47</v>
      </c>
      <c r="H928" s="4">
        <v>3165.8</v>
      </c>
      <c r="I928" s="6">
        <v>3.51</v>
      </c>
      <c r="J928" s="5">
        <v>28</v>
      </c>
    </row>
    <row r="929" spans="1:10">
      <c r="A929" t="s">
        <v>31</v>
      </c>
      <c r="B929" t="s">
        <v>29</v>
      </c>
      <c r="C929" t="s">
        <v>15</v>
      </c>
      <c r="D929" s="3">
        <v>45962</v>
      </c>
      <c r="E929" s="5">
        <v>130</v>
      </c>
      <c r="F929" s="4">
        <v>4967.7299999999996</v>
      </c>
      <c r="G929" s="4">
        <v>2581.1799999999998</v>
      </c>
      <c r="H929" s="4">
        <v>2386.5500000000002</v>
      </c>
      <c r="I929" s="6">
        <v>3.56</v>
      </c>
      <c r="J929" s="5">
        <v>28</v>
      </c>
    </row>
    <row r="930" spans="1:10">
      <c r="A930" t="s">
        <v>31</v>
      </c>
      <c r="B930" t="s">
        <v>29</v>
      </c>
      <c r="C930" t="s">
        <v>16</v>
      </c>
      <c r="D930" s="3">
        <v>45962</v>
      </c>
      <c r="E930" s="5">
        <v>209</v>
      </c>
      <c r="F930" s="4">
        <v>3609.47</v>
      </c>
      <c r="G930" s="4">
        <v>3324.83</v>
      </c>
      <c r="H930" s="4">
        <v>284.64</v>
      </c>
      <c r="I930" s="6">
        <v>3.38</v>
      </c>
      <c r="J930" s="5">
        <v>28</v>
      </c>
    </row>
    <row r="931" spans="1:10">
      <c r="A931" t="s">
        <v>31</v>
      </c>
      <c r="B931" t="s">
        <v>29</v>
      </c>
      <c r="C931" t="s">
        <v>17</v>
      </c>
      <c r="D931" s="3">
        <v>45962</v>
      </c>
      <c r="E931" s="5">
        <v>93</v>
      </c>
      <c r="F931" s="4">
        <v>5939.48</v>
      </c>
      <c r="G931" s="4">
        <v>3968.94</v>
      </c>
      <c r="H931" s="4">
        <v>1970.54</v>
      </c>
      <c r="I931" s="6">
        <v>3.45</v>
      </c>
      <c r="J931" s="5">
        <v>28</v>
      </c>
    </row>
    <row r="932" spans="1:10">
      <c r="A932" t="s">
        <v>31</v>
      </c>
      <c r="B932" t="s">
        <v>29</v>
      </c>
      <c r="C932" t="s">
        <v>12</v>
      </c>
      <c r="D932" s="3">
        <v>45992</v>
      </c>
      <c r="E932" s="5">
        <v>185</v>
      </c>
      <c r="F932" s="4">
        <v>27698.3</v>
      </c>
      <c r="G932" s="4">
        <v>23037.15</v>
      </c>
      <c r="H932" s="4">
        <v>4661.1499999999996</v>
      </c>
      <c r="I932" s="6">
        <v>3.5</v>
      </c>
      <c r="J932" s="5">
        <v>28</v>
      </c>
    </row>
    <row r="933" spans="1:10">
      <c r="A933" t="s">
        <v>31</v>
      </c>
      <c r="B933" t="s">
        <v>29</v>
      </c>
      <c r="C933" t="s">
        <v>13</v>
      </c>
      <c r="D933" s="3">
        <v>45992</v>
      </c>
      <c r="E933" s="5">
        <v>128</v>
      </c>
      <c r="F933" s="4">
        <v>9298.68</v>
      </c>
      <c r="G933" s="4">
        <v>6821.82</v>
      </c>
      <c r="H933" s="4">
        <v>2476.86</v>
      </c>
      <c r="I933" s="6">
        <v>3.56</v>
      </c>
      <c r="J933" s="5">
        <v>28</v>
      </c>
    </row>
    <row r="934" spans="1:10">
      <c r="A934" t="s">
        <v>31</v>
      </c>
      <c r="B934" t="s">
        <v>29</v>
      </c>
      <c r="C934" t="s">
        <v>14</v>
      </c>
      <c r="D934" s="3">
        <v>45992</v>
      </c>
      <c r="E934" s="5">
        <v>189</v>
      </c>
      <c r="F934" s="4">
        <v>9049.5499999999993</v>
      </c>
      <c r="G934" s="4">
        <v>5934.31</v>
      </c>
      <c r="H934" s="4">
        <v>3115.25</v>
      </c>
      <c r="I934" s="6">
        <v>3.43</v>
      </c>
      <c r="J934" s="5">
        <v>28</v>
      </c>
    </row>
    <row r="935" spans="1:10">
      <c r="A935" t="s">
        <v>31</v>
      </c>
      <c r="B935" t="s">
        <v>29</v>
      </c>
      <c r="C935" t="s">
        <v>15</v>
      </c>
      <c r="D935" s="3">
        <v>45992</v>
      </c>
      <c r="E935" s="5">
        <v>138</v>
      </c>
      <c r="F935" s="4">
        <v>5081.91</v>
      </c>
      <c r="G935" s="4">
        <v>2713.91</v>
      </c>
      <c r="H935" s="4">
        <v>2368</v>
      </c>
      <c r="I935" s="6">
        <v>3.57</v>
      </c>
      <c r="J935" s="5">
        <v>28</v>
      </c>
    </row>
    <row r="936" spans="1:10">
      <c r="A936" t="s">
        <v>31</v>
      </c>
      <c r="B936" t="s">
        <v>29</v>
      </c>
      <c r="C936" t="s">
        <v>16</v>
      </c>
      <c r="D936" s="3">
        <v>45992</v>
      </c>
      <c r="E936" s="5">
        <v>260</v>
      </c>
      <c r="F936" s="4">
        <v>4508.1899999999996</v>
      </c>
      <c r="G936" s="4">
        <v>4437.5600000000004</v>
      </c>
      <c r="H936" s="4">
        <v>70.63</v>
      </c>
      <c r="I936" s="6">
        <v>3.54</v>
      </c>
      <c r="J936" s="5">
        <v>28</v>
      </c>
    </row>
    <row r="937" spans="1:10">
      <c r="A937" t="s">
        <v>31</v>
      </c>
      <c r="B937" t="s">
        <v>29</v>
      </c>
      <c r="C937" t="s">
        <v>17</v>
      </c>
      <c r="D937" s="3">
        <v>45992</v>
      </c>
      <c r="E937" s="5">
        <v>107</v>
      </c>
      <c r="F937" s="4">
        <v>6612.53</v>
      </c>
      <c r="G937" s="4">
        <v>4799.8900000000003</v>
      </c>
      <c r="H937" s="4">
        <v>1812.65</v>
      </c>
      <c r="I937" s="6">
        <v>3.61</v>
      </c>
      <c r="J937" s="5">
        <v>28</v>
      </c>
    </row>
    <row r="938" spans="1:10">
      <c r="A938" t="s">
        <v>32</v>
      </c>
      <c r="B938" t="s">
        <v>29</v>
      </c>
      <c r="C938" t="s">
        <v>12</v>
      </c>
      <c r="D938" s="3">
        <v>45658</v>
      </c>
      <c r="E938" s="5">
        <v>95</v>
      </c>
      <c r="F938" s="4">
        <v>14118.19</v>
      </c>
      <c r="G938" s="4">
        <v>10570.48</v>
      </c>
      <c r="H938" s="4">
        <v>3547.71</v>
      </c>
      <c r="I938" s="6">
        <v>3.88</v>
      </c>
      <c r="J938" s="5">
        <v>23</v>
      </c>
    </row>
    <row r="939" spans="1:10">
      <c r="A939" t="s">
        <v>32</v>
      </c>
      <c r="B939" t="s">
        <v>29</v>
      </c>
      <c r="C939" t="s">
        <v>13</v>
      </c>
      <c r="D939" s="3">
        <v>45658</v>
      </c>
      <c r="E939" s="5">
        <v>80</v>
      </c>
      <c r="F939" s="4">
        <v>5901.92</v>
      </c>
      <c r="G939" s="4">
        <v>3757.01</v>
      </c>
      <c r="H939" s="4">
        <v>2144.92</v>
      </c>
      <c r="I939" s="6">
        <v>3.75</v>
      </c>
      <c r="J939" s="5">
        <v>23</v>
      </c>
    </row>
    <row r="940" spans="1:10">
      <c r="A940" t="s">
        <v>32</v>
      </c>
      <c r="B940" t="s">
        <v>29</v>
      </c>
      <c r="C940" t="s">
        <v>14</v>
      </c>
      <c r="D940" s="3">
        <v>45658</v>
      </c>
      <c r="E940" s="5">
        <v>89</v>
      </c>
      <c r="F940" s="4">
        <v>4388.41</v>
      </c>
      <c r="G940" s="4">
        <v>2546.9299999999998</v>
      </c>
      <c r="H940" s="4">
        <v>1841.48</v>
      </c>
      <c r="I940" s="6">
        <v>3.76</v>
      </c>
      <c r="J940" s="5">
        <v>23</v>
      </c>
    </row>
    <row r="941" spans="1:10">
      <c r="A941" t="s">
        <v>32</v>
      </c>
      <c r="B941" t="s">
        <v>29</v>
      </c>
      <c r="C941" t="s">
        <v>15</v>
      </c>
      <c r="D941" s="3">
        <v>45658</v>
      </c>
      <c r="E941" s="5">
        <v>79</v>
      </c>
      <c r="F941" s="4">
        <v>2946.33</v>
      </c>
      <c r="G941" s="4">
        <v>1389.66</v>
      </c>
      <c r="H941" s="4">
        <v>1556.68</v>
      </c>
      <c r="I941" s="6">
        <v>3.92</v>
      </c>
      <c r="J941" s="5">
        <v>23</v>
      </c>
    </row>
    <row r="942" spans="1:10">
      <c r="A942" t="s">
        <v>32</v>
      </c>
      <c r="B942" t="s">
        <v>29</v>
      </c>
      <c r="C942" t="s">
        <v>16</v>
      </c>
      <c r="D942" s="3">
        <v>45658</v>
      </c>
      <c r="E942" s="5">
        <v>153</v>
      </c>
      <c r="F942" s="4">
        <v>2639.74</v>
      </c>
      <c r="G942" s="4">
        <v>2255.59</v>
      </c>
      <c r="H942" s="4">
        <v>384.15</v>
      </c>
      <c r="I942" s="6">
        <v>3.86</v>
      </c>
      <c r="J942" s="5">
        <v>23</v>
      </c>
    </row>
    <row r="943" spans="1:10">
      <c r="A943" t="s">
        <v>32</v>
      </c>
      <c r="B943" t="s">
        <v>29</v>
      </c>
      <c r="C943" t="s">
        <v>17</v>
      </c>
      <c r="D943" s="3">
        <v>45658</v>
      </c>
      <c r="E943" s="5">
        <v>66</v>
      </c>
      <c r="F943" s="4">
        <v>4367.42</v>
      </c>
      <c r="G943" s="4">
        <v>2737.76</v>
      </c>
      <c r="H943" s="4">
        <v>1629.67</v>
      </c>
      <c r="I943" s="6">
        <v>4</v>
      </c>
      <c r="J943" s="5">
        <v>23</v>
      </c>
    </row>
    <row r="944" spans="1:10">
      <c r="A944" t="s">
        <v>32</v>
      </c>
      <c r="B944" t="s">
        <v>29</v>
      </c>
      <c r="C944" t="s">
        <v>12</v>
      </c>
      <c r="D944" s="3">
        <v>45689</v>
      </c>
      <c r="E944" s="5">
        <v>97</v>
      </c>
      <c r="F944" s="4">
        <v>14402.19</v>
      </c>
      <c r="G944" s="4">
        <v>11134.84</v>
      </c>
      <c r="H944" s="4">
        <v>3267.36</v>
      </c>
      <c r="I944" s="6">
        <v>3.89</v>
      </c>
      <c r="J944" s="5">
        <v>22</v>
      </c>
    </row>
    <row r="945" spans="1:10">
      <c r="A945" t="s">
        <v>32</v>
      </c>
      <c r="B945" t="s">
        <v>29</v>
      </c>
      <c r="C945" t="s">
        <v>13</v>
      </c>
      <c r="D945" s="3">
        <v>45689</v>
      </c>
      <c r="E945" s="5">
        <v>95</v>
      </c>
      <c r="F945" s="4">
        <v>7547.31</v>
      </c>
      <c r="G945" s="4">
        <v>4756.5600000000004</v>
      </c>
      <c r="H945" s="4">
        <v>2790.75</v>
      </c>
      <c r="I945" s="6">
        <v>3.94</v>
      </c>
      <c r="J945" s="5">
        <v>22</v>
      </c>
    </row>
    <row r="946" spans="1:10">
      <c r="A946" t="s">
        <v>32</v>
      </c>
      <c r="B946" t="s">
        <v>29</v>
      </c>
      <c r="C946" t="s">
        <v>14</v>
      </c>
      <c r="D946" s="3">
        <v>45689</v>
      </c>
      <c r="E946" s="5">
        <v>111</v>
      </c>
      <c r="F946" s="4">
        <v>5009.22</v>
      </c>
      <c r="G946" s="4">
        <v>3012.5</v>
      </c>
      <c r="H946" s="4">
        <v>1996.72</v>
      </c>
      <c r="I946" s="6">
        <v>3.95</v>
      </c>
      <c r="J946" s="5">
        <v>22</v>
      </c>
    </row>
    <row r="947" spans="1:10">
      <c r="A947" t="s">
        <v>32</v>
      </c>
      <c r="B947" t="s">
        <v>29</v>
      </c>
      <c r="C947" t="s">
        <v>15</v>
      </c>
      <c r="D947" s="3">
        <v>45689</v>
      </c>
      <c r="E947" s="5">
        <v>80</v>
      </c>
      <c r="F947" s="4">
        <v>2881.18</v>
      </c>
      <c r="G947" s="4">
        <v>1336.24</v>
      </c>
      <c r="H947" s="4">
        <v>1544.94</v>
      </c>
      <c r="I947" s="6">
        <v>4.0199999999999996</v>
      </c>
      <c r="J947" s="5">
        <v>22</v>
      </c>
    </row>
    <row r="948" spans="1:10">
      <c r="A948" t="s">
        <v>32</v>
      </c>
      <c r="B948" t="s">
        <v>29</v>
      </c>
      <c r="C948" t="s">
        <v>16</v>
      </c>
      <c r="D948" s="3">
        <v>45689</v>
      </c>
      <c r="E948" s="5">
        <v>136</v>
      </c>
      <c r="F948" s="4">
        <v>2622.74</v>
      </c>
      <c r="G948" s="4">
        <v>2321.25</v>
      </c>
      <c r="H948" s="4">
        <v>301.48</v>
      </c>
      <c r="I948" s="6">
        <v>3.95</v>
      </c>
      <c r="J948" s="5">
        <v>22</v>
      </c>
    </row>
    <row r="949" spans="1:10">
      <c r="A949" t="s">
        <v>32</v>
      </c>
      <c r="B949" t="s">
        <v>29</v>
      </c>
      <c r="C949" t="s">
        <v>17</v>
      </c>
      <c r="D949" s="3">
        <v>45689</v>
      </c>
      <c r="E949" s="5">
        <v>58</v>
      </c>
      <c r="F949" s="4">
        <v>3556.7</v>
      </c>
      <c r="G949" s="4">
        <v>2267.19</v>
      </c>
      <c r="H949" s="4">
        <v>1289.51</v>
      </c>
      <c r="I949" s="6">
        <v>4.03</v>
      </c>
      <c r="J949" s="5">
        <v>22</v>
      </c>
    </row>
    <row r="950" spans="1:10">
      <c r="A950" t="s">
        <v>32</v>
      </c>
      <c r="B950" t="s">
        <v>29</v>
      </c>
      <c r="C950" t="s">
        <v>12</v>
      </c>
      <c r="D950" s="3">
        <v>45717</v>
      </c>
      <c r="E950" s="5">
        <v>93</v>
      </c>
      <c r="F950" s="4">
        <v>14121.76</v>
      </c>
      <c r="G950" s="4">
        <v>11025.56</v>
      </c>
      <c r="H950" s="4">
        <v>3096.21</v>
      </c>
      <c r="I950" s="6">
        <v>3.73</v>
      </c>
      <c r="J950" s="5">
        <v>22</v>
      </c>
    </row>
    <row r="951" spans="1:10">
      <c r="A951" t="s">
        <v>32</v>
      </c>
      <c r="B951" t="s">
        <v>29</v>
      </c>
      <c r="C951" t="s">
        <v>13</v>
      </c>
      <c r="D951" s="3">
        <v>45717</v>
      </c>
      <c r="E951" s="5">
        <v>93</v>
      </c>
      <c r="F951" s="4">
        <v>7235.94</v>
      </c>
      <c r="G951" s="4">
        <v>4730.21</v>
      </c>
      <c r="H951" s="4">
        <v>2505.73</v>
      </c>
      <c r="I951" s="6">
        <v>3.79</v>
      </c>
      <c r="J951" s="5">
        <v>22</v>
      </c>
    </row>
    <row r="952" spans="1:10">
      <c r="A952" t="s">
        <v>32</v>
      </c>
      <c r="B952" t="s">
        <v>29</v>
      </c>
      <c r="C952" t="s">
        <v>14</v>
      </c>
      <c r="D952" s="3">
        <v>45717</v>
      </c>
      <c r="E952" s="5">
        <v>154</v>
      </c>
      <c r="F952" s="4">
        <v>6955.84</v>
      </c>
      <c r="G952" s="4">
        <v>4123.43</v>
      </c>
      <c r="H952" s="4">
        <v>2832.41</v>
      </c>
      <c r="I952" s="6">
        <v>3.89</v>
      </c>
      <c r="J952" s="5">
        <v>22</v>
      </c>
    </row>
    <row r="953" spans="1:10">
      <c r="A953" t="s">
        <v>32</v>
      </c>
      <c r="B953" t="s">
        <v>29</v>
      </c>
      <c r="C953" t="s">
        <v>15</v>
      </c>
      <c r="D953" s="3">
        <v>45717</v>
      </c>
      <c r="E953" s="5">
        <v>95</v>
      </c>
      <c r="F953" s="4">
        <v>3394.36</v>
      </c>
      <c r="G953" s="4">
        <v>1573.82</v>
      </c>
      <c r="H953" s="4">
        <v>1820.54</v>
      </c>
      <c r="I953" s="6">
        <v>3.99</v>
      </c>
      <c r="J953" s="5">
        <v>22</v>
      </c>
    </row>
    <row r="954" spans="1:10">
      <c r="A954" t="s">
        <v>32</v>
      </c>
      <c r="B954" t="s">
        <v>29</v>
      </c>
      <c r="C954" t="s">
        <v>16</v>
      </c>
      <c r="D954" s="3">
        <v>45717</v>
      </c>
      <c r="E954" s="5">
        <v>151</v>
      </c>
      <c r="F954" s="4">
        <v>2717.05</v>
      </c>
      <c r="G954" s="4">
        <v>2436.02</v>
      </c>
      <c r="H954" s="4">
        <v>281.02999999999997</v>
      </c>
      <c r="I954" s="6">
        <v>3.77</v>
      </c>
      <c r="J954" s="5">
        <v>22</v>
      </c>
    </row>
    <row r="955" spans="1:10">
      <c r="A955" t="s">
        <v>32</v>
      </c>
      <c r="B955" t="s">
        <v>29</v>
      </c>
      <c r="C955" t="s">
        <v>17</v>
      </c>
      <c r="D955" s="3">
        <v>45717</v>
      </c>
      <c r="E955" s="5">
        <v>72</v>
      </c>
      <c r="F955" s="4">
        <v>4531.2</v>
      </c>
      <c r="G955" s="4">
        <v>2874.83</v>
      </c>
      <c r="H955" s="4">
        <v>1656.37</v>
      </c>
      <c r="I955" s="6">
        <v>3.92</v>
      </c>
      <c r="J955" s="5">
        <v>22</v>
      </c>
    </row>
    <row r="956" spans="1:10">
      <c r="A956" t="s">
        <v>32</v>
      </c>
      <c r="B956" t="s">
        <v>29</v>
      </c>
      <c r="C956" t="s">
        <v>12</v>
      </c>
      <c r="D956" s="3">
        <v>45748</v>
      </c>
      <c r="E956" s="5">
        <v>108</v>
      </c>
      <c r="F956" s="4">
        <v>16438.78</v>
      </c>
      <c r="G956" s="4">
        <v>12611.7</v>
      </c>
      <c r="H956" s="4">
        <v>3827.08</v>
      </c>
      <c r="I956" s="6">
        <v>3.84</v>
      </c>
      <c r="J956" s="5">
        <v>24</v>
      </c>
    </row>
    <row r="957" spans="1:10">
      <c r="A957" t="s">
        <v>32</v>
      </c>
      <c r="B957" t="s">
        <v>29</v>
      </c>
      <c r="C957" t="s">
        <v>13</v>
      </c>
      <c r="D957" s="3">
        <v>45748</v>
      </c>
      <c r="E957" s="5">
        <v>89</v>
      </c>
      <c r="F957" s="4">
        <v>6883.64</v>
      </c>
      <c r="G957" s="4">
        <v>4462.5200000000004</v>
      </c>
      <c r="H957" s="4">
        <v>2421.12</v>
      </c>
      <c r="I957" s="6">
        <v>3.81</v>
      </c>
      <c r="J957" s="5">
        <v>24</v>
      </c>
    </row>
    <row r="958" spans="1:10">
      <c r="A958" t="s">
        <v>32</v>
      </c>
      <c r="B958" t="s">
        <v>29</v>
      </c>
      <c r="C958" t="s">
        <v>14</v>
      </c>
      <c r="D958" s="3">
        <v>45748</v>
      </c>
      <c r="E958" s="5">
        <v>134</v>
      </c>
      <c r="F958" s="4">
        <v>6708.64</v>
      </c>
      <c r="G958" s="4">
        <v>4097.22</v>
      </c>
      <c r="H958" s="4">
        <v>2611.42</v>
      </c>
      <c r="I958" s="6">
        <v>3.94</v>
      </c>
      <c r="J958" s="5">
        <v>24</v>
      </c>
    </row>
    <row r="959" spans="1:10">
      <c r="A959" t="s">
        <v>32</v>
      </c>
      <c r="B959" t="s">
        <v>29</v>
      </c>
      <c r="C959" t="s">
        <v>15</v>
      </c>
      <c r="D959" s="3">
        <v>45748</v>
      </c>
      <c r="E959" s="5">
        <v>114</v>
      </c>
      <c r="F959" s="4">
        <v>4287.42</v>
      </c>
      <c r="G959" s="4">
        <v>2042.82</v>
      </c>
      <c r="H959" s="4">
        <v>2244.6</v>
      </c>
      <c r="I959" s="6">
        <v>3.95</v>
      </c>
      <c r="J959" s="5">
        <v>24</v>
      </c>
    </row>
    <row r="960" spans="1:10">
      <c r="A960" t="s">
        <v>32</v>
      </c>
      <c r="B960" t="s">
        <v>29</v>
      </c>
      <c r="C960" t="s">
        <v>16</v>
      </c>
      <c r="D960" s="3">
        <v>45748</v>
      </c>
      <c r="E960" s="5">
        <v>175</v>
      </c>
      <c r="F960" s="4">
        <v>3137.65</v>
      </c>
      <c r="G960" s="4">
        <v>2790.29</v>
      </c>
      <c r="H960" s="4">
        <v>347.35</v>
      </c>
      <c r="I960" s="6">
        <v>3.87</v>
      </c>
      <c r="J960" s="5">
        <v>24</v>
      </c>
    </row>
    <row r="961" spans="1:10">
      <c r="A961" t="s">
        <v>32</v>
      </c>
      <c r="B961" t="s">
        <v>29</v>
      </c>
      <c r="C961" t="s">
        <v>17</v>
      </c>
      <c r="D961" s="3">
        <v>45748</v>
      </c>
      <c r="E961" s="5">
        <v>81</v>
      </c>
      <c r="F961" s="4">
        <v>5210.7700000000004</v>
      </c>
      <c r="G961" s="4">
        <v>3365.72</v>
      </c>
      <c r="H961" s="4">
        <v>1845.05</v>
      </c>
      <c r="I961" s="6">
        <v>3.76</v>
      </c>
      <c r="J961" s="5">
        <v>24</v>
      </c>
    </row>
    <row r="962" spans="1:10">
      <c r="A962" t="s">
        <v>32</v>
      </c>
      <c r="B962" t="s">
        <v>29</v>
      </c>
      <c r="C962" t="s">
        <v>12</v>
      </c>
      <c r="D962" s="3">
        <v>45778</v>
      </c>
      <c r="E962" s="5">
        <v>121</v>
      </c>
      <c r="F962" s="4">
        <v>17650.86</v>
      </c>
      <c r="G962" s="4">
        <v>13743.94</v>
      </c>
      <c r="H962" s="4">
        <v>3906.92</v>
      </c>
      <c r="I962" s="6">
        <v>3.73</v>
      </c>
      <c r="J962" s="5">
        <v>22</v>
      </c>
    </row>
    <row r="963" spans="1:10">
      <c r="A963" t="s">
        <v>32</v>
      </c>
      <c r="B963" t="s">
        <v>29</v>
      </c>
      <c r="C963" t="s">
        <v>13</v>
      </c>
      <c r="D963" s="3">
        <v>45778</v>
      </c>
      <c r="E963" s="5">
        <v>89</v>
      </c>
      <c r="F963" s="4">
        <v>6607.3</v>
      </c>
      <c r="G963" s="4">
        <v>4353.24</v>
      </c>
      <c r="H963" s="4">
        <v>2254.0500000000002</v>
      </c>
      <c r="I963" s="6">
        <v>3.92</v>
      </c>
      <c r="J963" s="5">
        <v>22</v>
      </c>
    </row>
    <row r="964" spans="1:10">
      <c r="A964" t="s">
        <v>32</v>
      </c>
      <c r="B964" t="s">
        <v>29</v>
      </c>
      <c r="C964" t="s">
        <v>14</v>
      </c>
      <c r="D964" s="3">
        <v>45778</v>
      </c>
      <c r="E964" s="5">
        <v>127</v>
      </c>
      <c r="F964" s="4">
        <v>6072.17</v>
      </c>
      <c r="G964" s="4">
        <v>3701.96</v>
      </c>
      <c r="H964" s="4">
        <v>2370.21</v>
      </c>
      <c r="I964" s="6">
        <v>3.8</v>
      </c>
      <c r="J964" s="5">
        <v>22</v>
      </c>
    </row>
    <row r="965" spans="1:10">
      <c r="A965" t="s">
        <v>32</v>
      </c>
      <c r="B965" t="s">
        <v>29</v>
      </c>
      <c r="C965" t="s">
        <v>15</v>
      </c>
      <c r="D965" s="3">
        <v>45778</v>
      </c>
      <c r="E965" s="5">
        <v>88</v>
      </c>
      <c r="F965" s="4">
        <v>3405.26</v>
      </c>
      <c r="G965" s="4">
        <v>1604.39</v>
      </c>
      <c r="H965" s="4">
        <v>1800.88</v>
      </c>
      <c r="I965" s="6">
        <v>3.98</v>
      </c>
      <c r="J965" s="5">
        <v>22</v>
      </c>
    </row>
    <row r="966" spans="1:10">
      <c r="A966" t="s">
        <v>32</v>
      </c>
      <c r="B966" t="s">
        <v>29</v>
      </c>
      <c r="C966" t="s">
        <v>16</v>
      </c>
      <c r="D966" s="3">
        <v>45778</v>
      </c>
      <c r="E966" s="5">
        <v>189</v>
      </c>
      <c r="F966" s="4">
        <v>3202.98</v>
      </c>
      <c r="G966" s="4">
        <v>2956.4</v>
      </c>
      <c r="H966" s="4">
        <v>246.58</v>
      </c>
      <c r="I966" s="6">
        <v>4.01</v>
      </c>
      <c r="J966" s="5">
        <v>22</v>
      </c>
    </row>
    <row r="967" spans="1:10">
      <c r="A967" t="s">
        <v>32</v>
      </c>
      <c r="B967" t="s">
        <v>29</v>
      </c>
      <c r="C967" t="s">
        <v>17</v>
      </c>
      <c r="D967" s="3">
        <v>45778</v>
      </c>
      <c r="E967" s="5">
        <v>114</v>
      </c>
      <c r="F967" s="4">
        <v>7156.64</v>
      </c>
      <c r="G967" s="4">
        <v>4524.47</v>
      </c>
      <c r="H967" s="4">
        <v>2632.18</v>
      </c>
      <c r="I967" s="6">
        <v>3.98</v>
      </c>
      <c r="J967" s="5">
        <v>22</v>
      </c>
    </row>
    <row r="968" spans="1:10">
      <c r="A968" t="s">
        <v>32</v>
      </c>
      <c r="B968" t="s">
        <v>29</v>
      </c>
      <c r="C968" t="s">
        <v>12</v>
      </c>
      <c r="D968" s="3">
        <v>45809</v>
      </c>
      <c r="E968" s="5">
        <v>109</v>
      </c>
      <c r="F968" s="4">
        <v>15652.7</v>
      </c>
      <c r="G968" s="4">
        <v>12322.66</v>
      </c>
      <c r="H968" s="4">
        <v>3330.03</v>
      </c>
      <c r="I968" s="6">
        <v>4.05</v>
      </c>
      <c r="J968" s="5">
        <v>24</v>
      </c>
    </row>
    <row r="969" spans="1:10">
      <c r="A969" t="s">
        <v>32</v>
      </c>
      <c r="B969" t="s">
        <v>29</v>
      </c>
      <c r="C969" t="s">
        <v>13</v>
      </c>
      <c r="D969" s="3">
        <v>45809</v>
      </c>
      <c r="E969" s="5">
        <v>100</v>
      </c>
      <c r="F969" s="4">
        <v>7236.4</v>
      </c>
      <c r="G969" s="4">
        <v>4783.21</v>
      </c>
      <c r="H969" s="4">
        <v>2453.19</v>
      </c>
      <c r="I969" s="6">
        <v>3.85</v>
      </c>
      <c r="J969" s="5">
        <v>24</v>
      </c>
    </row>
    <row r="970" spans="1:10">
      <c r="A970" t="s">
        <v>32</v>
      </c>
      <c r="B970" t="s">
        <v>29</v>
      </c>
      <c r="C970" t="s">
        <v>14</v>
      </c>
      <c r="D970" s="3">
        <v>45809</v>
      </c>
      <c r="E970" s="5">
        <v>132</v>
      </c>
      <c r="F970" s="4">
        <v>6133.52</v>
      </c>
      <c r="G970" s="4">
        <v>3632.66</v>
      </c>
      <c r="H970" s="4">
        <v>2500.87</v>
      </c>
      <c r="I970" s="6">
        <v>3.96</v>
      </c>
      <c r="J970" s="5">
        <v>24</v>
      </c>
    </row>
    <row r="971" spans="1:10">
      <c r="A971" t="s">
        <v>32</v>
      </c>
      <c r="B971" t="s">
        <v>29</v>
      </c>
      <c r="C971" t="s">
        <v>15</v>
      </c>
      <c r="D971" s="3">
        <v>45809</v>
      </c>
      <c r="E971" s="5">
        <v>106</v>
      </c>
      <c r="F971" s="4">
        <v>4078.1</v>
      </c>
      <c r="G971" s="4">
        <v>2004.22</v>
      </c>
      <c r="H971" s="4">
        <v>2073.89</v>
      </c>
      <c r="I971" s="6">
        <v>3.96</v>
      </c>
      <c r="J971" s="5">
        <v>24</v>
      </c>
    </row>
    <row r="972" spans="1:10">
      <c r="A972" t="s">
        <v>32</v>
      </c>
      <c r="B972" t="s">
        <v>29</v>
      </c>
      <c r="C972" t="s">
        <v>16</v>
      </c>
      <c r="D972" s="3">
        <v>45809</v>
      </c>
      <c r="E972" s="5">
        <v>170</v>
      </c>
      <c r="F972" s="4">
        <v>3025.26</v>
      </c>
      <c r="G972" s="4">
        <v>2805.1</v>
      </c>
      <c r="H972" s="4">
        <v>220.16</v>
      </c>
      <c r="I972" s="6">
        <v>3.75</v>
      </c>
      <c r="J972" s="5">
        <v>24</v>
      </c>
    </row>
    <row r="973" spans="1:10">
      <c r="A973" t="s">
        <v>32</v>
      </c>
      <c r="B973" t="s">
        <v>29</v>
      </c>
      <c r="C973" t="s">
        <v>17</v>
      </c>
      <c r="D973" s="3">
        <v>45809</v>
      </c>
      <c r="E973" s="5">
        <v>106</v>
      </c>
      <c r="F973" s="4">
        <v>7063.77</v>
      </c>
      <c r="G973" s="4">
        <v>4578.99</v>
      </c>
      <c r="H973" s="4">
        <v>2484.7800000000002</v>
      </c>
      <c r="I973" s="6">
        <v>3.85</v>
      </c>
      <c r="J973" s="5">
        <v>24</v>
      </c>
    </row>
    <row r="974" spans="1:10">
      <c r="A974" t="s">
        <v>32</v>
      </c>
      <c r="B974" t="s">
        <v>29</v>
      </c>
      <c r="C974" t="s">
        <v>12</v>
      </c>
      <c r="D974" s="3">
        <v>45839</v>
      </c>
      <c r="E974" s="5">
        <v>125</v>
      </c>
      <c r="F974" s="4">
        <v>17307.650000000001</v>
      </c>
      <c r="G974" s="4">
        <v>13254.79</v>
      </c>
      <c r="H974" s="4">
        <v>4052.87</v>
      </c>
      <c r="I974" s="6">
        <v>3.81</v>
      </c>
      <c r="J974" s="5">
        <v>23</v>
      </c>
    </row>
    <row r="975" spans="1:10">
      <c r="A975" t="s">
        <v>32</v>
      </c>
      <c r="B975" t="s">
        <v>29</v>
      </c>
      <c r="C975" t="s">
        <v>13</v>
      </c>
      <c r="D975" s="3">
        <v>45839</v>
      </c>
      <c r="E975" s="5">
        <v>123</v>
      </c>
      <c r="F975" s="4">
        <v>10026.5</v>
      </c>
      <c r="G975" s="4">
        <v>6901.11</v>
      </c>
      <c r="H975" s="4">
        <v>3125.39</v>
      </c>
      <c r="I975" s="6">
        <v>4.05</v>
      </c>
      <c r="J975" s="5">
        <v>23</v>
      </c>
    </row>
    <row r="976" spans="1:10">
      <c r="A976" t="s">
        <v>32</v>
      </c>
      <c r="B976" t="s">
        <v>29</v>
      </c>
      <c r="C976" t="s">
        <v>14</v>
      </c>
      <c r="D976" s="3">
        <v>45839</v>
      </c>
      <c r="E976" s="5">
        <v>159</v>
      </c>
      <c r="F976" s="4">
        <v>7788.34</v>
      </c>
      <c r="G976" s="4">
        <v>4853.5200000000004</v>
      </c>
      <c r="H976" s="4">
        <v>2934.82</v>
      </c>
      <c r="I976" s="6">
        <v>4.05</v>
      </c>
      <c r="J976" s="5">
        <v>23</v>
      </c>
    </row>
    <row r="977" spans="1:10">
      <c r="A977" t="s">
        <v>32</v>
      </c>
      <c r="B977" t="s">
        <v>29</v>
      </c>
      <c r="C977" t="s">
        <v>15</v>
      </c>
      <c r="D977" s="3">
        <v>45839</v>
      </c>
      <c r="E977" s="5">
        <v>107</v>
      </c>
      <c r="F977" s="4">
        <v>3924.59</v>
      </c>
      <c r="G977" s="4">
        <v>1978.13</v>
      </c>
      <c r="H977" s="4">
        <v>1946.46</v>
      </c>
      <c r="I977" s="6">
        <v>3.97</v>
      </c>
      <c r="J977" s="5">
        <v>23</v>
      </c>
    </row>
    <row r="978" spans="1:10">
      <c r="A978" t="s">
        <v>32</v>
      </c>
      <c r="B978" t="s">
        <v>29</v>
      </c>
      <c r="C978" t="s">
        <v>16</v>
      </c>
      <c r="D978" s="3">
        <v>45839</v>
      </c>
      <c r="E978" s="5">
        <v>215</v>
      </c>
      <c r="F978" s="4">
        <v>3887.42</v>
      </c>
      <c r="G978" s="4">
        <v>3579.43</v>
      </c>
      <c r="H978" s="4">
        <v>307.99</v>
      </c>
      <c r="I978" s="6">
        <v>3.68</v>
      </c>
      <c r="J978" s="5">
        <v>23</v>
      </c>
    </row>
    <row r="979" spans="1:10">
      <c r="A979" t="s">
        <v>32</v>
      </c>
      <c r="B979" t="s">
        <v>29</v>
      </c>
      <c r="C979" t="s">
        <v>17</v>
      </c>
      <c r="D979" s="3">
        <v>45839</v>
      </c>
      <c r="E979" s="5">
        <v>112</v>
      </c>
      <c r="F979" s="4">
        <v>6640.39</v>
      </c>
      <c r="G979" s="4">
        <v>4243.07</v>
      </c>
      <c r="H979" s="4">
        <v>2397.3200000000002</v>
      </c>
      <c r="I979" s="6">
        <v>3.93</v>
      </c>
      <c r="J979" s="5">
        <v>23</v>
      </c>
    </row>
    <row r="980" spans="1:10">
      <c r="A980" t="s">
        <v>32</v>
      </c>
      <c r="B980" t="s">
        <v>29</v>
      </c>
      <c r="C980" t="s">
        <v>12</v>
      </c>
      <c r="D980" s="3">
        <v>45870</v>
      </c>
      <c r="E980" s="5">
        <v>117</v>
      </c>
      <c r="F980" s="4">
        <v>16696.990000000002</v>
      </c>
      <c r="G980" s="4">
        <v>13585.39</v>
      </c>
      <c r="H980" s="4">
        <v>3111.61</v>
      </c>
      <c r="I980" s="6">
        <v>3.89</v>
      </c>
      <c r="J980" s="5">
        <v>24</v>
      </c>
    </row>
    <row r="981" spans="1:10">
      <c r="A981" t="s">
        <v>32</v>
      </c>
      <c r="B981" t="s">
        <v>29</v>
      </c>
      <c r="C981" t="s">
        <v>13</v>
      </c>
      <c r="D981" s="3">
        <v>45870</v>
      </c>
      <c r="E981" s="5">
        <v>103</v>
      </c>
      <c r="F981" s="4">
        <v>7368.98</v>
      </c>
      <c r="G981" s="4">
        <v>5125.8100000000004</v>
      </c>
      <c r="H981" s="4">
        <v>2243.17</v>
      </c>
      <c r="I981" s="6">
        <v>3.79</v>
      </c>
      <c r="J981" s="5">
        <v>24</v>
      </c>
    </row>
    <row r="982" spans="1:10">
      <c r="A982" t="s">
        <v>32</v>
      </c>
      <c r="B982" t="s">
        <v>29</v>
      </c>
      <c r="C982" t="s">
        <v>14</v>
      </c>
      <c r="D982" s="3">
        <v>45870</v>
      </c>
      <c r="E982" s="5">
        <v>178</v>
      </c>
      <c r="F982" s="4">
        <v>9013.5</v>
      </c>
      <c r="G982" s="4">
        <v>5463.78</v>
      </c>
      <c r="H982" s="4">
        <v>3549.72</v>
      </c>
      <c r="I982" s="6">
        <v>4.04</v>
      </c>
      <c r="J982" s="5">
        <v>24</v>
      </c>
    </row>
    <row r="983" spans="1:10">
      <c r="A983" t="s">
        <v>32</v>
      </c>
      <c r="B983" t="s">
        <v>29</v>
      </c>
      <c r="C983" t="s">
        <v>15</v>
      </c>
      <c r="D983" s="3">
        <v>45870</v>
      </c>
      <c r="E983" s="5">
        <v>122</v>
      </c>
      <c r="F983" s="4">
        <v>4421.5</v>
      </c>
      <c r="G983" s="4">
        <v>2200.09</v>
      </c>
      <c r="H983" s="4">
        <v>2221.41</v>
      </c>
      <c r="I983" s="6">
        <v>4.0199999999999996</v>
      </c>
      <c r="J983" s="5">
        <v>24</v>
      </c>
    </row>
    <row r="984" spans="1:10">
      <c r="A984" t="s">
        <v>32</v>
      </c>
      <c r="B984" t="s">
        <v>29</v>
      </c>
      <c r="C984" t="s">
        <v>16</v>
      </c>
      <c r="D984" s="3">
        <v>45870</v>
      </c>
      <c r="E984" s="5">
        <v>184</v>
      </c>
      <c r="F984" s="4">
        <v>3430.02</v>
      </c>
      <c r="G984" s="4">
        <v>3240.26</v>
      </c>
      <c r="H984" s="4">
        <v>189.76</v>
      </c>
      <c r="I984" s="6">
        <v>3.85</v>
      </c>
      <c r="J984" s="5">
        <v>24</v>
      </c>
    </row>
    <row r="985" spans="1:10">
      <c r="A985" t="s">
        <v>32</v>
      </c>
      <c r="B985" t="s">
        <v>29</v>
      </c>
      <c r="C985" t="s">
        <v>17</v>
      </c>
      <c r="D985" s="3">
        <v>45870</v>
      </c>
      <c r="E985" s="5">
        <v>131</v>
      </c>
      <c r="F985" s="4">
        <v>7861.72</v>
      </c>
      <c r="G985" s="4">
        <v>5277.97</v>
      </c>
      <c r="H985" s="4">
        <v>2583.7399999999998</v>
      </c>
      <c r="I985" s="6">
        <v>4.0199999999999996</v>
      </c>
      <c r="J985" s="5">
        <v>24</v>
      </c>
    </row>
    <row r="986" spans="1:10">
      <c r="A986" t="s">
        <v>32</v>
      </c>
      <c r="B986" t="s">
        <v>29</v>
      </c>
      <c r="C986" t="s">
        <v>12</v>
      </c>
      <c r="D986" s="3">
        <v>45901</v>
      </c>
      <c r="E986" s="5">
        <v>117</v>
      </c>
      <c r="F986" s="4">
        <v>17933.48</v>
      </c>
      <c r="G986" s="4">
        <v>14187.29</v>
      </c>
      <c r="H986" s="4">
        <v>3746.19</v>
      </c>
      <c r="I986" s="6">
        <v>3.98</v>
      </c>
      <c r="J986" s="5">
        <v>23</v>
      </c>
    </row>
    <row r="987" spans="1:10">
      <c r="A987" t="s">
        <v>32</v>
      </c>
      <c r="B987" t="s">
        <v>29</v>
      </c>
      <c r="C987" t="s">
        <v>13</v>
      </c>
      <c r="D987" s="3">
        <v>45901</v>
      </c>
      <c r="E987" s="5">
        <v>119</v>
      </c>
      <c r="F987" s="4">
        <v>8653.15</v>
      </c>
      <c r="G987" s="4">
        <v>5802.8</v>
      </c>
      <c r="H987" s="4">
        <v>2850.35</v>
      </c>
      <c r="I987" s="6">
        <v>4.05</v>
      </c>
      <c r="J987" s="5">
        <v>23</v>
      </c>
    </row>
    <row r="988" spans="1:10">
      <c r="A988" t="s">
        <v>32</v>
      </c>
      <c r="B988" t="s">
        <v>29</v>
      </c>
      <c r="C988" t="s">
        <v>14</v>
      </c>
      <c r="D988" s="3">
        <v>45901</v>
      </c>
      <c r="E988" s="5">
        <v>130</v>
      </c>
      <c r="F988" s="4">
        <v>6614.35</v>
      </c>
      <c r="G988" s="4">
        <v>4267.96</v>
      </c>
      <c r="H988" s="4">
        <v>2346.39</v>
      </c>
      <c r="I988" s="6">
        <v>4.01</v>
      </c>
      <c r="J988" s="5">
        <v>23</v>
      </c>
    </row>
    <row r="989" spans="1:10">
      <c r="A989" t="s">
        <v>32</v>
      </c>
      <c r="B989" t="s">
        <v>29</v>
      </c>
      <c r="C989" t="s">
        <v>15</v>
      </c>
      <c r="D989" s="3">
        <v>45901</v>
      </c>
      <c r="E989" s="5">
        <v>109</v>
      </c>
      <c r="F989" s="4">
        <v>3892.48</v>
      </c>
      <c r="G989" s="4">
        <v>1955.48</v>
      </c>
      <c r="H989" s="4">
        <v>1937</v>
      </c>
      <c r="I989" s="6">
        <v>4.03</v>
      </c>
      <c r="J989" s="5">
        <v>23</v>
      </c>
    </row>
    <row r="990" spans="1:10">
      <c r="A990" t="s">
        <v>32</v>
      </c>
      <c r="B990" t="s">
        <v>29</v>
      </c>
      <c r="C990" t="s">
        <v>16</v>
      </c>
      <c r="D990" s="3">
        <v>45901</v>
      </c>
      <c r="E990" s="5">
        <v>194</v>
      </c>
      <c r="F990" s="4">
        <v>3416.79</v>
      </c>
      <c r="G990" s="4">
        <v>3110.45</v>
      </c>
      <c r="H990" s="4">
        <v>306.33999999999997</v>
      </c>
      <c r="I990" s="6">
        <v>3.95</v>
      </c>
      <c r="J990" s="5">
        <v>23</v>
      </c>
    </row>
    <row r="991" spans="1:10">
      <c r="A991" t="s">
        <v>32</v>
      </c>
      <c r="B991" t="s">
        <v>29</v>
      </c>
      <c r="C991" t="s">
        <v>17</v>
      </c>
      <c r="D991" s="3">
        <v>45901</v>
      </c>
      <c r="E991" s="5">
        <v>76</v>
      </c>
      <c r="F991" s="4">
        <v>4766.46</v>
      </c>
      <c r="G991" s="4">
        <v>3164.49</v>
      </c>
      <c r="H991" s="4">
        <v>1601.98</v>
      </c>
      <c r="I991" s="6">
        <v>3.97</v>
      </c>
      <c r="J991" s="5">
        <v>23</v>
      </c>
    </row>
    <row r="992" spans="1:10">
      <c r="A992" t="s">
        <v>32</v>
      </c>
      <c r="B992" t="s">
        <v>29</v>
      </c>
      <c r="C992" t="s">
        <v>12</v>
      </c>
      <c r="D992" s="3">
        <v>45931</v>
      </c>
      <c r="E992" s="5">
        <v>137</v>
      </c>
      <c r="F992" s="4">
        <v>20003.36</v>
      </c>
      <c r="G992" s="4">
        <v>16122.04</v>
      </c>
      <c r="H992" s="4">
        <v>3881.32</v>
      </c>
      <c r="I992" s="6">
        <v>3.88</v>
      </c>
      <c r="J992" s="5">
        <v>23</v>
      </c>
    </row>
    <row r="993" spans="1:10">
      <c r="A993" t="s">
        <v>32</v>
      </c>
      <c r="B993" t="s">
        <v>29</v>
      </c>
      <c r="C993" t="s">
        <v>13</v>
      </c>
      <c r="D993" s="3">
        <v>45931</v>
      </c>
      <c r="E993" s="5">
        <v>115</v>
      </c>
      <c r="F993" s="4">
        <v>8697.35</v>
      </c>
      <c r="G993" s="4">
        <v>6103.45</v>
      </c>
      <c r="H993" s="4">
        <v>2593.91</v>
      </c>
      <c r="I993" s="6">
        <v>3.76</v>
      </c>
      <c r="J993" s="5">
        <v>23</v>
      </c>
    </row>
    <row r="994" spans="1:10">
      <c r="A994" t="s">
        <v>32</v>
      </c>
      <c r="B994" t="s">
        <v>29</v>
      </c>
      <c r="C994" t="s">
        <v>14</v>
      </c>
      <c r="D994" s="3">
        <v>45931</v>
      </c>
      <c r="E994" s="5">
        <v>155</v>
      </c>
      <c r="F994" s="4">
        <v>7472.81</v>
      </c>
      <c r="G994" s="4">
        <v>4791.55</v>
      </c>
      <c r="H994" s="4">
        <v>2681.26</v>
      </c>
      <c r="I994" s="6">
        <v>3.71</v>
      </c>
      <c r="J994" s="5">
        <v>23</v>
      </c>
    </row>
    <row r="995" spans="1:10">
      <c r="A995" t="s">
        <v>32</v>
      </c>
      <c r="B995" t="s">
        <v>29</v>
      </c>
      <c r="C995" t="s">
        <v>15</v>
      </c>
      <c r="D995" s="3">
        <v>45931</v>
      </c>
      <c r="E995" s="5">
        <v>113</v>
      </c>
      <c r="F995" s="4">
        <v>3943.95</v>
      </c>
      <c r="G995" s="4">
        <v>2037.04</v>
      </c>
      <c r="H995" s="4">
        <v>1906.91</v>
      </c>
      <c r="I995" s="6">
        <v>3.82</v>
      </c>
      <c r="J995" s="5">
        <v>23</v>
      </c>
    </row>
    <row r="996" spans="1:10">
      <c r="A996" t="s">
        <v>32</v>
      </c>
      <c r="B996" t="s">
        <v>29</v>
      </c>
      <c r="C996" t="s">
        <v>16</v>
      </c>
      <c r="D996" s="3">
        <v>45931</v>
      </c>
      <c r="E996" s="5">
        <v>182</v>
      </c>
      <c r="F996" s="4">
        <v>3331.03</v>
      </c>
      <c r="G996" s="4">
        <v>3062.12</v>
      </c>
      <c r="H996" s="4">
        <v>268.92</v>
      </c>
      <c r="I996" s="6">
        <v>3.84</v>
      </c>
      <c r="J996" s="5">
        <v>23</v>
      </c>
    </row>
    <row r="997" spans="1:10">
      <c r="A997" t="s">
        <v>32</v>
      </c>
      <c r="B997" t="s">
        <v>29</v>
      </c>
      <c r="C997" t="s">
        <v>17</v>
      </c>
      <c r="D997" s="3">
        <v>45931</v>
      </c>
      <c r="E997" s="5">
        <v>83</v>
      </c>
      <c r="F997" s="4">
        <v>5278.93</v>
      </c>
      <c r="G997" s="4">
        <v>3529.38</v>
      </c>
      <c r="H997" s="4">
        <v>1749.55</v>
      </c>
      <c r="I997" s="6">
        <v>3.88</v>
      </c>
      <c r="J997" s="5">
        <v>23</v>
      </c>
    </row>
    <row r="998" spans="1:10">
      <c r="A998" t="s">
        <v>32</v>
      </c>
      <c r="B998" t="s">
        <v>29</v>
      </c>
      <c r="C998" t="s">
        <v>12</v>
      </c>
      <c r="D998" s="3">
        <v>45962</v>
      </c>
      <c r="E998" s="5">
        <v>174</v>
      </c>
      <c r="F998" s="4">
        <v>25005.73</v>
      </c>
      <c r="G998" s="4">
        <v>20133.830000000002</v>
      </c>
      <c r="H998" s="4">
        <v>4871.8999999999996</v>
      </c>
      <c r="I998" s="6">
        <v>3.86</v>
      </c>
      <c r="J998" s="5">
        <v>25</v>
      </c>
    </row>
    <row r="999" spans="1:10">
      <c r="A999" t="s">
        <v>32</v>
      </c>
      <c r="B999" t="s">
        <v>29</v>
      </c>
      <c r="C999" t="s">
        <v>13</v>
      </c>
      <c r="D999" s="3">
        <v>45962</v>
      </c>
      <c r="E999" s="5">
        <v>139</v>
      </c>
      <c r="F999" s="4">
        <v>10775.25</v>
      </c>
      <c r="G999" s="4">
        <v>7759.58</v>
      </c>
      <c r="H999" s="4">
        <v>3015.68</v>
      </c>
      <c r="I999" s="6">
        <v>3.95</v>
      </c>
      <c r="J999" s="5">
        <v>25</v>
      </c>
    </row>
    <row r="1000" spans="1:10">
      <c r="A1000" t="s">
        <v>32</v>
      </c>
      <c r="B1000" t="s">
        <v>29</v>
      </c>
      <c r="C1000" t="s">
        <v>14</v>
      </c>
      <c r="D1000" s="3">
        <v>45962</v>
      </c>
      <c r="E1000" s="5">
        <v>205</v>
      </c>
      <c r="F1000" s="4">
        <v>10357.31</v>
      </c>
      <c r="G1000" s="4">
        <v>6650.69</v>
      </c>
      <c r="H1000" s="4">
        <v>3706.62</v>
      </c>
      <c r="I1000" s="6">
        <v>4.01</v>
      </c>
      <c r="J1000" s="5">
        <v>25</v>
      </c>
    </row>
    <row r="1001" spans="1:10">
      <c r="A1001" t="s">
        <v>32</v>
      </c>
      <c r="B1001" t="s">
        <v>29</v>
      </c>
      <c r="C1001" t="s">
        <v>15</v>
      </c>
      <c r="D1001" s="3">
        <v>45962</v>
      </c>
      <c r="E1001" s="5">
        <v>122</v>
      </c>
      <c r="F1001" s="4">
        <v>4249.04</v>
      </c>
      <c r="G1001" s="4">
        <v>2249.27</v>
      </c>
      <c r="H1001" s="4">
        <v>1999.76</v>
      </c>
      <c r="I1001" s="6">
        <v>3.97</v>
      </c>
      <c r="J1001" s="5">
        <v>25</v>
      </c>
    </row>
    <row r="1002" spans="1:10">
      <c r="A1002" t="s">
        <v>32</v>
      </c>
      <c r="B1002" t="s">
        <v>29</v>
      </c>
      <c r="C1002" t="s">
        <v>16</v>
      </c>
      <c r="D1002" s="3">
        <v>45962</v>
      </c>
      <c r="E1002" s="5">
        <v>234</v>
      </c>
      <c r="F1002" s="4">
        <v>4207.84</v>
      </c>
      <c r="G1002" s="4">
        <v>3868.62</v>
      </c>
      <c r="H1002" s="4">
        <v>339.22</v>
      </c>
      <c r="I1002" s="6">
        <v>3.99</v>
      </c>
      <c r="J1002" s="5">
        <v>25</v>
      </c>
    </row>
    <row r="1003" spans="1:10">
      <c r="A1003" t="s">
        <v>32</v>
      </c>
      <c r="B1003" t="s">
        <v>29</v>
      </c>
      <c r="C1003" t="s">
        <v>17</v>
      </c>
      <c r="D1003" s="3">
        <v>45962</v>
      </c>
      <c r="E1003" s="5">
        <v>103</v>
      </c>
      <c r="F1003" s="4">
        <v>6566.67</v>
      </c>
      <c r="G1003" s="4">
        <v>4474.4399999999996</v>
      </c>
      <c r="H1003" s="4">
        <v>2092.23</v>
      </c>
      <c r="I1003" s="6">
        <v>3.82</v>
      </c>
      <c r="J1003" s="5">
        <v>25</v>
      </c>
    </row>
    <row r="1004" spans="1:10">
      <c r="A1004" t="s">
        <v>32</v>
      </c>
      <c r="B1004" t="s">
        <v>29</v>
      </c>
      <c r="C1004" t="s">
        <v>12</v>
      </c>
      <c r="D1004" s="3">
        <v>45992</v>
      </c>
      <c r="E1004" s="5">
        <v>212</v>
      </c>
      <c r="F1004" s="4">
        <v>31339.33</v>
      </c>
      <c r="G1004" s="4">
        <v>26039.97</v>
      </c>
      <c r="H1004" s="4">
        <v>5299.36</v>
      </c>
      <c r="I1004" s="6">
        <v>3.95</v>
      </c>
      <c r="J1004" s="5">
        <v>26</v>
      </c>
    </row>
    <row r="1005" spans="1:10">
      <c r="A1005" t="s">
        <v>32</v>
      </c>
      <c r="B1005" t="s">
        <v>29</v>
      </c>
      <c r="C1005" t="s">
        <v>13</v>
      </c>
      <c r="D1005" s="3">
        <v>45992</v>
      </c>
      <c r="E1005" s="5">
        <v>160</v>
      </c>
      <c r="F1005" s="4">
        <v>11532.61</v>
      </c>
      <c r="G1005" s="4">
        <v>8530.32</v>
      </c>
      <c r="H1005" s="4">
        <v>3002.28</v>
      </c>
      <c r="I1005" s="6">
        <v>3.87</v>
      </c>
      <c r="J1005" s="5">
        <v>26</v>
      </c>
    </row>
    <row r="1006" spans="1:10">
      <c r="A1006" t="s">
        <v>32</v>
      </c>
      <c r="B1006" t="s">
        <v>29</v>
      </c>
      <c r="C1006" t="s">
        <v>14</v>
      </c>
      <c r="D1006" s="3">
        <v>45992</v>
      </c>
      <c r="E1006" s="5">
        <v>206</v>
      </c>
      <c r="F1006" s="4">
        <v>9757.99</v>
      </c>
      <c r="G1006" s="4">
        <v>6444.61</v>
      </c>
      <c r="H1006" s="4">
        <v>3313.38</v>
      </c>
      <c r="I1006" s="6">
        <v>3.9</v>
      </c>
      <c r="J1006" s="5">
        <v>26</v>
      </c>
    </row>
    <row r="1007" spans="1:10">
      <c r="A1007" t="s">
        <v>32</v>
      </c>
      <c r="B1007" t="s">
        <v>29</v>
      </c>
      <c r="C1007" t="s">
        <v>15</v>
      </c>
      <c r="D1007" s="3">
        <v>45992</v>
      </c>
      <c r="E1007" s="5">
        <v>145</v>
      </c>
      <c r="F1007" s="4">
        <v>5587.79</v>
      </c>
      <c r="G1007" s="4">
        <v>3006.58</v>
      </c>
      <c r="H1007" s="4">
        <v>2581.21</v>
      </c>
      <c r="I1007" s="6">
        <v>3.71</v>
      </c>
      <c r="J1007" s="5">
        <v>26</v>
      </c>
    </row>
    <row r="1008" spans="1:10">
      <c r="A1008" t="s">
        <v>32</v>
      </c>
      <c r="B1008" t="s">
        <v>29</v>
      </c>
      <c r="C1008" t="s">
        <v>16</v>
      </c>
      <c r="D1008" s="3">
        <v>45992</v>
      </c>
      <c r="E1008" s="5">
        <v>294</v>
      </c>
      <c r="F1008" s="4">
        <v>5688.03</v>
      </c>
      <c r="G1008" s="4">
        <v>5361.88</v>
      </c>
      <c r="H1008" s="4">
        <v>326.14999999999998</v>
      </c>
      <c r="I1008" s="6">
        <v>3.88</v>
      </c>
      <c r="J1008" s="5">
        <v>26</v>
      </c>
    </row>
    <row r="1009" spans="1:10">
      <c r="A1009" t="s">
        <v>32</v>
      </c>
      <c r="B1009" t="s">
        <v>29</v>
      </c>
      <c r="C1009" t="s">
        <v>17</v>
      </c>
      <c r="D1009" s="3">
        <v>45992</v>
      </c>
      <c r="E1009" s="5">
        <v>127</v>
      </c>
      <c r="F1009" s="4">
        <v>8117.14</v>
      </c>
      <c r="G1009" s="4">
        <v>5618.79</v>
      </c>
      <c r="H1009" s="4">
        <v>2498.35</v>
      </c>
      <c r="I1009" s="6">
        <v>3.98</v>
      </c>
      <c r="J1009" s="5">
        <v>26</v>
      </c>
    </row>
    <row r="1010" spans="1:10">
      <c r="A1010" t="s">
        <v>33</v>
      </c>
      <c r="B1010" t="s">
        <v>29</v>
      </c>
      <c r="C1010" t="s">
        <v>12</v>
      </c>
      <c r="D1010" s="3">
        <v>45658</v>
      </c>
      <c r="E1010" s="5">
        <v>83</v>
      </c>
      <c r="F1010" s="4">
        <v>12618.27</v>
      </c>
      <c r="G1010" s="4">
        <v>9433.57</v>
      </c>
      <c r="H1010" s="4">
        <v>3184.7</v>
      </c>
      <c r="I1010" s="6">
        <v>3.93</v>
      </c>
      <c r="J1010" s="5">
        <v>26</v>
      </c>
    </row>
    <row r="1011" spans="1:10">
      <c r="A1011" t="s">
        <v>33</v>
      </c>
      <c r="B1011" t="s">
        <v>29</v>
      </c>
      <c r="C1011" t="s">
        <v>13</v>
      </c>
      <c r="D1011" s="3">
        <v>45658</v>
      </c>
      <c r="E1011" s="5">
        <v>87</v>
      </c>
      <c r="F1011" s="4">
        <v>6783.34</v>
      </c>
      <c r="G1011" s="4">
        <v>4331.8900000000003</v>
      </c>
      <c r="H1011" s="4">
        <v>2451.44</v>
      </c>
      <c r="I1011" s="6">
        <v>4.24</v>
      </c>
      <c r="J1011" s="5">
        <v>26</v>
      </c>
    </row>
    <row r="1012" spans="1:10">
      <c r="A1012" t="s">
        <v>33</v>
      </c>
      <c r="B1012" t="s">
        <v>29</v>
      </c>
      <c r="C1012" t="s">
        <v>14</v>
      </c>
      <c r="D1012" s="3">
        <v>45658</v>
      </c>
      <c r="E1012" s="5">
        <v>109</v>
      </c>
      <c r="F1012" s="4">
        <v>5598.24</v>
      </c>
      <c r="G1012" s="4">
        <v>3231.75</v>
      </c>
      <c r="H1012" s="4">
        <v>2366.4899999999998</v>
      </c>
      <c r="I1012" s="6">
        <v>4.12</v>
      </c>
      <c r="J1012" s="5">
        <v>26</v>
      </c>
    </row>
    <row r="1013" spans="1:10">
      <c r="A1013" t="s">
        <v>33</v>
      </c>
      <c r="B1013" t="s">
        <v>29</v>
      </c>
      <c r="C1013" t="s">
        <v>15</v>
      </c>
      <c r="D1013" s="3">
        <v>45658</v>
      </c>
      <c r="E1013" s="5">
        <v>76</v>
      </c>
      <c r="F1013" s="4">
        <v>2726.88</v>
      </c>
      <c r="G1013" s="4">
        <v>1285</v>
      </c>
      <c r="H1013" s="4">
        <v>1441.88</v>
      </c>
      <c r="I1013" s="6">
        <v>3.93</v>
      </c>
      <c r="J1013" s="5">
        <v>26</v>
      </c>
    </row>
    <row r="1014" spans="1:10">
      <c r="A1014" t="s">
        <v>33</v>
      </c>
      <c r="B1014" t="s">
        <v>29</v>
      </c>
      <c r="C1014" t="s">
        <v>16</v>
      </c>
      <c r="D1014" s="3">
        <v>45658</v>
      </c>
      <c r="E1014" s="5">
        <v>132</v>
      </c>
      <c r="F1014" s="4">
        <v>2450.66</v>
      </c>
      <c r="G1014" s="4">
        <v>2183.81</v>
      </c>
      <c r="H1014" s="4">
        <v>266.85000000000002</v>
      </c>
      <c r="I1014" s="6">
        <v>4.09</v>
      </c>
      <c r="J1014" s="5">
        <v>26</v>
      </c>
    </row>
    <row r="1015" spans="1:10">
      <c r="A1015" t="s">
        <v>33</v>
      </c>
      <c r="B1015" t="s">
        <v>29</v>
      </c>
      <c r="C1015" t="s">
        <v>17</v>
      </c>
      <c r="D1015" s="3">
        <v>45658</v>
      </c>
      <c r="E1015" s="5">
        <v>67</v>
      </c>
      <c r="F1015" s="4">
        <v>4134.74</v>
      </c>
      <c r="G1015" s="4">
        <v>2623.17</v>
      </c>
      <c r="H1015" s="4">
        <v>1511.57</v>
      </c>
      <c r="I1015" s="6">
        <v>4.18</v>
      </c>
      <c r="J1015" s="5">
        <v>26</v>
      </c>
    </row>
    <row r="1016" spans="1:10">
      <c r="A1016" t="s">
        <v>33</v>
      </c>
      <c r="B1016" t="s">
        <v>29</v>
      </c>
      <c r="C1016" t="s">
        <v>12</v>
      </c>
      <c r="D1016" s="3">
        <v>45689</v>
      </c>
      <c r="E1016" s="5">
        <v>87</v>
      </c>
      <c r="F1016" s="4">
        <v>12653.35</v>
      </c>
      <c r="G1016" s="4">
        <v>9374.99</v>
      </c>
      <c r="H1016" s="4">
        <v>3278.36</v>
      </c>
      <c r="I1016" s="6">
        <v>4.21</v>
      </c>
      <c r="J1016" s="5">
        <v>26</v>
      </c>
    </row>
    <row r="1017" spans="1:10">
      <c r="A1017" t="s">
        <v>33</v>
      </c>
      <c r="B1017" t="s">
        <v>29</v>
      </c>
      <c r="C1017" t="s">
        <v>13</v>
      </c>
      <c r="D1017" s="3">
        <v>45689</v>
      </c>
      <c r="E1017" s="5">
        <v>70</v>
      </c>
      <c r="F1017" s="4">
        <v>5093.93</v>
      </c>
      <c r="G1017" s="4">
        <v>3238.28</v>
      </c>
      <c r="H1017" s="4">
        <v>1855.65</v>
      </c>
      <c r="I1017" s="6">
        <v>3.99</v>
      </c>
      <c r="J1017" s="5">
        <v>26</v>
      </c>
    </row>
    <row r="1018" spans="1:10">
      <c r="A1018" t="s">
        <v>33</v>
      </c>
      <c r="B1018" t="s">
        <v>29</v>
      </c>
      <c r="C1018" t="s">
        <v>14</v>
      </c>
      <c r="D1018" s="3">
        <v>45689</v>
      </c>
      <c r="E1018" s="5">
        <v>99</v>
      </c>
      <c r="F1018" s="4">
        <v>4606.97</v>
      </c>
      <c r="G1018" s="4">
        <v>2683.01</v>
      </c>
      <c r="H1018" s="4">
        <v>1923.96</v>
      </c>
      <c r="I1018" s="6">
        <v>3.93</v>
      </c>
      <c r="J1018" s="5">
        <v>26</v>
      </c>
    </row>
    <row r="1019" spans="1:10">
      <c r="A1019" t="s">
        <v>33</v>
      </c>
      <c r="B1019" t="s">
        <v>29</v>
      </c>
      <c r="C1019" t="s">
        <v>15</v>
      </c>
      <c r="D1019" s="3">
        <v>45689</v>
      </c>
      <c r="E1019" s="5">
        <v>71</v>
      </c>
      <c r="F1019" s="4">
        <v>2737.86</v>
      </c>
      <c r="G1019" s="4">
        <v>1273.79</v>
      </c>
      <c r="H1019" s="4">
        <v>1464.07</v>
      </c>
      <c r="I1019" s="6">
        <v>3.92</v>
      </c>
      <c r="J1019" s="5">
        <v>26</v>
      </c>
    </row>
    <row r="1020" spans="1:10">
      <c r="A1020" t="s">
        <v>33</v>
      </c>
      <c r="B1020" t="s">
        <v>29</v>
      </c>
      <c r="C1020" t="s">
        <v>16</v>
      </c>
      <c r="D1020" s="3">
        <v>45689</v>
      </c>
      <c r="E1020" s="5">
        <v>139</v>
      </c>
      <c r="F1020" s="4">
        <v>2700.76</v>
      </c>
      <c r="G1020" s="4">
        <v>2336.0100000000002</v>
      </c>
      <c r="H1020" s="4">
        <v>364.75</v>
      </c>
      <c r="I1020" s="6">
        <v>4.09</v>
      </c>
      <c r="J1020" s="5">
        <v>26</v>
      </c>
    </row>
    <row r="1021" spans="1:10">
      <c r="A1021" t="s">
        <v>33</v>
      </c>
      <c r="B1021" t="s">
        <v>29</v>
      </c>
      <c r="C1021" t="s">
        <v>17</v>
      </c>
      <c r="D1021" s="3">
        <v>45689</v>
      </c>
      <c r="E1021" s="5">
        <v>55</v>
      </c>
      <c r="F1021" s="4">
        <v>3245.65</v>
      </c>
      <c r="G1021" s="4">
        <v>2084.39</v>
      </c>
      <c r="H1021" s="4">
        <v>1161.26</v>
      </c>
      <c r="I1021" s="6">
        <v>4.04</v>
      </c>
      <c r="J1021" s="5">
        <v>26</v>
      </c>
    </row>
    <row r="1022" spans="1:10">
      <c r="A1022" t="s">
        <v>33</v>
      </c>
      <c r="B1022" t="s">
        <v>29</v>
      </c>
      <c r="C1022" t="s">
        <v>12</v>
      </c>
      <c r="D1022" s="3">
        <v>45717</v>
      </c>
      <c r="E1022" s="5">
        <v>97</v>
      </c>
      <c r="F1022" s="4">
        <v>14454.7</v>
      </c>
      <c r="G1022" s="4">
        <v>10770.81</v>
      </c>
      <c r="H1022" s="4">
        <v>3683.9</v>
      </c>
      <c r="I1022" s="6">
        <v>4.2</v>
      </c>
      <c r="J1022" s="5">
        <v>26</v>
      </c>
    </row>
    <row r="1023" spans="1:10">
      <c r="A1023" t="s">
        <v>33</v>
      </c>
      <c r="B1023" t="s">
        <v>29</v>
      </c>
      <c r="C1023" t="s">
        <v>13</v>
      </c>
      <c r="D1023" s="3">
        <v>45717</v>
      </c>
      <c r="E1023" s="5">
        <v>94</v>
      </c>
      <c r="F1023" s="4">
        <v>6743.94</v>
      </c>
      <c r="G1023" s="4">
        <v>4440.1899999999996</v>
      </c>
      <c r="H1023" s="4">
        <v>2303.7399999999998</v>
      </c>
      <c r="I1023" s="6">
        <v>4.21</v>
      </c>
      <c r="J1023" s="5">
        <v>26</v>
      </c>
    </row>
    <row r="1024" spans="1:10">
      <c r="A1024" t="s">
        <v>33</v>
      </c>
      <c r="B1024" t="s">
        <v>29</v>
      </c>
      <c r="C1024" t="s">
        <v>14</v>
      </c>
      <c r="D1024" s="3">
        <v>45717</v>
      </c>
      <c r="E1024" s="5">
        <v>125</v>
      </c>
      <c r="F1024" s="4">
        <v>6458.98</v>
      </c>
      <c r="G1024" s="4">
        <v>3833.03</v>
      </c>
      <c r="H1024" s="4">
        <v>2625.95</v>
      </c>
      <c r="I1024" s="6">
        <v>4</v>
      </c>
      <c r="J1024" s="5">
        <v>26</v>
      </c>
    </row>
    <row r="1025" spans="1:10">
      <c r="A1025" t="s">
        <v>33</v>
      </c>
      <c r="B1025" t="s">
        <v>29</v>
      </c>
      <c r="C1025" t="s">
        <v>15</v>
      </c>
      <c r="D1025" s="3">
        <v>45717</v>
      </c>
      <c r="E1025" s="5">
        <v>101</v>
      </c>
      <c r="F1025" s="4">
        <v>3644.28</v>
      </c>
      <c r="G1025" s="4">
        <v>1768.56</v>
      </c>
      <c r="H1025" s="4">
        <v>1875.72</v>
      </c>
      <c r="I1025" s="6">
        <v>4.1500000000000004</v>
      </c>
      <c r="J1025" s="5">
        <v>26</v>
      </c>
    </row>
    <row r="1026" spans="1:10">
      <c r="A1026" t="s">
        <v>33</v>
      </c>
      <c r="B1026" t="s">
        <v>29</v>
      </c>
      <c r="C1026" t="s">
        <v>16</v>
      </c>
      <c r="D1026" s="3">
        <v>45717</v>
      </c>
      <c r="E1026" s="5">
        <v>161</v>
      </c>
      <c r="F1026" s="4">
        <v>2980.15</v>
      </c>
      <c r="G1026" s="4">
        <v>2679.96</v>
      </c>
      <c r="H1026" s="4">
        <v>300.19</v>
      </c>
      <c r="I1026" s="6">
        <v>4.07</v>
      </c>
      <c r="J1026" s="5">
        <v>26</v>
      </c>
    </row>
    <row r="1027" spans="1:10">
      <c r="A1027" t="s">
        <v>33</v>
      </c>
      <c r="B1027" t="s">
        <v>29</v>
      </c>
      <c r="C1027" t="s">
        <v>17</v>
      </c>
      <c r="D1027" s="3">
        <v>45717</v>
      </c>
      <c r="E1027" s="5">
        <v>77</v>
      </c>
      <c r="F1027" s="4">
        <v>4837.42</v>
      </c>
      <c r="G1027" s="4">
        <v>3082.84</v>
      </c>
      <c r="H1027" s="4">
        <v>1754.58</v>
      </c>
      <c r="I1027" s="6">
        <v>4.01</v>
      </c>
      <c r="J1027" s="5">
        <v>26</v>
      </c>
    </row>
    <row r="1028" spans="1:10">
      <c r="A1028" t="s">
        <v>33</v>
      </c>
      <c r="B1028" t="s">
        <v>29</v>
      </c>
      <c r="C1028" t="s">
        <v>12</v>
      </c>
      <c r="D1028" s="3">
        <v>45748</v>
      </c>
      <c r="E1028" s="5">
        <v>99</v>
      </c>
      <c r="F1028" s="4">
        <v>13673.68</v>
      </c>
      <c r="G1028" s="4">
        <v>10380.32</v>
      </c>
      <c r="H1028" s="4">
        <v>3293.35</v>
      </c>
      <c r="I1028" s="6">
        <v>4.05</v>
      </c>
      <c r="J1028" s="5">
        <v>26</v>
      </c>
    </row>
    <row r="1029" spans="1:10">
      <c r="A1029" t="s">
        <v>33</v>
      </c>
      <c r="B1029" t="s">
        <v>29</v>
      </c>
      <c r="C1029" t="s">
        <v>13</v>
      </c>
      <c r="D1029" s="3">
        <v>45748</v>
      </c>
      <c r="E1029" s="5">
        <v>96</v>
      </c>
      <c r="F1029" s="4">
        <v>7017.3</v>
      </c>
      <c r="G1029" s="4">
        <v>4481.78</v>
      </c>
      <c r="H1029" s="4">
        <v>2535.5100000000002</v>
      </c>
      <c r="I1029" s="6">
        <v>4.09</v>
      </c>
      <c r="J1029" s="5">
        <v>26</v>
      </c>
    </row>
    <row r="1030" spans="1:10">
      <c r="A1030" t="s">
        <v>33</v>
      </c>
      <c r="B1030" t="s">
        <v>29</v>
      </c>
      <c r="C1030" t="s">
        <v>14</v>
      </c>
      <c r="D1030" s="3">
        <v>45748</v>
      </c>
      <c r="E1030" s="5">
        <v>142</v>
      </c>
      <c r="F1030" s="4">
        <v>6680.68</v>
      </c>
      <c r="G1030" s="4">
        <v>4003.46</v>
      </c>
      <c r="H1030" s="4">
        <v>2677.22</v>
      </c>
      <c r="I1030" s="6">
        <v>4.1500000000000004</v>
      </c>
      <c r="J1030" s="5">
        <v>26</v>
      </c>
    </row>
    <row r="1031" spans="1:10">
      <c r="A1031" t="s">
        <v>33</v>
      </c>
      <c r="B1031" t="s">
        <v>29</v>
      </c>
      <c r="C1031" t="s">
        <v>15</v>
      </c>
      <c r="D1031" s="3">
        <v>45748</v>
      </c>
      <c r="E1031" s="5">
        <v>95</v>
      </c>
      <c r="F1031" s="4">
        <v>3450.34</v>
      </c>
      <c r="G1031" s="4">
        <v>1674.54</v>
      </c>
      <c r="H1031" s="4">
        <v>1775.8</v>
      </c>
      <c r="I1031" s="6">
        <v>4.01</v>
      </c>
      <c r="J1031" s="5">
        <v>26</v>
      </c>
    </row>
    <row r="1032" spans="1:10">
      <c r="A1032" t="s">
        <v>33</v>
      </c>
      <c r="B1032" t="s">
        <v>29</v>
      </c>
      <c r="C1032" t="s">
        <v>16</v>
      </c>
      <c r="D1032" s="3">
        <v>45748</v>
      </c>
      <c r="E1032" s="5">
        <v>168</v>
      </c>
      <c r="F1032" s="4">
        <v>3095.31</v>
      </c>
      <c r="G1032" s="4">
        <v>2829.08</v>
      </c>
      <c r="H1032" s="4">
        <v>266.23</v>
      </c>
      <c r="I1032" s="6">
        <v>4.07</v>
      </c>
      <c r="J1032" s="5">
        <v>26</v>
      </c>
    </row>
    <row r="1033" spans="1:10">
      <c r="A1033" t="s">
        <v>33</v>
      </c>
      <c r="B1033" t="s">
        <v>29</v>
      </c>
      <c r="C1033" t="s">
        <v>17</v>
      </c>
      <c r="D1033" s="3">
        <v>45748</v>
      </c>
      <c r="E1033" s="5">
        <v>63</v>
      </c>
      <c r="F1033" s="4">
        <v>3774.76</v>
      </c>
      <c r="G1033" s="4">
        <v>2463.52</v>
      </c>
      <c r="H1033" s="4">
        <v>1311.24</v>
      </c>
      <c r="I1033" s="6">
        <v>4.0599999999999996</v>
      </c>
      <c r="J1033" s="5">
        <v>26</v>
      </c>
    </row>
    <row r="1034" spans="1:10">
      <c r="A1034" t="s">
        <v>33</v>
      </c>
      <c r="B1034" t="s">
        <v>29</v>
      </c>
      <c r="C1034" t="s">
        <v>12</v>
      </c>
      <c r="D1034" s="3">
        <v>45778</v>
      </c>
      <c r="E1034" s="5">
        <v>120</v>
      </c>
      <c r="F1034" s="4">
        <v>17305.37</v>
      </c>
      <c r="G1034" s="4">
        <v>13296.59</v>
      </c>
      <c r="H1034" s="4">
        <v>4008.77</v>
      </c>
      <c r="I1034" s="6">
        <v>3.99</v>
      </c>
      <c r="J1034" s="5">
        <v>26</v>
      </c>
    </row>
    <row r="1035" spans="1:10">
      <c r="A1035" t="s">
        <v>33</v>
      </c>
      <c r="B1035" t="s">
        <v>29</v>
      </c>
      <c r="C1035" t="s">
        <v>13</v>
      </c>
      <c r="D1035" s="3">
        <v>45778</v>
      </c>
      <c r="E1035" s="5">
        <v>114</v>
      </c>
      <c r="F1035" s="4">
        <v>8656.32</v>
      </c>
      <c r="G1035" s="4">
        <v>5657.98</v>
      </c>
      <c r="H1035" s="4">
        <v>2998.34</v>
      </c>
      <c r="I1035" s="6">
        <v>4.17</v>
      </c>
      <c r="J1035" s="5">
        <v>26</v>
      </c>
    </row>
    <row r="1036" spans="1:10">
      <c r="A1036" t="s">
        <v>33</v>
      </c>
      <c r="B1036" t="s">
        <v>29</v>
      </c>
      <c r="C1036" t="s">
        <v>14</v>
      </c>
      <c r="D1036" s="3">
        <v>45778</v>
      </c>
      <c r="E1036" s="5">
        <v>145</v>
      </c>
      <c r="F1036" s="4">
        <v>7209.51</v>
      </c>
      <c r="G1036" s="4">
        <v>4298.29</v>
      </c>
      <c r="H1036" s="4">
        <v>2911.23</v>
      </c>
      <c r="I1036" s="6">
        <v>4.17</v>
      </c>
      <c r="J1036" s="5">
        <v>26</v>
      </c>
    </row>
    <row r="1037" spans="1:10">
      <c r="A1037" t="s">
        <v>33</v>
      </c>
      <c r="B1037" t="s">
        <v>29</v>
      </c>
      <c r="C1037" t="s">
        <v>15</v>
      </c>
      <c r="D1037" s="3">
        <v>45778</v>
      </c>
      <c r="E1037" s="5">
        <v>98</v>
      </c>
      <c r="F1037" s="4">
        <v>3715.81</v>
      </c>
      <c r="G1037" s="4">
        <v>1789.05</v>
      </c>
      <c r="H1037" s="4">
        <v>1926.75</v>
      </c>
      <c r="I1037" s="6">
        <v>4.21</v>
      </c>
      <c r="J1037" s="5">
        <v>26</v>
      </c>
    </row>
    <row r="1038" spans="1:10">
      <c r="A1038" t="s">
        <v>33</v>
      </c>
      <c r="B1038" t="s">
        <v>29</v>
      </c>
      <c r="C1038" t="s">
        <v>16</v>
      </c>
      <c r="D1038" s="3">
        <v>45778</v>
      </c>
      <c r="E1038" s="5">
        <v>182</v>
      </c>
      <c r="F1038" s="4">
        <v>3371.54</v>
      </c>
      <c r="G1038" s="4">
        <v>3069.41</v>
      </c>
      <c r="H1038" s="4">
        <v>302.14</v>
      </c>
      <c r="I1038" s="6">
        <v>3.97</v>
      </c>
      <c r="J1038" s="5">
        <v>26</v>
      </c>
    </row>
    <row r="1039" spans="1:10">
      <c r="A1039" t="s">
        <v>33</v>
      </c>
      <c r="B1039" t="s">
        <v>29</v>
      </c>
      <c r="C1039" t="s">
        <v>17</v>
      </c>
      <c r="D1039" s="3">
        <v>45778</v>
      </c>
      <c r="E1039" s="5">
        <v>109</v>
      </c>
      <c r="F1039" s="4">
        <v>6941.72</v>
      </c>
      <c r="G1039" s="4">
        <v>4386.72</v>
      </c>
      <c r="H1039" s="4">
        <v>2555</v>
      </c>
      <c r="I1039" s="6">
        <v>3.91</v>
      </c>
      <c r="J1039" s="5">
        <v>26</v>
      </c>
    </row>
    <row r="1040" spans="1:10">
      <c r="A1040" t="s">
        <v>33</v>
      </c>
      <c r="B1040" t="s">
        <v>29</v>
      </c>
      <c r="C1040" t="s">
        <v>12</v>
      </c>
      <c r="D1040" s="3">
        <v>45809</v>
      </c>
      <c r="E1040" s="5">
        <v>120</v>
      </c>
      <c r="F1040" s="4">
        <v>18724.599999999999</v>
      </c>
      <c r="G1040" s="4">
        <v>14414.25</v>
      </c>
      <c r="H1040" s="4">
        <v>4310.3500000000004</v>
      </c>
      <c r="I1040" s="6">
        <v>3.94</v>
      </c>
      <c r="J1040" s="5">
        <v>26</v>
      </c>
    </row>
    <row r="1041" spans="1:10">
      <c r="A1041" t="s">
        <v>33</v>
      </c>
      <c r="B1041" t="s">
        <v>29</v>
      </c>
      <c r="C1041" t="s">
        <v>13</v>
      </c>
      <c r="D1041" s="3">
        <v>45809</v>
      </c>
      <c r="E1041" s="5">
        <v>106</v>
      </c>
      <c r="F1041" s="4">
        <v>8067.1</v>
      </c>
      <c r="G1041" s="4">
        <v>5245.47</v>
      </c>
      <c r="H1041" s="4">
        <v>2821.63</v>
      </c>
      <c r="I1041" s="6">
        <v>3.93</v>
      </c>
      <c r="J1041" s="5">
        <v>26</v>
      </c>
    </row>
    <row r="1042" spans="1:10">
      <c r="A1042" t="s">
        <v>33</v>
      </c>
      <c r="B1042" t="s">
        <v>29</v>
      </c>
      <c r="C1042" t="s">
        <v>14</v>
      </c>
      <c r="D1042" s="3">
        <v>45809</v>
      </c>
      <c r="E1042" s="5">
        <v>142</v>
      </c>
      <c r="F1042" s="4">
        <v>6808.05</v>
      </c>
      <c r="G1042" s="4">
        <v>4224.1099999999997</v>
      </c>
      <c r="H1042" s="4">
        <v>2583.9499999999998</v>
      </c>
      <c r="I1042" s="6">
        <v>4.08</v>
      </c>
      <c r="J1042" s="5">
        <v>26</v>
      </c>
    </row>
    <row r="1043" spans="1:10">
      <c r="A1043" t="s">
        <v>33</v>
      </c>
      <c r="B1043" t="s">
        <v>29</v>
      </c>
      <c r="C1043" t="s">
        <v>15</v>
      </c>
      <c r="D1043" s="3">
        <v>45809</v>
      </c>
      <c r="E1043" s="5">
        <v>112</v>
      </c>
      <c r="F1043" s="4">
        <v>3999.73</v>
      </c>
      <c r="G1043" s="4">
        <v>1983.02</v>
      </c>
      <c r="H1043" s="4">
        <v>2016.7</v>
      </c>
      <c r="I1043" s="6">
        <v>3.91</v>
      </c>
      <c r="J1043" s="5">
        <v>26</v>
      </c>
    </row>
    <row r="1044" spans="1:10">
      <c r="A1044" t="s">
        <v>33</v>
      </c>
      <c r="B1044" t="s">
        <v>29</v>
      </c>
      <c r="C1044" t="s">
        <v>16</v>
      </c>
      <c r="D1044" s="3">
        <v>45809</v>
      </c>
      <c r="E1044" s="5">
        <v>207</v>
      </c>
      <c r="F1044" s="4">
        <v>3578.65</v>
      </c>
      <c r="G1044" s="4">
        <v>3210.94</v>
      </c>
      <c r="H1044" s="4">
        <v>367.7</v>
      </c>
      <c r="I1044" s="6">
        <v>4.01</v>
      </c>
      <c r="J1044" s="5">
        <v>26</v>
      </c>
    </row>
    <row r="1045" spans="1:10">
      <c r="A1045" t="s">
        <v>33</v>
      </c>
      <c r="B1045" t="s">
        <v>29</v>
      </c>
      <c r="C1045" t="s">
        <v>17</v>
      </c>
      <c r="D1045" s="3">
        <v>45809</v>
      </c>
      <c r="E1045" s="5">
        <v>115</v>
      </c>
      <c r="F1045" s="4">
        <v>7244.41</v>
      </c>
      <c r="G1045" s="4">
        <v>4618.91</v>
      </c>
      <c r="H1045" s="4">
        <v>2625.5</v>
      </c>
      <c r="I1045" s="6">
        <v>4.22</v>
      </c>
      <c r="J1045" s="5">
        <v>26</v>
      </c>
    </row>
    <row r="1046" spans="1:10">
      <c r="A1046" t="s">
        <v>33</v>
      </c>
      <c r="B1046" t="s">
        <v>29</v>
      </c>
      <c r="C1046" t="s">
        <v>12</v>
      </c>
      <c r="D1046" s="3">
        <v>45839</v>
      </c>
      <c r="E1046" s="5">
        <v>130</v>
      </c>
      <c r="F1046" s="4">
        <v>18040.86</v>
      </c>
      <c r="G1046" s="4">
        <v>14408.25</v>
      </c>
      <c r="H1046" s="4">
        <v>3632.6</v>
      </c>
      <c r="I1046" s="6">
        <v>3.99</v>
      </c>
      <c r="J1046" s="5">
        <v>27</v>
      </c>
    </row>
    <row r="1047" spans="1:10">
      <c r="A1047" t="s">
        <v>33</v>
      </c>
      <c r="B1047" t="s">
        <v>29</v>
      </c>
      <c r="C1047" t="s">
        <v>13</v>
      </c>
      <c r="D1047" s="3">
        <v>45839</v>
      </c>
      <c r="E1047" s="5">
        <v>96</v>
      </c>
      <c r="F1047" s="4">
        <v>7646</v>
      </c>
      <c r="G1047" s="4">
        <v>5151.01</v>
      </c>
      <c r="H1047" s="4">
        <v>2494.9899999999998</v>
      </c>
      <c r="I1047" s="6">
        <v>4.16</v>
      </c>
      <c r="J1047" s="5">
        <v>27</v>
      </c>
    </row>
    <row r="1048" spans="1:10">
      <c r="A1048" t="s">
        <v>33</v>
      </c>
      <c r="B1048" t="s">
        <v>29</v>
      </c>
      <c r="C1048" t="s">
        <v>14</v>
      </c>
      <c r="D1048" s="3">
        <v>45839</v>
      </c>
      <c r="E1048" s="5">
        <v>153</v>
      </c>
      <c r="F1048" s="4">
        <v>7696.07</v>
      </c>
      <c r="G1048" s="4">
        <v>4746.79</v>
      </c>
      <c r="H1048" s="4">
        <v>2949.28</v>
      </c>
      <c r="I1048" s="6">
        <v>4.25</v>
      </c>
      <c r="J1048" s="5">
        <v>27</v>
      </c>
    </row>
    <row r="1049" spans="1:10">
      <c r="A1049" t="s">
        <v>33</v>
      </c>
      <c r="B1049" t="s">
        <v>29</v>
      </c>
      <c r="C1049" t="s">
        <v>15</v>
      </c>
      <c r="D1049" s="3">
        <v>45839</v>
      </c>
      <c r="E1049" s="5">
        <v>119</v>
      </c>
      <c r="F1049" s="4">
        <v>4310.54</v>
      </c>
      <c r="G1049" s="4">
        <v>2161.3000000000002</v>
      </c>
      <c r="H1049" s="4">
        <v>2149.2399999999998</v>
      </c>
      <c r="I1049" s="6">
        <v>4.01</v>
      </c>
      <c r="J1049" s="5">
        <v>27</v>
      </c>
    </row>
    <row r="1050" spans="1:10">
      <c r="A1050" t="s">
        <v>33</v>
      </c>
      <c r="B1050" t="s">
        <v>29</v>
      </c>
      <c r="C1050" t="s">
        <v>16</v>
      </c>
      <c r="D1050" s="3">
        <v>45839</v>
      </c>
      <c r="E1050" s="5">
        <v>183</v>
      </c>
      <c r="F1050" s="4">
        <v>3115.81</v>
      </c>
      <c r="G1050" s="4">
        <v>2928.99</v>
      </c>
      <c r="H1050" s="4">
        <v>186.82</v>
      </c>
      <c r="I1050" s="6">
        <v>4.0599999999999996</v>
      </c>
      <c r="J1050" s="5">
        <v>27</v>
      </c>
    </row>
    <row r="1051" spans="1:10">
      <c r="A1051" t="s">
        <v>33</v>
      </c>
      <c r="B1051" t="s">
        <v>29</v>
      </c>
      <c r="C1051" t="s">
        <v>17</v>
      </c>
      <c r="D1051" s="3">
        <v>45839</v>
      </c>
      <c r="E1051" s="5">
        <v>124</v>
      </c>
      <c r="F1051" s="4">
        <v>7499.37</v>
      </c>
      <c r="G1051" s="4">
        <v>4960.47</v>
      </c>
      <c r="H1051" s="4">
        <v>2538.89</v>
      </c>
      <c r="I1051" s="6">
        <v>3.97</v>
      </c>
      <c r="J1051" s="5">
        <v>27</v>
      </c>
    </row>
    <row r="1052" spans="1:10">
      <c r="A1052" t="s">
        <v>33</v>
      </c>
      <c r="B1052" t="s">
        <v>29</v>
      </c>
      <c r="C1052" t="s">
        <v>12</v>
      </c>
      <c r="D1052" s="3">
        <v>45870</v>
      </c>
      <c r="E1052" s="5">
        <v>121</v>
      </c>
      <c r="F1052" s="4">
        <v>16769.689999999999</v>
      </c>
      <c r="G1052" s="4">
        <v>13387.51</v>
      </c>
      <c r="H1052" s="4">
        <v>3382.18</v>
      </c>
      <c r="I1052" s="6">
        <v>4.0199999999999996</v>
      </c>
      <c r="J1052" s="5">
        <v>26</v>
      </c>
    </row>
    <row r="1053" spans="1:10">
      <c r="A1053" t="s">
        <v>33</v>
      </c>
      <c r="B1053" t="s">
        <v>29</v>
      </c>
      <c r="C1053" t="s">
        <v>13</v>
      </c>
      <c r="D1053" s="3">
        <v>45870</v>
      </c>
      <c r="E1053" s="5">
        <v>101</v>
      </c>
      <c r="F1053" s="4">
        <v>7395.29</v>
      </c>
      <c r="G1053" s="4">
        <v>4975.83</v>
      </c>
      <c r="H1053" s="4">
        <v>2419.46</v>
      </c>
      <c r="I1053" s="6">
        <v>3.94</v>
      </c>
      <c r="J1053" s="5">
        <v>26</v>
      </c>
    </row>
    <row r="1054" spans="1:10">
      <c r="A1054" t="s">
        <v>33</v>
      </c>
      <c r="B1054" t="s">
        <v>29</v>
      </c>
      <c r="C1054" t="s">
        <v>14</v>
      </c>
      <c r="D1054" s="3">
        <v>45870</v>
      </c>
      <c r="E1054" s="5">
        <v>158</v>
      </c>
      <c r="F1054" s="4">
        <v>7173.55</v>
      </c>
      <c r="G1054" s="4">
        <v>4537.84</v>
      </c>
      <c r="H1054" s="4">
        <v>2635.71</v>
      </c>
      <c r="I1054" s="6">
        <v>4.07</v>
      </c>
      <c r="J1054" s="5">
        <v>26</v>
      </c>
    </row>
    <row r="1055" spans="1:10">
      <c r="A1055" t="s">
        <v>33</v>
      </c>
      <c r="B1055" t="s">
        <v>29</v>
      </c>
      <c r="C1055" t="s">
        <v>15</v>
      </c>
      <c r="D1055" s="3">
        <v>45870</v>
      </c>
      <c r="E1055" s="5">
        <v>110</v>
      </c>
      <c r="F1055" s="4">
        <v>4052.94</v>
      </c>
      <c r="G1055" s="4">
        <v>2018.88</v>
      </c>
      <c r="H1055" s="4">
        <v>2034.06</v>
      </c>
      <c r="I1055" s="6">
        <v>3.93</v>
      </c>
      <c r="J1055" s="5">
        <v>26</v>
      </c>
    </row>
    <row r="1056" spans="1:10">
      <c r="A1056" t="s">
        <v>33</v>
      </c>
      <c r="B1056" t="s">
        <v>29</v>
      </c>
      <c r="C1056" t="s">
        <v>16</v>
      </c>
      <c r="D1056" s="3">
        <v>45870</v>
      </c>
      <c r="E1056" s="5">
        <v>187</v>
      </c>
      <c r="F1056" s="4">
        <v>3455.57</v>
      </c>
      <c r="G1056" s="4">
        <v>3268.4</v>
      </c>
      <c r="H1056" s="4">
        <v>187.17</v>
      </c>
      <c r="I1056" s="6">
        <v>4.2300000000000004</v>
      </c>
      <c r="J1056" s="5">
        <v>26</v>
      </c>
    </row>
    <row r="1057" spans="1:10">
      <c r="A1057" t="s">
        <v>33</v>
      </c>
      <c r="B1057" t="s">
        <v>29</v>
      </c>
      <c r="C1057" t="s">
        <v>17</v>
      </c>
      <c r="D1057" s="3">
        <v>45870</v>
      </c>
      <c r="E1057" s="5">
        <v>110</v>
      </c>
      <c r="F1057" s="4">
        <v>7007.68</v>
      </c>
      <c r="G1057" s="4">
        <v>4516.55</v>
      </c>
      <c r="H1057" s="4">
        <v>2491.13</v>
      </c>
      <c r="I1057" s="6">
        <v>4.13</v>
      </c>
      <c r="J1057" s="5">
        <v>26</v>
      </c>
    </row>
    <row r="1058" spans="1:10">
      <c r="A1058" t="s">
        <v>33</v>
      </c>
      <c r="B1058" t="s">
        <v>29</v>
      </c>
      <c r="C1058" t="s">
        <v>12</v>
      </c>
      <c r="D1058" s="3">
        <v>45901</v>
      </c>
      <c r="E1058" s="5">
        <v>116</v>
      </c>
      <c r="F1058" s="4">
        <v>18122.45</v>
      </c>
      <c r="G1058" s="4">
        <v>14712.1</v>
      </c>
      <c r="H1058" s="4">
        <v>3410.35</v>
      </c>
      <c r="I1058" s="6">
        <v>4.17</v>
      </c>
      <c r="J1058" s="5">
        <v>25</v>
      </c>
    </row>
    <row r="1059" spans="1:10">
      <c r="A1059" t="s">
        <v>33</v>
      </c>
      <c r="B1059" t="s">
        <v>29</v>
      </c>
      <c r="C1059" t="s">
        <v>13</v>
      </c>
      <c r="D1059" s="3">
        <v>45901</v>
      </c>
      <c r="E1059" s="5">
        <v>105</v>
      </c>
      <c r="F1059" s="4">
        <v>8401.1299999999992</v>
      </c>
      <c r="G1059" s="4">
        <v>5758.73</v>
      </c>
      <c r="H1059" s="4">
        <v>2642.41</v>
      </c>
      <c r="I1059" s="6">
        <v>3.97</v>
      </c>
      <c r="J1059" s="5">
        <v>25</v>
      </c>
    </row>
    <row r="1060" spans="1:10">
      <c r="A1060" t="s">
        <v>33</v>
      </c>
      <c r="B1060" t="s">
        <v>29</v>
      </c>
      <c r="C1060" t="s">
        <v>14</v>
      </c>
      <c r="D1060" s="3">
        <v>45901</v>
      </c>
      <c r="E1060" s="5">
        <v>124</v>
      </c>
      <c r="F1060" s="4">
        <v>5707.15</v>
      </c>
      <c r="G1060" s="4">
        <v>3669.82</v>
      </c>
      <c r="H1060" s="4">
        <v>2037.33</v>
      </c>
      <c r="I1060" s="6">
        <v>4.07</v>
      </c>
      <c r="J1060" s="5">
        <v>25</v>
      </c>
    </row>
    <row r="1061" spans="1:10">
      <c r="A1061" t="s">
        <v>33</v>
      </c>
      <c r="B1061" t="s">
        <v>29</v>
      </c>
      <c r="C1061" t="s">
        <v>15</v>
      </c>
      <c r="D1061" s="3">
        <v>45901</v>
      </c>
      <c r="E1061" s="5">
        <v>99</v>
      </c>
      <c r="F1061" s="4">
        <v>3568.46</v>
      </c>
      <c r="G1061" s="4">
        <v>1790.45</v>
      </c>
      <c r="H1061" s="4">
        <v>1778.01</v>
      </c>
      <c r="I1061" s="6">
        <v>4.1500000000000004</v>
      </c>
      <c r="J1061" s="5">
        <v>25</v>
      </c>
    </row>
    <row r="1062" spans="1:10">
      <c r="A1062" t="s">
        <v>33</v>
      </c>
      <c r="B1062" t="s">
        <v>29</v>
      </c>
      <c r="C1062" t="s">
        <v>16</v>
      </c>
      <c r="D1062" s="3">
        <v>45901</v>
      </c>
      <c r="E1062" s="5">
        <v>179</v>
      </c>
      <c r="F1062" s="4">
        <v>3185.5</v>
      </c>
      <c r="G1062" s="4">
        <v>2997.37</v>
      </c>
      <c r="H1062" s="4">
        <v>188.14</v>
      </c>
      <c r="I1062" s="6">
        <v>3.97</v>
      </c>
      <c r="J1062" s="5">
        <v>25</v>
      </c>
    </row>
    <row r="1063" spans="1:10">
      <c r="A1063" t="s">
        <v>33</v>
      </c>
      <c r="B1063" t="s">
        <v>29</v>
      </c>
      <c r="C1063" t="s">
        <v>17</v>
      </c>
      <c r="D1063" s="3">
        <v>45901</v>
      </c>
      <c r="E1063" s="5">
        <v>84</v>
      </c>
      <c r="F1063" s="4">
        <v>5501.67</v>
      </c>
      <c r="G1063" s="4">
        <v>3766.51</v>
      </c>
      <c r="H1063" s="4">
        <v>1735.16</v>
      </c>
      <c r="I1063" s="6">
        <v>4.0999999999999996</v>
      </c>
      <c r="J1063" s="5">
        <v>25</v>
      </c>
    </row>
    <row r="1064" spans="1:10">
      <c r="A1064" t="s">
        <v>33</v>
      </c>
      <c r="B1064" t="s">
        <v>29</v>
      </c>
      <c r="C1064" t="s">
        <v>12</v>
      </c>
      <c r="D1064" s="3">
        <v>45931</v>
      </c>
      <c r="E1064" s="5">
        <v>108</v>
      </c>
      <c r="F1064" s="4">
        <v>16516.89</v>
      </c>
      <c r="G1064" s="4">
        <v>13312.73</v>
      </c>
      <c r="H1064" s="4">
        <v>3204.16</v>
      </c>
      <c r="I1064" s="6">
        <v>4.0599999999999996</v>
      </c>
      <c r="J1064" s="5">
        <v>25</v>
      </c>
    </row>
    <row r="1065" spans="1:10">
      <c r="A1065" t="s">
        <v>33</v>
      </c>
      <c r="B1065" t="s">
        <v>29</v>
      </c>
      <c r="C1065" t="s">
        <v>13</v>
      </c>
      <c r="D1065" s="3">
        <v>45931</v>
      </c>
      <c r="E1065" s="5">
        <v>105</v>
      </c>
      <c r="F1065" s="4">
        <v>8368.06</v>
      </c>
      <c r="G1065" s="4">
        <v>5809.51</v>
      </c>
      <c r="H1065" s="4">
        <v>2558.5500000000002</v>
      </c>
      <c r="I1065" s="6">
        <v>4.16</v>
      </c>
      <c r="J1065" s="5">
        <v>25</v>
      </c>
    </row>
    <row r="1066" spans="1:10">
      <c r="A1066" t="s">
        <v>33</v>
      </c>
      <c r="B1066" t="s">
        <v>29</v>
      </c>
      <c r="C1066" t="s">
        <v>14</v>
      </c>
      <c r="D1066" s="3">
        <v>45931</v>
      </c>
      <c r="E1066" s="5">
        <v>146</v>
      </c>
      <c r="F1066" s="4">
        <v>6944.72</v>
      </c>
      <c r="G1066" s="4">
        <v>4434.71</v>
      </c>
      <c r="H1066" s="4">
        <v>2510.0100000000002</v>
      </c>
      <c r="I1066" s="6">
        <v>4.01</v>
      </c>
      <c r="J1066" s="5">
        <v>25</v>
      </c>
    </row>
    <row r="1067" spans="1:10">
      <c r="A1067" t="s">
        <v>33</v>
      </c>
      <c r="B1067" t="s">
        <v>29</v>
      </c>
      <c r="C1067" t="s">
        <v>15</v>
      </c>
      <c r="D1067" s="3">
        <v>45931</v>
      </c>
      <c r="E1067" s="5">
        <v>104</v>
      </c>
      <c r="F1067" s="4">
        <v>3552.56</v>
      </c>
      <c r="G1067" s="4">
        <v>1877.2</v>
      </c>
      <c r="H1067" s="4">
        <v>1675.36</v>
      </c>
      <c r="I1067" s="6">
        <v>4.1900000000000004</v>
      </c>
      <c r="J1067" s="5">
        <v>25</v>
      </c>
    </row>
    <row r="1068" spans="1:10">
      <c r="A1068" t="s">
        <v>33</v>
      </c>
      <c r="B1068" t="s">
        <v>29</v>
      </c>
      <c r="C1068" t="s">
        <v>16</v>
      </c>
      <c r="D1068" s="3">
        <v>45931</v>
      </c>
      <c r="E1068" s="5">
        <v>194</v>
      </c>
      <c r="F1068" s="4">
        <v>3656.83</v>
      </c>
      <c r="G1068" s="4">
        <v>3344.6</v>
      </c>
      <c r="H1068" s="4">
        <v>312.23</v>
      </c>
      <c r="I1068" s="6">
        <v>3.97</v>
      </c>
      <c r="J1068" s="5">
        <v>25</v>
      </c>
    </row>
    <row r="1069" spans="1:10">
      <c r="A1069" t="s">
        <v>33</v>
      </c>
      <c r="B1069" t="s">
        <v>29</v>
      </c>
      <c r="C1069" t="s">
        <v>17</v>
      </c>
      <c r="D1069" s="3">
        <v>45931</v>
      </c>
      <c r="E1069" s="5">
        <v>94</v>
      </c>
      <c r="F1069" s="4">
        <v>5812.69</v>
      </c>
      <c r="G1069" s="4">
        <v>3875.92</v>
      </c>
      <c r="H1069" s="4">
        <v>1936.77</v>
      </c>
      <c r="I1069" s="6">
        <v>3.93</v>
      </c>
      <c r="J1069" s="5">
        <v>25</v>
      </c>
    </row>
    <row r="1070" spans="1:10">
      <c r="A1070" t="s">
        <v>33</v>
      </c>
      <c r="B1070" t="s">
        <v>29</v>
      </c>
      <c r="C1070" t="s">
        <v>12</v>
      </c>
      <c r="D1070" s="3">
        <v>45962</v>
      </c>
      <c r="E1070" s="5">
        <v>224</v>
      </c>
      <c r="F1070" s="4">
        <v>31343.51</v>
      </c>
      <c r="G1070" s="4">
        <v>24674.23</v>
      </c>
      <c r="H1070" s="4">
        <v>6669.27</v>
      </c>
      <c r="I1070" s="6">
        <v>3.94</v>
      </c>
      <c r="J1070" s="5">
        <v>27</v>
      </c>
    </row>
    <row r="1071" spans="1:10">
      <c r="A1071" t="s">
        <v>33</v>
      </c>
      <c r="B1071" t="s">
        <v>29</v>
      </c>
      <c r="C1071" t="s">
        <v>13</v>
      </c>
      <c r="D1071" s="3">
        <v>45962</v>
      </c>
      <c r="E1071" s="5">
        <v>134</v>
      </c>
      <c r="F1071" s="4">
        <v>9846.16</v>
      </c>
      <c r="G1071" s="4">
        <v>6698.7</v>
      </c>
      <c r="H1071" s="4">
        <v>3147.46</v>
      </c>
      <c r="I1071" s="6">
        <v>4.13</v>
      </c>
      <c r="J1071" s="5">
        <v>27</v>
      </c>
    </row>
    <row r="1072" spans="1:10">
      <c r="A1072" t="s">
        <v>33</v>
      </c>
      <c r="B1072" t="s">
        <v>29</v>
      </c>
      <c r="C1072" t="s">
        <v>14</v>
      </c>
      <c r="D1072" s="3">
        <v>45962</v>
      </c>
      <c r="E1072" s="5">
        <v>178</v>
      </c>
      <c r="F1072" s="4">
        <v>8777.73</v>
      </c>
      <c r="G1072" s="4">
        <v>5648.18</v>
      </c>
      <c r="H1072" s="4">
        <v>3129.55</v>
      </c>
      <c r="I1072" s="6">
        <v>3.92</v>
      </c>
      <c r="J1072" s="5">
        <v>27</v>
      </c>
    </row>
    <row r="1073" spans="1:10">
      <c r="A1073" t="s">
        <v>33</v>
      </c>
      <c r="B1073" t="s">
        <v>29</v>
      </c>
      <c r="C1073" t="s">
        <v>15</v>
      </c>
      <c r="D1073" s="3">
        <v>45962</v>
      </c>
      <c r="E1073" s="5">
        <v>142</v>
      </c>
      <c r="F1073" s="4">
        <v>4963.25</v>
      </c>
      <c r="G1073" s="4">
        <v>2614.62</v>
      </c>
      <c r="H1073" s="4">
        <v>2348.62</v>
      </c>
      <c r="I1073" s="6">
        <v>3.9</v>
      </c>
      <c r="J1073" s="5">
        <v>27</v>
      </c>
    </row>
    <row r="1074" spans="1:10">
      <c r="A1074" t="s">
        <v>33</v>
      </c>
      <c r="B1074" t="s">
        <v>29</v>
      </c>
      <c r="C1074" t="s">
        <v>16</v>
      </c>
      <c r="D1074" s="3">
        <v>45962</v>
      </c>
      <c r="E1074" s="5">
        <v>254</v>
      </c>
      <c r="F1074" s="4">
        <v>4891.93</v>
      </c>
      <c r="G1074" s="4">
        <v>4690.04</v>
      </c>
      <c r="H1074" s="4">
        <v>201.89</v>
      </c>
      <c r="I1074" s="6">
        <v>4.04</v>
      </c>
      <c r="J1074" s="5">
        <v>27</v>
      </c>
    </row>
    <row r="1075" spans="1:10">
      <c r="A1075" t="s">
        <v>33</v>
      </c>
      <c r="B1075" t="s">
        <v>29</v>
      </c>
      <c r="C1075" t="s">
        <v>17</v>
      </c>
      <c r="D1075" s="3">
        <v>45962</v>
      </c>
      <c r="E1075" s="5">
        <v>96</v>
      </c>
      <c r="F1075" s="4">
        <v>6127.28</v>
      </c>
      <c r="G1075" s="4">
        <v>4131.78</v>
      </c>
      <c r="H1075" s="4">
        <v>1995.5</v>
      </c>
      <c r="I1075" s="6">
        <v>4.17</v>
      </c>
      <c r="J1075" s="5">
        <v>27</v>
      </c>
    </row>
    <row r="1076" spans="1:10">
      <c r="A1076" t="s">
        <v>33</v>
      </c>
      <c r="B1076" t="s">
        <v>29</v>
      </c>
      <c r="C1076" t="s">
        <v>12</v>
      </c>
      <c r="D1076" s="3">
        <v>45992</v>
      </c>
      <c r="E1076" s="5">
        <v>226</v>
      </c>
      <c r="F1076" s="4">
        <v>31071.27</v>
      </c>
      <c r="G1076" s="4">
        <v>26157.83</v>
      </c>
      <c r="H1076" s="4">
        <v>4913.4399999999996</v>
      </c>
      <c r="I1076" s="6">
        <v>4.09</v>
      </c>
      <c r="J1076" s="5">
        <v>29</v>
      </c>
    </row>
    <row r="1077" spans="1:10">
      <c r="A1077" t="s">
        <v>33</v>
      </c>
      <c r="B1077" t="s">
        <v>29</v>
      </c>
      <c r="C1077" t="s">
        <v>13</v>
      </c>
      <c r="D1077" s="3">
        <v>45992</v>
      </c>
      <c r="E1077" s="5">
        <v>126</v>
      </c>
      <c r="F1077" s="4">
        <v>9985.8700000000008</v>
      </c>
      <c r="G1077" s="4">
        <v>7395.23</v>
      </c>
      <c r="H1077" s="4">
        <v>2590.65</v>
      </c>
      <c r="I1077" s="6">
        <v>3.93</v>
      </c>
      <c r="J1077" s="5">
        <v>29</v>
      </c>
    </row>
    <row r="1078" spans="1:10">
      <c r="A1078" t="s">
        <v>33</v>
      </c>
      <c r="B1078" t="s">
        <v>29</v>
      </c>
      <c r="C1078" t="s">
        <v>14</v>
      </c>
      <c r="D1078" s="3">
        <v>45992</v>
      </c>
      <c r="E1078" s="5">
        <v>217</v>
      </c>
      <c r="F1078" s="4">
        <v>9938.65</v>
      </c>
      <c r="G1078" s="4">
        <v>6512.32</v>
      </c>
      <c r="H1078" s="4">
        <v>3426.34</v>
      </c>
      <c r="I1078" s="6">
        <v>4.04</v>
      </c>
      <c r="J1078" s="5">
        <v>29</v>
      </c>
    </row>
    <row r="1079" spans="1:10">
      <c r="A1079" t="s">
        <v>33</v>
      </c>
      <c r="B1079" t="s">
        <v>29</v>
      </c>
      <c r="C1079" t="s">
        <v>15</v>
      </c>
      <c r="D1079" s="3">
        <v>45992</v>
      </c>
      <c r="E1079" s="5">
        <v>164</v>
      </c>
      <c r="F1079" s="4">
        <v>5709.38</v>
      </c>
      <c r="G1079" s="4">
        <v>3146.67</v>
      </c>
      <c r="H1079" s="4">
        <v>2562.7199999999998</v>
      </c>
      <c r="I1079" s="6">
        <v>4.0999999999999996</v>
      </c>
      <c r="J1079" s="5">
        <v>29</v>
      </c>
    </row>
    <row r="1080" spans="1:10">
      <c r="A1080" t="s">
        <v>33</v>
      </c>
      <c r="B1080" t="s">
        <v>29</v>
      </c>
      <c r="C1080" t="s">
        <v>16</v>
      </c>
      <c r="D1080" s="3">
        <v>45992</v>
      </c>
      <c r="E1080" s="5">
        <v>282</v>
      </c>
      <c r="F1080" s="4">
        <v>5168.08</v>
      </c>
      <c r="G1080" s="4">
        <v>5034.62</v>
      </c>
      <c r="H1080" s="4">
        <v>133.46</v>
      </c>
      <c r="I1080" s="6">
        <v>4.1500000000000004</v>
      </c>
      <c r="J1080" s="5">
        <v>29</v>
      </c>
    </row>
    <row r="1081" spans="1:10">
      <c r="A1081" t="s">
        <v>33</v>
      </c>
      <c r="B1081" t="s">
        <v>29</v>
      </c>
      <c r="C1081" t="s">
        <v>17</v>
      </c>
      <c r="D1081" s="3">
        <v>45992</v>
      </c>
      <c r="E1081" s="5">
        <v>109</v>
      </c>
      <c r="F1081" s="4">
        <v>6898.02</v>
      </c>
      <c r="G1081" s="4">
        <v>4920.99</v>
      </c>
      <c r="H1081" s="4">
        <v>1977.03</v>
      </c>
      <c r="I1081" s="6">
        <v>4.1500000000000004</v>
      </c>
      <c r="J1081" s="5">
        <v>29</v>
      </c>
    </row>
    <row r="1082" spans="1:10">
      <c r="A1082" t="s">
        <v>34</v>
      </c>
      <c r="B1082" t="s">
        <v>35</v>
      </c>
      <c r="C1082" t="s">
        <v>12</v>
      </c>
      <c r="D1082" s="3">
        <v>45658</v>
      </c>
      <c r="E1082" s="5">
        <v>121</v>
      </c>
      <c r="F1082" s="4">
        <v>16935.41</v>
      </c>
      <c r="G1082" s="4">
        <v>12626.53</v>
      </c>
      <c r="H1082" s="4">
        <v>4308.87</v>
      </c>
      <c r="I1082" s="6">
        <v>4.59</v>
      </c>
      <c r="J1082" s="5">
        <v>32</v>
      </c>
    </row>
    <row r="1083" spans="1:10">
      <c r="A1083" t="s">
        <v>34</v>
      </c>
      <c r="B1083" t="s">
        <v>35</v>
      </c>
      <c r="C1083" t="s">
        <v>13</v>
      </c>
      <c r="D1083" s="3">
        <v>45658</v>
      </c>
      <c r="E1083" s="5">
        <v>101</v>
      </c>
      <c r="F1083" s="4">
        <v>7385.42</v>
      </c>
      <c r="G1083" s="4">
        <v>4868.03</v>
      </c>
      <c r="H1083" s="4">
        <v>2517.4</v>
      </c>
      <c r="I1083" s="6">
        <v>4.63</v>
      </c>
      <c r="J1083" s="5">
        <v>32</v>
      </c>
    </row>
    <row r="1084" spans="1:10">
      <c r="A1084" t="s">
        <v>34</v>
      </c>
      <c r="B1084" t="s">
        <v>35</v>
      </c>
      <c r="C1084" t="s">
        <v>14</v>
      </c>
      <c r="D1084" s="3">
        <v>45658</v>
      </c>
      <c r="E1084" s="5">
        <v>126</v>
      </c>
      <c r="F1084" s="4">
        <v>6524.61</v>
      </c>
      <c r="G1084" s="4">
        <v>3744.46</v>
      </c>
      <c r="H1084" s="4">
        <v>2780.15</v>
      </c>
      <c r="I1084" s="6">
        <v>4.5999999999999996</v>
      </c>
      <c r="J1084" s="5">
        <v>32</v>
      </c>
    </row>
    <row r="1085" spans="1:10">
      <c r="A1085" t="s">
        <v>34</v>
      </c>
      <c r="B1085" t="s">
        <v>35</v>
      </c>
      <c r="C1085" t="s">
        <v>15</v>
      </c>
      <c r="D1085" s="3">
        <v>45658</v>
      </c>
      <c r="E1085" s="5">
        <v>117</v>
      </c>
      <c r="F1085" s="4">
        <v>4409.8999999999996</v>
      </c>
      <c r="G1085" s="4">
        <v>2020.11</v>
      </c>
      <c r="H1085" s="4">
        <v>2389.8000000000002</v>
      </c>
      <c r="I1085" s="6">
        <v>4.7300000000000004</v>
      </c>
      <c r="J1085" s="5">
        <v>32</v>
      </c>
    </row>
    <row r="1086" spans="1:10">
      <c r="A1086" t="s">
        <v>34</v>
      </c>
      <c r="B1086" t="s">
        <v>35</v>
      </c>
      <c r="C1086" t="s">
        <v>16</v>
      </c>
      <c r="D1086" s="3">
        <v>45658</v>
      </c>
      <c r="E1086" s="5">
        <v>166</v>
      </c>
      <c r="F1086" s="4">
        <v>2898.21</v>
      </c>
      <c r="G1086" s="4">
        <v>2591.09</v>
      </c>
      <c r="H1086" s="4">
        <v>307.13</v>
      </c>
      <c r="I1086" s="6">
        <v>4.7699999999999996</v>
      </c>
      <c r="J1086" s="5">
        <v>32</v>
      </c>
    </row>
    <row r="1087" spans="1:10">
      <c r="A1087" t="s">
        <v>34</v>
      </c>
      <c r="B1087" t="s">
        <v>35</v>
      </c>
      <c r="C1087" t="s">
        <v>17</v>
      </c>
      <c r="D1087" s="3">
        <v>45658</v>
      </c>
      <c r="E1087" s="5">
        <v>77</v>
      </c>
      <c r="F1087" s="4">
        <v>4657.38</v>
      </c>
      <c r="G1087" s="4">
        <v>2967.56</v>
      </c>
      <c r="H1087" s="4">
        <v>1689.82</v>
      </c>
      <c r="I1087" s="6">
        <v>4.63</v>
      </c>
      <c r="J1087" s="5">
        <v>32</v>
      </c>
    </row>
    <row r="1088" spans="1:10">
      <c r="A1088" t="s">
        <v>34</v>
      </c>
      <c r="B1088" t="s">
        <v>35</v>
      </c>
      <c r="C1088" t="s">
        <v>12</v>
      </c>
      <c r="D1088" s="3">
        <v>45689</v>
      </c>
      <c r="E1088" s="5">
        <v>118</v>
      </c>
      <c r="F1088" s="4">
        <v>16764.849999999999</v>
      </c>
      <c r="G1088" s="4">
        <v>12306.4</v>
      </c>
      <c r="H1088" s="4">
        <v>4458.45</v>
      </c>
      <c r="I1088" s="6">
        <v>4.5199999999999996</v>
      </c>
      <c r="J1088" s="5">
        <v>32</v>
      </c>
    </row>
    <row r="1089" spans="1:10">
      <c r="A1089" t="s">
        <v>34</v>
      </c>
      <c r="B1089" t="s">
        <v>35</v>
      </c>
      <c r="C1089" t="s">
        <v>13</v>
      </c>
      <c r="D1089" s="3">
        <v>45689</v>
      </c>
      <c r="E1089" s="5">
        <v>104</v>
      </c>
      <c r="F1089" s="4">
        <v>8414.9599999999991</v>
      </c>
      <c r="G1089" s="4">
        <v>5275.12</v>
      </c>
      <c r="H1089" s="4">
        <v>3139.83</v>
      </c>
      <c r="I1089" s="6">
        <v>4.82</v>
      </c>
      <c r="J1089" s="5">
        <v>32</v>
      </c>
    </row>
    <row r="1090" spans="1:10">
      <c r="A1090" t="s">
        <v>34</v>
      </c>
      <c r="B1090" t="s">
        <v>35</v>
      </c>
      <c r="C1090" t="s">
        <v>14</v>
      </c>
      <c r="D1090" s="3">
        <v>45689</v>
      </c>
      <c r="E1090" s="5">
        <v>134</v>
      </c>
      <c r="F1090" s="4">
        <v>6740.82</v>
      </c>
      <c r="G1090" s="4">
        <v>4055.2</v>
      </c>
      <c r="H1090" s="4">
        <v>2685.62</v>
      </c>
      <c r="I1090" s="6">
        <v>4.7699999999999996</v>
      </c>
      <c r="J1090" s="5">
        <v>32</v>
      </c>
    </row>
    <row r="1091" spans="1:10">
      <c r="A1091" t="s">
        <v>34</v>
      </c>
      <c r="B1091" t="s">
        <v>35</v>
      </c>
      <c r="C1091" t="s">
        <v>15</v>
      </c>
      <c r="D1091" s="3">
        <v>45689</v>
      </c>
      <c r="E1091" s="5">
        <v>118</v>
      </c>
      <c r="F1091" s="4">
        <v>4539.7299999999996</v>
      </c>
      <c r="G1091" s="4">
        <v>2116.9499999999998</v>
      </c>
      <c r="H1091" s="4">
        <v>2422.79</v>
      </c>
      <c r="I1091" s="6">
        <v>4.68</v>
      </c>
      <c r="J1091" s="5">
        <v>32</v>
      </c>
    </row>
    <row r="1092" spans="1:10">
      <c r="A1092" t="s">
        <v>34</v>
      </c>
      <c r="B1092" t="s">
        <v>35</v>
      </c>
      <c r="C1092" t="s">
        <v>16</v>
      </c>
      <c r="D1092" s="3">
        <v>45689</v>
      </c>
      <c r="E1092" s="5">
        <v>175</v>
      </c>
      <c r="F1092" s="4">
        <v>3164.02</v>
      </c>
      <c r="G1092" s="4">
        <v>2745.48</v>
      </c>
      <c r="H1092" s="4">
        <v>418.54</v>
      </c>
      <c r="I1092" s="6">
        <v>4.54</v>
      </c>
      <c r="J1092" s="5">
        <v>32</v>
      </c>
    </row>
    <row r="1093" spans="1:10">
      <c r="A1093" t="s">
        <v>34</v>
      </c>
      <c r="B1093" t="s">
        <v>35</v>
      </c>
      <c r="C1093" t="s">
        <v>17</v>
      </c>
      <c r="D1093" s="3">
        <v>45689</v>
      </c>
      <c r="E1093" s="5">
        <v>81</v>
      </c>
      <c r="F1093" s="4">
        <v>5346.16</v>
      </c>
      <c r="G1093" s="4">
        <v>3296.47</v>
      </c>
      <c r="H1093" s="4">
        <v>2049.69</v>
      </c>
      <c r="I1093" s="6">
        <v>4.5599999999999996</v>
      </c>
      <c r="J1093" s="5">
        <v>32</v>
      </c>
    </row>
    <row r="1094" spans="1:10">
      <c r="A1094" t="s">
        <v>34</v>
      </c>
      <c r="B1094" t="s">
        <v>35</v>
      </c>
      <c r="C1094" t="s">
        <v>12</v>
      </c>
      <c r="D1094" s="3">
        <v>45717</v>
      </c>
      <c r="E1094" s="5">
        <v>138</v>
      </c>
      <c r="F1094" s="4">
        <v>21380.75</v>
      </c>
      <c r="G1094" s="4">
        <v>16521.14</v>
      </c>
      <c r="H1094" s="4">
        <v>4859.62</v>
      </c>
      <c r="I1094" s="6">
        <v>4.7300000000000004</v>
      </c>
      <c r="J1094" s="5">
        <v>31</v>
      </c>
    </row>
    <row r="1095" spans="1:10">
      <c r="A1095" t="s">
        <v>34</v>
      </c>
      <c r="B1095" t="s">
        <v>35</v>
      </c>
      <c r="C1095" t="s">
        <v>13</v>
      </c>
      <c r="D1095" s="3">
        <v>45717</v>
      </c>
      <c r="E1095" s="5">
        <v>122</v>
      </c>
      <c r="F1095" s="4">
        <v>9744.93</v>
      </c>
      <c r="G1095" s="4">
        <v>6229</v>
      </c>
      <c r="H1095" s="4">
        <v>3515.93</v>
      </c>
      <c r="I1095" s="6">
        <v>4.7699999999999996</v>
      </c>
      <c r="J1095" s="5">
        <v>31</v>
      </c>
    </row>
    <row r="1096" spans="1:10">
      <c r="A1096" t="s">
        <v>34</v>
      </c>
      <c r="B1096" t="s">
        <v>35</v>
      </c>
      <c r="C1096" t="s">
        <v>14</v>
      </c>
      <c r="D1096" s="3">
        <v>45717</v>
      </c>
      <c r="E1096" s="5">
        <v>166</v>
      </c>
      <c r="F1096" s="4">
        <v>8502.43</v>
      </c>
      <c r="G1096" s="4">
        <v>5062.2</v>
      </c>
      <c r="H1096" s="4">
        <v>3440.23</v>
      </c>
      <c r="I1096" s="6">
        <v>4.58</v>
      </c>
      <c r="J1096" s="5">
        <v>31</v>
      </c>
    </row>
    <row r="1097" spans="1:10">
      <c r="A1097" t="s">
        <v>34</v>
      </c>
      <c r="B1097" t="s">
        <v>35</v>
      </c>
      <c r="C1097" t="s">
        <v>15</v>
      </c>
      <c r="D1097" s="3">
        <v>45717</v>
      </c>
      <c r="E1097" s="5">
        <v>109</v>
      </c>
      <c r="F1097" s="4">
        <v>4090.03</v>
      </c>
      <c r="G1097" s="4">
        <v>1939.33</v>
      </c>
      <c r="H1097" s="4">
        <v>2150.6999999999998</v>
      </c>
      <c r="I1097" s="6">
        <v>4.5</v>
      </c>
      <c r="J1097" s="5">
        <v>31</v>
      </c>
    </row>
    <row r="1098" spans="1:10">
      <c r="A1098" t="s">
        <v>34</v>
      </c>
      <c r="B1098" t="s">
        <v>35</v>
      </c>
      <c r="C1098" t="s">
        <v>16</v>
      </c>
      <c r="D1098" s="3">
        <v>45717</v>
      </c>
      <c r="E1098" s="5">
        <v>230</v>
      </c>
      <c r="F1098" s="4">
        <v>4093.26</v>
      </c>
      <c r="G1098" s="4">
        <v>3720.66</v>
      </c>
      <c r="H1098" s="4">
        <v>372.6</v>
      </c>
      <c r="I1098" s="6">
        <v>4.59</v>
      </c>
      <c r="J1098" s="5">
        <v>31</v>
      </c>
    </row>
    <row r="1099" spans="1:10">
      <c r="A1099" t="s">
        <v>34</v>
      </c>
      <c r="B1099" t="s">
        <v>35</v>
      </c>
      <c r="C1099" t="s">
        <v>17</v>
      </c>
      <c r="D1099" s="3">
        <v>45717</v>
      </c>
      <c r="E1099" s="5">
        <v>96</v>
      </c>
      <c r="F1099" s="4">
        <v>6318.03</v>
      </c>
      <c r="G1099" s="4">
        <v>4081.59</v>
      </c>
      <c r="H1099" s="4">
        <v>2236.44</v>
      </c>
      <c r="I1099" s="6">
        <v>4.55</v>
      </c>
      <c r="J1099" s="5">
        <v>31</v>
      </c>
    </row>
    <row r="1100" spans="1:10">
      <c r="A1100" t="s">
        <v>34</v>
      </c>
      <c r="B1100" t="s">
        <v>35</v>
      </c>
      <c r="C1100" t="s">
        <v>12</v>
      </c>
      <c r="D1100" s="3">
        <v>45748</v>
      </c>
      <c r="E1100" s="5">
        <v>128</v>
      </c>
      <c r="F1100" s="4">
        <v>17587.05</v>
      </c>
      <c r="G1100" s="4">
        <v>13526.61</v>
      </c>
      <c r="H1100" s="4">
        <v>4060.43</v>
      </c>
      <c r="I1100" s="6">
        <v>4.58</v>
      </c>
      <c r="J1100" s="5">
        <v>30</v>
      </c>
    </row>
    <row r="1101" spans="1:10">
      <c r="A1101" t="s">
        <v>34</v>
      </c>
      <c r="B1101" t="s">
        <v>35</v>
      </c>
      <c r="C1101" t="s">
        <v>13</v>
      </c>
      <c r="D1101" s="3">
        <v>45748</v>
      </c>
      <c r="E1101" s="5">
        <v>114</v>
      </c>
      <c r="F1101" s="4">
        <v>8829.3799999999992</v>
      </c>
      <c r="G1101" s="4">
        <v>5749.37</v>
      </c>
      <c r="H1101" s="4">
        <v>3080.01</v>
      </c>
      <c r="I1101" s="6">
        <v>4.72</v>
      </c>
      <c r="J1101" s="5">
        <v>30</v>
      </c>
    </row>
    <row r="1102" spans="1:10">
      <c r="A1102" t="s">
        <v>34</v>
      </c>
      <c r="B1102" t="s">
        <v>35</v>
      </c>
      <c r="C1102" t="s">
        <v>14</v>
      </c>
      <c r="D1102" s="3">
        <v>45748</v>
      </c>
      <c r="E1102" s="5">
        <v>201</v>
      </c>
      <c r="F1102" s="4">
        <v>10416.280000000001</v>
      </c>
      <c r="G1102" s="4">
        <v>6404.98</v>
      </c>
      <c r="H1102" s="4">
        <v>4011.3</v>
      </c>
      <c r="I1102" s="6">
        <v>4.74</v>
      </c>
      <c r="J1102" s="5">
        <v>30</v>
      </c>
    </row>
    <row r="1103" spans="1:10">
      <c r="A1103" t="s">
        <v>34</v>
      </c>
      <c r="B1103" t="s">
        <v>35</v>
      </c>
      <c r="C1103" t="s">
        <v>15</v>
      </c>
      <c r="D1103" s="3">
        <v>45748</v>
      </c>
      <c r="E1103" s="5">
        <v>146</v>
      </c>
      <c r="F1103" s="4">
        <v>5363.94</v>
      </c>
      <c r="G1103" s="4">
        <v>2500.9</v>
      </c>
      <c r="H1103" s="4">
        <v>2863.04</v>
      </c>
      <c r="I1103" s="6">
        <v>4.63</v>
      </c>
      <c r="J1103" s="5">
        <v>30</v>
      </c>
    </row>
    <row r="1104" spans="1:10">
      <c r="A1104" t="s">
        <v>34</v>
      </c>
      <c r="B1104" t="s">
        <v>35</v>
      </c>
      <c r="C1104" t="s">
        <v>16</v>
      </c>
      <c r="D1104" s="3">
        <v>45748</v>
      </c>
      <c r="E1104" s="5">
        <v>221</v>
      </c>
      <c r="F1104" s="4">
        <v>3926.54</v>
      </c>
      <c r="G1104" s="4">
        <v>3520.92</v>
      </c>
      <c r="H1104" s="4">
        <v>405.62</v>
      </c>
      <c r="I1104" s="6">
        <v>4.71</v>
      </c>
      <c r="J1104" s="5">
        <v>30</v>
      </c>
    </row>
    <row r="1105" spans="1:10">
      <c r="A1105" t="s">
        <v>34</v>
      </c>
      <c r="B1105" t="s">
        <v>35</v>
      </c>
      <c r="C1105" t="s">
        <v>17</v>
      </c>
      <c r="D1105" s="3">
        <v>45748</v>
      </c>
      <c r="E1105" s="5">
        <v>94</v>
      </c>
      <c r="F1105" s="4">
        <v>5925.57</v>
      </c>
      <c r="G1105" s="4">
        <v>3726.65</v>
      </c>
      <c r="H1105" s="4">
        <v>2198.91</v>
      </c>
      <c r="I1105" s="6">
        <v>4.6100000000000003</v>
      </c>
      <c r="J1105" s="5">
        <v>30</v>
      </c>
    </row>
    <row r="1106" spans="1:10">
      <c r="A1106" t="s">
        <v>34</v>
      </c>
      <c r="B1106" t="s">
        <v>35</v>
      </c>
      <c r="C1106" t="s">
        <v>12</v>
      </c>
      <c r="D1106" s="3">
        <v>45778</v>
      </c>
      <c r="E1106" s="5">
        <v>149</v>
      </c>
      <c r="F1106" s="4">
        <v>20716.64</v>
      </c>
      <c r="G1106" s="4">
        <v>16091.73</v>
      </c>
      <c r="H1106" s="4">
        <v>4624.91</v>
      </c>
      <c r="I1106" s="6">
        <v>4.6500000000000004</v>
      </c>
      <c r="J1106" s="5">
        <v>32</v>
      </c>
    </row>
    <row r="1107" spans="1:10">
      <c r="A1107" t="s">
        <v>34</v>
      </c>
      <c r="B1107" t="s">
        <v>35</v>
      </c>
      <c r="C1107" t="s">
        <v>13</v>
      </c>
      <c r="D1107" s="3">
        <v>45778</v>
      </c>
      <c r="E1107" s="5">
        <v>128</v>
      </c>
      <c r="F1107" s="4">
        <v>10032.629999999999</v>
      </c>
      <c r="G1107" s="4">
        <v>6540.2</v>
      </c>
      <c r="H1107" s="4">
        <v>3492.43</v>
      </c>
      <c r="I1107" s="6">
        <v>4.6900000000000004</v>
      </c>
      <c r="J1107" s="5">
        <v>32</v>
      </c>
    </row>
    <row r="1108" spans="1:10">
      <c r="A1108" t="s">
        <v>34</v>
      </c>
      <c r="B1108" t="s">
        <v>35</v>
      </c>
      <c r="C1108" t="s">
        <v>14</v>
      </c>
      <c r="D1108" s="3">
        <v>45778</v>
      </c>
      <c r="E1108" s="5">
        <v>169</v>
      </c>
      <c r="F1108" s="4">
        <v>7706.64</v>
      </c>
      <c r="G1108" s="4">
        <v>4732.1099999999997</v>
      </c>
      <c r="H1108" s="4">
        <v>2974.53</v>
      </c>
      <c r="I1108" s="6">
        <v>4.59</v>
      </c>
      <c r="J1108" s="5">
        <v>32</v>
      </c>
    </row>
    <row r="1109" spans="1:10">
      <c r="A1109" t="s">
        <v>34</v>
      </c>
      <c r="B1109" t="s">
        <v>35</v>
      </c>
      <c r="C1109" t="s">
        <v>15</v>
      </c>
      <c r="D1109" s="3">
        <v>45778</v>
      </c>
      <c r="E1109" s="5">
        <v>132</v>
      </c>
      <c r="F1109" s="4">
        <v>5081.6899999999996</v>
      </c>
      <c r="G1109" s="4">
        <v>2398.9699999999998</v>
      </c>
      <c r="H1109" s="4">
        <v>2682.72</v>
      </c>
      <c r="I1109" s="6">
        <v>4.71</v>
      </c>
      <c r="J1109" s="5">
        <v>32</v>
      </c>
    </row>
    <row r="1110" spans="1:10">
      <c r="A1110" t="s">
        <v>34</v>
      </c>
      <c r="B1110" t="s">
        <v>35</v>
      </c>
      <c r="C1110" t="s">
        <v>16</v>
      </c>
      <c r="D1110" s="3">
        <v>45778</v>
      </c>
      <c r="E1110" s="5">
        <v>217</v>
      </c>
      <c r="F1110" s="4">
        <v>3847.03</v>
      </c>
      <c r="G1110" s="4">
        <v>3497.31</v>
      </c>
      <c r="H1110" s="4">
        <v>349.73</v>
      </c>
      <c r="I1110" s="6">
        <v>4.45</v>
      </c>
      <c r="J1110" s="5">
        <v>32</v>
      </c>
    </row>
    <row r="1111" spans="1:10">
      <c r="A1111" t="s">
        <v>34</v>
      </c>
      <c r="B1111" t="s">
        <v>35</v>
      </c>
      <c r="C1111" t="s">
        <v>17</v>
      </c>
      <c r="D1111" s="3">
        <v>45778</v>
      </c>
      <c r="E1111" s="5">
        <v>140</v>
      </c>
      <c r="F1111" s="4">
        <v>8529.6200000000008</v>
      </c>
      <c r="G1111" s="4">
        <v>5653.8</v>
      </c>
      <c r="H1111" s="4">
        <v>2875.82</v>
      </c>
      <c r="I1111" s="6">
        <v>4.6900000000000004</v>
      </c>
      <c r="J1111" s="5">
        <v>32</v>
      </c>
    </row>
    <row r="1112" spans="1:10">
      <c r="A1112" t="s">
        <v>34</v>
      </c>
      <c r="B1112" t="s">
        <v>35</v>
      </c>
      <c r="C1112" t="s">
        <v>12</v>
      </c>
      <c r="D1112" s="3">
        <v>45809</v>
      </c>
      <c r="E1112" s="5">
        <v>145</v>
      </c>
      <c r="F1112" s="4">
        <v>22483.919999999998</v>
      </c>
      <c r="G1112" s="4">
        <v>17257.02</v>
      </c>
      <c r="H1112" s="4">
        <v>5226.8999999999996</v>
      </c>
      <c r="I1112" s="6">
        <v>4.72</v>
      </c>
      <c r="J1112" s="5">
        <v>33</v>
      </c>
    </row>
    <row r="1113" spans="1:10">
      <c r="A1113" t="s">
        <v>34</v>
      </c>
      <c r="B1113" t="s">
        <v>35</v>
      </c>
      <c r="C1113" t="s">
        <v>13</v>
      </c>
      <c r="D1113" s="3">
        <v>45809</v>
      </c>
      <c r="E1113" s="5">
        <v>132</v>
      </c>
      <c r="F1113" s="4">
        <v>9649.17</v>
      </c>
      <c r="G1113" s="4">
        <v>6553.57</v>
      </c>
      <c r="H1113" s="4">
        <v>3095.6</v>
      </c>
      <c r="I1113" s="6">
        <v>4.5</v>
      </c>
      <c r="J1113" s="5">
        <v>33</v>
      </c>
    </row>
    <row r="1114" spans="1:10">
      <c r="A1114" t="s">
        <v>34</v>
      </c>
      <c r="B1114" t="s">
        <v>35</v>
      </c>
      <c r="C1114" t="s">
        <v>14</v>
      </c>
      <c r="D1114" s="3">
        <v>45809</v>
      </c>
      <c r="E1114" s="5">
        <v>177</v>
      </c>
      <c r="F1114" s="4">
        <v>8724.89</v>
      </c>
      <c r="G1114" s="4">
        <v>5209.67</v>
      </c>
      <c r="H1114" s="4">
        <v>3515.21</v>
      </c>
      <c r="I1114" s="6">
        <v>4.7699999999999996</v>
      </c>
      <c r="J1114" s="5">
        <v>33</v>
      </c>
    </row>
    <row r="1115" spans="1:10">
      <c r="A1115" t="s">
        <v>34</v>
      </c>
      <c r="B1115" t="s">
        <v>35</v>
      </c>
      <c r="C1115" t="s">
        <v>15</v>
      </c>
      <c r="D1115" s="3">
        <v>45809</v>
      </c>
      <c r="E1115" s="5">
        <v>139</v>
      </c>
      <c r="F1115" s="4">
        <v>4905.3</v>
      </c>
      <c r="G1115" s="4">
        <v>2380.9899999999998</v>
      </c>
      <c r="H1115" s="4">
        <v>2524.31</v>
      </c>
      <c r="I1115" s="6">
        <v>4.76</v>
      </c>
      <c r="J1115" s="5">
        <v>33</v>
      </c>
    </row>
    <row r="1116" spans="1:10">
      <c r="A1116" t="s">
        <v>34</v>
      </c>
      <c r="B1116" t="s">
        <v>35</v>
      </c>
      <c r="C1116" t="s">
        <v>16</v>
      </c>
      <c r="D1116" s="3">
        <v>45809</v>
      </c>
      <c r="E1116" s="5">
        <v>236</v>
      </c>
      <c r="F1116" s="4">
        <v>4190.49</v>
      </c>
      <c r="G1116" s="4">
        <v>3868.26</v>
      </c>
      <c r="H1116" s="4">
        <v>322.23</v>
      </c>
      <c r="I1116" s="6">
        <v>4.5199999999999996</v>
      </c>
      <c r="J1116" s="5">
        <v>33</v>
      </c>
    </row>
    <row r="1117" spans="1:10">
      <c r="A1117" t="s">
        <v>34</v>
      </c>
      <c r="B1117" t="s">
        <v>35</v>
      </c>
      <c r="C1117" t="s">
        <v>17</v>
      </c>
      <c r="D1117" s="3">
        <v>45809</v>
      </c>
      <c r="E1117" s="5">
        <v>154</v>
      </c>
      <c r="F1117" s="4">
        <v>9705.5400000000009</v>
      </c>
      <c r="G1117" s="4">
        <v>6403.36</v>
      </c>
      <c r="H1117" s="4">
        <v>3302.17</v>
      </c>
      <c r="I1117" s="6">
        <v>4.67</v>
      </c>
      <c r="J1117" s="5">
        <v>33</v>
      </c>
    </row>
    <row r="1118" spans="1:10">
      <c r="A1118" t="s">
        <v>34</v>
      </c>
      <c r="B1118" t="s">
        <v>35</v>
      </c>
      <c r="C1118" t="s">
        <v>12</v>
      </c>
      <c r="D1118" s="3">
        <v>45839</v>
      </c>
      <c r="E1118" s="5">
        <v>155</v>
      </c>
      <c r="F1118" s="4">
        <v>22311.49</v>
      </c>
      <c r="G1118" s="4">
        <v>17964.07</v>
      </c>
      <c r="H1118" s="4">
        <v>4347.42</v>
      </c>
      <c r="I1118" s="6">
        <v>4.66</v>
      </c>
      <c r="J1118" s="5">
        <v>32</v>
      </c>
    </row>
    <row r="1119" spans="1:10">
      <c r="A1119" t="s">
        <v>34</v>
      </c>
      <c r="B1119" t="s">
        <v>35</v>
      </c>
      <c r="C1119" t="s">
        <v>13</v>
      </c>
      <c r="D1119" s="3">
        <v>45839</v>
      </c>
      <c r="E1119" s="5">
        <v>130</v>
      </c>
      <c r="F1119" s="4">
        <v>9640.5499999999993</v>
      </c>
      <c r="G1119" s="4">
        <v>6345</v>
      </c>
      <c r="H1119" s="4">
        <v>3295.54</v>
      </c>
      <c r="I1119" s="6">
        <v>4.54</v>
      </c>
      <c r="J1119" s="5">
        <v>32</v>
      </c>
    </row>
    <row r="1120" spans="1:10">
      <c r="A1120" t="s">
        <v>34</v>
      </c>
      <c r="B1120" t="s">
        <v>35</v>
      </c>
      <c r="C1120" t="s">
        <v>14</v>
      </c>
      <c r="D1120" s="3">
        <v>45839</v>
      </c>
      <c r="E1120" s="5">
        <v>181</v>
      </c>
      <c r="F1120" s="4">
        <v>8732.26</v>
      </c>
      <c r="G1120" s="4">
        <v>5522.75</v>
      </c>
      <c r="H1120" s="4">
        <v>3209.51</v>
      </c>
      <c r="I1120" s="6">
        <v>4.49</v>
      </c>
      <c r="J1120" s="5">
        <v>32</v>
      </c>
    </row>
    <row r="1121" spans="1:10">
      <c r="A1121" t="s">
        <v>34</v>
      </c>
      <c r="B1121" t="s">
        <v>35</v>
      </c>
      <c r="C1121" t="s">
        <v>15</v>
      </c>
      <c r="D1121" s="3">
        <v>45839</v>
      </c>
      <c r="E1121" s="5">
        <v>145</v>
      </c>
      <c r="F1121" s="4">
        <v>5389.4</v>
      </c>
      <c r="G1121" s="4">
        <v>2699.28</v>
      </c>
      <c r="H1121" s="4">
        <v>2690.12</v>
      </c>
      <c r="I1121" s="6">
        <v>4.8</v>
      </c>
      <c r="J1121" s="5">
        <v>32</v>
      </c>
    </row>
    <row r="1122" spans="1:10">
      <c r="A1122" t="s">
        <v>34</v>
      </c>
      <c r="B1122" t="s">
        <v>35</v>
      </c>
      <c r="C1122" t="s">
        <v>16</v>
      </c>
      <c r="D1122" s="3">
        <v>45839</v>
      </c>
      <c r="E1122" s="5">
        <v>249</v>
      </c>
      <c r="F1122" s="4">
        <v>4396.62</v>
      </c>
      <c r="G1122" s="4">
        <v>4119.9399999999996</v>
      </c>
      <c r="H1122" s="4">
        <v>276.67</v>
      </c>
      <c r="I1122" s="6">
        <v>4.58</v>
      </c>
      <c r="J1122" s="5">
        <v>32</v>
      </c>
    </row>
    <row r="1123" spans="1:10">
      <c r="A1123" t="s">
        <v>34</v>
      </c>
      <c r="B1123" t="s">
        <v>35</v>
      </c>
      <c r="C1123" t="s">
        <v>17</v>
      </c>
      <c r="D1123" s="3">
        <v>45839</v>
      </c>
      <c r="E1123" s="5">
        <v>153</v>
      </c>
      <c r="F1123" s="4">
        <v>10218.040000000001</v>
      </c>
      <c r="G1123" s="4">
        <v>6706.47</v>
      </c>
      <c r="H1123" s="4">
        <v>3511.57</v>
      </c>
      <c r="I1123" s="6">
        <v>4.7300000000000004</v>
      </c>
      <c r="J1123" s="5">
        <v>32</v>
      </c>
    </row>
    <row r="1124" spans="1:10">
      <c r="A1124" t="s">
        <v>34</v>
      </c>
      <c r="B1124" t="s">
        <v>35</v>
      </c>
      <c r="C1124" t="s">
        <v>12</v>
      </c>
      <c r="D1124" s="3">
        <v>45870</v>
      </c>
      <c r="E1124" s="5">
        <v>138</v>
      </c>
      <c r="F1124" s="4">
        <v>19055.98</v>
      </c>
      <c r="G1124" s="4">
        <v>14819.66</v>
      </c>
      <c r="H1124" s="4">
        <v>4236.32</v>
      </c>
      <c r="I1124" s="6">
        <v>4.82</v>
      </c>
      <c r="J1124" s="5">
        <v>32</v>
      </c>
    </row>
    <row r="1125" spans="1:10">
      <c r="A1125" t="s">
        <v>34</v>
      </c>
      <c r="B1125" t="s">
        <v>35</v>
      </c>
      <c r="C1125" t="s">
        <v>13</v>
      </c>
      <c r="D1125" s="3">
        <v>45870</v>
      </c>
      <c r="E1125" s="5">
        <v>141</v>
      </c>
      <c r="F1125" s="4">
        <v>10914.21</v>
      </c>
      <c r="G1125" s="4">
        <v>7538.38</v>
      </c>
      <c r="H1125" s="4">
        <v>3375.83</v>
      </c>
      <c r="I1125" s="6">
        <v>4.4800000000000004</v>
      </c>
      <c r="J1125" s="5">
        <v>32</v>
      </c>
    </row>
    <row r="1126" spans="1:10">
      <c r="A1126" t="s">
        <v>34</v>
      </c>
      <c r="B1126" t="s">
        <v>35</v>
      </c>
      <c r="C1126" t="s">
        <v>14</v>
      </c>
      <c r="D1126" s="3">
        <v>45870</v>
      </c>
      <c r="E1126" s="5">
        <v>221</v>
      </c>
      <c r="F1126" s="4">
        <v>10699.13</v>
      </c>
      <c r="G1126" s="4">
        <v>6752.44</v>
      </c>
      <c r="H1126" s="4">
        <v>3946.69</v>
      </c>
      <c r="I1126" s="6">
        <v>4.4800000000000004</v>
      </c>
      <c r="J1126" s="5">
        <v>32</v>
      </c>
    </row>
    <row r="1127" spans="1:10">
      <c r="A1127" t="s">
        <v>34</v>
      </c>
      <c r="B1127" t="s">
        <v>35</v>
      </c>
      <c r="C1127" t="s">
        <v>15</v>
      </c>
      <c r="D1127" s="3">
        <v>45870</v>
      </c>
      <c r="E1127" s="5">
        <v>142</v>
      </c>
      <c r="F1127" s="4">
        <v>5295.03</v>
      </c>
      <c r="G1127" s="4">
        <v>2635.04</v>
      </c>
      <c r="H1127" s="4">
        <v>2659.99</v>
      </c>
      <c r="I1127" s="6">
        <v>4.58</v>
      </c>
      <c r="J1127" s="5">
        <v>32</v>
      </c>
    </row>
    <row r="1128" spans="1:10">
      <c r="A1128" t="s">
        <v>34</v>
      </c>
      <c r="B1128" t="s">
        <v>35</v>
      </c>
      <c r="C1128" t="s">
        <v>16</v>
      </c>
      <c r="D1128" s="3">
        <v>45870</v>
      </c>
      <c r="E1128" s="5">
        <v>297</v>
      </c>
      <c r="F1128" s="4">
        <v>5231.72</v>
      </c>
      <c r="G1128" s="4">
        <v>4696.88</v>
      </c>
      <c r="H1128" s="4">
        <v>534.84</v>
      </c>
      <c r="I1128" s="6">
        <v>4.53</v>
      </c>
      <c r="J1128" s="5">
        <v>32</v>
      </c>
    </row>
    <row r="1129" spans="1:10">
      <c r="A1129" t="s">
        <v>34</v>
      </c>
      <c r="B1129" t="s">
        <v>35</v>
      </c>
      <c r="C1129" t="s">
        <v>17</v>
      </c>
      <c r="D1129" s="3">
        <v>45870</v>
      </c>
      <c r="E1129" s="5">
        <v>140</v>
      </c>
      <c r="F1129" s="4">
        <v>8629.69</v>
      </c>
      <c r="G1129" s="4">
        <v>5884.22</v>
      </c>
      <c r="H1129" s="4">
        <v>2745.47</v>
      </c>
      <c r="I1129" s="6">
        <v>4.83</v>
      </c>
      <c r="J1129" s="5">
        <v>32</v>
      </c>
    </row>
    <row r="1130" spans="1:10">
      <c r="A1130" t="s">
        <v>34</v>
      </c>
      <c r="B1130" t="s">
        <v>35</v>
      </c>
      <c r="C1130" t="s">
        <v>12</v>
      </c>
      <c r="D1130" s="3">
        <v>45901</v>
      </c>
      <c r="E1130" s="5">
        <v>149</v>
      </c>
      <c r="F1130" s="4">
        <v>21496.94</v>
      </c>
      <c r="G1130" s="4">
        <v>16781.2</v>
      </c>
      <c r="H1130" s="4">
        <v>4715.74</v>
      </c>
      <c r="I1130" s="6">
        <v>4.7300000000000004</v>
      </c>
      <c r="J1130" s="5">
        <v>31</v>
      </c>
    </row>
    <row r="1131" spans="1:10">
      <c r="A1131" t="s">
        <v>34</v>
      </c>
      <c r="B1131" t="s">
        <v>35</v>
      </c>
      <c r="C1131" t="s">
        <v>13</v>
      </c>
      <c r="D1131" s="3">
        <v>45901</v>
      </c>
      <c r="E1131" s="5">
        <v>143</v>
      </c>
      <c r="F1131" s="4">
        <v>11008.2</v>
      </c>
      <c r="G1131" s="4">
        <v>7654.53</v>
      </c>
      <c r="H1131" s="4">
        <v>3353.68</v>
      </c>
      <c r="I1131" s="6">
        <v>4.78</v>
      </c>
      <c r="J1131" s="5">
        <v>31</v>
      </c>
    </row>
    <row r="1132" spans="1:10">
      <c r="A1132" t="s">
        <v>34</v>
      </c>
      <c r="B1132" t="s">
        <v>35</v>
      </c>
      <c r="C1132" t="s">
        <v>14</v>
      </c>
      <c r="D1132" s="3">
        <v>45901</v>
      </c>
      <c r="E1132" s="5">
        <v>163</v>
      </c>
      <c r="F1132" s="4">
        <v>7982.09</v>
      </c>
      <c r="G1132" s="4">
        <v>4990.6400000000003</v>
      </c>
      <c r="H1132" s="4">
        <v>2991.45</v>
      </c>
      <c r="I1132" s="6">
        <v>4.58</v>
      </c>
      <c r="J1132" s="5">
        <v>31</v>
      </c>
    </row>
    <row r="1133" spans="1:10">
      <c r="A1133" t="s">
        <v>34</v>
      </c>
      <c r="B1133" t="s">
        <v>35</v>
      </c>
      <c r="C1133" t="s">
        <v>15</v>
      </c>
      <c r="D1133" s="3">
        <v>45901</v>
      </c>
      <c r="E1133" s="5">
        <v>130</v>
      </c>
      <c r="F1133" s="4">
        <v>4795.84</v>
      </c>
      <c r="G1133" s="4">
        <v>2428.86</v>
      </c>
      <c r="H1133" s="4">
        <v>2366.98</v>
      </c>
      <c r="I1133" s="6">
        <v>4.5199999999999996</v>
      </c>
      <c r="J1133" s="5">
        <v>31</v>
      </c>
    </row>
    <row r="1134" spans="1:10">
      <c r="A1134" t="s">
        <v>34</v>
      </c>
      <c r="B1134" t="s">
        <v>35</v>
      </c>
      <c r="C1134" t="s">
        <v>16</v>
      </c>
      <c r="D1134" s="3">
        <v>45901</v>
      </c>
      <c r="E1134" s="5">
        <v>218</v>
      </c>
      <c r="F1134" s="4">
        <v>4064.35</v>
      </c>
      <c r="G1134" s="4">
        <v>3704.35</v>
      </c>
      <c r="H1134" s="4">
        <v>360</v>
      </c>
      <c r="I1134" s="6">
        <v>4.49</v>
      </c>
      <c r="J1134" s="5">
        <v>31</v>
      </c>
    </row>
    <row r="1135" spans="1:10">
      <c r="A1135" t="s">
        <v>34</v>
      </c>
      <c r="B1135" t="s">
        <v>35</v>
      </c>
      <c r="C1135" t="s">
        <v>17</v>
      </c>
      <c r="D1135" s="3">
        <v>45901</v>
      </c>
      <c r="E1135" s="5">
        <v>96</v>
      </c>
      <c r="F1135" s="4">
        <v>6168.62</v>
      </c>
      <c r="G1135" s="4">
        <v>4219.2</v>
      </c>
      <c r="H1135" s="4">
        <v>1949.42</v>
      </c>
      <c r="I1135" s="6">
        <v>4.8</v>
      </c>
      <c r="J1135" s="5">
        <v>31</v>
      </c>
    </row>
    <row r="1136" spans="1:10">
      <c r="A1136" t="s">
        <v>34</v>
      </c>
      <c r="B1136" t="s">
        <v>35</v>
      </c>
      <c r="C1136" t="s">
        <v>12</v>
      </c>
      <c r="D1136" s="3">
        <v>45931</v>
      </c>
      <c r="E1136" s="5">
        <v>189</v>
      </c>
      <c r="F1136" s="4">
        <v>26317.61</v>
      </c>
      <c r="G1136" s="4">
        <v>21709.11</v>
      </c>
      <c r="H1136" s="4">
        <v>4608.49</v>
      </c>
      <c r="I1136" s="6">
        <v>4.8</v>
      </c>
      <c r="J1136" s="5">
        <v>32</v>
      </c>
    </row>
    <row r="1137" spans="1:10">
      <c r="A1137" t="s">
        <v>34</v>
      </c>
      <c r="B1137" t="s">
        <v>35</v>
      </c>
      <c r="C1137" t="s">
        <v>13</v>
      </c>
      <c r="D1137" s="3">
        <v>45931</v>
      </c>
      <c r="E1137" s="5">
        <v>140</v>
      </c>
      <c r="F1137" s="4">
        <v>10474.540000000001</v>
      </c>
      <c r="G1137" s="4">
        <v>7294.34</v>
      </c>
      <c r="H1137" s="4">
        <v>3180.2</v>
      </c>
      <c r="I1137" s="6">
        <v>4.8099999999999996</v>
      </c>
      <c r="J1137" s="5">
        <v>32</v>
      </c>
    </row>
    <row r="1138" spans="1:10">
      <c r="A1138" t="s">
        <v>34</v>
      </c>
      <c r="B1138" t="s">
        <v>35</v>
      </c>
      <c r="C1138" t="s">
        <v>14</v>
      </c>
      <c r="D1138" s="3">
        <v>45931</v>
      </c>
      <c r="E1138" s="5">
        <v>187</v>
      </c>
      <c r="F1138" s="4">
        <v>9542.83</v>
      </c>
      <c r="G1138" s="4">
        <v>6132.59</v>
      </c>
      <c r="H1138" s="4">
        <v>3410.24</v>
      </c>
      <c r="I1138" s="6">
        <v>4.75</v>
      </c>
      <c r="J1138" s="5">
        <v>32</v>
      </c>
    </row>
    <row r="1139" spans="1:10">
      <c r="A1139" t="s">
        <v>34</v>
      </c>
      <c r="B1139" t="s">
        <v>35</v>
      </c>
      <c r="C1139" t="s">
        <v>15</v>
      </c>
      <c r="D1139" s="3">
        <v>45931</v>
      </c>
      <c r="E1139" s="5">
        <v>156</v>
      </c>
      <c r="F1139" s="4">
        <v>5971.03</v>
      </c>
      <c r="G1139" s="4">
        <v>3053.28</v>
      </c>
      <c r="H1139" s="4">
        <v>2917.75</v>
      </c>
      <c r="I1139" s="6">
        <v>4.62</v>
      </c>
      <c r="J1139" s="5">
        <v>32</v>
      </c>
    </row>
    <row r="1140" spans="1:10">
      <c r="A1140" t="s">
        <v>34</v>
      </c>
      <c r="B1140" t="s">
        <v>35</v>
      </c>
      <c r="C1140" t="s">
        <v>16</v>
      </c>
      <c r="D1140" s="3">
        <v>45931</v>
      </c>
      <c r="E1140" s="5">
        <v>204</v>
      </c>
      <c r="F1140" s="4">
        <v>3911.33</v>
      </c>
      <c r="G1140" s="4">
        <v>3748.15</v>
      </c>
      <c r="H1140" s="4">
        <v>163.18</v>
      </c>
      <c r="I1140" s="6">
        <v>4.54</v>
      </c>
      <c r="J1140" s="5">
        <v>32</v>
      </c>
    </row>
    <row r="1141" spans="1:10">
      <c r="A1141" t="s">
        <v>34</v>
      </c>
      <c r="B1141" t="s">
        <v>35</v>
      </c>
      <c r="C1141" t="s">
        <v>17</v>
      </c>
      <c r="D1141" s="3">
        <v>45931</v>
      </c>
      <c r="E1141" s="5">
        <v>118</v>
      </c>
      <c r="F1141" s="4">
        <v>7675.03</v>
      </c>
      <c r="G1141" s="4">
        <v>5050.92</v>
      </c>
      <c r="H1141" s="4">
        <v>2624.11</v>
      </c>
      <c r="I1141" s="6">
        <v>4.54</v>
      </c>
      <c r="J1141" s="5">
        <v>32</v>
      </c>
    </row>
    <row r="1142" spans="1:10">
      <c r="A1142" t="s">
        <v>34</v>
      </c>
      <c r="B1142" t="s">
        <v>35</v>
      </c>
      <c r="C1142" t="s">
        <v>12</v>
      </c>
      <c r="D1142" s="3">
        <v>45962</v>
      </c>
      <c r="E1142" s="5">
        <v>231</v>
      </c>
      <c r="F1142" s="4">
        <v>34281.81</v>
      </c>
      <c r="G1142" s="4">
        <v>27319.94</v>
      </c>
      <c r="H1142" s="4">
        <v>6961.87</v>
      </c>
      <c r="I1142" s="6">
        <v>4.4800000000000004</v>
      </c>
      <c r="J1142" s="5">
        <v>33</v>
      </c>
    </row>
    <row r="1143" spans="1:10">
      <c r="A1143" t="s">
        <v>34</v>
      </c>
      <c r="B1143" t="s">
        <v>35</v>
      </c>
      <c r="C1143" t="s">
        <v>13</v>
      </c>
      <c r="D1143" s="3">
        <v>45962</v>
      </c>
      <c r="E1143" s="5">
        <v>158</v>
      </c>
      <c r="F1143" s="4">
        <v>11421.13</v>
      </c>
      <c r="G1143" s="4">
        <v>8129.02</v>
      </c>
      <c r="H1143" s="4">
        <v>3292.11</v>
      </c>
      <c r="I1143" s="6">
        <v>4.5199999999999996</v>
      </c>
      <c r="J1143" s="5">
        <v>33</v>
      </c>
    </row>
    <row r="1144" spans="1:10">
      <c r="A1144" t="s">
        <v>34</v>
      </c>
      <c r="B1144" t="s">
        <v>35</v>
      </c>
      <c r="C1144" t="s">
        <v>14</v>
      </c>
      <c r="D1144" s="3">
        <v>45962</v>
      </c>
      <c r="E1144" s="5">
        <v>264</v>
      </c>
      <c r="F1144" s="4">
        <v>13064.07</v>
      </c>
      <c r="G1144" s="4">
        <v>8202.4699999999993</v>
      </c>
      <c r="H1144" s="4">
        <v>4861.6000000000004</v>
      </c>
      <c r="I1144" s="6">
        <v>4.6100000000000003</v>
      </c>
      <c r="J1144" s="5">
        <v>33</v>
      </c>
    </row>
    <row r="1145" spans="1:10">
      <c r="A1145" t="s">
        <v>34</v>
      </c>
      <c r="B1145" t="s">
        <v>35</v>
      </c>
      <c r="C1145" t="s">
        <v>15</v>
      </c>
      <c r="D1145" s="3">
        <v>45962</v>
      </c>
      <c r="E1145" s="5">
        <v>165</v>
      </c>
      <c r="F1145" s="4">
        <v>5977.65</v>
      </c>
      <c r="G1145" s="4">
        <v>3045.67</v>
      </c>
      <c r="H1145" s="4">
        <v>2931.98</v>
      </c>
      <c r="I1145" s="6">
        <v>4.55</v>
      </c>
      <c r="J1145" s="5">
        <v>33</v>
      </c>
    </row>
    <row r="1146" spans="1:10">
      <c r="A1146" t="s">
        <v>34</v>
      </c>
      <c r="B1146" t="s">
        <v>35</v>
      </c>
      <c r="C1146" t="s">
        <v>16</v>
      </c>
      <c r="D1146" s="3">
        <v>45962</v>
      </c>
      <c r="E1146" s="5">
        <v>254</v>
      </c>
      <c r="F1146" s="4">
        <v>4890.03</v>
      </c>
      <c r="G1146" s="4">
        <v>4720.79</v>
      </c>
      <c r="H1146" s="4">
        <v>169.24</v>
      </c>
      <c r="I1146" s="6">
        <v>4.5199999999999996</v>
      </c>
      <c r="J1146" s="5">
        <v>33</v>
      </c>
    </row>
    <row r="1147" spans="1:10">
      <c r="A1147" t="s">
        <v>34</v>
      </c>
      <c r="B1147" t="s">
        <v>35</v>
      </c>
      <c r="C1147" t="s">
        <v>17</v>
      </c>
      <c r="D1147" s="3">
        <v>45962</v>
      </c>
      <c r="E1147" s="5">
        <v>148</v>
      </c>
      <c r="F1147" s="4">
        <v>9487.8700000000008</v>
      </c>
      <c r="G1147" s="4">
        <v>6336.72</v>
      </c>
      <c r="H1147" s="4">
        <v>3151.15</v>
      </c>
      <c r="I1147" s="6">
        <v>4.54</v>
      </c>
      <c r="J1147" s="5">
        <v>33</v>
      </c>
    </row>
    <row r="1148" spans="1:10">
      <c r="A1148" t="s">
        <v>34</v>
      </c>
      <c r="B1148" t="s">
        <v>35</v>
      </c>
      <c r="C1148" t="s">
        <v>12</v>
      </c>
      <c r="D1148" s="3">
        <v>45992</v>
      </c>
      <c r="E1148" s="5">
        <v>337</v>
      </c>
      <c r="F1148" s="4">
        <v>51865.22</v>
      </c>
      <c r="G1148" s="4">
        <v>43333.16</v>
      </c>
      <c r="H1148" s="4">
        <v>8532.06</v>
      </c>
      <c r="I1148" s="6">
        <v>4.59</v>
      </c>
      <c r="J1148" s="5">
        <v>33</v>
      </c>
    </row>
    <row r="1149" spans="1:10">
      <c r="A1149" t="s">
        <v>34</v>
      </c>
      <c r="B1149" t="s">
        <v>35</v>
      </c>
      <c r="C1149" t="s">
        <v>13</v>
      </c>
      <c r="D1149" s="3">
        <v>45992</v>
      </c>
      <c r="E1149" s="5">
        <v>170</v>
      </c>
      <c r="F1149" s="4">
        <v>12972.41</v>
      </c>
      <c r="G1149" s="4">
        <v>9274.8799999999992</v>
      </c>
      <c r="H1149" s="4">
        <v>3697.53</v>
      </c>
      <c r="I1149" s="6">
        <v>4.62</v>
      </c>
      <c r="J1149" s="5">
        <v>33</v>
      </c>
    </row>
    <row r="1150" spans="1:10">
      <c r="A1150" t="s">
        <v>34</v>
      </c>
      <c r="B1150" t="s">
        <v>35</v>
      </c>
      <c r="C1150" t="s">
        <v>14</v>
      </c>
      <c r="D1150" s="3">
        <v>45992</v>
      </c>
      <c r="E1150" s="5">
        <v>315</v>
      </c>
      <c r="F1150" s="4">
        <v>15017.98</v>
      </c>
      <c r="G1150" s="4">
        <v>9889.69</v>
      </c>
      <c r="H1150" s="4">
        <v>5128.29</v>
      </c>
      <c r="I1150" s="6">
        <v>4.6900000000000004</v>
      </c>
      <c r="J1150" s="5">
        <v>33</v>
      </c>
    </row>
    <row r="1151" spans="1:10">
      <c r="A1151" t="s">
        <v>34</v>
      </c>
      <c r="B1151" t="s">
        <v>35</v>
      </c>
      <c r="C1151" t="s">
        <v>15</v>
      </c>
      <c r="D1151" s="3">
        <v>45992</v>
      </c>
      <c r="E1151" s="5">
        <v>205</v>
      </c>
      <c r="F1151" s="4">
        <v>7704.32</v>
      </c>
      <c r="G1151" s="4">
        <v>4230.2299999999996</v>
      </c>
      <c r="H1151" s="4">
        <v>3474.08</v>
      </c>
      <c r="I1151" s="6">
        <v>4.66</v>
      </c>
      <c r="J1151" s="5">
        <v>33</v>
      </c>
    </row>
    <row r="1152" spans="1:10">
      <c r="A1152" t="s">
        <v>34</v>
      </c>
      <c r="B1152" t="s">
        <v>35</v>
      </c>
      <c r="C1152" t="s">
        <v>16</v>
      </c>
      <c r="D1152" s="3">
        <v>45992</v>
      </c>
      <c r="E1152" s="5">
        <v>373</v>
      </c>
      <c r="F1152" s="4">
        <v>6800.55</v>
      </c>
      <c r="G1152" s="4">
        <v>6509.57</v>
      </c>
      <c r="H1152" s="4">
        <v>290.98</v>
      </c>
      <c r="I1152" s="6">
        <v>4.74</v>
      </c>
      <c r="J1152" s="5">
        <v>33</v>
      </c>
    </row>
    <row r="1153" spans="1:10">
      <c r="A1153" t="s">
        <v>34</v>
      </c>
      <c r="B1153" t="s">
        <v>35</v>
      </c>
      <c r="C1153" t="s">
        <v>17</v>
      </c>
      <c r="D1153" s="3">
        <v>45992</v>
      </c>
      <c r="E1153" s="5">
        <v>135</v>
      </c>
      <c r="F1153" s="4">
        <v>7917.5</v>
      </c>
      <c r="G1153" s="4">
        <v>5756.05</v>
      </c>
      <c r="H1153" s="4">
        <v>2161.4499999999998</v>
      </c>
      <c r="I1153" s="6">
        <v>4.66</v>
      </c>
      <c r="J1153" s="5">
        <v>33</v>
      </c>
    </row>
    <row r="1154" spans="1:10">
      <c r="A1154" t="s">
        <v>36</v>
      </c>
      <c r="B1154" t="s">
        <v>35</v>
      </c>
      <c r="C1154" t="s">
        <v>12</v>
      </c>
      <c r="D1154" s="3">
        <v>45658</v>
      </c>
      <c r="E1154" s="5">
        <v>88</v>
      </c>
      <c r="F1154" s="4">
        <v>12686.45</v>
      </c>
      <c r="G1154" s="4">
        <v>9666.2099999999991</v>
      </c>
      <c r="H1154" s="4">
        <v>3020.23</v>
      </c>
      <c r="I1154" s="6">
        <v>4.16</v>
      </c>
      <c r="J1154" s="5">
        <v>24</v>
      </c>
    </row>
    <row r="1155" spans="1:10">
      <c r="A1155" t="s">
        <v>36</v>
      </c>
      <c r="B1155" t="s">
        <v>35</v>
      </c>
      <c r="C1155" t="s">
        <v>13</v>
      </c>
      <c r="D1155" s="3">
        <v>45658</v>
      </c>
      <c r="E1155" s="5">
        <v>78</v>
      </c>
      <c r="F1155" s="4">
        <v>5729.88</v>
      </c>
      <c r="G1155" s="4">
        <v>3653.82</v>
      </c>
      <c r="H1155" s="4">
        <v>2076.06</v>
      </c>
      <c r="I1155" s="6">
        <v>4.13</v>
      </c>
      <c r="J1155" s="5">
        <v>24</v>
      </c>
    </row>
    <row r="1156" spans="1:10">
      <c r="A1156" t="s">
        <v>36</v>
      </c>
      <c r="B1156" t="s">
        <v>35</v>
      </c>
      <c r="C1156" t="s">
        <v>14</v>
      </c>
      <c r="D1156" s="3">
        <v>45658</v>
      </c>
      <c r="E1156" s="5">
        <v>100</v>
      </c>
      <c r="F1156" s="4">
        <v>4623.88</v>
      </c>
      <c r="G1156" s="4">
        <v>2648.77</v>
      </c>
      <c r="H1156" s="4">
        <v>1975.11</v>
      </c>
      <c r="I1156" s="6">
        <v>4.1399999999999997</v>
      </c>
      <c r="J1156" s="5">
        <v>24</v>
      </c>
    </row>
    <row r="1157" spans="1:10">
      <c r="A1157" t="s">
        <v>36</v>
      </c>
      <c r="B1157" t="s">
        <v>35</v>
      </c>
      <c r="C1157" t="s">
        <v>15</v>
      </c>
      <c r="D1157" s="3">
        <v>45658</v>
      </c>
      <c r="E1157" s="5">
        <v>76</v>
      </c>
      <c r="F1157" s="4">
        <v>2836.12</v>
      </c>
      <c r="G1157" s="4">
        <v>1336.21</v>
      </c>
      <c r="H1157" s="4">
        <v>1499.91</v>
      </c>
      <c r="I1157" s="6">
        <v>3.98</v>
      </c>
      <c r="J1157" s="5">
        <v>24</v>
      </c>
    </row>
    <row r="1158" spans="1:10">
      <c r="A1158" t="s">
        <v>36</v>
      </c>
      <c r="B1158" t="s">
        <v>35</v>
      </c>
      <c r="C1158" t="s">
        <v>16</v>
      </c>
      <c r="D1158" s="3">
        <v>45658</v>
      </c>
      <c r="E1158" s="5">
        <v>132</v>
      </c>
      <c r="F1158" s="4">
        <v>2399.98</v>
      </c>
      <c r="G1158" s="4">
        <v>2071.4</v>
      </c>
      <c r="H1158" s="4">
        <v>328.58</v>
      </c>
      <c r="I1158" s="6">
        <v>3.99</v>
      </c>
      <c r="J1158" s="5">
        <v>24</v>
      </c>
    </row>
    <row r="1159" spans="1:10">
      <c r="A1159" t="s">
        <v>36</v>
      </c>
      <c r="B1159" t="s">
        <v>35</v>
      </c>
      <c r="C1159" t="s">
        <v>17</v>
      </c>
      <c r="D1159" s="3">
        <v>45658</v>
      </c>
      <c r="E1159" s="5">
        <v>59</v>
      </c>
      <c r="F1159" s="4">
        <v>3896.52</v>
      </c>
      <c r="G1159" s="4">
        <v>2422.5700000000002</v>
      </c>
      <c r="H1159" s="4">
        <v>1473.95</v>
      </c>
      <c r="I1159" s="6">
        <v>3.95</v>
      </c>
      <c r="J1159" s="5">
        <v>24</v>
      </c>
    </row>
    <row r="1160" spans="1:10">
      <c r="A1160" t="s">
        <v>36</v>
      </c>
      <c r="B1160" t="s">
        <v>35</v>
      </c>
      <c r="C1160" t="s">
        <v>12</v>
      </c>
      <c r="D1160" s="3">
        <v>45689</v>
      </c>
      <c r="E1160" s="5">
        <v>81</v>
      </c>
      <c r="F1160" s="4">
        <v>12010.96</v>
      </c>
      <c r="G1160" s="4">
        <v>9196.1299999999992</v>
      </c>
      <c r="H1160" s="4">
        <v>2814.83</v>
      </c>
      <c r="I1160" s="6">
        <v>3.88</v>
      </c>
      <c r="J1160" s="5">
        <v>23</v>
      </c>
    </row>
    <row r="1161" spans="1:10">
      <c r="A1161" t="s">
        <v>36</v>
      </c>
      <c r="B1161" t="s">
        <v>35</v>
      </c>
      <c r="C1161" t="s">
        <v>13</v>
      </c>
      <c r="D1161" s="3">
        <v>45689</v>
      </c>
      <c r="E1161" s="5">
        <v>79</v>
      </c>
      <c r="F1161" s="4">
        <v>6025.95</v>
      </c>
      <c r="G1161" s="4">
        <v>3834.39</v>
      </c>
      <c r="H1161" s="4">
        <v>2191.56</v>
      </c>
      <c r="I1161" s="6">
        <v>4.0599999999999996</v>
      </c>
      <c r="J1161" s="5">
        <v>23</v>
      </c>
    </row>
    <row r="1162" spans="1:10">
      <c r="A1162" t="s">
        <v>36</v>
      </c>
      <c r="B1162" t="s">
        <v>35</v>
      </c>
      <c r="C1162" t="s">
        <v>14</v>
      </c>
      <c r="D1162" s="3">
        <v>45689</v>
      </c>
      <c r="E1162" s="5">
        <v>111</v>
      </c>
      <c r="F1162" s="4">
        <v>5544.17</v>
      </c>
      <c r="G1162" s="4">
        <v>3175.5</v>
      </c>
      <c r="H1162" s="4">
        <v>2368.67</v>
      </c>
      <c r="I1162" s="6">
        <v>3.85</v>
      </c>
      <c r="J1162" s="5">
        <v>23</v>
      </c>
    </row>
    <row r="1163" spans="1:10">
      <c r="A1163" t="s">
        <v>36</v>
      </c>
      <c r="B1163" t="s">
        <v>35</v>
      </c>
      <c r="C1163" t="s">
        <v>15</v>
      </c>
      <c r="D1163" s="3">
        <v>45689</v>
      </c>
      <c r="E1163" s="5">
        <v>74</v>
      </c>
      <c r="F1163" s="4">
        <v>2671.77</v>
      </c>
      <c r="G1163" s="4">
        <v>1234.81</v>
      </c>
      <c r="H1163" s="4">
        <v>1436.96</v>
      </c>
      <c r="I1163" s="6">
        <v>4</v>
      </c>
      <c r="J1163" s="5">
        <v>23</v>
      </c>
    </row>
    <row r="1164" spans="1:10">
      <c r="A1164" t="s">
        <v>36</v>
      </c>
      <c r="B1164" t="s">
        <v>35</v>
      </c>
      <c r="C1164" t="s">
        <v>16</v>
      </c>
      <c r="D1164" s="3">
        <v>45689</v>
      </c>
      <c r="E1164" s="5">
        <v>119</v>
      </c>
      <c r="F1164" s="4">
        <v>2166.92</v>
      </c>
      <c r="G1164" s="4">
        <v>1971.7</v>
      </c>
      <c r="H1164" s="4">
        <v>195.22</v>
      </c>
      <c r="I1164" s="6">
        <v>3.92</v>
      </c>
      <c r="J1164" s="5">
        <v>23</v>
      </c>
    </row>
    <row r="1165" spans="1:10">
      <c r="A1165" t="s">
        <v>36</v>
      </c>
      <c r="B1165" t="s">
        <v>35</v>
      </c>
      <c r="C1165" t="s">
        <v>17</v>
      </c>
      <c r="D1165" s="3">
        <v>45689</v>
      </c>
      <c r="E1165" s="5">
        <v>67</v>
      </c>
      <c r="F1165" s="4">
        <v>4126.1099999999997</v>
      </c>
      <c r="G1165" s="4">
        <v>2624.52</v>
      </c>
      <c r="H1165" s="4">
        <v>1501.59</v>
      </c>
      <c r="I1165" s="6">
        <v>4.1399999999999997</v>
      </c>
      <c r="J1165" s="5">
        <v>23</v>
      </c>
    </row>
    <row r="1166" spans="1:10">
      <c r="A1166" t="s">
        <v>36</v>
      </c>
      <c r="B1166" t="s">
        <v>35</v>
      </c>
      <c r="C1166" t="s">
        <v>12</v>
      </c>
      <c r="D1166" s="3">
        <v>45717</v>
      </c>
      <c r="E1166" s="5">
        <v>98</v>
      </c>
      <c r="F1166" s="4">
        <v>14887.56</v>
      </c>
      <c r="G1166" s="4">
        <v>11038.92</v>
      </c>
      <c r="H1166" s="4">
        <v>3848.64</v>
      </c>
      <c r="I1166" s="6">
        <v>3.92</v>
      </c>
      <c r="J1166" s="5">
        <v>23</v>
      </c>
    </row>
    <row r="1167" spans="1:10">
      <c r="A1167" t="s">
        <v>36</v>
      </c>
      <c r="B1167" t="s">
        <v>35</v>
      </c>
      <c r="C1167" t="s">
        <v>13</v>
      </c>
      <c r="D1167" s="3">
        <v>45717</v>
      </c>
      <c r="E1167" s="5">
        <v>90</v>
      </c>
      <c r="F1167" s="4">
        <v>7128.8</v>
      </c>
      <c r="G1167" s="4">
        <v>4776.53</v>
      </c>
      <c r="H1167" s="4">
        <v>2352.27</v>
      </c>
      <c r="I1167" s="6">
        <v>3.92</v>
      </c>
      <c r="J1167" s="5">
        <v>23</v>
      </c>
    </row>
    <row r="1168" spans="1:10">
      <c r="A1168" t="s">
        <v>36</v>
      </c>
      <c r="B1168" t="s">
        <v>35</v>
      </c>
      <c r="C1168" t="s">
        <v>14</v>
      </c>
      <c r="D1168" s="3">
        <v>45717</v>
      </c>
      <c r="E1168" s="5">
        <v>139</v>
      </c>
      <c r="F1168" s="4">
        <v>7168.8</v>
      </c>
      <c r="G1168" s="4">
        <v>4117.51</v>
      </c>
      <c r="H1168" s="4">
        <v>3051.29</v>
      </c>
      <c r="I1168" s="6">
        <v>4.09</v>
      </c>
      <c r="J1168" s="5">
        <v>23</v>
      </c>
    </row>
    <row r="1169" spans="1:10">
      <c r="A1169" t="s">
        <v>36</v>
      </c>
      <c r="B1169" t="s">
        <v>35</v>
      </c>
      <c r="C1169" t="s">
        <v>15</v>
      </c>
      <c r="D1169" s="3">
        <v>45717</v>
      </c>
      <c r="E1169" s="5">
        <v>106</v>
      </c>
      <c r="F1169" s="4">
        <v>3593.56</v>
      </c>
      <c r="G1169" s="4">
        <v>1695.92</v>
      </c>
      <c r="H1169" s="4">
        <v>1897.64</v>
      </c>
      <c r="I1169" s="6">
        <v>3.99</v>
      </c>
      <c r="J1169" s="5">
        <v>23</v>
      </c>
    </row>
    <row r="1170" spans="1:10">
      <c r="A1170" t="s">
        <v>36</v>
      </c>
      <c r="B1170" t="s">
        <v>35</v>
      </c>
      <c r="C1170" t="s">
        <v>16</v>
      </c>
      <c r="D1170" s="3">
        <v>45717</v>
      </c>
      <c r="E1170" s="5">
        <v>156</v>
      </c>
      <c r="F1170" s="4">
        <v>2833.51</v>
      </c>
      <c r="G1170" s="4">
        <v>2484.56</v>
      </c>
      <c r="H1170" s="4">
        <v>348.96</v>
      </c>
      <c r="I1170" s="6">
        <v>4.0199999999999996</v>
      </c>
      <c r="J1170" s="5">
        <v>23</v>
      </c>
    </row>
    <row r="1171" spans="1:10">
      <c r="A1171" t="s">
        <v>36</v>
      </c>
      <c r="B1171" t="s">
        <v>35</v>
      </c>
      <c r="C1171" t="s">
        <v>17</v>
      </c>
      <c r="D1171" s="3">
        <v>45717</v>
      </c>
      <c r="E1171" s="5">
        <v>60</v>
      </c>
      <c r="F1171" s="4">
        <v>3733.11</v>
      </c>
      <c r="G1171" s="4">
        <v>2351.1</v>
      </c>
      <c r="H1171" s="4">
        <v>1382.01</v>
      </c>
      <c r="I1171" s="6">
        <v>4.03</v>
      </c>
      <c r="J1171" s="5">
        <v>23</v>
      </c>
    </row>
    <row r="1172" spans="1:10">
      <c r="A1172" t="s">
        <v>36</v>
      </c>
      <c r="B1172" t="s">
        <v>35</v>
      </c>
      <c r="C1172" t="s">
        <v>12</v>
      </c>
      <c r="D1172" s="3">
        <v>45748</v>
      </c>
      <c r="E1172" s="5">
        <v>104</v>
      </c>
      <c r="F1172" s="4">
        <v>15483.65</v>
      </c>
      <c r="G1172" s="4">
        <v>11932.5</v>
      </c>
      <c r="H1172" s="4">
        <v>3551.15</v>
      </c>
      <c r="I1172" s="6">
        <v>4.1100000000000003</v>
      </c>
      <c r="J1172" s="5">
        <v>22</v>
      </c>
    </row>
    <row r="1173" spans="1:10">
      <c r="A1173" t="s">
        <v>36</v>
      </c>
      <c r="B1173" t="s">
        <v>35</v>
      </c>
      <c r="C1173" t="s">
        <v>13</v>
      </c>
      <c r="D1173" s="3">
        <v>45748</v>
      </c>
      <c r="E1173" s="5">
        <v>103</v>
      </c>
      <c r="F1173" s="4">
        <v>7411.93</v>
      </c>
      <c r="G1173" s="4">
        <v>4774.12</v>
      </c>
      <c r="H1173" s="4">
        <v>2637.81</v>
      </c>
      <c r="I1173" s="6">
        <v>4.05</v>
      </c>
      <c r="J1173" s="5">
        <v>22</v>
      </c>
    </row>
    <row r="1174" spans="1:10">
      <c r="A1174" t="s">
        <v>36</v>
      </c>
      <c r="B1174" t="s">
        <v>35</v>
      </c>
      <c r="C1174" t="s">
        <v>14</v>
      </c>
      <c r="D1174" s="3">
        <v>45748</v>
      </c>
      <c r="E1174" s="5">
        <v>162</v>
      </c>
      <c r="F1174" s="4">
        <v>8035.56</v>
      </c>
      <c r="G1174" s="4">
        <v>4902.72</v>
      </c>
      <c r="H1174" s="4">
        <v>3132.84</v>
      </c>
      <c r="I1174" s="6">
        <v>3.92</v>
      </c>
      <c r="J1174" s="5">
        <v>22</v>
      </c>
    </row>
    <row r="1175" spans="1:10">
      <c r="A1175" t="s">
        <v>36</v>
      </c>
      <c r="B1175" t="s">
        <v>35</v>
      </c>
      <c r="C1175" t="s">
        <v>15</v>
      </c>
      <c r="D1175" s="3">
        <v>45748</v>
      </c>
      <c r="E1175" s="5">
        <v>102</v>
      </c>
      <c r="F1175" s="4">
        <v>3924.83</v>
      </c>
      <c r="G1175" s="4">
        <v>1825.31</v>
      </c>
      <c r="H1175" s="4">
        <v>2099.52</v>
      </c>
      <c r="I1175" s="6">
        <v>3.96</v>
      </c>
      <c r="J1175" s="5">
        <v>22</v>
      </c>
    </row>
    <row r="1176" spans="1:10">
      <c r="A1176" t="s">
        <v>36</v>
      </c>
      <c r="B1176" t="s">
        <v>35</v>
      </c>
      <c r="C1176" t="s">
        <v>16</v>
      </c>
      <c r="D1176" s="3">
        <v>45748</v>
      </c>
      <c r="E1176" s="5">
        <v>172</v>
      </c>
      <c r="F1176" s="4">
        <v>3175.11</v>
      </c>
      <c r="G1176" s="4">
        <v>2884.01</v>
      </c>
      <c r="H1176" s="4">
        <v>291.10000000000002</v>
      </c>
      <c r="I1176" s="6">
        <v>4</v>
      </c>
      <c r="J1176" s="5">
        <v>22</v>
      </c>
    </row>
    <row r="1177" spans="1:10">
      <c r="A1177" t="s">
        <v>36</v>
      </c>
      <c r="B1177" t="s">
        <v>35</v>
      </c>
      <c r="C1177" t="s">
        <v>17</v>
      </c>
      <c r="D1177" s="3">
        <v>45748</v>
      </c>
      <c r="E1177" s="5">
        <v>82</v>
      </c>
      <c r="F1177" s="4">
        <v>5339.33</v>
      </c>
      <c r="G1177" s="4">
        <v>3340.56</v>
      </c>
      <c r="H1177" s="4">
        <v>1998.77</v>
      </c>
      <c r="I1177" s="6">
        <v>3.98</v>
      </c>
      <c r="J1177" s="5">
        <v>22</v>
      </c>
    </row>
    <row r="1178" spans="1:10">
      <c r="A1178" t="s">
        <v>36</v>
      </c>
      <c r="B1178" t="s">
        <v>35</v>
      </c>
      <c r="C1178" t="s">
        <v>12</v>
      </c>
      <c r="D1178" s="3">
        <v>45778</v>
      </c>
      <c r="E1178" s="5">
        <v>114</v>
      </c>
      <c r="F1178" s="4">
        <v>16230.83</v>
      </c>
      <c r="G1178" s="4">
        <v>12463.59</v>
      </c>
      <c r="H1178" s="4">
        <v>3767.23</v>
      </c>
      <c r="I1178" s="6">
        <v>3.95</v>
      </c>
      <c r="J1178" s="5">
        <v>23</v>
      </c>
    </row>
    <row r="1179" spans="1:10">
      <c r="A1179" t="s">
        <v>36</v>
      </c>
      <c r="B1179" t="s">
        <v>35</v>
      </c>
      <c r="C1179" t="s">
        <v>13</v>
      </c>
      <c r="D1179" s="3">
        <v>45778</v>
      </c>
      <c r="E1179" s="5">
        <v>98</v>
      </c>
      <c r="F1179" s="4">
        <v>7071.68</v>
      </c>
      <c r="G1179" s="4">
        <v>4675.12</v>
      </c>
      <c r="H1179" s="4">
        <v>2396.56</v>
      </c>
      <c r="I1179" s="6">
        <v>4.01</v>
      </c>
      <c r="J1179" s="5">
        <v>23</v>
      </c>
    </row>
    <row r="1180" spans="1:10">
      <c r="A1180" t="s">
        <v>36</v>
      </c>
      <c r="B1180" t="s">
        <v>35</v>
      </c>
      <c r="C1180" t="s">
        <v>14</v>
      </c>
      <c r="D1180" s="3">
        <v>45778</v>
      </c>
      <c r="E1180" s="5">
        <v>125</v>
      </c>
      <c r="F1180" s="4">
        <v>6223.48</v>
      </c>
      <c r="G1180" s="4">
        <v>3708.1</v>
      </c>
      <c r="H1180" s="4">
        <v>2515.38</v>
      </c>
      <c r="I1180" s="6">
        <v>4</v>
      </c>
      <c r="J1180" s="5">
        <v>23</v>
      </c>
    </row>
    <row r="1181" spans="1:10">
      <c r="A1181" t="s">
        <v>36</v>
      </c>
      <c r="B1181" t="s">
        <v>35</v>
      </c>
      <c r="C1181" t="s">
        <v>15</v>
      </c>
      <c r="D1181" s="3">
        <v>45778</v>
      </c>
      <c r="E1181" s="5">
        <v>110</v>
      </c>
      <c r="F1181" s="4">
        <v>4013.26</v>
      </c>
      <c r="G1181" s="4">
        <v>1965.24</v>
      </c>
      <c r="H1181" s="4">
        <v>2048.02</v>
      </c>
      <c r="I1181" s="6">
        <v>4.03</v>
      </c>
      <c r="J1181" s="5">
        <v>23</v>
      </c>
    </row>
    <row r="1182" spans="1:10">
      <c r="A1182" t="s">
        <v>36</v>
      </c>
      <c r="B1182" t="s">
        <v>35</v>
      </c>
      <c r="C1182" t="s">
        <v>16</v>
      </c>
      <c r="D1182" s="3">
        <v>45778</v>
      </c>
      <c r="E1182" s="5">
        <v>192</v>
      </c>
      <c r="F1182" s="4">
        <v>3552.97</v>
      </c>
      <c r="G1182" s="4">
        <v>3305.77</v>
      </c>
      <c r="H1182" s="4">
        <v>247.2</v>
      </c>
      <c r="I1182" s="6">
        <v>3.96</v>
      </c>
      <c r="J1182" s="5">
        <v>23</v>
      </c>
    </row>
    <row r="1183" spans="1:10">
      <c r="A1183" t="s">
        <v>36</v>
      </c>
      <c r="B1183" t="s">
        <v>35</v>
      </c>
      <c r="C1183" t="s">
        <v>17</v>
      </c>
      <c r="D1183" s="3">
        <v>45778</v>
      </c>
      <c r="E1183" s="5">
        <v>109</v>
      </c>
      <c r="F1183" s="4">
        <v>7004.07</v>
      </c>
      <c r="G1183" s="4">
        <v>4628.05</v>
      </c>
      <c r="H1183" s="4">
        <v>2376.02</v>
      </c>
      <c r="I1183" s="6">
        <v>4.17</v>
      </c>
      <c r="J1183" s="5">
        <v>23</v>
      </c>
    </row>
    <row r="1184" spans="1:10">
      <c r="A1184" t="s">
        <v>36</v>
      </c>
      <c r="B1184" t="s">
        <v>35</v>
      </c>
      <c r="C1184" t="s">
        <v>12</v>
      </c>
      <c r="D1184" s="3">
        <v>45809</v>
      </c>
      <c r="E1184" s="5">
        <v>99</v>
      </c>
      <c r="F1184" s="4">
        <v>14015.54</v>
      </c>
      <c r="G1184" s="4">
        <v>10981.41</v>
      </c>
      <c r="H1184" s="4">
        <v>3034.13</v>
      </c>
      <c r="I1184" s="6">
        <v>4.04</v>
      </c>
      <c r="J1184" s="5">
        <v>24</v>
      </c>
    </row>
    <row r="1185" spans="1:10">
      <c r="A1185" t="s">
        <v>36</v>
      </c>
      <c r="B1185" t="s">
        <v>35</v>
      </c>
      <c r="C1185" t="s">
        <v>13</v>
      </c>
      <c r="D1185" s="3">
        <v>45809</v>
      </c>
      <c r="E1185" s="5">
        <v>112</v>
      </c>
      <c r="F1185" s="4">
        <v>9106.09</v>
      </c>
      <c r="G1185" s="4">
        <v>6142.92</v>
      </c>
      <c r="H1185" s="4">
        <v>2963.17</v>
      </c>
      <c r="I1185" s="6">
        <v>3.99</v>
      </c>
      <c r="J1185" s="5">
        <v>24</v>
      </c>
    </row>
    <row r="1186" spans="1:10">
      <c r="A1186" t="s">
        <v>36</v>
      </c>
      <c r="B1186" t="s">
        <v>35</v>
      </c>
      <c r="C1186" t="s">
        <v>14</v>
      </c>
      <c r="D1186" s="3">
        <v>45809</v>
      </c>
      <c r="E1186" s="5">
        <v>130</v>
      </c>
      <c r="F1186" s="4">
        <v>6571.45</v>
      </c>
      <c r="G1186" s="4">
        <v>4100.8599999999997</v>
      </c>
      <c r="H1186" s="4">
        <v>2470.59</v>
      </c>
      <c r="I1186" s="6">
        <v>3.9</v>
      </c>
      <c r="J1186" s="5">
        <v>24</v>
      </c>
    </row>
    <row r="1187" spans="1:10">
      <c r="A1187" t="s">
        <v>36</v>
      </c>
      <c r="B1187" t="s">
        <v>35</v>
      </c>
      <c r="C1187" t="s">
        <v>15</v>
      </c>
      <c r="D1187" s="3">
        <v>45809</v>
      </c>
      <c r="E1187" s="5">
        <v>99</v>
      </c>
      <c r="F1187" s="4">
        <v>3495.1</v>
      </c>
      <c r="G1187" s="4">
        <v>1681.11</v>
      </c>
      <c r="H1187" s="4">
        <v>1813.99</v>
      </c>
      <c r="I1187" s="6">
        <v>3.85</v>
      </c>
      <c r="J1187" s="5">
        <v>24</v>
      </c>
    </row>
    <row r="1188" spans="1:10">
      <c r="A1188" t="s">
        <v>36</v>
      </c>
      <c r="B1188" t="s">
        <v>35</v>
      </c>
      <c r="C1188" t="s">
        <v>16</v>
      </c>
      <c r="D1188" s="3">
        <v>45809</v>
      </c>
      <c r="E1188" s="5">
        <v>155</v>
      </c>
      <c r="F1188" s="4">
        <v>2910.66</v>
      </c>
      <c r="G1188" s="4">
        <v>2602.1799999999998</v>
      </c>
      <c r="H1188" s="4">
        <v>308.47000000000003</v>
      </c>
      <c r="I1188" s="6">
        <v>4</v>
      </c>
      <c r="J1188" s="5">
        <v>24</v>
      </c>
    </row>
    <row r="1189" spans="1:10">
      <c r="A1189" t="s">
        <v>36</v>
      </c>
      <c r="B1189" t="s">
        <v>35</v>
      </c>
      <c r="C1189" t="s">
        <v>17</v>
      </c>
      <c r="D1189" s="3">
        <v>45809</v>
      </c>
      <c r="E1189" s="5">
        <v>109</v>
      </c>
      <c r="F1189" s="4">
        <v>6744.81</v>
      </c>
      <c r="G1189" s="4">
        <v>4264.57</v>
      </c>
      <c r="H1189" s="4">
        <v>2480.2399999999998</v>
      </c>
      <c r="I1189" s="6">
        <v>3.94</v>
      </c>
      <c r="J1189" s="5">
        <v>24</v>
      </c>
    </row>
    <row r="1190" spans="1:10">
      <c r="A1190" t="s">
        <v>36</v>
      </c>
      <c r="B1190" t="s">
        <v>35</v>
      </c>
      <c r="C1190" t="s">
        <v>12</v>
      </c>
      <c r="D1190" s="3">
        <v>45839</v>
      </c>
      <c r="E1190" s="5">
        <v>127</v>
      </c>
      <c r="F1190" s="4">
        <v>18036.16</v>
      </c>
      <c r="G1190" s="4">
        <v>14423.26</v>
      </c>
      <c r="H1190" s="4">
        <v>3612.9</v>
      </c>
      <c r="I1190" s="6">
        <v>3.92</v>
      </c>
      <c r="J1190" s="5">
        <v>24</v>
      </c>
    </row>
    <row r="1191" spans="1:10">
      <c r="A1191" t="s">
        <v>36</v>
      </c>
      <c r="B1191" t="s">
        <v>35</v>
      </c>
      <c r="C1191" t="s">
        <v>13</v>
      </c>
      <c r="D1191" s="3">
        <v>45839</v>
      </c>
      <c r="E1191" s="5">
        <v>109</v>
      </c>
      <c r="F1191" s="4">
        <v>8374.6</v>
      </c>
      <c r="G1191" s="4">
        <v>5601.42</v>
      </c>
      <c r="H1191" s="4">
        <v>2773.18</v>
      </c>
      <c r="I1191" s="6">
        <v>3.81</v>
      </c>
      <c r="J1191" s="5">
        <v>24</v>
      </c>
    </row>
    <row r="1192" spans="1:10">
      <c r="A1192" t="s">
        <v>36</v>
      </c>
      <c r="B1192" t="s">
        <v>35</v>
      </c>
      <c r="C1192" t="s">
        <v>14</v>
      </c>
      <c r="D1192" s="3">
        <v>45839</v>
      </c>
      <c r="E1192" s="5">
        <v>134</v>
      </c>
      <c r="F1192" s="4">
        <v>6698.38</v>
      </c>
      <c r="G1192" s="4">
        <v>4154.92</v>
      </c>
      <c r="H1192" s="4">
        <v>2543.46</v>
      </c>
      <c r="I1192" s="6">
        <v>3.82</v>
      </c>
      <c r="J1192" s="5">
        <v>24</v>
      </c>
    </row>
    <row r="1193" spans="1:10">
      <c r="A1193" t="s">
        <v>36</v>
      </c>
      <c r="B1193" t="s">
        <v>35</v>
      </c>
      <c r="C1193" t="s">
        <v>15</v>
      </c>
      <c r="D1193" s="3">
        <v>45839</v>
      </c>
      <c r="E1193" s="5">
        <v>107</v>
      </c>
      <c r="F1193" s="4">
        <v>3715.59</v>
      </c>
      <c r="G1193" s="4">
        <v>1824.19</v>
      </c>
      <c r="H1193" s="4">
        <v>1891.4</v>
      </c>
      <c r="I1193" s="6">
        <v>3.93</v>
      </c>
      <c r="J1193" s="5">
        <v>24</v>
      </c>
    </row>
    <row r="1194" spans="1:10">
      <c r="A1194" t="s">
        <v>36</v>
      </c>
      <c r="B1194" t="s">
        <v>35</v>
      </c>
      <c r="C1194" t="s">
        <v>16</v>
      </c>
      <c r="D1194" s="3">
        <v>45839</v>
      </c>
      <c r="E1194" s="5">
        <v>174</v>
      </c>
      <c r="F1194" s="4">
        <v>3293.66</v>
      </c>
      <c r="G1194" s="4">
        <v>3043.36</v>
      </c>
      <c r="H1194" s="4">
        <v>250.3</v>
      </c>
      <c r="I1194" s="6">
        <v>3.95</v>
      </c>
      <c r="J1194" s="5">
        <v>24</v>
      </c>
    </row>
    <row r="1195" spans="1:10">
      <c r="A1195" t="s">
        <v>36</v>
      </c>
      <c r="B1195" t="s">
        <v>35</v>
      </c>
      <c r="C1195" t="s">
        <v>17</v>
      </c>
      <c r="D1195" s="3">
        <v>45839</v>
      </c>
      <c r="E1195" s="5">
        <v>92</v>
      </c>
      <c r="F1195" s="4">
        <v>5862.62</v>
      </c>
      <c r="G1195" s="4">
        <v>3936.35</v>
      </c>
      <c r="H1195" s="4">
        <v>1926.27</v>
      </c>
      <c r="I1195" s="6">
        <v>4</v>
      </c>
      <c r="J1195" s="5">
        <v>24</v>
      </c>
    </row>
    <row r="1196" spans="1:10">
      <c r="A1196" t="s">
        <v>36</v>
      </c>
      <c r="B1196" t="s">
        <v>35</v>
      </c>
      <c r="C1196" t="s">
        <v>12</v>
      </c>
      <c r="D1196" s="3">
        <v>45870</v>
      </c>
      <c r="E1196" s="5">
        <v>98</v>
      </c>
      <c r="F1196" s="4">
        <v>15203.15</v>
      </c>
      <c r="G1196" s="4">
        <v>11720.14</v>
      </c>
      <c r="H1196" s="4">
        <v>3483.01</v>
      </c>
      <c r="I1196" s="6">
        <v>4</v>
      </c>
      <c r="J1196" s="5">
        <v>24</v>
      </c>
    </row>
    <row r="1197" spans="1:10">
      <c r="A1197" t="s">
        <v>36</v>
      </c>
      <c r="B1197" t="s">
        <v>35</v>
      </c>
      <c r="C1197" t="s">
        <v>13</v>
      </c>
      <c r="D1197" s="3">
        <v>45870</v>
      </c>
      <c r="E1197" s="5">
        <v>107</v>
      </c>
      <c r="F1197" s="4">
        <v>8287.26</v>
      </c>
      <c r="G1197" s="4">
        <v>5712.34</v>
      </c>
      <c r="H1197" s="4">
        <v>2574.92</v>
      </c>
      <c r="I1197" s="6">
        <v>4.01</v>
      </c>
      <c r="J1197" s="5">
        <v>24</v>
      </c>
    </row>
    <row r="1198" spans="1:10">
      <c r="A1198" t="s">
        <v>36</v>
      </c>
      <c r="B1198" t="s">
        <v>35</v>
      </c>
      <c r="C1198" t="s">
        <v>14</v>
      </c>
      <c r="D1198" s="3">
        <v>45870</v>
      </c>
      <c r="E1198" s="5">
        <v>171</v>
      </c>
      <c r="F1198" s="4">
        <v>8096.71</v>
      </c>
      <c r="G1198" s="4">
        <v>5161.91</v>
      </c>
      <c r="H1198" s="4">
        <v>2934.8</v>
      </c>
      <c r="I1198" s="6">
        <v>4.0999999999999996</v>
      </c>
      <c r="J1198" s="5">
        <v>24</v>
      </c>
    </row>
    <row r="1199" spans="1:10">
      <c r="A1199" t="s">
        <v>36</v>
      </c>
      <c r="B1199" t="s">
        <v>35</v>
      </c>
      <c r="C1199" t="s">
        <v>15</v>
      </c>
      <c r="D1199" s="3">
        <v>45870</v>
      </c>
      <c r="E1199" s="5">
        <v>111</v>
      </c>
      <c r="F1199" s="4">
        <v>3793.28</v>
      </c>
      <c r="G1199" s="4">
        <v>1864.16</v>
      </c>
      <c r="H1199" s="4">
        <v>1929.12</v>
      </c>
      <c r="I1199" s="6">
        <v>4.1100000000000003</v>
      </c>
      <c r="J1199" s="5">
        <v>24</v>
      </c>
    </row>
    <row r="1200" spans="1:10">
      <c r="A1200" t="s">
        <v>36</v>
      </c>
      <c r="B1200" t="s">
        <v>35</v>
      </c>
      <c r="C1200" t="s">
        <v>16</v>
      </c>
      <c r="D1200" s="3">
        <v>45870</v>
      </c>
      <c r="E1200" s="5">
        <v>173</v>
      </c>
      <c r="F1200" s="4">
        <v>3160.08</v>
      </c>
      <c r="G1200" s="4">
        <v>2855.2</v>
      </c>
      <c r="H1200" s="4">
        <v>304.88</v>
      </c>
      <c r="I1200" s="6">
        <v>4</v>
      </c>
      <c r="J1200" s="5">
        <v>24</v>
      </c>
    </row>
    <row r="1201" spans="1:10">
      <c r="A1201" t="s">
        <v>36</v>
      </c>
      <c r="B1201" t="s">
        <v>35</v>
      </c>
      <c r="C1201" t="s">
        <v>17</v>
      </c>
      <c r="D1201" s="3">
        <v>45870</v>
      </c>
      <c r="E1201" s="5">
        <v>112</v>
      </c>
      <c r="F1201" s="4">
        <v>6709.52</v>
      </c>
      <c r="G1201" s="4">
        <v>4339.59</v>
      </c>
      <c r="H1201" s="4">
        <v>2369.9299999999998</v>
      </c>
      <c r="I1201" s="6">
        <v>4.09</v>
      </c>
      <c r="J1201" s="5">
        <v>24</v>
      </c>
    </row>
    <row r="1202" spans="1:10">
      <c r="A1202" t="s">
        <v>36</v>
      </c>
      <c r="B1202" t="s">
        <v>35</v>
      </c>
      <c r="C1202" t="s">
        <v>12</v>
      </c>
      <c r="D1202" s="3">
        <v>45901</v>
      </c>
      <c r="E1202" s="5">
        <v>108</v>
      </c>
      <c r="F1202" s="4">
        <v>14789.74</v>
      </c>
      <c r="G1202" s="4">
        <v>11741.22</v>
      </c>
      <c r="H1202" s="4">
        <v>3048.52</v>
      </c>
      <c r="I1202" s="6">
        <v>3.99</v>
      </c>
      <c r="J1202" s="5">
        <v>23</v>
      </c>
    </row>
    <row r="1203" spans="1:10">
      <c r="A1203" t="s">
        <v>36</v>
      </c>
      <c r="B1203" t="s">
        <v>35</v>
      </c>
      <c r="C1203" t="s">
        <v>13</v>
      </c>
      <c r="D1203" s="3">
        <v>45901</v>
      </c>
      <c r="E1203" s="5">
        <v>93</v>
      </c>
      <c r="F1203" s="4">
        <v>6879.07</v>
      </c>
      <c r="G1203" s="4">
        <v>4719.1400000000003</v>
      </c>
      <c r="H1203" s="4">
        <v>2159.9299999999998</v>
      </c>
      <c r="I1203" s="6">
        <v>4.1500000000000004</v>
      </c>
      <c r="J1203" s="5">
        <v>23</v>
      </c>
    </row>
    <row r="1204" spans="1:10">
      <c r="A1204" t="s">
        <v>36</v>
      </c>
      <c r="B1204" t="s">
        <v>35</v>
      </c>
      <c r="C1204" t="s">
        <v>14</v>
      </c>
      <c r="D1204" s="3">
        <v>45901</v>
      </c>
      <c r="E1204" s="5">
        <v>127</v>
      </c>
      <c r="F1204" s="4">
        <v>5826.02</v>
      </c>
      <c r="G1204" s="4">
        <v>3721.29</v>
      </c>
      <c r="H1204" s="4">
        <v>2104.73</v>
      </c>
      <c r="I1204" s="6">
        <v>4.09</v>
      </c>
      <c r="J1204" s="5">
        <v>23</v>
      </c>
    </row>
    <row r="1205" spans="1:10">
      <c r="A1205" t="s">
        <v>36</v>
      </c>
      <c r="B1205" t="s">
        <v>35</v>
      </c>
      <c r="C1205" t="s">
        <v>15</v>
      </c>
      <c r="D1205" s="3">
        <v>45901</v>
      </c>
      <c r="E1205" s="5">
        <v>111</v>
      </c>
      <c r="F1205" s="4">
        <v>4267.21</v>
      </c>
      <c r="G1205" s="4">
        <v>2160.4299999999998</v>
      </c>
      <c r="H1205" s="4">
        <v>2106.7800000000002</v>
      </c>
      <c r="I1205" s="6">
        <v>3.82</v>
      </c>
      <c r="J1205" s="5">
        <v>23</v>
      </c>
    </row>
    <row r="1206" spans="1:10">
      <c r="A1206" t="s">
        <v>36</v>
      </c>
      <c r="B1206" t="s">
        <v>35</v>
      </c>
      <c r="C1206" t="s">
        <v>16</v>
      </c>
      <c r="D1206" s="3">
        <v>45901</v>
      </c>
      <c r="E1206" s="5">
        <v>157</v>
      </c>
      <c r="F1206" s="4">
        <v>2731.7</v>
      </c>
      <c r="G1206" s="4">
        <v>2599.4499999999998</v>
      </c>
      <c r="H1206" s="4">
        <v>132.25</v>
      </c>
      <c r="I1206" s="6">
        <v>4.05</v>
      </c>
      <c r="J1206" s="5">
        <v>23</v>
      </c>
    </row>
    <row r="1207" spans="1:10">
      <c r="A1207" t="s">
        <v>36</v>
      </c>
      <c r="B1207" t="s">
        <v>35</v>
      </c>
      <c r="C1207" t="s">
        <v>17</v>
      </c>
      <c r="D1207" s="3">
        <v>45901</v>
      </c>
      <c r="E1207" s="5">
        <v>79</v>
      </c>
      <c r="F1207" s="4">
        <v>4963.18</v>
      </c>
      <c r="G1207" s="4">
        <v>3370.22</v>
      </c>
      <c r="H1207" s="4">
        <v>1592.97</v>
      </c>
      <c r="I1207" s="6">
        <v>3.86</v>
      </c>
      <c r="J1207" s="5">
        <v>23</v>
      </c>
    </row>
    <row r="1208" spans="1:10">
      <c r="A1208" t="s">
        <v>36</v>
      </c>
      <c r="B1208" t="s">
        <v>35</v>
      </c>
      <c r="C1208" t="s">
        <v>12</v>
      </c>
      <c r="D1208" s="3">
        <v>45931</v>
      </c>
      <c r="E1208" s="5">
        <v>125</v>
      </c>
      <c r="F1208" s="4">
        <v>18754.669999999998</v>
      </c>
      <c r="G1208" s="4">
        <v>14746.46</v>
      </c>
      <c r="H1208" s="4">
        <v>4008.21</v>
      </c>
      <c r="I1208" s="6">
        <v>4.07</v>
      </c>
      <c r="J1208" s="5">
        <v>22</v>
      </c>
    </row>
    <row r="1209" spans="1:10">
      <c r="A1209" t="s">
        <v>36</v>
      </c>
      <c r="B1209" t="s">
        <v>35</v>
      </c>
      <c r="C1209" t="s">
        <v>13</v>
      </c>
      <c r="D1209" s="3">
        <v>45931</v>
      </c>
      <c r="E1209" s="5">
        <v>88</v>
      </c>
      <c r="F1209" s="4">
        <v>6716.84</v>
      </c>
      <c r="G1209" s="4">
        <v>4721.25</v>
      </c>
      <c r="H1209" s="4">
        <v>1995.59</v>
      </c>
      <c r="I1209" s="6">
        <v>4</v>
      </c>
      <c r="J1209" s="5">
        <v>22</v>
      </c>
    </row>
    <row r="1210" spans="1:10">
      <c r="A1210" t="s">
        <v>36</v>
      </c>
      <c r="B1210" t="s">
        <v>35</v>
      </c>
      <c r="C1210" t="s">
        <v>14</v>
      </c>
      <c r="D1210" s="3">
        <v>45931</v>
      </c>
      <c r="E1210" s="5">
        <v>157</v>
      </c>
      <c r="F1210" s="4">
        <v>7808.71</v>
      </c>
      <c r="G1210" s="4">
        <v>4978.7299999999996</v>
      </c>
      <c r="H1210" s="4">
        <v>2829.98</v>
      </c>
      <c r="I1210" s="6">
        <v>3.84</v>
      </c>
      <c r="J1210" s="5">
        <v>22</v>
      </c>
    </row>
    <row r="1211" spans="1:10">
      <c r="A1211" t="s">
        <v>36</v>
      </c>
      <c r="B1211" t="s">
        <v>35</v>
      </c>
      <c r="C1211" t="s">
        <v>15</v>
      </c>
      <c r="D1211" s="3">
        <v>45931</v>
      </c>
      <c r="E1211" s="5">
        <v>111</v>
      </c>
      <c r="F1211" s="4">
        <v>4017.43</v>
      </c>
      <c r="G1211" s="4">
        <v>2008.73</v>
      </c>
      <c r="H1211" s="4">
        <v>2008.7</v>
      </c>
      <c r="I1211" s="6">
        <v>4</v>
      </c>
      <c r="J1211" s="5">
        <v>22</v>
      </c>
    </row>
    <row r="1212" spans="1:10">
      <c r="A1212" t="s">
        <v>36</v>
      </c>
      <c r="B1212" t="s">
        <v>35</v>
      </c>
      <c r="C1212" t="s">
        <v>16</v>
      </c>
      <c r="D1212" s="3">
        <v>45931</v>
      </c>
      <c r="E1212" s="5">
        <v>176</v>
      </c>
      <c r="F1212" s="4">
        <v>3234.08</v>
      </c>
      <c r="G1212" s="4">
        <v>2986.58</v>
      </c>
      <c r="H1212" s="4">
        <v>247.5</v>
      </c>
      <c r="I1212" s="6">
        <v>4.0999999999999996</v>
      </c>
      <c r="J1212" s="5">
        <v>22</v>
      </c>
    </row>
    <row r="1213" spans="1:10">
      <c r="A1213" t="s">
        <v>36</v>
      </c>
      <c r="B1213" t="s">
        <v>35</v>
      </c>
      <c r="C1213" t="s">
        <v>17</v>
      </c>
      <c r="D1213" s="3">
        <v>45931</v>
      </c>
      <c r="E1213" s="5">
        <v>78</v>
      </c>
      <c r="F1213" s="4">
        <v>4763.09</v>
      </c>
      <c r="G1213" s="4">
        <v>3151.1</v>
      </c>
      <c r="H1213" s="4">
        <v>1611.99</v>
      </c>
      <c r="I1213" s="6">
        <v>3.91</v>
      </c>
      <c r="J1213" s="5">
        <v>22</v>
      </c>
    </row>
    <row r="1214" spans="1:10">
      <c r="A1214" t="s">
        <v>36</v>
      </c>
      <c r="B1214" t="s">
        <v>35</v>
      </c>
      <c r="C1214" t="s">
        <v>12</v>
      </c>
      <c r="D1214" s="3">
        <v>45962</v>
      </c>
      <c r="E1214" s="5">
        <v>191</v>
      </c>
      <c r="F1214" s="4">
        <v>27090.46</v>
      </c>
      <c r="G1214" s="4">
        <v>21492.33</v>
      </c>
      <c r="H1214" s="4">
        <v>5598.13</v>
      </c>
      <c r="I1214" s="6">
        <v>3.85</v>
      </c>
      <c r="J1214" s="5">
        <v>25</v>
      </c>
    </row>
    <row r="1215" spans="1:10">
      <c r="A1215" t="s">
        <v>36</v>
      </c>
      <c r="B1215" t="s">
        <v>35</v>
      </c>
      <c r="C1215" t="s">
        <v>13</v>
      </c>
      <c r="D1215" s="3">
        <v>45962</v>
      </c>
      <c r="E1215" s="5">
        <v>111</v>
      </c>
      <c r="F1215" s="4">
        <v>9061.6299999999992</v>
      </c>
      <c r="G1215" s="4">
        <v>6365.83</v>
      </c>
      <c r="H1215" s="4">
        <v>2695.8</v>
      </c>
      <c r="I1215" s="6">
        <v>3.85</v>
      </c>
      <c r="J1215" s="5">
        <v>25</v>
      </c>
    </row>
    <row r="1216" spans="1:10">
      <c r="A1216" t="s">
        <v>36</v>
      </c>
      <c r="B1216" t="s">
        <v>35</v>
      </c>
      <c r="C1216" t="s">
        <v>14</v>
      </c>
      <c r="D1216" s="3">
        <v>45962</v>
      </c>
      <c r="E1216" s="5">
        <v>170</v>
      </c>
      <c r="F1216" s="4">
        <v>7980.05</v>
      </c>
      <c r="G1216" s="4">
        <v>5243.07</v>
      </c>
      <c r="H1216" s="4">
        <v>2736.98</v>
      </c>
      <c r="I1216" s="6">
        <v>4.0999999999999996</v>
      </c>
      <c r="J1216" s="5">
        <v>25</v>
      </c>
    </row>
    <row r="1217" spans="1:10">
      <c r="A1217" t="s">
        <v>36</v>
      </c>
      <c r="B1217" t="s">
        <v>35</v>
      </c>
      <c r="C1217" t="s">
        <v>15</v>
      </c>
      <c r="D1217" s="3">
        <v>45962</v>
      </c>
      <c r="E1217" s="5">
        <v>129</v>
      </c>
      <c r="F1217" s="4">
        <v>4738.6099999999997</v>
      </c>
      <c r="G1217" s="4">
        <v>2415.4699999999998</v>
      </c>
      <c r="H1217" s="4">
        <v>2323.13</v>
      </c>
      <c r="I1217" s="6">
        <v>3.92</v>
      </c>
      <c r="J1217" s="5">
        <v>25</v>
      </c>
    </row>
    <row r="1218" spans="1:10">
      <c r="A1218" t="s">
        <v>36</v>
      </c>
      <c r="B1218" t="s">
        <v>35</v>
      </c>
      <c r="C1218" t="s">
        <v>16</v>
      </c>
      <c r="D1218" s="3">
        <v>45962</v>
      </c>
      <c r="E1218" s="5">
        <v>244</v>
      </c>
      <c r="F1218" s="4">
        <v>4159.67</v>
      </c>
      <c r="G1218" s="4">
        <v>3799.59</v>
      </c>
      <c r="H1218" s="4">
        <v>360.08</v>
      </c>
      <c r="I1218" s="6">
        <v>4.1100000000000003</v>
      </c>
      <c r="J1218" s="5">
        <v>25</v>
      </c>
    </row>
    <row r="1219" spans="1:10">
      <c r="A1219" t="s">
        <v>36</v>
      </c>
      <c r="B1219" t="s">
        <v>35</v>
      </c>
      <c r="C1219" t="s">
        <v>17</v>
      </c>
      <c r="D1219" s="3">
        <v>45962</v>
      </c>
      <c r="E1219" s="5">
        <v>93</v>
      </c>
      <c r="F1219" s="4">
        <v>5460.77</v>
      </c>
      <c r="G1219" s="4">
        <v>3687.39</v>
      </c>
      <c r="H1219" s="4">
        <v>1773.38</v>
      </c>
      <c r="I1219" s="6">
        <v>3.84</v>
      </c>
      <c r="J1219" s="5">
        <v>25</v>
      </c>
    </row>
    <row r="1220" spans="1:10">
      <c r="A1220" t="s">
        <v>36</v>
      </c>
      <c r="B1220" t="s">
        <v>35</v>
      </c>
      <c r="C1220" t="s">
        <v>12</v>
      </c>
      <c r="D1220" s="3">
        <v>45992</v>
      </c>
      <c r="E1220" s="5">
        <v>219</v>
      </c>
      <c r="F1220" s="4">
        <v>32484.92</v>
      </c>
      <c r="G1220" s="4">
        <v>27705.17</v>
      </c>
      <c r="H1220" s="4">
        <v>4779.75</v>
      </c>
      <c r="I1220" s="6">
        <v>4.03</v>
      </c>
      <c r="J1220" s="5">
        <v>26</v>
      </c>
    </row>
    <row r="1221" spans="1:10">
      <c r="A1221" t="s">
        <v>36</v>
      </c>
      <c r="B1221" t="s">
        <v>35</v>
      </c>
      <c r="C1221" t="s">
        <v>13</v>
      </c>
      <c r="D1221" s="3">
        <v>45992</v>
      </c>
      <c r="E1221" s="5">
        <v>153</v>
      </c>
      <c r="F1221" s="4">
        <v>11933.63</v>
      </c>
      <c r="G1221" s="4">
        <v>8566.32</v>
      </c>
      <c r="H1221" s="4">
        <v>3367.31</v>
      </c>
      <c r="I1221" s="6">
        <v>4.1100000000000003</v>
      </c>
      <c r="J1221" s="5">
        <v>26</v>
      </c>
    </row>
    <row r="1222" spans="1:10">
      <c r="A1222" t="s">
        <v>36</v>
      </c>
      <c r="B1222" t="s">
        <v>35</v>
      </c>
      <c r="C1222" t="s">
        <v>14</v>
      </c>
      <c r="D1222" s="3">
        <v>45992</v>
      </c>
      <c r="E1222" s="5">
        <v>204</v>
      </c>
      <c r="F1222" s="4">
        <v>9935.82</v>
      </c>
      <c r="G1222" s="4">
        <v>6805.33</v>
      </c>
      <c r="H1222" s="4">
        <v>3130.5</v>
      </c>
      <c r="I1222" s="6">
        <v>4.08</v>
      </c>
      <c r="J1222" s="5">
        <v>26</v>
      </c>
    </row>
    <row r="1223" spans="1:10">
      <c r="A1223" t="s">
        <v>36</v>
      </c>
      <c r="B1223" t="s">
        <v>35</v>
      </c>
      <c r="C1223" t="s">
        <v>15</v>
      </c>
      <c r="D1223" s="3">
        <v>45992</v>
      </c>
      <c r="E1223" s="5">
        <v>132</v>
      </c>
      <c r="F1223" s="4">
        <v>4776.7</v>
      </c>
      <c r="G1223" s="4">
        <v>2550.46</v>
      </c>
      <c r="H1223" s="4">
        <v>2226.2399999999998</v>
      </c>
      <c r="I1223" s="6">
        <v>4.0999999999999996</v>
      </c>
      <c r="J1223" s="5">
        <v>26</v>
      </c>
    </row>
    <row r="1224" spans="1:10">
      <c r="A1224" t="s">
        <v>36</v>
      </c>
      <c r="B1224" t="s">
        <v>35</v>
      </c>
      <c r="C1224" t="s">
        <v>16</v>
      </c>
      <c r="D1224" s="3">
        <v>45992</v>
      </c>
      <c r="E1224" s="5">
        <v>273</v>
      </c>
      <c r="F1224" s="4">
        <v>4932.58</v>
      </c>
      <c r="G1224" s="4">
        <v>4787.6899999999996</v>
      </c>
      <c r="H1224" s="4">
        <v>144.88999999999999</v>
      </c>
      <c r="I1224" s="6">
        <v>4.04</v>
      </c>
      <c r="J1224" s="5">
        <v>26</v>
      </c>
    </row>
    <row r="1225" spans="1:10">
      <c r="A1225" t="s">
        <v>36</v>
      </c>
      <c r="B1225" t="s">
        <v>35</v>
      </c>
      <c r="C1225" t="s">
        <v>17</v>
      </c>
      <c r="D1225" s="3">
        <v>45992</v>
      </c>
      <c r="E1225" s="5">
        <v>106</v>
      </c>
      <c r="F1225" s="4">
        <v>6605.88</v>
      </c>
      <c r="G1225" s="4">
        <v>4588.67</v>
      </c>
      <c r="H1225" s="4">
        <v>2017.21</v>
      </c>
      <c r="I1225" s="6">
        <v>3.89</v>
      </c>
      <c r="J1225" s="5">
        <v>26</v>
      </c>
    </row>
    <row r="1226" spans="1:10">
      <c r="A1226" t="s">
        <v>37</v>
      </c>
      <c r="B1226" t="s">
        <v>35</v>
      </c>
      <c r="C1226" t="s">
        <v>12</v>
      </c>
      <c r="D1226" s="3">
        <v>45658</v>
      </c>
      <c r="E1226" s="5">
        <v>121</v>
      </c>
      <c r="F1226" s="4">
        <v>18210.759999999998</v>
      </c>
      <c r="G1226" s="4">
        <v>13793.44</v>
      </c>
      <c r="H1226" s="4">
        <v>4417.33</v>
      </c>
      <c r="I1226" s="6">
        <v>3.98</v>
      </c>
      <c r="J1226" s="5">
        <v>35</v>
      </c>
    </row>
    <row r="1227" spans="1:10">
      <c r="A1227" t="s">
        <v>37</v>
      </c>
      <c r="B1227" t="s">
        <v>35</v>
      </c>
      <c r="C1227" t="s">
        <v>13</v>
      </c>
      <c r="D1227" s="3">
        <v>45658</v>
      </c>
      <c r="E1227" s="5">
        <v>97</v>
      </c>
      <c r="F1227" s="4">
        <v>7840.39</v>
      </c>
      <c r="G1227" s="4">
        <v>5003.79</v>
      </c>
      <c r="H1227" s="4">
        <v>2836.61</v>
      </c>
      <c r="I1227" s="6">
        <v>3.71</v>
      </c>
      <c r="J1227" s="5">
        <v>35</v>
      </c>
    </row>
    <row r="1228" spans="1:10">
      <c r="A1228" t="s">
        <v>37</v>
      </c>
      <c r="B1228" t="s">
        <v>35</v>
      </c>
      <c r="C1228" t="s">
        <v>14</v>
      </c>
      <c r="D1228" s="3">
        <v>45658</v>
      </c>
      <c r="E1228" s="5">
        <v>118</v>
      </c>
      <c r="F1228" s="4">
        <v>5689.91</v>
      </c>
      <c r="G1228" s="4">
        <v>3234.96</v>
      </c>
      <c r="H1228" s="4">
        <v>2454.94</v>
      </c>
      <c r="I1228" s="6">
        <v>3.97</v>
      </c>
      <c r="J1228" s="5">
        <v>35</v>
      </c>
    </row>
    <row r="1229" spans="1:10">
      <c r="A1229" t="s">
        <v>37</v>
      </c>
      <c r="B1229" t="s">
        <v>35</v>
      </c>
      <c r="C1229" t="s">
        <v>15</v>
      </c>
      <c r="D1229" s="3">
        <v>45658</v>
      </c>
      <c r="E1229" s="5">
        <v>108</v>
      </c>
      <c r="F1229" s="4">
        <v>3983.73</v>
      </c>
      <c r="G1229" s="4">
        <v>1791.55</v>
      </c>
      <c r="H1229" s="4">
        <v>2192.1799999999998</v>
      </c>
      <c r="I1229" s="6">
        <v>3.74</v>
      </c>
      <c r="J1229" s="5">
        <v>35</v>
      </c>
    </row>
    <row r="1230" spans="1:10">
      <c r="A1230" t="s">
        <v>37</v>
      </c>
      <c r="B1230" t="s">
        <v>35</v>
      </c>
      <c r="C1230" t="s">
        <v>16</v>
      </c>
      <c r="D1230" s="3">
        <v>45658</v>
      </c>
      <c r="E1230" s="5">
        <v>188</v>
      </c>
      <c r="F1230" s="4">
        <v>3335.34</v>
      </c>
      <c r="G1230" s="4">
        <v>2961.42</v>
      </c>
      <c r="H1230" s="4">
        <v>373.92</v>
      </c>
      <c r="I1230" s="6">
        <v>3.95</v>
      </c>
      <c r="J1230" s="5">
        <v>35</v>
      </c>
    </row>
    <row r="1231" spans="1:10">
      <c r="A1231" t="s">
        <v>37</v>
      </c>
      <c r="B1231" t="s">
        <v>35</v>
      </c>
      <c r="C1231" t="s">
        <v>17</v>
      </c>
      <c r="D1231" s="3">
        <v>45658</v>
      </c>
      <c r="E1231" s="5">
        <v>68</v>
      </c>
      <c r="F1231" s="4">
        <v>4277.49</v>
      </c>
      <c r="G1231" s="4">
        <v>2636.26</v>
      </c>
      <c r="H1231" s="4">
        <v>1641.23</v>
      </c>
      <c r="I1231" s="6">
        <v>3.85</v>
      </c>
      <c r="J1231" s="5">
        <v>35</v>
      </c>
    </row>
    <row r="1232" spans="1:10">
      <c r="A1232" t="s">
        <v>37</v>
      </c>
      <c r="B1232" t="s">
        <v>35</v>
      </c>
      <c r="C1232" t="s">
        <v>12</v>
      </c>
      <c r="D1232" s="3">
        <v>45689</v>
      </c>
      <c r="E1232" s="5">
        <v>86</v>
      </c>
      <c r="F1232" s="4">
        <v>12391.87</v>
      </c>
      <c r="G1232" s="4">
        <v>9278.7199999999993</v>
      </c>
      <c r="H1232" s="4">
        <v>3113.15</v>
      </c>
      <c r="I1232" s="6">
        <v>3.99</v>
      </c>
      <c r="J1232" s="5">
        <v>35</v>
      </c>
    </row>
    <row r="1233" spans="1:10">
      <c r="A1233" t="s">
        <v>37</v>
      </c>
      <c r="B1233" t="s">
        <v>35</v>
      </c>
      <c r="C1233" t="s">
        <v>13</v>
      </c>
      <c r="D1233" s="3">
        <v>45689</v>
      </c>
      <c r="E1233" s="5">
        <v>94</v>
      </c>
      <c r="F1233" s="4">
        <v>7306.42</v>
      </c>
      <c r="G1233" s="4">
        <v>4800.47</v>
      </c>
      <c r="H1233" s="4">
        <v>2505.96</v>
      </c>
      <c r="I1233" s="6">
        <v>3.85</v>
      </c>
      <c r="J1233" s="5">
        <v>35</v>
      </c>
    </row>
    <row r="1234" spans="1:10">
      <c r="A1234" t="s">
        <v>37</v>
      </c>
      <c r="B1234" t="s">
        <v>35</v>
      </c>
      <c r="C1234" t="s">
        <v>14</v>
      </c>
      <c r="D1234" s="3">
        <v>45689</v>
      </c>
      <c r="E1234" s="5">
        <v>131</v>
      </c>
      <c r="F1234" s="4">
        <v>6118.61</v>
      </c>
      <c r="G1234" s="4">
        <v>3620.49</v>
      </c>
      <c r="H1234" s="4">
        <v>2498.12</v>
      </c>
      <c r="I1234" s="6">
        <v>3.73</v>
      </c>
      <c r="J1234" s="5">
        <v>35</v>
      </c>
    </row>
    <row r="1235" spans="1:10">
      <c r="A1235" t="s">
        <v>37</v>
      </c>
      <c r="B1235" t="s">
        <v>35</v>
      </c>
      <c r="C1235" t="s">
        <v>15</v>
      </c>
      <c r="D1235" s="3">
        <v>45689</v>
      </c>
      <c r="E1235" s="5">
        <v>95</v>
      </c>
      <c r="F1235" s="4">
        <v>3660.5</v>
      </c>
      <c r="G1235" s="4">
        <v>1713.38</v>
      </c>
      <c r="H1235" s="4">
        <v>1947.11</v>
      </c>
      <c r="I1235" s="6">
        <v>3.87</v>
      </c>
      <c r="J1235" s="5">
        <v>35</v>
      </c>
    </row>
    <row r="1236" spans="1:10">
      <c r="A1236" t="s">
        <v>37</v>
      </c>
      <c r="B1236" t="s">
        <v>35</v>
      </c>
      <c r="C1236" t="s">
        <v>16</v>
      </c>
      <c r="D1236" s="3">
        <v>45689</v>
      </c>
      <c r="E1236" s="5">
        <v>161</v>
      </c>
      <c r="F1236" s="4">
        <v>2949.33</v>
      </c>
      <c r="G1236" s="4">
        <v>2663.6</v>
      </c>
      <c r="H1236" s="4">
        <v>285.73</v>
      </c>
      <c r="I1236" s="6">
        <v>3.73</v>
      </c>
      <c r="J1236" s="5">
        <v>35</v>
      </c>
    </row>
    <row r="1237" spans="1:10">
      <c r="A1237" t="s">
        <v>37</v>
      </c>
      <c r="B1237" t="s">
        <v>35</v>
      </c>
      <c r="C1237" t="s">
        <v>17</v>
      </c>
      <c r="D1237" s="3">
        <v>45689</v>
      </c>
      <c r="E1237" s="5">
        <v>75</v>
      </c>
      <c r="F1237" s="4">
        <v>4993.28</v>
      </c>
      <c r="G1237" s="4">
        <v>3045.07</v>
      </c>
      <c r="H1237" s="4">
        <v>1948.21</v>
      </c>
      <c r="I1237" s="6">
        <v>3.74</v>
      </c>
      <c r="J1237" s="5">
        <v>35</v>
      </c>
    </row>
    <row r="1238" spans="1:10">
      <c r="A1238" t="s">
        <v>37</v>
      </c>
      <c r="B1238" t="s">
        <v>35</v>
      </c>
      <c r="C1238" t="s">
        <v>12</v>
      </c>
      <c r="D1238" s="3">
        <v>45717</v>
      </c>
      <c r="E1238" s="5">
        <v>117</v>
      </c>
      <c r="F1238" s="4">
        <v>16093.13</v>
      </c>
      <c r="G1238" s="4">
        <v>12055.19</v>
      </c>
      <c r="H1238" s="4">
        <v>4037.94</v>
      </c>
      <c r="I1238" s="6">
        <v>3.75</v>
      </c>
      <c r="J1238" s="5">
        <v>36</v>
      </c>
    </row>
    <row r="1239" spans="1:10">
      <c r="A1239" t="s">
        <v>37</v>
      </c>
      <c r="B1239" t="s">
        <v>35</v>
      </c>
      <c r="C1239" t="s">
        <v>13</v>
      </c>
      <c r="D1239" s="3">
        <v>45717</v>
      </c>
      <c r="E1239" s="5">
        <v>125</v>
      </c>
      <c r="F1239" s="4">
        <v>9702.42</v>
      </c>
      <c r="G1239" s="4">
        <v>6422.76</v>
      </c>
      <c r="H1239" s="4">
        <v>3279.66</v>
      </c>
      <c r="I1239" s="6">
        <v>3.99</v>
      </c>
      <c r="J1239" s="5">
        <v>36</v>
      </c>
    </row>
    <row r="1240" spans="1:10">
      <c r="A1240" t="s">
        <v>37</v>
      </c>
      <c r="B1240" t="s">
        <v>35</v>
      </c>
      <c r="C1240" t="s">
        <v>14</v>
      </c>
      <c r="D1240" s="3">
        <v>45717</v>
      </c>
      <c r="E1240" s="5">
        <v>169</v>
      </c>
      <c r="F1240" s="4">
        <v>8139.71</v>
      </c>
      <c r="G1240" s="4">
        <v>4758.43</v>
      </c>
      <c r="H1240" s="4">
        <v>3381.28</v>
      </c>
      <c r="I1240" s="6">
        <v>3.92</v>
      </c>
      <c r="J1240" s="5">
        <v>36</v>
      </c>
    </row>
    <row r="1241" spans="1:10">
      <c r="A1241" t="s">
        <v>37</v>
      </c>
      <c r="B1241" t="s">
        <v>35</v>
      </c>
      <c r="C1241" t="s">
        <v>15</v>
      </c>
      <c r="D1241" s="3">
        <v>45717</v>
      </c>
      <c r="E1241" s="5">
        <v>103</v>
      </c>
      <c r="F1241" s="4">
        <v>3717.65</v>
      </c>
      <c r="G1241" s="4">
        <v>1723.74</v>
      </c>
      <c r="H1241" s="4">
        <v>1993.91</v>
      </c>
      <c r="I1241" s="6">
        <v>4.01</v>
      </c>
      <c r="J1241" s="5">
        <v>36</v>
      </c>
    </row>
    <row r="1242" spans="1:10">
      <c r="A1242" t="s">
        <v>37</v>
      </c>
      <c r="B1242" t="s">
        <v>35</v>
      </c>
      <c r="C1242" t="s">
        <v>16</v>
      </c>
      <c r="D1242" s="3">
        <v>45717</v>
      </c>
      <c r="E1242" s="5">
        <v>186</v>
      </c>
      <c r="F1242" s="4">
        <v>3465.64</v>
      </c>
      <c r="G1242" s="4">
        <v>3168.98</v>
      </c>
      <c r="H1242" s="4">
        <v>296.67</v>
      </c>
      <c r="I1242" s="6">
        <v>4.01</v>
      </c>
      <c r="J1242" s="5">
        <v>36</v>
      </c>
    </row>
    <row r="1243" spans="1:10">
      <c r="A1243" t="s">
        <v>37</v>
      </c>
      <c r="B1243" t="s">
        <v>35</v>
      </c>
      <c r="C1243" t="s">
        <v>17</v>
      </c>
      <c r="D1243" s="3">
        <v>45717</v>
      </c>
      <c r="E1243" s="5">
        <v>102</v>
      </c>
      <c r="F1243" s="4">
        <v>6580.06</v>
      </c>
      <c r="G1243" s="4">
        <v>4262.18</v>
      </c>
      <c r="H1243" s="4">
        <v>2317.88</v>
      </c>
      <c r="I1243" s="6">
        <v>4.05</v>
      </c>
      <c r="J1243" s="5">
        <v>36</v>
      </c>
    </row>
    <row r="1244" spans="1:10">
      <c r="A1244" t="s">
        <v>37</v>
      </c>
      <c r="B1244" t="s">
        <v>35</v>
      </c>
      <c r="C1244" t="s">
        <v>12</v>
      </c>
      <c r="D1244" s="3">
        <v>45748</v>
      </c>
      <c r="E1244" s="5">
        <v>124</v>
      </c>
      <c r="F1244" s="4">
        <v>19034.87</v>
      </c>
      <c r="G1244" s="4">
        <v>14927.97</v>
      </c>
      <c r="H1244" s="4">
        <v>4106.8999999999996</v>
      </c>
      <c r="I1244" s="6">
        <v>3.72</v>
      </c>
      <c r="J1244" s="5">
        <v>34</v>
      </c>
    </row>
    <row r="1245" spans="1:10">
      <c r="A1245" t="s">
        <v>37</v>
      </c>
      <c r="B1245" t="s">
        <v>35</v>
      </c>
      <c r="C1245" t="s">
        <v>13</v>
      </c>
      <c r="D1245" s="3">
        <v>45748</v>
      </c>
      <c r="E1245" s="5">
        <v>114</v>
      </c>
      <c r="F1245" s="4">
        <v>9237.1299999999992</v>
      </c>
      <c r="G1245" s="4">
        <v>6248.67</v>
      </c>
      <c r="H1245" s="4">
        <v>2988.46</v>
      </c>
      <c r="I1245" s="6">
        <v>3.7</v>
      </c>
      <c r="J1245" s="5">
        <v>34</v>
      </c>
    </row>
    <row r="1246" spans="1:10">
      <c r="A1246" t="s">
        <v>37</v>
      </c>
      <c r="B1246" t="s">
        <v>35</v>
      </c>
      <c r="C1246" t="s">
        <v>14</v>
      </c>
      <c r="D1246" s="3">
        <v>45748</v>
      </c>
      <c r="E1246" s="5">
        <v>141</v>
      </c>
      <c r="F1246" s="4">
        <v>6465.86</v>
      </c>
      <c r="G1246" s="4">
        <v>3816.06</v>
      </c>
      <c r="H1246" s="4">
        <v>2649.8</v>
      </c>
      <c r="I1246" s="6">
        <v>3.71</v>
      </c>
      <c r="J1246" s="5">
        <v>34</v>
      </c>
    </row>
    <row r="1247" spans="1:10">
      <c r="A1247" t="s">
        <v>37</v>
      </c>
      <c r="B1247" t="s">
        <v>35</v>
      </c>
      <c r="C1247" t="s">
        <v>15</v>
      </c>
      <c r="D1247" s="3">
        <v>45748</v>
      </c>
      <c r="E1247" s="5">
        <v>117</v>
      </c>
      <c r="F1247" s="4">
        <v>4213.8500000000004</v>
      </c>
      <c r="G1247" s="4">
        <v>2025.12</v>
      </c>
      <c r="H1247" s="4">
        <v>2188.7399999999998</v>
      </c>
      <c r="I1247" s="6">
        <v>3.92</v>
      </c>
      <c r="J1247" s="5">
        <v>34</v>
      </c>
    </row>
    <row r="1248" spans="1:10">
      <c r="A1248" t="s">
        <v>37</v>
      </c>
      <c r="B1248" t="s">
        <v>35</v>
      </c>
      <c r="C1248" t="s">
        <v>16</v>
      </c>
      <c r="D1248" s="3">
        <v>45748</v>
      </c>
      <c r="E1248" s="5">
        <v>207</v>
      </c>
      <c r="F1248" s="4">
        <v>3729.45</v>
      </c>
      <c r="G1248" s="4">
        <v>3291.02</v>
      </c>
      <c r="H1248" s="4">
        <v>438.43</v>
      </c>
      <c r="I1248" s="6">
        <v>3.73</v>
      </c>
      <c r="J1248" s="5">
        <v>34</v>
      </c>
    </row>
    <row r="1249" spans="1:10">
      <c r="A1249" t="s">
        <v>37</v>
      </c>
      <c r="B1249" t="s">
        <v>35</v>
      </c>
      <c r="C1249" t="s">
        <v>17</v>
      </c>
      <c r="D1249" s="3">
        <v>45748</v>
      </c>
      <c r="E1249" s="5">
        <v>88</v>
      </c>
      <c r="F1249" s="4">
        <v>5234.87</v>
      </c>
      <c r="G1249" s="4">
        <v>3350.95</v>
      </c>
      <c r="H1249" s="4">
        <v>1883.92</v>
      </c>
      <c r="I1249" s="6">
        <v>4</v>
      </c>
      <c r="J1249" s="5">
        <v>34</v>
      </c>
    </row>
    <row r="1250" spans="1:10">
      <c r="A1250" t="s">
        <v>37</v>
      </c>
      <c r="B1250" t="s">
        <v>35</v>
      </c>
      <c r="C1250" t="s">
        <v>12</v>
      </c>
      <c r="D1250" s="3">
        <v>45778</v>
      </c>
      <c r="E1250" s="5">
        <v>147</v>
      </c>
      <c r="F1250" s="4">
        <v>23012.61</v>
      </c>
      <c r="G1250" s="4">
        <v>17993.509999999998</v>
      </c>
      <c r="H1250" s="4">
        <v>5019.1000000000004</v>
      </c>
      <c r="I1250" s="6">
        <v>3.75</v>
      </c>
      <c r="J1250" s="5">
        <v>35</v>
      </c>
    </row>
    <row r="1251" spans="1:10">
      <c r="A1251" t="s">
        <v>37</v>
      </c>
      <c r="B1251" t="s">
        <v>35</v>
      </c>
      <c r="C1251" t="s">
        <v>13</v>
      </c>
      <c r="D1251" s="3">
        <v>45778</v>
      </c>
      <c r="E1251" s="5">
        <v>125</v>
      </c>
      <c r="F1251" s="4">
        <v>9025.42</v>
      </c>
      <c r="G1251" s="4">
        <v>5818.74</v>
      </c>
      <c r="H1251" s="4">
        <v>3206.68</v>
      </c>
      <c r="I1251" s="6">
        <v>3.96</v>
      </c>
      <c r="J1251" s="5">
        <v>35</v>
      </c>
    </row>
    <row r="1252" spans="1:10">
      <c r="A1252" t="s">
        <v>37</v>
      </c>
      <c r="B1252" t="s">
        <v>35</v>
      </c>
      <c r="C1252" t="s">
        <v>14</v>
      </c>
      <c r="D1252" s="3">
        <v>45778</v>
      </c>
      <c r="E1252" s="5">
        <v>149</v>
      </c>
      <c r="F1252" s="4">
        <v>7714.37</v>
      </c>
      <c r="G1252" s="4">
        <v>4543.3599999999997</v>
      </c>
      <c r="H1252" s="4">
        <v>3171</v>
      </c>
      <c r="I1252" s="6">
        <v>3.93</v>
      </c>
      <c r="J1252" s="5">
        <v>35</v>
      </c>
    </row>
    <row r="1253" spans="1:10">
      <c r="A1253" t="s">
        <v>37</v>
      </c>
      <c r="B1253" t="s">
        <v>35</v>
      </c>
      <c r="C1253" t="s">
        <v>15</v>
      </c>
      <c r="D1253" s="3">
        <v>45778</v>
      </c>
      <c r="E1253" s="5">
        <v>138</v>
      </c>
      <c r="F1253" s="4">
        <v>4959.16</v>
      </c>
      <c r="G1253" s="4">
        <v>2393.9</v>
      </c>
      <c r="H1253" s="4">
        <v>2565.2600000000002</v>
      </c>
      <c r="I1253" s="6">
        <v>3.98</v>
      </c>
      <c r="J1253" s="5">
        <v>35</v>
      </c>
    </row>
    <row r="1254" spans="1:10">
      <c r="A1254" t="s">
        <v>37</v>
      </c>
      <c r="B1254" t="s">
        <v>35</v>
      </c>
      <c r="C1254" t="s">
        <v>16</v>
      </c>
      <c r="D1254" s="3">
        <v>45778</v>
      </c>
      <c r="E1254" s="5">
        <v>210</v>
      </c>
      <c r="F1254" s="4">
        <v>3648.35</v>
      </c>
      <c r="G1254" s="4">
        <v>3299.97</v>
      </c>
      <c r="H1254" s="4">
        <v>348.38</v>
      </c>
      <c r="I1254" s="6">
        <v>3.87</v>
      </c>
      <c r="J1254" s="5">
        <v>35</v>
      </c>
    </row>
    <row r="1255" spans="1:10">
      <c r="A1255" t="s">
        <v>37</v>
      </c>
      <c r="B1255" t="s">
        <v>35</v>
      </c>
      <c r="C1255" t="s">
        <v>17</v>
      </c>
      <c r="D1255" s="3">
        <v>45778</v>
      </c>
      <c r="E1255" s="5">
        <v>124</v>
      </c>
      <c r="F1255" s="4">
        <v>7711.11</v>
      </c>
      <c r="G1255" s="4">
        <v>4922.84</v>
      </c>
      <c r="H1255" s="4">
        <v>2788.27</v>
      </c>
      <c r="I1255" s="6">
        <v>3.77</v>
      </c>
      <c r="J1255" s="5">
        <v>35</v>
      </c>
    </row>
    <row r="1256" spans="1:10">
      <c r="A1256" t="s">
        <v>37</v>
      </c>
      <c r="B1256" t="s">
        <v>35</v>
      </c>
      <c r="C1256" t="s">
        <v>12</v>
      </c>
      <c r="D1256" s="3">
        <v>45809</v>
      </c>
      <c r="E1256" s="5">
        <v>129</v>
      </c>
      <c r="F1256" s="4">
        <v>18202.68</v>
      </c>
      <c r="G1256" s="4">
        <v>14199.56</v>
      </c>
      <c r="H1256" s="4">
        <v>4003.12</v>
      </c>
      <c r="I1256" s="6">
        <v>3.85</v>
      </c>
      <c r="J1256" s="5">
        <v>35</v>
      </c>
    </row>
    <row r="1257" spans="1:10">
      <c r="A1257" t="s">
        <v>37</v>
      </c>
      <c r="B1257" t="s">
        <v>35</v>
      </c>
      <c r="C1257" t="s">
        <v>13</v>
      </c>
      <c r="D1257" s="3">
        <v>45809</v>
      </c>
      <c r="E1257" s="5">
        <v>126</v>
      </c>
      <c r="F1257" s="4">
        <v>9733.65</v>
      </c>
      <c r="G1257" s="4">
        <v>6469.49</v>
      </c>
      <c r="H1257" s="4">
        <v>3264.16</v>
      </c>
      <c r="I1257" s="6">
        <v>4.05</v>
      </c>
      <c r="J1257" s="5">
        <v>35</v>
      </c>
    </row>
    <row r="1258" spans="1:10">
      <c r="A1258" t="s">
        <v>37</v>
      </c>
      <c r="B1258" t="s">
        <v>35</v>
      </c>
      <c r="C1258" t="s">
        <v>14</v>
      </c>
      <c r="D1258" s="3">
        <v>45809</v>
      </c>
      <c r="E1258" s="5">
        <v>152</v>
      </c>
      <c r="F1258" s="4">
        <v>6973.83</v>
      </c>
      <c r="G1258" s="4">
        <v>4249.32</v>
      </c>
      <c r="H1258" s="4">
        <v>2724.51</v>
      </c>
      <c r="I1258" s="6">
        <v>3.95</v>
      </c>
      <c r="J1258" s="5">
        <v>35</v>
      </c>
    </row>
    <row r="1259" spans="1:10">
      <c r="A1259" t="s">
        <v>37</v>
      </c>
      <c r="B1259" t="s">
        <v>35</v>
      </c>
      <c r="C1259" t="s">
        <v>15</v>
      </c>
      <c r="D1259" s="3">
        <v>45809</v>
      </c>
      <c r="E1259" s="5">
        <v>135</v>
      </c>
      <c r="F1259" s="4">
        <v>4665.08</v>
      </c>
      <c r="G1259" s="4">
        <v>2317.61</v>
      </c>
      <c r="H1259" s="4">
        <v>2347.4699999999998</v>
      </c>
      <c r="I1259" s="6">
        <v>4.05</v>
      </c>
      <c r="J1259" s="5">
        <v>35</v>
      </c>
    </row>
    <row r="1260" spans="1:10">
      <c r="A1260" t="s">
        <v>37</v>
      </c>
      <c r="B1260" t="s">
        <v>35</v>
      </c>
      <c r="C1260" t="s">
        <v>16</v>
      </c>
      <c r="D1260" s="3">
        <v>45809</v>
      </c>
      <c r="E1260" s="5">
        <v>270</v>
      </c>
      <c r="F1260" s="4">
        <v>4884.74</v>
      </c>
      <c r="G1260" s="4">
        <v>4332.63</v>
      </c>
      <c r="H1260" s="4">
        <v>552.11</v>
      </c>
      <c r="I1260" s="6">
        <v>3.99</v>
      </c>
      <c r="J1260" s="5">
        <v>35</v>
      </c>
    </row>
    <row r="1261" spans="1:10">
      <c r="A1261" t="s">
        <v>37</v>
      </c>
      <c r="B1261" t="s">
        <v>35</v>
      </c>
      <c r="C1261" t="s">
        <v>17</v>
      </c>
      <c r="D1261" s="3">
        <v>45809</v>
      </c>
      <c r="E1261" s="5">
        <v>135</v>
      </c>
      <c r="F1261" s="4">
        <v>7971.44</v>
      </c>
      <c r="G1261" s="4">
        <v>5172.87</v>
      </c>
      <c r="H1261" s="4">
        <v>2798.57</v>
      </c>
      <c r="I1261" s="6">
        <v>3.97</v>
      </c>
      <c r="J1261" s="5">
        <v>35</v>
      </c>
    </row>
    <row r="1262" spans="1:10">
      <c r="A1262" t="s">
        <v>37</v>
      </c>
      <c r="B1262" t="s">
        <v>35</v>
      </c>
      <c r="C1262" t="s">
        <v>12</v>
      </c>
      <c r="D1262" s="3">
        <v>45839</v>
      </c>
      <c r="E1262" s="5">
        <v>151</v>
      </c>
      <c r="F1262" s="4">
        <v>22358.04</v>
      </c>
      <c r="G1262" s="4">
        <v>17692.599999999999</v>
      </c>
      <c r="H1262" s="4">
        <v>4665.43</v>
      </c>
      <c r="I1262" s="6">
        <v>4.0199999999999996</v>
      </c>
      <c r="J1262" s="5">
        <v>35</v>
      </c>
    </row>
    <row r="1263" spans="1:10">
      <c r="A1263" t="s">
        <v>37</v>
      </c>
      <c r="B1263" t="s">
        <v>35</v>
      </c>
      <c r="C1263" t="s">
        <v>13</v>
      </c>
      <c r="D1263" s="3">
        <v>45839</v>
      </c>
      <c r="E1263" s="5">
        <v>129</v>
      </c>
      <c r="F1263" s="4">
        <v>9950.1299999999992</v>
      </c>
      <c r="G1263" s="4">
        <v>6528.85</v>
      </c>
      <c r="H1263" s="4">
        <v>3421.28</v>
      </c>
      <c r="I1263" s="6">
        <v>3.86</v>
      </c>
      <c r="J1263" s="5">
        <v>35</v>
      </c>
    </row>
    <row r="1264" spans="1:10">
      <c r="A1264" t="s">
        <v>37</v>
      </c>
      <c r="B1264" t="s">
        <v>35</v>
      </c>
      <c r="C1264" t="s">
        <v>14</v>
      </c>
      <c r="D1264" s="3">
        <v>45839</v>
      </c>
      <c r="E1264" s="5">
        <v>195</v>
      </c>
      <c r="F1264" s="4">
        <v>9232.82</v>
      </c>
      <c r="G1264" s="4">
        <v>5637.22</v>
      </c>
      <c r="H1264" s="4">
        <v>3595.59</v>
      </c>
      <c r="I1264" s="6">
        <v>4.05</v>
      </c>
      <c r="J1264" s="5">
        <v>35</v>
      </c>
    </row>
    <row r="1265" spans="1:10">
      <c r="A1265" t="s">
        <v>37</v>
      </c>
      <c r="B1265" t="s">
        <v>35</v>
      </c>
      <c r="C1265" t="s">
        <v>15</v>
      </c>
      <c r="D1265" s="3">
        <v>45839</v>
      </c>
      <c r="E1265" s="5">
        <v>141</v>
      </c>
      <c r="F1265" s="4">
        <v>4980.8100000000004</v>
      </c>
      <c r="G1265" s="4">
        <v>2421.1999999999998</v>
      </c>
      <c r="H1265" s="4">
        <v>2559.61</v>
      </c>
      <c r="I1265" s="6">
        <v>3.95</v>
      </c>
      <c r="J1265" s="5">
        <v>35</v>
      </c>
    </row>
    <row r="1266" spans="1:10">
      <c r="A1266" t="s">
        <v>37</v>
      </c>
      <c r="B1266" t="s">
        <v>35</v>
      </c>
      <c r="C1266" t="s">
        <v>16</v>
      </c>
      <c r="D1266" s="3">
        <v>45839</v>
      </c>
      <c r="E1266" s="5">
        <v>233</v>
      </c>
      <c r="F1266" s="4">
        <v>4403.29</v>
      </c>
      <c r="G1266" s="4">
        <v>3975.44</v>
      </c>
      <c r="H1266" s="4">
        <v>427.85</v>
      </c>
      <c r="I1266" s="6">
        <v>3.89</v>
      </c>
      <c r="J1266" s="5">
        <v>35</v>
      </c>
    </row>
    <row r="1267" spans="1:10">
      <c r="A1267" t="s">
        <v>37</v>
      </c>
      <c r="B1267" t="s">
        <v>35</v>
      </c>
      <c r="C1267" t="s">
        <v>17</v>
      </c>
      <c r="D1267" s="3">
        <v>45839</v>
      </c>
      <c r="E1267" s="5">
        <v>138</v>
      </c>
      <c r="F1267" s="4">
        <v>8735.16</v>
      </c>
      <c r="G1267" s="4">
        <v>5755.32</v>
      </c>
      <c r="H1267" s="4">
        <v>2979.84</v>
      </c>
      <c r="I1267" s="6">
        <v>3.93</v>
      </c>
      <c r="J1267" s="5">
        <v>35</v>
      </c>
    </row>
    <row r="1268" spans="1:10">
      <c r="A1268" t="s">
        <v>37</v>
      </c>
      <c r="B1268" t="s">
        <v>35</v>
      </c>
      <c r="C1268" t="s">
        <v>12</v>
      </c>
      <c r="D1268" s="3">
        <v>45870</v>
      </c>
      <c r="E1268" s="5">
        <v>155</v>
      </c>
      <c r="F1268" s="4">
        <v>22028.97</v>
      </c>
      <c r="G1268" s="4">
        <v>17009.91</v>
      </c>
      <c r="H1268" s="4">
        <v>5019.0600000000004</v>
      </c>
      <c r="I1268" s="6">
        <v>3.88</v>
      </c>
      <c r="J1268" s="5">
        <v>36</v>
      </c>
    </row>
    <row r="1269" spans="1:10">
      <c r="A1269" t="s">
        <v>37</v>
      </c>
      <c r="B1269" t="s">
        <v>35</v>
      </c>
      <c r="C1269" t="s">
        <v>13</v>
      </c>
      <c r="D1269" s="3">
        <v>45870</v>
      </c>
      <c r="E1269" s="5">
        <v>121</v>
      </c>
      <c r="F1269" s="4">
        <v>9740.42</v>
      </c>
      <c r="G1269" s="4">
        <v>6554.43</v>
      </c>
      <c r="H1269" s="4">
        <v>3186</v>
      </c>
      <c r="I1269" s="6">
        <v>3.75</v>
      </c>
      <c r="J1269" s="5">
        <v>36</v>
      </c>
    </row>
    <row r="1270" spans="1:10">
      <c r="A1270" t="s">
        <v>37</v>
      </c>
      <c r="B1270" t="s">
        <v>35</v>
      </c>
      <c r="C1270" t="s">
        <v>14</v>
      </c>
      <c r="D1270" s="3">
        <v>45870</v>
      </c>
      <c r="E1270" s="5">
        <v>196</v>
      </c>
      <c r="F1270" s="4">
        <v>8862.23</v>
      </c>
      <c r="G1270" s="4">
        <v>5383.83</v>
      </c>
      <c r="H1270" s="4">
        <v>3478.4</v>
      </c>
      <c r="I1270" s="6">
        <v>3.76</v>
      </c>
      <c r="J1270" s="5">
        <v>36</v>
      </c>
    </row>
    <row r="1271" spans="1:10">
      <c r="A1271" t="s">
        <v>37</v>
      </c>
      <c r="B1271" t="s">
        <v>35</v>
      </c>
      <c r="C1271" t="s">
        <v>15</v>
      </c>
      <c r="D1271" s="3">
        <v>45870</v>
      </c>
      <c r="E1271" s="5">
        <v>164</v>
      </c>
      <c r="F1271" s="4">
        <v>6038.89</v>
      </c>
      <c r="G1271" s="4">
        <v>2968.07</v>
      </c>
      <c r="H1271" s="4">
        <v>3070.82</v>
      </c>
      <c r="I1271" s="6">
        <v>3.86</v>
      </c>
      <c r="J1271" s="5">
        <v>36</v>
      </c>
    </row>
    <row r="1272" spans="1:10">
      <c r="A1272" t="s">
        <v>37</v>
      </c>
      <c r="B1272" t="s">
        <v>35</v>
      </c>
      <c r="C1272" t="s">
        <v>16</v>
      </c>
      <c r="D1272" s="3">
        <v>45870</v>
      </c>
      <c r="E1272" s="5">
        <v>240</v>
      </c>
      <c r="F1272" s="4">
        <v>4484.63</v>
      </c>
      <c r="G1272" s="4">
        <v>4131.09</v>
      </c>
      <c r="H1272" s="4">
        <v>353.54</v>
      </c>
      <c r="I1272" s="6">
        <v>3.96</v>
      </c>
      <c r="J1272" s="5">
        <v>36</v>
      </c>
    </row>
    <row r="1273" spans="1:10">
      <c r="A1273" t="s">
        <v>37</v>
      </c>
      <c r="B1273" t="s">
        <v>35</v>
      </c>
      <c r="C1273" t="s">
        <v>17</v>
      </c>
      <c r="D1273" s="3">
        <v>45870</v>
      </c>
      <c r="E1273" s="5">
        <v>129</v>
      </c>
      <c r="F1273" s="4">
        <v>8483.33</v>
      </c>
      <c r="G1273" s="4">
        <v>5563.01</v>
      </c>
      <c r="H1273" s="4">
        <v>2920.32</v>
      </c>
      <c r="I1273" s="6">
        <v>3.73</v>
      </c>
      <c r="J1273" s="5">
        <v>36</v>
      </c>
    </row>
    <row r="1274" spans="1:10">
      <c r="A1274" t="s">
        <v>37</v>
      </c>
      <c r="B1274" t="s">
        <v>35</v>
      </c>
      <c r="C1274" t="s">
        <v>12</v>
      </c>
      <c r="D1274" s="3">
        <v>45901</v>
      </c>
      <c r="E1274" s="5">
        <v>126</v>
      </c>
      <c r="F1274" s="4">
        <v>19316.25</v>
      </c>
      <c r="G1274" s="4">
        <v>15648.14</v>
      </c>
      <c r="H1274" s="4">
        <v>3668.11</v>
      </c>
      <c r="I1274" s="6">
        <v>3.85</v>
      </c>
      <c r="J1274" s="5">
        <v>35</v>
      </c>
    </row>
    <row r="1275" spans="1:10">
      <c r="A1275" t="s">
        <v>37</v>
      </c>
      <c r="B1275" t="s">
        <v>35</v>
      </c>
      <c r="C1275" t="s">
        <v>13</v>
      </c>
      <c r="D1275" s="3">
        <v>45901</v>
      </c>
      <c r="E1275" s="5">
        <v>119</v>
      </c>
      <c r="F1275" s="4">
        <v>8986.51</v>
      </c>
      <c r="G1275" s="4">
        <v>6242.32</v>
      </c>
      <c r="H1275" s="4">
        <v>2744.19</v>
      </c>
      <c r="I1275" s="6">
        <v>3.96</v>
      </c>
      <c r="J1275" s="5">
        <v>35</v>
      </c>
    </row>
    <row r="1276" spans="1:10">
      <c r="A1276" t="s">
        <v>37</v>
      </c>
      <c r="B1276" t="s">
        <v>35</v>
      </c>
      <c r="C1276" t="s">
        <v>14</v>
      </c>
      <c r="D1276" s="3">
        <v>45901</v>
      </c>
      <c r="E1276" s="5">
        <v>172</v>
      </c>
      <c r="F1276" s="4">
        <v>8733.66</v>
      </c>
      <c r="G1276" s="4">
        <v>5338.08</v>
      </c>
      <c r="H1276" s="4">
        <v>3395.59</v>
      </c>
      <c r="I1276" s="6">
        <v>3.79</v>
      </c>
      <c r="J1276" s="5">
        <v>35</v>
      </c>
    </row>
    <row r="1277" spans="1:10">
      <c r="A1277" t="s">
        <v>37</v>
      </c>
      <c r="B1277" t="s">
        <v>35</v>
      </c>
      <c r="C1277" t="s">
        <v>15</v>
      </c>
      <c r="D1277" s="3">
        <v>45901</v>
      </c>
      <c r="E1277" s="5">
        <v>148</v>
      </c>
      <c r="F1277" s="4">
        <v>5619.62</v>
      </c>
      <c r="G1277" s="4">
        <v>2778.12</v>
      </c>
      <c r="H1277" s="4">
        <v>2841.5</v>
      </c>
      <c r="I1277" s="6">
        <v>3.87</v>
      </c>
      <c r="J1277" s="5">
        <v>35</v>
      </c>
    </row>
    <row r="1278" spans="1:10">
      <c r="A1278" t="s">
        <v>37</v>
      </c>
      <c r="B1278" t="s">
        <v>35</v>
      </c>
      <c r="C1278" t="s">
        <v>16</v>
      </c>
      <c r="D1278" s="3">
        <v>45901</v>
      </c>
      <c r="E1278" s="5">
        <v>205</v>
      </c>
      <c r="F1278" s="4">
        <v>3958.47</v>
      </c>
      <c r="G1278" s="4">
        <v>3766.57</v>
      </c>
      <c r="H1278" s="4">
        <v>191.9</v>
      </c>
      <c r="I1278" s="6">
        <v>3.75</v>
      </c>
      <c r="J1278" s="5">
        <v>35</v>
      </c>
    </row>
    <row r="1279" spans="1:10">
      <c r="A1279" t="s">
        <v>37</v>
      </c>
      <c r="B1279" t="s">
        <v>35</v>
      </c>
      <c r="C1279" t="s">
        <v>17</v>
      </c>
      <c r="D1279" s="3">
        <v>45901</v>
      </c>
      <c r="E1279" s="5">
        <v>103</v>
      </c>
      <c r="F1279" s="4">
        <v>6613.93</v>
      </c>
      <c r="G1279" s="4">
        <v>4388.96</v>
      </c>
      <c r="H1279" s="4">
        <v>2224.96</v>
      </c>
      <c r="I1279" s="6">
        <v>3.79</v>
      </c>
      <c r="J1279" s="5">
        <v>35</v>
      </c>
    </row>
    <row r="1280" spans="1:10">
      <c r="A1280" t="s">
        <v>37</v>
      </c>
      <c r="B1280" t="s">
        <v>35</v>
      </c>
      <c r="C1280" t="s">
        <v>12</v>
      </c>
      <c r="D1280" s="3">
        <v>45931</v>
      </c>
      <c r="E1280" s="5">
        <v>178</v>
      </c>
      <c r="F1280" s="4">
        <v>25883.17</v>
      </c>
      <c r="G1280" s="4">
        <v>21032.94</v>
      </c>
      <c r="H1280" s="4">
        <v>4850.2299999999996</v>
      </c>
      <c r="I1280" s="6">
        <v>4.04</v>
      </c>
      <c r="J1280" s="5">
        <v>36</v>
      </c>
    </row>
    <row r="1281" spans="1:10">
      <c r="A1281" t="s">
        <v>37</v>
      </c>
      <c r="B1281" t="s">
        <v>35</v>
      </c>
      <c r="C1281" t="s">
        <v>13</v>
      </c>
      <c r="D1281" s="3">
        <v>45931</v>
      </c>
      <c r="E1281" s="5">
        <v>139</v>
      </c>
      <c r="F1281" s="4">
        <v>10940.11</v>
      </c>
      <c r="G1281" s="4">
        <v>7383.35</v>
      </c>
      <c r="H1281" s="4">
        <v>3556.76</v>
      </c>
      <c r="I1281" s="6">
        <v>4.03</v>
      </c>
      <c r="J1281" s="5">
        <v>36</v>
      </c>
    </row>
    <row r="1282" spans="1:10">
      <c r="A1282" t="s">
        <v>37</v>
      </c>
      <c r="B1282" t="s">
        <v>35</v>
      </c>
      <c r="C1282" t="s">
        <v>14</v>
      </c>
      <c r="D1282" s="3">
        <v>45931</v>
      </c>
      <c r="E1282" s="5">
        <v>151</v>
      </c>
      <c r="F1282" s="4">
        <v>7251.26</v>
      </c>
      <c r="G1282" s="4">
        <v>4712.6099999999997</v>
      </c>
      <c r="H1282" s="4">
        <v>2538.65</v>
      </c>
      <c r="I1282" s="6">
        <v>4.01</v>
      </c>
      <c r="J1282" s="5">
        <v>36</v>
      </c>
    </row>
    <row r="1283" spans="1:10">
      <c r="A1283" t="s">
        <v>37</v>
      </c>
      <c r="B1283" t="s">
        <v>35</v>
      </c>
      <c r="C1283" t="s">
        <v>15</v>
      </c>
      <c r="D1283" s="3">
        <v>45931</v>
      </c>
      <c r="E1283" s="5">
        <v>123</v>
      </c>
      <c r="F1283" s="4">
        <v>4369.97</v>
      </c>
      <c r="G1283" s="4">
        <v>2214.7800000000002</v>
      </c>
      <c r="H1283" s="4">
        <v>2155.1999999999998</v>
      </c>
      <c r="I1283" s="6">
        <v>3.73</v>
      </c>
      <c r="J1283" s="5">
        <v>36</v>
      </c>
    </row>
    <row r="1284" spans="1:10">
      <c r="A1284" t="s">
        <v>37</v>
      </c>
      <c r="B1284" t="s">
        <v>35</v>
      </c>
      <c r="C1284" t="s">
        <v>16</v>
      </c>
      <c r="D1284" s="3">
        <v>45931</v>
      </c>
      <c r="E1284" s="5">
        <v>228</v>
      </c>
      <c r="F1284" s="4">
        <v>4301.9799999999996</v>
      </c>
      <c r="G1284" s="4">
        <v>4078.1</v>
      </c>
      <c r="H1284" s="4">
        <v>223.88</v>
      </c>
      <c r="I1284" s="6">
        <v>3.93</v>
      </c>
      <c r="J1284" s="5">
        <v>36</v>
      </c>
    </row>
    <row r="1285" spans="1:10">
      <c r="A1285" t="s">
        <v>37</v>
      </c>
      <c r="B1285" t="s">
        <v>35</v>
      </c>
      <c r="C1285" t="s">
        <v>17</v>
      </c>
      <c r="D1285" s="3">
        <v>45931</v>
      </c>
      <c r="E1285" s="5">
        <v>101</v>
      </c>
      <c r="F1285" s="4">
        <v>6402.4</v>
      </c>
      <c r="G1285" s="4">
        <v>4236.2299999999996</v>
      </c>
      <c r="H1285" s="4">
        <v>2166.17</v>
      </c>
      <c r="I1285" s="6">
        <v>3.82</v>
      </c>
      <c r="J1285" s="5">
        <v>36</v>
      </c>
    </row>
    <row r="1286" spans="1:10">
      <c r="A1286" t="s">
        <v>37</v>
      </c>
      <c r="B1286" t="s">
        <v>35</v>
      </c>
      <c r="C1286" t="s">
        <v>12</v>
      </c>
      <c r="D1286" s="3">
        <v>45962</v>
      </c>
      <c r="E1286" s="5">
        <v>243</v>
      </c>
      <c r="F1286" s="4">
        <v>33162.71</v>
      </c>
      <c r="G1286" s="4">
        <v>26165.46</v>
      </c>
      <c r="H1286" s="4">
        <v>6997.25</v>
      </c>
      <c r="I1286" s="6">
        <v>3.85</v>
      </c>
      <c r="J1286" s="5">
        <v>37</v>
      </c>
    </row>
    <row r="1287" spans="1:10">
      <c r="A1287" t="s">
        <v>37</v>
      </c>
      <c r="B1287" t="s">
        <v>35</v>
      </c>
      <c r="C1287" t="s">
        <v>13</v>
      </c>
      <c r="D1287" s="3">
        <v>45962</v>
      </c>
      <c r="E1287" s="5">
        <v>165</v>
      </c>
      <c r="F1287" s="4">
        <v>12709.75</v>
      </c>
      <c r="G1287" s="4">
        <v>8995.85</v>
      </c>
      <c r="H1287" s="4">
        <v>3713.9</v>
      </c>
      <c r="I1287" s="6">
        <v>3.82</v>
      </c>
      <c r="J1287" s="5">
        <v>37</v>
      </c>
    </row>
    <row r="1288" spans="1:10">
      <c r="A1288" t="s">
        <v>37</v>
      </c>
      <c r="B1288" t="s">
        <v>35</v>
      </c>
      <c r="C1288" t="s">
        <v>14</v>
      </c>
      <c r="D1288" s="3">
        <v>45962</v>
      </c>
      <c r="E1288" s="5">
        <v>242</v>
      </c>
      <c r="F1288" s="4">
        <v>10974.4</v>
      </c>
      <c r="G1288" s="4">
        <v>7073.93</v>
      </c>
      <c r="H1288" s="4">
        <v>3900.47</v>
      </c>
      <c r="I1288" s="6">
        <v>3.72</v>
      </c>
      <c r="J1288" s="5">
        <v>37</v>
      </c>
    </row>
    <row r="1289" spans="1:10">
      <c r="A1289" t="s">
        <v>37</v>
      </c>
      <c r="B1289" t="s">
        <v>35</v>
      </c>
      <c r="C1289" t="s">
        <v>15</v>
      </c>
      <c r="D1289" s="3">
        <v>45962</v>
      </c>
      <c r="E1289" s="5">
        <v>162</v>
      </c>
      <c r="F1289" s="4">
        <v>5967.18</v>
      </c>
      <c r="G1289" s="4">
        <v>3176.28</v>
      </c>
      <c r="H1289" s="4">
        <v>2790.9</v>
      </c>
      <c r="I1289" s="6">
        <v>3.78</v>
      </c>
      <c r="J1289" s="5">
        <v>37</v>
      </c>
    </row>
    <row r="1290" spans="1:10">
      <c r="A1290" t="s">
        <v>37</v>
      </c>
      <c r="B1290" t="s">
        <v>35</v>
      </c>
      <c r="C1290" t="s">
        <v>16</v>
      </c>
      <c r="D1290" s="3">
        <v>45962</v>
      </c>
      <c r="E1290" s="5">
        <v>286</v>
      </c>
      <c r="F1290" s="4">
        <v>5529.42</v>
      </c>
      <c r="G1290" s="4">
        <v>5068.67</v>
      </c>
      <c r="H1290" s="4">
        <v>460.75</v>
      </c>
      <c r="I1290" s="6">
        <v>3.89</v>
      </c>
      <c r="J1290" s="5">
        <v>37</v>
      </c>
    </row>
    <row r="1291" spans="1:10">
      <c r="A1291" t="s">
        <v>37</v>
      </c>
      <c r="B1291" t="s">
        <v>35</v>
      </c>
      <c r="C1291" t="s">
        <v>17</v>
      </c>
      <c r="D1291" s="3">
        <v>45962</v>
      </c>
      <c r="E1291" s="5">
        <v>126</v>
      </c>
      <c r="F1291" s="4">
        <v>7754.46</v>
      </c>
      <c r="G1291" s="4">
        <v>5356.51</v>
      </c>
      <c r="H1291" s="4">
        <v>2397.9499999999998</v>
      </c>
      <c r="I1291" s="6">
        <v>3.93</v>
      </c>
      <c r="J1291" s="5">
        <v>37</v>
      </c>
    </row>
    <row r="1292" spans="1:10">
      <c r="A1292" t="s">
        <v>37</v>
      </c>
      <c r="B1292" t="s">
        <v>35</v>
      </c>
      <c r="C1292" t="s">
        <v>12</v>
      </c>
      <c r="D1292" s="3">
        <v>45992</v>
      </c>
      <c r="E1292" s="5">
        <v>298</v>
      </c>
      <c r="F1292" s="4">
        <v>42149.93</v>
      </c>
      <c r="G1292" s="4">
        <v>35167.480000000003</v>
      </c>
      <c r="H1292" s="4">
        <v>6982.45</v>
      </c>
      <c r="I1292" s="6">
        <v>4.04</v>
      </c>
      <c r="J1292" s="5">
        <v>37</v>
      </c>
    </row>
    <row r="1293" spans="1:10">
      <c r="A1293" t="s">
        <v>37</v>
      </c>
      <c r="B1293" t="s">
        <v>35</v>
      </c>
      <c r="C1293" t="s">
        <v>13</v>
      </c>
      <c r="D1293" s="3">
        <v>45992</v>
      </c>
      <c r="E1293" s="5">
        <v>170</v>
      </c>
      <c r="F1293" s="4">
        <v>13300.23</v>
      </c>
      <c r="G1293" s="4">
        <v>9900.86</v>
      </c>
      <c r="H1293" s="4">
        <v>3399.37</v>
      </c>
      <c r="I1293" s="6">
        <v>3.8</v>
      </c>
      <c r="J1293" s="5">
        <v>37</v>
      </c>
    </row>
    <row r="1294" spans="1:10">
      <c r="A1294" t="s">
        <v>37</v>
      </c>
      <c r="B1294" t="s">
        <v>35</v>
      </c>
      <c r="C1294" t="s">
        <v>14</v>
      </c>
      <c r="D1294" s="3">
        <v>45992</v>
      </c>
      <c r="E1294" s="5">
        <v>233</v>
      </c>
      <c r="F1294" s="4">
        <v>11718.41</v>
      </c>
      <c r="G1294" s="4">
        <v>7721.77</v>
      </c>
      <c r="H1294" s="4">
        <v>3996.64</v>
      </c>
      <c r="I1294" s="6">
        <v>3.76</v>
      </c>
      <c r="J1294" s="5">
        <v>37</v>
      </c>
    </row>
    <row r="1295" spans="1:10">
      <c r="A1295" t="s">
        <v>37</v>
      </c>
      <c r="B1295" t="s">
        <v>35</v>
      </c>
      <c r="C1295" t="s">
        <v>15</v>
      </c>
      <c r="D1295" s="3">
        <v>45992</v>
      </c>
      <c r="E1295" s="5">
        <v>206</v>
      </c>
      <c r="F1295" s="4">
        <v>7047.87</v>
      </c>
      <c r="G1295" s="4">
        <v>3912.12</v>
      </c>
      <c r="H1295" s="4">
        <v>3135.75</v>
      </c>
      <c r="I1295" s="6">
        <v>3.84</v>
      </c>
      <c r="J1295" s="5">
        <v>37</v>
      </c>
    </row>
    <row r="1296" spans="1:10">
      <c r="A1296" t="s">
        <v>37</v>
      </c>
      <c r="B1296" t="s">
        <v>35</v>
      </c>
      <c r="C1296" t="s">
        <v>16</v>
      </c>
      <c r="D1296" s="3">
        <v>45992</v>
      </c>
      <c r="E1296" s="5">
        <v>326</v>
      </c>
      <c r="F1296" s="4">
        <v>6300.97</v>
      </c>
      <c r="G1296" s="4">
        <v>5963.52</v>
      </c>
      <c r="H1296" s="4">
        <v>337.45</v>
      </c>
      <c r="I1296" s="6">
        <v>3.83</v>
      </c>
      <c r="J1296" s="5">
        <v>37</v>
      </c>
    </row>
    <row r="1297" spans="1:10">
      <c r="A1297" t="s">
        <v>37</v>
      </c>
      <c r="B1297" t="s">
        <v>35</v>
      </c>
      <c r="C1297" t="s">
        <v>17</v>
      </c>
      <c r="D1297" s="3">
        <v>45992</v>
      </c>
      <c r="E1297" s="5">
        <v>147</v>
      </c>
      <c r="F1297" s="4">
        <v>9194.58</v>
      </c>
      <c r="G1297" s="4">
        <v>6658.3</v>
      </c>
      <c r="H1297" s="4">
        <v>2536.2800000000002</v>
      </c>
      <c r="I1297" s="6">
        <v>3.92</v>
      </c>
      <c r="J1297" s="5">
        <v>37</v>
      </c>
    </row>
    <row r="1298" spans="1:10">
      <c r="A1298" t="s">
        <v>38</v>
      </c>
      <c r="B1298" t="s">
        <v>35</v>
      </c>
      <c r="C1298" t="s">
        <v>12</v>
      </c>
      <c r="D1298" s="3">
        <v>45658</v>
      </c>
      <c r="E1298" s="5">
        <v>85</v>
      </c>
      <c r="F1298" s="4">
        <v>12518.36</v>
      </c>
      <c r="G1298" s="4">
        <v>9350.0400000000009</v>
      </c>
      <c r="H1298" s="4">
        <v>3168.32</v>
      </c>
      <c r="I1298" s="6">
        <v>3.84</v>
      </c>
      <c r="J1298" s="5">
        <v>24</v>
      </c>
    </row>
    <row r="1299" spans="1:10">
      <c r="A1299" t="s">
        <v>38</v>
      </c>
      <c r="B1299" t="s">
        <v>35</v>
      </c>
      <c r="C1299" t="s">
        <v>13</v>
      </c>
      <c r="D1299" s="3">
        <v>45658</v>
      </c>
      <c r="E1299" s="5">
        <v>76</v>
      </c>
      <c r="F1299" s="4">
        <v>5515.36</v>
      </c>
      <c r="G1299" s="4">
        <v>3517.46</v>
      </c>
      <c r="H1299" s="4">
        <v>1997.9</v>
      </c>
      <c r="I1299" s="6">
        <v>3.71</v>
      </c>
      <c r="J1299" s="5">
        <v>24</v>
      </c>
    </row>
    <row r="1300" spans="1:10">
      <c r="A1300" t="s">
        <v>38</v>
      </c>
      <c r="B1300" t="s">
        <v>35</v>
      </c>
      <c r="C1300" t="s">
        <v>14</v>
      </c>
      <c r="D1300" s="3">
        <v>45658</v>
      </c>
      <c r="E1300" s="5">
        <v>104</v>
      </c>
      <c r="F1300" s="4">
        <v>5200.95</v>
      </c>
      <c r="G1300" s="4">
        <v>3066.73</v>
      </c>
      <c r="H1300" s="4">
        <v>2134.2199999999998</v>
      </c>
      <c r="I1300" s="6">
        <v>3.62</v>
      </c>
      <c r="J1300" s="5">
        <v>24</v>
      </c>
    </row>
    <row r="1301" spans="1:10">
      <c r="A1301" t="s">
        <v>38</v>
      </c>
      <c r="B1301" t="s">
        <v>35</v>
      </c>
      <c r="C1301" t="s">
        <v>15</v>
      </c>
      <c r="D1301" s="3">
        <v>45658</v>
      </c>
      <c r="E1301" s="5">
        <v>84</v>
      </c>
      <c r="F1301" s="4">
        <v>3053.27</v>
      </c>
      <c r="G1301" s="4">
        <v>1417.38</v>
      </c>
      <c r="H1301" s="4">
        <v>1635.88</v>
      </c>
      <c r="I1301" s="6">
        <v>3.62</v>
      </c>
      <c r="J1301" s="5">
        <v>24</v>
      </c>
    </row>
    <row r="1302" spans="1:10">
      <c r="A1302" t="s">
        <v>38</v>
      </c>
      <c r="B1302" t="s">
        <v>35</v>
      </c>
      <c r="C1302" t="s">
        <v>16</v>
      </c>
      <c r="D1302" s="3">
        <v>45658</v>
      </c>
      <c r="E1302" s="5">
        <v>150</v>
      </c>
      <c r="F1302" s="4">
        <v>2595.31</v>
      </c>
      <c r="G1302" s="4">
        <v>2260.5500000000002</v>
      </c>
      <c r="H1302" s="4">
        <v>334.76</v>
      </c>
      <c r="I1302" s="6">
        <v>3.73</v>
      </c>
      <c r="J1302" s="5">
        <v>24</v>
      </c>
    </row>
    <row r="1303" spans="1:10">
      <c r="A1303" t="s">
        <v>38</v>
      </c>
      <c r="B1303" t="s">
        <v>35</v>
      </c>
      <c r="C1303" t="s">
        <v>17</v>
      </c>
      <c r="D1303" s="3">
        <v>45658</v>
      </c>
      <c r="E1303" s="5">
        <v>64</v>
      </c>
      <c r="F1303" s="4">
        <v>3731.98</v>
      </c>
      <c r="G1303" s="4">
        <v>2342.65</v>
      </c>
      <c r="H1303" s="4">
        <v>1389.33</v>
      </c>
      <c r="I1303" s="6">
        <v>3.9</v>
      </c>
      <c r="J1303" s="5">
        <v>24</v>
      </c>
    </row>
    <row r="1304" spans="1:10">
      <c r="A1304" t="s">
        <v>38</v>
      </c>
      <c r="B1304" t="s">
        <v>35</v>
      </c>
      <c r="C1304" t="s">
        <v>12</v>
      </c>
      <c r="D1304" s="3">
        <v>45689</v>
      </c>
      <c r="E1304" s="5">
        <v>73</v>
      </c>
      <c r="F1304" s="4">
        <v>11107.17</v>
      </c>
      <c r="G1304" s="4">
        <v>8540.7999999999993</v>
      </c>
      <c r="H1304" s="4">
        <v>2566.37</v>
      </c>
      <c r="I1304" s="6">
        <v>3.81</v>
      </c>
      <c r="J1304" s="5">
        <v>25</v>
      </c>
    </row>
    <row r="1305" spans="1:10">
      <c r="A1305" t="s">
        <v>38</v>
      </c>
      <c r="B1305" t="s">
        <v>35</v>
      </c>
      <c r="C1305" t="s">
        <v>13</v>
      </c>
      <c r="D1305" s="3">
        <v>45689</v>
      </c>
      <c r="E1305" s="5">
        <v>84</v>
      </c>
      <c r="F1305" s="4">
        <v>6003.92</v>
      </c>
      <c r="G1305" s="4">
        <v>3984.22</v>
      </c>
      <c r="H1305" s="4">
        <v>2019.7</v>
      </c>
      <c r="I1305" s="6">
        <v>3.91</v>
      </c>
      <c r="J1305" s="5">
        <v>25</v>
      </c>
    </row>
    <row r="1306" spans="1:10">
      <c r="A1306" t="s">
        <v>38</v>
      </c>
      <c r="B1306" t="s">
        <v>35</v>
      </c>
      <c r="C1306" t="s">
        <v>14</v>
      </c>
      <c r="D1306" s="3">
        <v>45689</v>
      </c>
      <c r="E1306" s="5">
        <v>88</v>
      </c>
      <c r="F1306" s="4">
        <v>4523.51</v>
      </c>
      <c r="G1306" s="4">
        <v>2628.34</v>
      </c>
      <c r="H1306" s="4">
        <v>1895.17</v>
      </c>
      <c r="I1306" s="6">
        <v>3.86</v>
      </c>
      <c r="J1306" s="5">
        <v>25</v>
      </c>
    </row>
    <row r="1307" spans="1:10">
      <c r="A1307" t="s">
        <v>38</v>
      </c>
      <c r="B1307" t="s">
        <v>35</v>
      </c>
      <c r="C1307" t="s">
        <v>15</v>
      </c>
      <c r="D1307" s="3">
        <v>45689</v>
      </c>
      <c r="E1307" s="5">
        <v>84</v>
      </c>
      <c r="F1307" s="4">
        <v>3012.16</v>
      </c>
      <c r="G1307" s="4">
        <v>1414.81</v>
      </c>
      <c r="H1307" s="4">
        <v>1597.36</v>
      </c>
      <c r="I1307" s="6">
        <v>3.96</v>
      </c>
      <c r="J1307" s="5">
        <v>25</v>
      </c>
    </row>
    <row r="1308" spans="1:10">
      <c r="A1308" t="s">
        <v>38</v>
      </c>
      <c r="B1308" t="s">
        <v>35</v>
      </c>
      <c r="C1308" t="s">
        <v>16</v>
      </c>
      <c r="D1308" s="3">
        <v>45689</v>
      </c>
      <c r="E1308" s="5">
        <v>150</v>
      </c>
      <c r="F1308" s="4">
        <v>2901.23</v>
      </c>
      <c r="G1308" s="4">
        <v>2505.7800000000002</v>
      </c>
      <c r="H1308" s="4">
        <v>395.45</v>
      </c>
      <c r="I1308" s="6">
        <v>3.75</v>
      </c>
      <c r="J1308" s="5">
        <v>25</v>
      </c>
    </row>
    <row r="1309" spans="1:10">
      <c r="A1309" t="s">
        <v>38</v>
      </c>
      <c r="B1309" t="s">
        <v>35</v>
      </c>
      <c r="C1309" t="s">
        <v>17</v>
      </c>
      <c r="D1309" s="3">
        <v>45689</v>
      </c>
      <c r="E1309" s="5">
        <v>66</v>
      </c>
      <c r="F1309" s="4">
        <v>4285.6000000000004</v>
      </c>
      <c r="G1309" s="4">
        <v>2706.57</v>
      </c>
      <c r="H1309" s="4">
        <v>1579.02</v>
      </c>
      <c r="I1309" s="6">
        <v>3.68</v>
      </c>
      <c r="J1309" s="5">
        <v>25</v>
      </c>
    </row>
    <row r="1310" spans="1:10">
      <c r="A1310" t="s">
        <v>38</v>
      </c>
      <c r="B1310" t="s">
        <v>35</v>
      </c>
      <c r="C1310" t="s">
        <v>12</v>
      </c>
      <c r="D1310" s="3">
        <v>45717</v>
      </c>
      <c r="E1310" s="5">
        <v>109</v>
      </c>
      <c r="F1310" s="4">
        <v>15518.01</v>
      </c>
      <c r="G1310" s="4">
        <v>11746.76</v>
      </c>
      <c r="H1310" s="4">
        <v>3771.26</v>
      </c>
      <c r="I1310" s="6">
        <v>3.66</v>
      </c>
      <c r="J1310" s="5">
        <v>23</v>
      </c>
    </row>
    <row r="1311" spans="1:10">
      <c r="A1311" t="s">
        <v>38</v>
      </c>
      <c r="B1311" t="s">
        <v>35</v>
      </c>
      <c r="C1311" t="s">
        <v>13</v>
      </c>
      <c r="D1311" s="3">
        <v>45717</v>
      </c>
      <c r="E1311" s="5">
        <v>85</v>
      </c>
      <c r="F1311" s="4">
        <v>6695.39</v>
      </c>
      <c r="G1311" s="4">
        <v>4361.8599999999997</v>
      </c>
      <c r="H1311" s="4">
        <v>2333.5300000000002</v>
      </c>
      <c r="I1311" s="6">
        <v>3.94</v>
      </c>
      <c r="J1311" s="5">
        <v>23</v>
      </c>
    </row>
    <row r="1312" spans="1:10">
      <c r="A1312" t="s">
        <v>38</v>
      </c>
      <c r="B1312" t="s">
        <v>35</v>
      </c>
      <c r="C1312" t="s">
        <v>14</v>
      </c>
      <c r="D1312" s="3">
        <v>45717</v>
      </c>
      <c r="E1312" s="5">
        <v>124</v>
      </c>
      <c r="F1312" s="4">
        <v>5624.63</v>
      </c>
      <c r="G1312" s="4">
        <v>3234.95</v>
      </c>
      <c r="H1312" s="4">
        <v>2389.67</v>
      </c>
      <c r="I1312" s="6">
        <v>3.98</v>
      </c>
      <c r="J1312" s="5">
        <v>23</v>
      </c>
    </row>
    <row r="1313" spans="1:10">
      <c r="A1313" t="s">
        <v>38</v>
      </c>
      <c r="B1313" t="s">
        <v>35</v>
      </c>
      <c r="C1313" t="s">
        <v>15</v>
      </c>
      <c r="D1313" s="3">
        <v>45717</v>
      </c>
      <c r="E1313" s="5">
        <v>94</v>
      </c>
      <c r="F1313" s="4">
        <v>3293.94</v>
      </c>
      <c r="G1313" s="4">
        <v>1544.37</v>
      </c>
      <c r="H1313" s="4">
        <v>1749.58</v>
      </c>
      <c r="I1313" s="6">
        <v>3.9</v>
      </c>
      <c r="J1313" s="5">
        <v>23</v>
      </c>
    </row>
    <row r="1314" spans="1:10">
      <c r="A1314" t="s">
        <v>38</v>
      </c>
      <c r="B1314" t="s">
        <v>35</v>
      </c>
      <c r="C1314" t="s">
        <v>16</v>
      </c>
      <c r="D1314" s="3">
        <v>45717</v>
      </c>
      <c r="E1314" s="5">
        <v>143</v>
      </c>
      <c r="F1314" s="4">
        <v>2767.29</v>
      </c>
      <c r="G1314" s="4">
        <v>2514.6</v>
      </c>
      <c r="H1314" s="4">
        <v>252.69</v>
      </c>
      <c r="I1314" s="6">
        <v>3.94</v>
      </c>
      <c r="J1314" s="5">
        <v>23</v>
      </c>
    </row>
    <row r="1315" spans="1:10">
      <c r="A1315" t="s">
        <v>38</v>
      </c>
      <c r="B1315" t="s">
        <v>35</v>
      </c>
      <c r="C1315" t="s">
        <v>17</v>
      </c>
      <c r="D1315" s="3">
        <v>45717</v>
      </c>
      <c r="E1315" s="5">
        <v>64</v>
      </c>
      <c r="F1315" s="4">
        <v>3739.04</v>
      </c>
      <c r="G1315" s="4">
        <v>2340.29</v>
      </c>
      <c r="H1315" s="4">
        <v>1398.75</v>
      </c>
      <c r="I1315" s="6">
        <v>3.74</v>
      </c>
      <c r="J1315" s="5">
        <v>23</v>
      </c>
    </row>
    <row r="1316" spans="1:10">
      <c r="A1316" t="s">
        <v>38</v>
      </c>
      <c r="B1316" t="s">
        <v>35</v>
      </c>
      <c r="C1316" t="s">
        <v>12</v>
      </c>
      <c r="D1316" s="3">
        <v>45748</v>
      </c>
      <c r="E1316" s="5">
        <v>100</v>
      </c>
      <c r="F1316" s="4">
        <v>14957.32</v>
      </c>
      <c r="G1316" s="4">
        <v>11503.15</v>
      </c>
      <c r="H1316" s="4">
        <v>3454.16</v>
      </c>
      <c r="I1316" s="6">
        <v>3.96</v>
      </c>
      <c r="J1316" s="5">
        <v>23</v>
      </c>
    </row>
    <row r="1317" spans="1:10">
      <c r="A1317" t="s">
        <v>38</v>
      </c>
      <c r="B1317" t="s">
        <v>35</v>
      </c>
      <c r="C1317" t="s">
        <v>13</v>
      </c>
      <c r="D1317" s="3">
        <v>45748</v>
      </c>
      <c r="E1317" s="5">
        <v>98</v>
      </c>
      <c r="F1317" s="4">
        <v>7908.49</v>
      </c>
      <c r="G1317" s="4">
        <v>5215.21</v>
      </c>
      <c r="H1317" s="4">
        <v>2693.29</v>
      </c>
      <c r="I1317" s="6">
        <v>3.88</v>
      </c>
      <c r="J1317" s="5">
        <v>23</v>
      </c>
    </row>
    <row r="1318" spans="1:10">
      <c r="A1318" t="s">
        <v>38</v>
      </c>
      <c r="B1318" t="s">
        <v>35</v>
      </c>
      <c r="C1318" t="s">
        <v>14</v>
      </c>
      <c r="D1318" s="3">
        <v>45748</v>
      </c>
      <c r="E1318" s="5">
        <v>142</v>
      </c>
      <c r="F1318" s="4">
        <v>7108.85</v>
      </c>
      <c r="G1318" s="4">
        <v>4248.26</v>
      </c>
      <c r="H1318" s="4">
        <v>2860.59</v>
      </c>
      <c r="I1318" s="6">
        <v>3.62</v>
      </c>
      <c r="J1318" s="5">
        <v>23</v>
      </c>
    </row>
    <row r="1319" spans="1:10">
      <c r="A1319" t="s">
        <v>38</v>
      </c>
      <c r="B1319" t="s">
        <v>35</v>
      </c>
      <c r="C1319" t="s">
        <v>15</v>
      </c>
      <c r="D1319" s="3">
        <v>45748</v>
      </c>
      <c r="E1319" s="5">
        <v>103</v>
      </c>
      <c r="F1319" s="4">
        <v>3956.45</v>
      </c>
      <c r="G1319" s="4">
        <v>1904.62</v>
      </c>
      <c r="H1319" s="4">
        <v>2051.84</v>
      </c>
      <c r="I1319" s="6">
        <v>3.71</v>
      </c>
      <c r="J1319" s="5">
        <v>23</v>
      </c>
    </row>
    <row r="1320" spans="1:10">
      <c r="A1320" t="s">
        <v>38</v>
      </c>
      <c r="B1320" t="s">
        <v>35</v>
      </c>
      <c r="C1320" t="s">
        <v>16</v>
      </c>
      <c r="D1320" s="3">
        <v>45748</v>
      </c>
      <c r="E1320" s="5">
        <v>164</v>
      </c>
      <c r="F1320" s="4">
        <v>3036.35</v>
      </c>
      <c r="G1320" s="4">
        <v>2792.84</v>
      </c>
      <c r="H1320" s="4">
        <v>243.51</v>
      </c>
      <c r="I1320" s="6">
        <v>3.88</v>
      </c>
      <c r="J1320" s="5">
        <v>23</v>
      </c>
    </row>
    <row r="1321" spans="1:10">
      <c r="A1321" t="s">
        <v>38</v>
      </c>
      <c r="B1321" t="s">
        <v>35</v>
      </c>
      <c r="C1321" t="s">
        <v>17</v>
      </c>
      <c r="D1321" s="3">
        <v>45748</v>
      </c>
      <c r="E1321" s="5">
        <v>74</v>
      </c>
      <c r="F1321" s="4">
        <v>4375.21</v>
      </c>
      <c r="G1321" s="4">
        <v>2810.01</v>
      </c>
      <c r="H1321" s="4">
        <v>1565.2</v>
      </c>
      <c r="I1321" s="6">
        <v>3.92</v>
      </c>
      <c r="J1321" s="5">
        <v>23</v>
      </c>
    </row>
    <row r="1322" spans="1:10">
      <c r="A1322" t="s">
        <v>38</v>
      </c>
      <c r="B1322" t="s">
        <v>35</v>
      </c>
      <c r="C1322" t="s">
        <v>12</v>
      </c>
      <c r="D1322" s="3">
        <v>45778</v>
      </c>
      <c r="E1322" s="5">
        <v>114</v>
      </c>
      <c r="F1322" s="4">
        <v>16688.689999999999</v>
      </c>
      <c r="G1322" s="4">
        <v>13148.91</v>
      </c>
      <c r="H1322" s="4">
        <v>3539.78</v>
      </c>
      <c r="I1322" s="6">
        <v>3.7</v>
      </c>
      <c r="J1322" s="5">
        <v>23</v>
      </c>
    </row>
    <row r="1323" spans="1:10">
      <c r="A1323" t="s">
        <v>38</v>
      </c>
      <c r="B1323" t="s">
        <v>35</v>
      </c>
      <c r="C1323" t="s">
        <v>13</v>
      </c>
      <c r="D1323" s="3">
        <v>45778</v>
      </c>
      <c r="E1323" s="5">
        <v>98</v>
      </c>
      <c r="F1323" s="4">
        <v>7839.94</v>
      </c>
      <c r="G1323" s="4">
        <v>5182.67</v>
      </c>
      <c r="H1323" s="4">
        <v>2657.27</v>
      </c>
      <c r="I1323" s="6">
        <v>3.91</v>
      </c>
      <c r="J1323" s="5">
        <v>23</v>
      </c>
    </row>
    <row r="1324" spans="1:10">
      <c r="A1324" t="s">
        <v>38</v>
      </c>
      <c r="B1324" t="s">
        <v>35</v>
      </c>
      <c r="C1324" t="s">
        <v>14</v>
      </c>
      <c r="D1324" s="3">
        <v>45778</v>
      </c>
      <c r="E1324" s="5">
        <v>144</v>
      </c>
      <c r="F1324" s="4">
        <v>6811.04</v>
      </c>
      <c r="G1324" s="4">
        <v>4231.32</v>
      </c>
      <c r="H1324" s="4">
        <v>2579.71</v>
      </c>
      <c r="I1324" s="6">
        <v>3.83</v>
      </c>
      <c r="J1324" s="5">
        <v>23</v>
      </c>
    </row>
    <row r="1325" spans="1:10">
      <c r="A1325" t="s">
        <v>38</v>
      </c>
      <c r="B1325" t="s">
        <v>35</v>
      </c>
      <c r="C1325" t="s">
        <v>15</v>
      </c>
      <c r="D1325" s="3">
        <v>45778</v>
      </c>
      <c r="E1325" s="5">
        <v>105</v>
      </c>
      <c r="F1325" s="4">
        <v>3625.87</v>
      </c>
      <c r="G1325" s="4">
        <v>1790.35</v>
      </c>
      <c r="H1325" s="4">
        <v>1835.53</v>
      </c>
      <c r="I1325" s="6">
        <v>3.9</v>
      </c>
      <c r="J1325" s="5">
        <v>23</v>
      </c>
    </row>
    <row r="1326" spans="1:10">
      <c r="A1326" t="s">
        <v>38</v>
      </c>
      <c r="B1326" t="s">
        <v>35</v>
      </c>
      <c r="C1326" t="s">
        <v>16</v>
      </c>
      <c r="D1326" s="3">
        <v>45778</v>
      </c>
      <c r="E1326" s="5">
        <v>178</v>
      </c>
      <c r="F1326" s="4">
        <v>3162.25</v>
      </c>
      <c r="G1326" s="4">
        <v>2793.63</v>
      </c>
      <c r="H1326" s="4">
        <v>368.63</v>
      </c>
      <c r="I1326" s="6">
        <v>3.64</v>
      </c>
      <c r="J1326" s="5">
        <v>23</v>
      </c>
    </row>
    <row r="1327" spans="1:10">
      <c r="A1327" t="s">
        <v>38</v>
      </c>
      <c r="B1327" t="s">
        <v>35</v>
      </c>
      <c r="C1327" t="s">
        <v>17</v>
      </c>
      <c r="D1327" s="3">
        <v>45778</v>
      </c>
      <c r="E1327" s="5">
        <v>91</v>
      </c>
      <c r="F1327" s="4">
        <v>5631.4</v>
      </c>
      <c r="G1327" s="4">
        <v>3669.34</v>
      </c>
      <c r="H1327" s="4">
        <v>1962.07</v>
      </c>
      <c r="I1327" s="6">
        <v>3.82</v>
      </c>
      <c r="J1327" s="5">
        <v>23</v>
      </c>
    </row>
    <row r="1328" spans="1:10">
      <c r="A1328" t="s">
        <v>38</v>
      </c>
      <c r="B1328" t="s">
        <v>35</v>
      </c>
      <c r="C1328" t="s">
        <v>12</v>
      </c>
      <c r="D1328" s="3">
        <v>45809</v>
      </c>
      <c r="E1328" s="5">
        <v>118</v>
      </c>
      <c r="F1328" s="4">
        <v>16402.88</v>
      </c>
      <c r="G1328" s="4">
        <v>13017.67</v>
      </c>
      <c r="H1328" s="4">
        <v>3385.21</v>
      </c>
      <c r="I1328" s="6">
        <v>3.85</v>
      </c>
      <c r="J1328" s="5">
        <v>26</v>
      </c>
    </row>
    <row r="1329" spans="1:10">
      <c r="A1329" t="s">
        <v>38</v>
      </c>
      <c r="B1329" t="s">
        <v>35</v>
      </c>
      <c r="C1329" t="s">
        <v>13</v>
      </c>
      <c r="D1329" s="3">
        <v>45809</v>
      </c>
      <c r="E1329" s="5">
        <v>118</v>
      </c>
      <c r="F1329" s="4">
        <v>8902.16</v>
      </c>
      <c r="G1329" s="4">
        <v>5841.97</v>
      </c>
      <c r="H1329" s="4">
        <v>3060.19</v>
      </c>
      <c r="I1329" s="6">
        <v>3.93</v>
      </c>
      <c r="J1329" s="5">
        <v>26</v>
      </c>
    </row>
    <row r="1330" spans="1:10">
      <c r="A1330" t="s">
        <v>38</v>
      </c>
      <c r="B1330" t="s">
        <v>35</v>
      </c>
      <c r="C1330" t="s">
        <v>14</v>
      </c>
      <c r="D1330" s="3">
        <v>45809</v>
      </c>
      <c r="E1330" s="5">
        <v>135</v>
      </c>
      <c r="F1330" s="4">
        <v>6931.39</v>
      </c>
      <c r="G1330" s="4">
        <v>4280.6000000000004</v>
      </c>
      <c r="H1330" s="4">
        <v>2650.79</v>
      </c>
      <c r="I1330" s="6">
        <v>3.83</v>
      </c>
      <c r="J1330" s="5">
        <v>26</v>
      </c>
    </row>
    <row r="1331" spans="1:10">
      <c r="A1331" t="s">
        <v>38</v>
      </c>
      <c r="B1331" t="s">
        <v>35</v>
      </c>
      <c r="C1331" t="s">
        <v>15</v>
      </c>
      <c r="D1331" s="3">
        <v>45809</v>
      </c>
      <c r="E1331" s="5">
        <v>112</v>
      </c>
      <c r="F1331" s="4">
        <v>3950.24</v>
      </c>
      <c r="G1331" s="4">
        <v>1958.09</v>
      </c>
      <c r="H1331" s="4">
        <v>1992.15</v>
      </c>
      <c r="I1331" s="6">
        <v>3.9</v>
      </c>
      <c r="J1331" s="5">
        <v>26</v>
      </c>
    </row>
    <row r="1332" spans="1:10">
      <c r="A1332" t="s">
        <v>38</v>
      </c>
      <c r="B1332" t="s">
        <v>35</v>
      </c>
      <c r="C1332" t="s">
        <v>16</v>
      </c>
      <c r="D1332" s="3">
        <v>45809</v>
      </c>
      <c r="E1332" s="5">
        <v>177</v>
      </c>
      <c r="F1332" s="4">
        <v>3058.66</v>
      </c>
      <c r="G1332" s="4">
        <v>2745.13</v>
      </c>
      <c r="H1332" s="4">
        <v>313.52999999999997</v>
      </c>
      <c r="I1332" s="6">
        <v>3.75</v>
      </c>
      <c r="J1332" s="5">
        <v>26</v>
      </c>
    </row>
    <row r="1333" spans="1:10">
      <c r="A1333" t="s">
        <v>38</v>
      </c>
      <c r="B1333" t="s">
        <v>35</v>
      </c>
      <c r="C1333" t="s">
        <v>17</v>
      </c>
      <c r="D1333" s="3">
        <v>45809</v>
      </c>
      <c r="E1333" s="5">
        <v>108</v>
      </c>
      <c r="F1333" s="4">
        <v>6518.53</v>
      </c>
      <c r="G1333" s="4">
        <v>4154.3</v>
      </c>
      <c r="H1333" s="4">
        <v>2364.2199999999998</v>
      </c>
      <c r="I1333" s="6">
        <v>3.87</v>
      </c>
      <c r="J1333" s="5">
        <v>26</v>
      </c>
    </row>
    <row r="1334" spans="1:10">
      <c r="A1334" t="s">
        <v>38</v>
      </c>
      <c r="B1334" t="s">
        <v>35</v>
      </c>
      <c r="C1334" t="s">
        <v>12</v>
      </c>
      <c r="D1334" s="3">
        <v>45839</v>
      </c>
      <c r="E1334" s="5">
        <v>120</v>
      </c>
      <c r="F1334" s="4">
        <v>16570.419999999998</v>
      </c>
      <c r="G1334" s="4">
        <v>13279.48</v>
      </c>
      <c r="H1334" s="4">
        <v>3290.94</v>
      </c>
      <c r="I1334" s="6">
        <v>3.73</v>
      </c>
      <c r="J1334" s="5">
        <v>25</v>
      </c>
    </row>
    <row r="1335" spans="1:10">
      <c r="A1335" t="s">
        <v>38</v>
      </c>
      <c r="B1335" t="s">
        <v>35</v>
      </c>
      <c r="C1335" t="s">
        <v>13</v>
      </c>
      <c r="D1335" s="3">
        <v>45839</v>
      </c>
      <c r="E1335" s="5">
        <v>99</v>
      </c>
      <c r="F1335" s="4">
        <v>7513.69</v>
      </c>
      <c r="G1335" s="4">
        <v>5096.84</v>
      </c>
      <c r="H1335" s="4">
        <v>2416.85</v>
      </c>
      <c r="I1335" s="6">
        <v>3.69</v>
      </c>
      <c r="J1335" s="5">
        <v>25</v>
      </c>
    </row>
    <row r="1336" spans="1:10">
      <c r="A1336" t="s">
        <v>38</v>
      </c>
      <c r="B1336" t="s">
        <v>35</v>
      </c>
      <c r="C1336" t="s">
        <v>14</v>
      </c>
      <c r="D1336" s="3">
        <v>45839</v>
      </c>
      <c r="E1336" s="5">
        <v>171</v>
      </c>
      <c r="F1336" s="4">
        <v>8426.73</v>
      </c>
      <c r="G1336" s="4">
        <v>5303.84</v>
      </c>
      <c r="H1336" s="4">
        <v>3122.89</v>
      </c>
      <c r="I1336" s="6">
        <v>3.97</v>
      </c>
      <c r="J1336" s="5">
        <v>25</v>
      </c>
    </row>
    <row r="1337" spans="1:10">
      <c r="A1337" t="s">
        <v>38</v>
      </c>
      <c r="B1337" t="s">
        <v>35</v>
      </c>
      <c r="C1337" t="s">
        <v>15</v>
      </c>
      <c r="D1337" s="3">
        <v>45839</v>
      </c>
      <c r="E1337" s="5">
        <v>115</v>
      </c>
      <c r="F1337" s="4">
        <v>4185.7700000000004</v>
      </c>
      <c r="G1337" s="4">
        <v>2071.6799999999998</v>
      </c>
      <c r="H1337" s="4">
        <v>2114.09</v>
      </c>
      <c r="I1337" s="6">
        <v>3.84</v>
      </c>
      <c r="J1337" s="5">
        <v>25</v>
      </c>
    </row>
    <row r="1338" spans="1:10">
      <c r="A1338" t="s">
        <v>38</v>
      </c>
      <c r="B1338" t="s">
        <v>35</v>
      </c>
      <c r="C1338" t="s">
        <v>16</v>
      </c>
      <c r="D1338" s="3">
        <v>45839</v>
      </c>
      <c r="E1338" s="5">
        <v>194</v>
      </c>
      <c r="F1338" s="4">
        <v>3337.57</v>
      </c>
      <c r="G1338" s="4">
        <v>2992.87</v>
      </c>
      <c r="H1338" s="4">
        <v>344.7</v>
      </c>
      <c r="I1338" s="6">
        <v>3.89</v>
      </c>
      <c r="J1338" s="5">
        <v>25</v>
      </c>
    </row>
    <row r="1339" spans="1:10">
      <c r="A1339" t="s">
        <v>38</v>
      </c>
      <c r="B1339" t="s">
        <v>35</v>
      </c>
      <c r="C1339" t="s">
        <v>17</v>
      </c>
      <c r="D1339" s="3">
        <v>45839</v>
      </c>
      <c r="E1339" s="5">
        <v>115</v>
      </c>
      <c r="F1339" s="4">
        <v>7612.04</v>
      </c>
      <c r="G1339" s="4">
        <v>4992.76</v>
      </c>
      <c r="H1339" s="4">
        <v>2619.29</v>
      </c>
      <c r="I1339" s="6">
        <v>3.68</v>
      </c>
      <c r="J1339" s="5">
        <v>25</v>
      </c>
    </row>
    <row r="1340" spans="1:10">
      <c r="A1340" t="s">
        <v>38</v>
      </c>
      <c r="B1340" t="s">
        <v>35</v>
      </c>
      <c r="C1340" t="s">
        <v>12</v>
      </c>
      <c r="D1340" s="3">
        <v>45870</v>
      </c>
      <c r="E1340" s="5">
        <v>125</v>
      </c>
      <c r="F1340" s="4">
        <v>17569.330000000002</v>
      </c>
      <c r="G1340" s="4">
        <v>13707.34</v>
      </c>
      <c r="H1340" s="4">
        <v>3861.99</v>
      </c>
      <c r="I1340" s="6">
        <v>3.84</v>
      </c>
      <c r="J1340" s="5">
        <v>24</v>
      </c>
    </row>
    <row r="1341" spans="1:10">
      <c r="A1341" t="s">
        <v>38</v>
      </c>
      <c r="B1341" t="s">
        <v>35</v>
      </c>
      <c r="C1341" t="s">
        <v>13</v>
      </c>
      <c r="D1341" s="3">
        <v>45870</v>
      </c>
      <c r="E1341" s="5">
        <v>108</v>
      </c>
      <c r="F1341" s="4">
        <v>8738.33</v>
      </c>
      <c r="G1341" s="4">
        <v>5942.79</v>
      </c>
      <c r="H1341" s="4">
        <v>2795.54</v>
      </c>
      <c r="I1341" s="6">
        <v>3.66</v>
      </c>
      <c r="J1341" s="5">
        <v>24</v>
      </c>
    </row>
    <row r="1342" spans="1:10">
      <c r="A1342" t="s">
        <v>38</v>
      </c>
      <c r="B1342" t="s">
        <v>35</v>
      </c>
      <c r="C1342" t="s">
        <v>14</v>
      </c>
      <c r="D1342" s="3">
        <v>45870</v>
      </c>
      <c r="E1342" s="5">
        <v>172</v>
      </c>
      <c r="F1342" s="4">
        <v>7943.32</v>
      </c>
      <c r="G1342" s="4">
        <v>4801.1400000000003</v>
      </c>
      <c r="H1342" s="4">
        <v>3142.18</v>
      </c>
      <c r="I1342" s="6">
        <v>3.8</v>
      </c>
      <c r="J1342" s="5">
        <v>24</v>
      </c>
    </row>
    <row r="1343" spans="1:10">
      <c r="A1343" t="s">
        <v>38</v>
      </c>
      <c r="B1343" t="s">
        <v>35</v>
      </c>
      <c r="C1343" t="s">
        <v>15</v>
      </c>
      <c r="D1343" s="3">
        <v>45870</v>
      </c>
      <c r="E1343" s="5">
        <v>115</v>
      </c>
      <c r="F1343" s="4">
        <v>3932.67</v>
      </c>
      <c r="G1343" s="4">
        <v>1942.85</v>
      </c>
      <c r="H1343" s="4">
        <v>1989.82</v>
      </c>
      <c r="I1343" s="6">
        <v>3.78</v>
      </c>
      <c r="J1343" s="5">
        <v>24</v>
      </c>
    </row>
    <row r="1344" spans="1:10">
      <c r="A1344" t="s">
        <v>38</v>
      </c>
      <c r="B1344" t="s">
        <v>35</v>
      </c>
      <c r="C1344" t="s">
        <v>16</v>
      </c>
      <c r="D1344" s="3">
        <v>45870</v>
      </c>
      <c r="E1344" s="5">
        <v>170</v>
      </c>
      <c r="F1344" s="4">
        <v>3196.45</v>
      </c>
      <c r="G1344" s="4">
        <v>3017.57</v>
      </c>
      <c r="H1344" s="4">
        <v>178.88</v>
      </c>
      <c r="I1344" s="6">
        <v>3.67</v>
      </c>
      <c r="J1344" s="5">
        <v>24</v>
      </c>
    </row>
    <row r="1345" spans="1:10">
      <c r="A1345" t="s">
        <v>38</v>
      </c>
      <c r="B1345" t="s">
        <v>35</v>
      </c>
      <c r="C1345" t="s">
        <v>17</v>
      </c>
      <c r="D1345" s="3">
        <v>45870</v>
      </c>
      <c r="E1345" s="5">
        <v>102</v>
      </c>
      <c r="F1345" s="4">
        <v>6042.07</v>
      </c>
      <c r="G1345" s="4">
        <v>3934.52</v>
      </c>
      <c r="H1345" s="4">
        <v>2107.5500000000002</v>
      </c>
      <c r="I1345" s="6">
        <v>3.7</v>
      </c>
      <c r="J1345" s="5">
        <v>24</v>
      </c>
    </row>
    <row r="1346" spans="1:10">
      <c r="A1346" t="s">
        <v>38</v>
      </c>
      <c r="B1346" t="s">
        <v>35</v>
      </c>
      <c r="C1346" t="s">
        <v>12</v>
      </c>
      <c r="D1346" s="3">
        <v>45901</v>
      </c>
      <c r="E1346" s="5">
        <v>118</v>
      </c>
      <c r="F1346" s="4">
        <v>16611.98</v>
      </c>
      <c r="G1346" s="4">
        <v>13233.28</v>
      </c>
      <c r="H1346" s="4">
        <v>3378.69</v>
      </c>
      <c r="I1346" s="6">
        <v>3.79</v>
      </c>
      <c r="J1346" s="5">
        <v>25</v>
      </c>
    </row>
    <row r="1347" spans="1:10">
      <c r="A1347" t="s">
        <v>38</v>
      </c>
      <c r="B1347" t="s">
        <v>35</v>
      </c>
      <c r="C1347" t="s">
        <v>13</v>
      </c>
      <c r="D1347" s="3">
        <v>45901</v>
      </c>
      <c r="E1347" s="5">
        <v>95</v>
      </c>
      <c r="F1347" s="4">
        <v>7686.91</v>
      </c>
      <c r="G1347" s="4">
        <v>5175.93</v>
      </c>
      <c r="H1347" s="4">
        <v>2510.98</v>
      </c>
      <c r="I1347" s="6">
        <v>3.95</v>
      </c>
      <c r="J1347" s="5">
        <v>25</v>
      </c>
    </row>
    <row r="1348" spans="1:10">
      <c r="A1348" t="s">
        <v>38</v>
      </c>
      <c r="B1348" t="s">
        <v>35</v>
      </c>
      <c r="C1348" t="s">
        <v>14</v>
      </c>
      <c r="D1348" s="3">
        <v>45901</v>
      </c>
      <c r="E1348" s="5">
        <v>118</v>
      </c>
      <c r="F1348" s="4">
        <v>5432.32</v>
      </c>
      <c r="G1348" s="4">
        <v>3456.49</v>
      </c>
      <c r="H1348" s="4">
        <v>1975.83</v>
      </c>
      <c r="I1348" s="6">
        <v>3.85</v>
      </c>
      <c r="J1348" s="5">
        <v>25</v>
      </c>
    </row>
    <row r="1349" spans="1:10">
      <c r="A1349" t="s">
        <v>38</v>
      </c>
      <c r="B1349" t="s">
        <v>35</v>
      </c>
      <c r="C1349" t="s">
        <v>15</v>
      </c>
      <c r="D1349" s="3">
        <v>45901</v>
      </c>
      <c r="E1349" s="5">
        <v>109</v>
      </c>
      <c r="F1349" s="4">
        <v>4224.49</v>
      </c>
      <c r="G1349" s="4">
        <v>2107.6999999999998</v>
      </c>
      <c r="H1349" s="4">
        <v>2116.79</v>
      </c>
      <c r="I1349" s="6">
        <v>3.66</v>
      </c>
      <c r="J1349" s="5">
        <v>25</v>
      </c>
    </row>
    <row r="1350" spans="1:10">
      <c r="A1350" t="s">
        <v>38</v>
      </c>
      <c r="B1350" t="s">
        <v>35</v>
      </c>
      <c r="C1350" t="s">
        <v>16</v>
      </c>
      <c r="D1350" s="3">
        <v>45901</v>
      </c>
      <c r="E1350" s="5">
        <v>174</v>
      </c>
      <c r="F1350" s="4">
        <v>3003.93</v>
      </c>
      <c r="G1350" s="4">
        <v>2846.47</v>
      </c>
      <c r="H1350" s="4">
        <v>157.47</v>
      </c>
      <c r="I1350" s="6">
        <v>3.75</v>
      </c>
      <c r="J1350" s="5">
        <v>25</v>
      </c>
    </row>
    <row r="1351" spans="1:10">
      <c r="A1351" t="s">
        <v>38</v>
      </c>
      <c r="B1351" t="s">
        <v>35</v>
      </c>
      <c r="C1351" t="s">
        <v>17</v>
      </c>
      <c r="D1351" s="3">
        <v>45901</v>
      </c>
      <c r="E1351" s="5">
        <v>78</v>
      </c>
      <c r="F1351" s="4">
        <v>4661.75</v>
      </c>
      <c r="G1351" s="4">
        <v>3084.82</v>
      </c>
      <c r="H1351" s="4">
        <v>1576.93</v>
      </c>
      <c r="I1351" s="6">
        <v>3.94</v>
      </c>
      <c r="J1351" s="5">
        <v>25</v>
      </c>
    </row>
    <row r="1352" spans="1:10">
      <c r="A1352" t="s">
        <v>38</v>
      </c>
      <c r="B1352" t="s">
        <v>35</v>
      </c>
      <c r="C1352" t="s">
        <v>12</v>
      </c>
      <c r="D1352" s="3">
        <v>45931</v>
      </c>
      <c r="E1352" s="5">
        <v>121</v>
      </c>
      <c r="F1352" s="4">
        <v>17994.400000000001</v>
      </c>
      <c r="G1352" s="4">
        <v>14180.98</v>
      </c>
      <c r="H1352" s="4">
        <v>3813.41</v>
      </c>
      <c r="I1352" s="6">
        <v>3.97</v>
      </c>
      <c r="J1352" s="5">
        <v>24</v>
      </c>
    </row>
    <row r="1353" spans="1:10">
      <c r="A1353" t="s">
        <v>38</v>
      </c>
      <c r="B1353" t="s">
        <v>35</v>
      </c>
      <c r="C1353" t="s">
        <v>13</v>
      </c>
      <c r="D1353" s="3">
        <v>45931</v>
      </c>
      <c r="E1353" s="5">
        <v>95</v>
      </c>
      <c r="F1353" s="4">
        <v>7651.04</v>
      </c>
      <c r="G1353" s="4">
        <v>5178.08</v>
      </c>
      <c r="H1353" s="4">
        <v>2472.96</v>
      </c>
      <c r="I1353" s="6">
        <v>3.93</v>
      </c>
      <c r="J1353" s="5">
        <v>24</v>
      </c>
    </row>
    <row r="1354" spans="1:10">
      <c r="A1354" t="s">
        <v>38</v>
      </c>
      <c r="B1354" t="s">
        <v>35</v>
      </c>
      <c r="C1354" t="s">
        <v>14</v>
      </c>
      <c r="D1354" s="3">
        <v>45931</v>
      </c>
      <c r="E1354" s="5">
        <v>101</v>
      </c>
      <c r="F1354" s="4">
        <v>4958.6400000000003</v>
      </c>
      <c r="G1354" s="4">
        <v>3207.34</v>
      </c>
      <c r="H1354" s="4">
        <v>1751.3</v>
      </c>
      <c r="I1354" s="6">
        <v>3.72</v>
      </c>
      <c r="J1354" s="5">
        <v>24</v>
      </c>
    </row>
    <row r="1355" spans="1:10">
      <c r="A1355" t="s">
        <v>38</v>
      </c>
      <c r="B1355" t="s">
        <v>35</v>
      </c>
      <c r="C1355" t="s">
        <v>15</v>
      </c>
      <c r="D1355" s="3">
        <v>45931</v>
      </c>
      <c r="E1355" s="5">
        <v>114</v>
      </c>
      <c r="F1355" s="4">
        <v>4277.2</v>
      </c>
      <c r="G1355" s="4">
        <v>2229.63</v>
      </c>
      <c r="H1355" s="4">
        <v>2047.56</v>
      </c>
      <c r="I1355" s="6">
        <v>3.71</v>
      </c>
      <c r="J1355" s="5">
        <v>24</v>
      </c>
    </row>
    <row r="1356" spans="1:10">
      <c r="A1356" t="s">
        <v>38</v>
      </c>
      <c r="B1356" t="s">
        <v>35</v>
      </c>
      <c r="C1356" t="s">
        <v>16</v>
      </c>
      <c r="D1356" s="3">
        <v>45931</v>
      </c>
      <c r="E1356" s="5">
        <v>177</v>
      </c>
      <c r="F1356" s="4">
        <v>3392.63</v>
      </c>
      <c r="G1356" s="4">
        <v>3186.16</v>
      </c>
      <c r="H1356" s="4">
        <v>206.47</v>
      </c>
      <c r="I1356" s="6">
        <v>3.64</v>
      </c>
      <c r="J1356" s="5">
        <v>24</v>
      </c>
    </row>
    <row r="1357" spans="1:10">
      <c r="A1357" t="s">
        <v>38</v>
      </c>
      <c r="B1357" t="s">
        <v>35</v>
      </c>
      <c r="C1357" t="s">
        <v>17</v>
      </c>
      <c r="D1357" s="3">
        <v>45931</v>
      </c>
      <c r="E1357" s="5">
        <v>92</v>
      </c>
      <c r="F1357" s="4">
        <v>5819.89</v>
      </c>
      <c r="G1357" s="4">
        <v>3806.13</v>
      </c>
      <c r="H1357" s="4">
        <v>2013.77</v>
      </c>
      <c r="I1357" s="6">
        <v>3.97</v>
      </c>
      <c r="J1357" s="5">
        <v>24</v>
      </c>
    </row>
    <row r="1358" spans="1:10">
      <c r="A1358" t="s">
        <v>38</v>
      </c>
      <c r="B1358" t="s">
        <v>35</v>
      </c>
      <c r="C1358" t="s">
        <v>12</v>
      </c>
      <c r="D1358" s="3">
        <v>45962</v>
      </c>
      <c r="E1358" s="5">
        <v>215</v>
      </c>
      <c r="F1358" s="4">
        <v>31505.15</v>
      </c>
      <c r="G1358" s="4">
        <v>25405.41</v>
      </c>
      <c r="H1358" s="4">
        <v>6099.75</v>
      </c>
      <c r="I1358" s="6">
        <v>3.76</v>
      </c>
      <c r="J1358" s="5">
        <v>25</v>
      </c>
    </row>
    <row r="1359" spans="1:10">
      <c r="A1359" t="s">
        <v>38</v>
      </c>
      <c r="B1359" t="s">
        <v>35</v>
      </c>
      <c r="C1359" t="s">
        <v>13</v>
      </c>
      <c r="D1359" s="3">
        <v>45962</v>
      </c>
      <c r="E1359" s="5">
        <v>127</v>
      </c>
      <c r="F1359" s="4">
        <v>10167.030000000001</v>
      </c>
      <c r="G1359" s="4">
        <v>7200.9</v>
      </c>
      <c r="H1359" s="4">
        <v>2966.14</v>
      </c>
      <c r="I1359" s="6">
        <v>3.65</v>
      </c>
      <c r="J1359" s="5">
        <v>25</v>
      </c>
    </row>
    <row r="1360" spans="1:10">
      <c r="A1360" t="s">
        <v>38</v>
      </c>
      <c r="B1360" t="s">
        <v>35</v>
      </c>
      <c r="C1360" t="s">
        <v>14</v>
      </c>
      <c r="D1360" s="3">
        <v>45962</v>
      </c>
      <c r="E1360" s="5">
        <v>185</v>
      </c>
      <c r="F1360" s="4">
        <v>9283.43</v>
      </c>
      <c r="G1360" s="4">
        <v>6010.25</v>
      </c>
      <c r="H1360" s="4">
        <v>3273.18</v>
      </c>
      <c r="I1360" s="6">
        <v>3.76</v>
      </c>
      <c r="J1360" s="5">
        <v>25</v>
      </c>
    </row>
    <row r="1361" spans="1:10">
      <c r="A1361" t="s">
        <v>38</v>
      </c>
      <c r="B1361" t="s">
        <v>35</v>
      </c>
      <c r="C1361" t="s">
        <v>15</v>
      </c>
      <c r="D1361" s="3">
        <v>45962</v>
      </c>
      <c r="E1361" s="5">
        <v>135</v>
      </c>
      <c r="F1361" s="4">
        <v>4716.7299999999996</v>
      </c>
      <c r="G1361" s="4">
        <v>2431.86</v>
      </c>
      <c r="H1361" s="4">
        <v>2284.87</v>
      </c>
      <c r="I1361" s="6">
        <v>3.7</v>
      </c>
      <c r="J1361" s="5">
        <v>25</v>
      </c>
    </row>
    <row r="1362" spans="1:10">
      <c r="A1362" t="s">
        <v>38</v>
      </c>
      <c r="B1362" t="s">
        <v>35</v>
      </c>
      <c r="C1362" t="s">
        <v>16</v>
      </c>
      <c r="D1362" s="3">
        <v>45962</v>
      </c>
      <c r="E1362" s="5">
        <v>234</v>
      </c>
      <c r="F1362" s="4">
        <v>4353.8</v>
      </c>
      <c r="G1362" s="4">
        <v>4009.52</v>
      </c>
      <c r="H1362" s="4">
        <v>344.27</v>
      </c>
      <c r="I1362" s="6">
        <v>3.75</v>
      </c>
      <c r="J1362" s="5">
        <v>25</v>
      </c>
    </row>
    <row r="1363" spans="1:10">
      <c r="A1363" t="s">
        <v>38</v>
      </c>
      <c r="B1363" t="s">
        <v>35</v>
      </c>
      <c r="C1363" t="s">
        <v>17</v>
      </c>
      <c r="D1363" s="3">
        <v>45962</v>
      </c>
      <c r="E1363" s="5">
        <v>101</v>
      </c>
      <c r="F1363" s="4">
        <v>6386.32</v>
      </c>
      <c r="G1363" s="4">
        <v>4364.5</v>
      </c>
      <c r="H1363" s="4">
        <v>2021.82</v>
      </c>
      <c r="I1363" s="6">
        <v>3.97</v>
      </c>
      <c r="J1363" s="5">
        <v>25</v>
      </c>
    </row>
    <row r="1364" spans="1:10">
      <c r="A1364" t="s">
        <v>38</v>
      </c>
      <c r="B1364" t="s">
        <v>35</v>
      </c>
      <c r="C1364" t="s">
        <v>12</v>
      </c>
      <c r="D1364" s="3">
        <v>45992</v>
      </c>
      <c r="E1364" s="5">
        <v>218</v>
      </c>
      <c r="F1364" s="4">
        <v>31507.279999999999</v>
      </c>
      <c r="G1364" s="4">
        <v>26798.18</v>
      </c>
      <c r="H1364" s="4">
        <v>4709.1000000000004</v>
      </c>
      <c r="I1364" s="6">
        <v>3.72</v>
      </c>
      <c r="J1364" s="5">
        <v>27</v>
      </c>
    </row>
    <row r="1365" spans="1:10">
      <c r="A1365" t="s">
        <v>38</v>
      </c>
      <c r="B1365" t="s">
        <v>35</v>
      </c>
      <c r="C1365" t="s">
        <v>13</v>
      </c>
      <c r="D1365" s="3">
        <v>45992</v>
      </c>
      <c r="E1365" s="5">
        <v>121</v>
      </c>
      <c r="F1365" s="4">
        <v>9241.99</v>
      </c>
      <c r="G1365" s="4">
        <v>6763.39</v>
      </c>
      <c r="H1365" s="4">
        <v>2478.6</v>
      </c>
      <c r="I1365" s="6">
        <v>3.93</v>
      </c>
      <c r="J1365" s="5">
        <v>27</v>
      </c>
    </row>
    <row r="1366" spans="1:10">
      <c r="A1366" t="s">
        <v>38</v>
      </c>
      <c r="B1366" t="s">
        <v>35</v>
      </c>
      <c r="C1366" t="s">
        <v>14</v>
      </c>
      <c r="D1366" s="3">
        <v>45992</v>
      </c>
      <c r="E1366" s="5">
        <v>244</v>
      </c>
      <c r="F1366" s="4">
        <v>11555.14</v>
      </c>
      <c r="G1366" s="4">
        <v>7479.96</v>
      </c>
      <c r="H1366" s="4">
        <v>4075.18</v>
      </c>
      <c r="I1366" s="6">
        <v>3.77</v>
      </c>
      <c r="J1366" s="5">
        <v>27</v>
      </c>
    </row>
    <row r="1367" spans="1:10">
      <c r="A1367" t="s">
        <v>38</v>
      </c>
      <c r="B1367" t="s">
        <v>35</v>
      </c>
      <c r="C1367" t="s">
        <v>15</v>
      </c>
      <c r="D1367" s="3">
        <v>45992</v>
      </c>
      <c r="E1367" s="5">
        <v>161</v>
      </c>
      <c r="F1367" s="4">
        <v>5667.16</v>
      </c>
      <c r="G1367" s="4">
        <v>3177.09</v>
      </c>
      <c r="H1367" s="4">
        <v>2490.0700000000002</v>
      </c>
      <c r="I1367" s="6">
        <v>3.81</v>
      </c>
      <c r="J1367" s="5">
        <v>27</v>
      </c>
    </row>
    <row r="1368" spans="1:10">
      <c r="A1368" t="s">
        <v>38</v>
      </c>
      <c r="B1368" t="s">
        <v>35</v>
      </c>
      <c r="C1368" t="s">
        <v>16</v>
      </c>
      <c r="D1368" s="3">
        <v>45992</v>
      </c>
      <c r="E1368" s="5">
        <v>268</v>
      </c>
      <c r="F1368" s="4">
        <v>4589.24</v>
      </c>
      <c r="G1368" s="4">
        <v>4506.34</v>
      </c>
      <c r="H1368" s="4">
        <v>82.9</v>
      </c>
      <c r="I1368" s="6">
        <v>3.85</v>
      </c>
      <c r="J1368" s="5">
        <v>27</v>
      </c>
    </row>
    <row r="1369" spans="1:10">
      <c r="A1369" t="s">
        <v>38</v>
      </c>
      <c r="B1369" t="s">
        <v>35</v>
      </c>
      <c r="C1369" t="s">
        <v>17</v>
      </c>
      <c r="D1369" s="3">
        <v>45992</v>
      </c>
      <c r="E1369" s="5">
        <v>98</v>
      </c>
      <c r="F1369" s="4">
        <v>5758.07</v>
      </c>
      <c r="G1369" s="4">
        <v>4173.8100000000004</v>
      </c>
      <c r="H1369" s="4">
        <v>1584.25</v>
      </c>
      <c r="I1369" s="6">
        <v>3.86</v>
      </c>
      <c r="J1369" s="5">
        <v>27</v>
      </c>
    </row>
    <row r="1370" spans="1:10">
      <c r="A1370" t="s">
        <v>39</v>
      </c>
      <c r="B1370" t="s">
        <v>35</v>
      </c>
      <c r="C1370" t="s">
        <v>12</v>
      </c>
      <c r="D1370" s="3">
        <v>45658</v>
      </c>
      <c r="E1370" s="5">
        <v>115</v>
      </c>
      <c r="F1370" s="4">
        <v>17119.87</v>
      </c>
      <c r="G1370" s="4">
        <v>12736.34</v>
      </c>
      <c r="H1370" s="4">
        <v>4383.53</v>
      </c>
      <c r="I1370" s="6">
        <v>3.81</v>
      </c>
      <c r="J1370" s="5">
        <v>28</v>
      </c>
    </row>
    <row r="1371" spans="1:10">
      <c r="A1371" t="s">
        <v>39</v>
      </c>
      <c r="B1371" t="s">
        <v>35</v>
      </c>
      <c r="C1371" t="s">
        <v>13</v>
      </c>
      <c r="D1371" s="3">
        <v>45658</v>
      </c>
      <c r="E1371" s="5">
        <v>103</v>
      </c>
      <c r="F1371" s="4">
        <v>7970.71</v>
      </c>
      <c r="G1371" s="4">
        <v>4968.7299999999996</v>
      </c>
      <c r="H1371" s="4">
        <v>3001.98</v>
      </c>
      <c r="I1371" s="6">
        <v>4</v>
      </c>
      <c r="J1371" s="5">
        <v>28</v>
      </c>
    </row>
    <row r="1372" spans="1:10">
      <c r="A1372" t="s">
        <v>39</v>
      </c>
      <c r="B1372" t="s">
        <v>35</v>
      </c>
      <c r="C1372" t="s">
        <v>14</v>
      </c>
      <c r="D1372" s="3">
        <v>45658</v>
      </c>
      <c r="E1372" s="5">
        <v>132</v>
      </c>
      <c r="F1372" s="4">
        <v>6167.52</v>
      </c>
      <c r="G1372" s="4">
        <v>3494.22</v>
      </c>
      <c r="H1372" s="4">
        <v>2673.3</v>
      </c>
      <c r="I1372" s="6">
        <v>3.92</v>
      </c>
      <c r="J1372" s="5">
        <v>28</v>
      </c>
    </row>
    <row r="1373" spans="1:10">
      <c r="A1373" t="s">
        <v>39</v>
      </c>
      <c r="B1373" t="s">
        <v>35</v>
      </c>
      <c r="C1373" t="s">
        <v>15</v>
      </c>
      <c r="D1373" s="3">
        <v>45658</v>
      </c>
      <c r="E1373" s="5">
        <v>128</v>
      </c>
      <c r="F1373" s="4">
        <v>4937.38</v>
      </c>
      <c r="G1373" s="4">
        <v>2282.11</v>
      </c>
      <c r="H1373" s="4">
        <v>2655.27</v>
      </c>
      <c r="I1373" s="6">
        <v>4.09</v>
      </c>
      <c r="J1373" s="5">
        <v>28</v>
      </c>
    </row>
    <row r="1374" spans="1:10">
      <c r="A1374" t="s">
        <v>39</v>
      </c>
      <c r="B1374" t="s">
        <v>35</v>
      </c>
      <c r="C1374" t="s">
        <v>16</v>
      </c>
      <c r="D1374" s="3">
        <v>45658</v>
      </c>
      <c r="E1374" s="5">
        <v>176</v>
      </c>
      <c r="F1374" s="4">
        <v>3077.91</v>
      </c>
      <c r="G1374" s="4">
        <v>2684.62</v>
      </c>
      <c r="H1374" s="4">
        <v>393.29</v>
      </c>
      <c r="I1374" s="6">
        <v>3.82</v>
      </c>
      <c r="J1374" s="5">
        <v>28</v>
      </c>
    </row>
    <row r="1375" spans="1:10">
      <c r="A1375" t="s">
        <v>39</v>
      </c>
      <c r="B1375" t="s">
        <v>35</v>
      </c>
      <c r="C1375" t="s">
        <v>17</v>
      </c>
      <c r="D1375" s="3">
        <v>45658</v>
      </c>
      <c r="E1375" s="5">
        <v>88</v>
      </c>
      <c r="F1375" s="4">
        <v>5648.22</v>
      </c>
      <c r="G1375" s="4">
        <v>3455.07</v>
      </c>
      <c r="H1375" s="4">
        <v>2193.15</v>
      </c>
      <c r="I1375" s="6">
        <v>3.77</v>
      </c>
      <c r="J1375" s="5">
        <v>28</v>
      </c>
    </row>
    <row r="1376" spans="1:10">
      <c r="A1376" t="s">
        <v>39</v>
      </c>
      <c r="B1376" t="s">
        <v>35</v>
      </c>
      <c r="C1376" t="s">
        <v>12</v>
      </c>
      <c r="D1376" s="3">
        <v>45689</v>
      </c>
      <c r="E1376" s="5">
        <v>97</v>
      </c>
      <c r="F1376" s="4">
        <v>14854.59</v>
      </c>
      <c r="G1376" s="4">
        <v>11209.96</v>
      </c>
      <c r="H1376" s="4">
        <v>3644.62</v>
      </c>
      <c r="I1376" s="6">
        <v>3.94</v>
      </c>
      <c r="J1376" s="5">
        <v>29</v>
      </c>
    </row>
    <row r="1377" spans="1:10">
      <c r="A1377" t="s">
        <v>39</v>
      </c>
      <c r="B1377" t="s">
        <v>35</v>
      </c>
      <c r="C1377" t="s">
        <v>13</v>
      </c>
      <c r="D1377" s="3">
        <v>45689</v>
      </c>
      <c r="E1377" s="5">
        <v>100</v>
      </c>
      <c r="F1377" s="4">
        <v>8022.2</v>
      </c>
      <c r="G1377" s="4">
        <v>5306.55</v>
      </c>
      <c r="H1377" s="4">
        <v>2715.65</v>
      </c>
      <c r="I1377" s="6">
        <v>3.91</v>
      </c>
      <c r="J1377" s="5">
        <v>29</v>
      </c>
    </row>
    <row r="1378" spans="1:10">
      <c r="A1378" t="s">
        <v>39</v>
      </c>
      <c r="B1378" t="s">
        <v>35</v>
      </c>
      <c r="C1378" t="s">
        <v>14</v>
      </c>
      <c r="D1378" s="3">
        <v>45689</v>
      </c>
      <c r="E1378" s="5">
        <v>112</v>
      </c>
      <c r="F1378" s="4">
        <v>5575.19</v>
      </c>
      <c r="G1378" s="4">
        <v>3360.78</v>
      </c>
      <c r="H1378" s="4">
        <v>2214.41</v>
      </c>
      <c r="I1378" s="6">
        <v>4.07</v>
      </c>
      <c r="J1378" s="5">
        <v>29</v>
      </c>
    </row>
    <row r="1379" spans="1:10">
      <c r="A1379" t="s">
        <v>39</v>
      </c>
      <c r="B1379" t="s">
        <v>35</v>
      </c>
      <c r="C1379" t="s">
        <v>15</v>
      </c>
      <c r="D1379" s="3">
        <v>45689</v>
      </c>
      <c r="E1379" s="5">
        <v>112</v>
      </c>
      <c r="F1379" s="4">
        <v>3896.4</v>
      </c>
      <c r="G1379" s="4">
        <v>1857.56</v>
      </c>
      <c r="H1379" s="4">
        <v>2038.85</v>
      </c>
      <c r="I1379" s="6">
        <v>3.78</v>
      </c>
      <c r="J1379" s="5">
        <v>29</v>
      </c>
    </row>
    <row r="1380" spans="1:10">
      <c r="A1380" t="s">
        <v>39</v>
      </c>
      <c r="B1380" t="s">
        <v>35</v>
      </c>
      <c r="C1380" t="s">
        <v>16</v>
      </c>
      <c r="D1380" s="3">
        <v>45689</v>
      </c>
      <c r="E1380" s="5">
        <v>162</v>
      </c>
      <c r="F1380" s="4">
        <v>3132.24</v>
      </c>
      <c r="G1380" s="4">
        <v>2704.72</v>
      </c>
      <c r="H1380" s="4">
        <v>427.52</v>
      </c>
      <c r="I1380" s="6">
        <v>3.78</v>
      </c>
      <c r="J1380" s="5">
        <v>29</v>
      </c>
    </row>
    <row r="1381" spans="1:10">
      <c r="A1381" t="s">
        <v>39</v>
      </c>
      <c r="B1381" t="s">
        <v>35</v>
      </c>
      <c r="C1381" t="s">
        <v>17</v>
      </c>
      <c r="D1381" s="3">
        <v>45689</v>
      </c>
      <c r="E1381" s="5">
        <v>79</v>
      </c>
      <c r="F1381" s="4">
        <v>4680.9399999999996</v>
      </c>
      <c r="G1381" s="4">
        <v>2868.37</v>
      </c>
      <c r="H1381" s="4">
        <v>1812.57</v>
      </c>
      <c r="I1381" s="6">
        <v>3.8</v>
      </c>
      <c r="J1381" s="5">
        <v>29</v>
      </c>
    </row>
    <row r="1382" spans="1:10">
      <c r="A1382" t="s">
        <v>39</v>
      </c>
      <c r="B1382" t="s">
        <v>35</v>
      </c>
      <c r="C1382" t="s">
        <v>12</v>
      </c>
      <c r="D1382" s="3">
        <v>45717</v>
      </c>
      <c r="E1382" s="5">
        <v>105</v>
      </c>
      <c r="F1382" s="4">
        <v>14936.39</v>
      </c>
      <c r="G1382" s="4">
        <v>11702.2</v>
      </c>
      <c r="H1382" s="4">
        <v>3234.19</v>
      </c>
      <c r="I1382" s="6">
        <v>3.94</v>
      </c>
      <c r="J1382" s="5">
        <v>29</v>
      </c>
    </row>
    <row r="1383" spans="1:10">
      <c r="A1383" t="s">
        <v>39</v>
      </c>
      <c r="B1383" t="s">
        <v>35</v>
      </c>
      <c r="C1383" t="s">
        <v>13</v>
      </c>
      <c r="D1383" s="3">
        <v>45717</v>
      </c>
      <c r="E1383" s="5">
        <v>106</v>
      </c>
      <c r="F1383" s="4">
        <v>7721.55</v>
      </c>
      <c r="G1383" s="4">
        <v>4988.1400000000003</v>
      </c>
      <c r="H1383" s="4">
        <v>2733.4</v>
      </c>
      <c r="I1383" s="6">
        <v>3.91</v>
      </c>
      <c r="J1383" s="5">
        <v>29</v>
      </c>
    </row>
    <row r="1384" spans="1:10">
      <c r="A1384" t="s">
        <v>39</v>
      </c>
      <c r="B1384" t="s">
        <v>35</v>
      </c>
      <c r="C1384" t="s">
        <v>14</v>
      </c>
      <c r="D1384" s="3">
        <v>45717</v>
      </c>
      <c r="E1384" s="5">
        <v>154</v>
      </c>
      <c r="F1384" s="4">
        <v>7013.63</v>
      </c>
      <c r="G1384" s="4">
        <v>4244.6899999999996</v>
      </c>
      <c r="H1384" s="4">
        <v>2768.94</v>
      </c>
      <c r="I1384" s="6">
        <v>3.83</v>
      </c>
      <c r="J1384" s="5">
        <v>29</v>
      </c>
    </row>
    <row r="1385" spans="1:10">
      <c r="A1385" t="s">
        <v>39</v>
      </c>
      <c r="B1385" t="s">
        <v>35</v>
      </c>
      <c r="C1385" t="s">
        <v>15</v>
      </c>
      <c r="D1385" s="3">
        <v>45717</v>
      </c>
      <c r="E1385" s="5">
        <v>107</v>
      </c>
      <c r="F1385" s="4">
        <v>4131.82</v>
      </c>
      <c r="G1385" s="4">
        <v>1967.15</v>
      </c>
      <c r="H1385" s="4">
        <v>2164.67</v>
      </c>
      <c r="I1385" s="6">
        <v>3.9</v>
      </c>
      <c r="J1385" s="5">
        <v>29</v>
      </c>
    </row>
    <row r="1386" spans="1:10">
      <c r="A1386" t="s">
        <v>39</v>
      </c>
      <c r="B1386" t="s">
        <v>35</v>
      </c>
      <c r="C1386" t="s">
        <v>16</v>
      </c>
      <c r="D1386" s="3">
        <v>45717</v>
      </c>
      <c r="E1386" s="5">
        <v>175</v>
      </c>
      <c r="F1386" s="4">
        <v>3104.9</v>
      </c>
      <c r="G1386" s="4">
        <v>2785.09</v>
      </c>
      <c r="H1386" s="4">
        <v>319.82</v>
      </c>
      <c r="I1386" s="6">
        <v>3.97</v>
      </c>
      <c r="J1386" s="5">
        <v>29</v>
      </c>
    </row>
    <row r="1387" spans="1:10">
      <c r="A1387" t="s">
        <v>39</v>
      </c>
      <c r="B1387" t="s">
        <v>35</v>
      </c>
      <c r="C1387" t="s">
        <v>17</v>
      </c>
      <c r="D1387" s="3">
        <v>45717</v>
      </c>
      <c r="E1387" s="5">
        <v>94</v>
      </c>
      <c r="F1387" s="4">
        <v>6165.25</v>
      </c>
      <c r="G1387" s="4">
        <v>3883.64</v>
      </c>
      <c r="H1387" s="4">
        <v>2281.61</v>
      </c>
      <c r="I1387" s="6">
        <v>3.86</v>
      </c>
      <c r="J1387" s="5">
        <v>29</v>
      </c>
    </row>
    <row r="1388" spans="1:10">
      <c r="A1388" t="s">
        <v>39</v>
      </c>
      <c r="B1388" t="s">
        <v>35</v>
      </c>
      <c r="C1388" t="s">
        <v>12</v>
      </c>
      <c r="D1388" s="3">
        <v>45748</v>
      </c>
      <c r="E1388" s="5">
        <v>137</v>
      </c>
      <c r="F1388" s="4">
        <v>20868.13</v>
      </c>
      <c r="G1388" s="4">
        <v>15764</v>
      </c>
      <c r="H1388" s="4">
        <v>5104.13</v>
      </c>
      <c r="I1388" s="6">
        <v>3.88</v>
      </c>
      <c r="J1388" s="5">
        <v>29</v>
      </c>
    </row>
    <row r="1389" spans="1:10">
      <c r="A1389" t="s">
        <v>39</v>
      </c>
      <c r="B1389" t="s">
        <v>35</v>
      </c>
      <c r="C1389" t="s">
        <v>13</v>
      </c>
      <c r="D1389" s="3">
        <v>45748</v>
      </c>
      <c r="E1389" s="5">
        <v>112</v>
      </c>
      <c r="F1389" s="4">
        <v>8344.66</v>
      </c>
      <c r="G1389" s="4">
        <v>5604.61</v>
      </c>
      <c r="H1389" s="4">
        <v>2740.04</v>
      </c>
      <c r="I1389" s="6">
        <v>3.8</v>
      </c>
      <c r="J1389" s="5">
        <v>29</v>
      </c>
    </row>
    <row r="1390" spans="1:10">
      <c r="A1390" t="s">
        <v>39</v>
      </c>
      <c r="B1390" t="s">
        <v>35</v>
      </c>
      <c r="C1390" t="s">
        <v>14</v>
      </c>
      <c r="D1390" s="3">
        <v>45748</v>
      </c>
      <c r="E1390" s="5">
        <v>167</v>
      </c>
      <c r="F1390" s="4">
        <v>8229.2900000000009</v>
      </c>
      <c r="G1390" s="4">
        <v>4820.96</v>
      </c>
      <c r="H1390" s="4">
        <v>3408.33</v>
      </c>
      <c r="I1390" s="6">
        <v>3.94</v>
      </c>
      <c r="J1390" s="5">
        <v>29</v>
      </c>
    </row>
    <row r="1391" spans="1:10">
      <c r="A1391" t="s">
        <v>39</v>
      </c>
      <c r="B1391" t="s">
        <v>35</v>
      </c>
      <c r="C1391" t="s">
        <v>15</v>
      </c>
      <c r="D1391" s="3">
        <v>45748</v>
      </c>
      <c r="E1391" s="5">
        <v>149</v>
      </c>
      <c r="F1391" s="4">
        <v>5179.05</v>
      </c>
      <c r="G1391" s="4">
        <v>2427.36</v>
      </c>
      <c r="H1391" s="4">
        <v>2751.68</v>
      </c>
      <c r="I1391" s="6">
        <v>4</v>
      </c>
      <c r="J1391" s="5">
        <v>29</v>
      </c>
    </row>
    <row r="1392" spans="1:10">
      <c r="A1392" t="s">
        <v>39</v>
      </c>
      <c r="B1392" t="s">
        <v>35</v>
      </c>
      <c r="C1392" t="s">
        <v>16</v>
      </c>
      <c r="D1392" s="3">
        <v>45748</v>
      </c>
      <c r="E1392" s="5">
        <v>229</v>
      </c>
      <c r="F1392" s="4">
        <v>3967.74</v>
      </c>
      <c r="G1392" s="4">
        <v>3481.13</v>
      </c>
      <c r="H1392" s="4">
        <v>486.61</v>
      </c>
      <c r="I1392" s="6">
        <v>4.08</v>
      </c>
      <c r="J1392" s="5">
        <v>29</v>
      </c>
    </row>
    <row r="1393" spans="1:10">
      <c r="A1393" t="s">
        <v>39</v>
      </c>
      <c r="B1393" t="s">
        <v>35</v>
      </c>
      <c r="C1393" t="s">
        <v>17</v>
      </c>
      <c r="D1393" s="3">
        <v>45748</v>
      </c>
      <c r="E1393" s="5">
        <v>84</v>
      </c>
      <c r="F1393" s="4">
        <v>5314.42</v>
      </c>
      <c r="G1393" s="4">
        <v>3378.57</v>
      </c>
      <c r="H1393" s="4">
        <v>1935.84</v>
      </c>
      <c r="I1393" s="6">
        <v>3.88</v>
      </c>
      <c r="J1393" s="5">
        <v>29</v>
      </c>
    </row>
    <row r="1394" spans="1:10">
      <c r="A1394" t="s">
        <v>39</v>
      </c>
      <c r="B1394" t="s">
        <v>35</v>
      </c>
      <c r="C1394" t="s">
        <v>12</v>
      </c>
      <c r="D1394" s="3">
        <v>45778</v>
      </c>
      <c r="E1394" s="5">
        <v>135</v>
      </c>
      <c r="F1394" s="4">
        <v>19269.080000000002</v>
      </c>
      <c r="G1394" s="4">
        <v>14774.54</v>
      </c>
      <c r="H1394" s="4">
        <v>4494.55</v>
      </c>
      <c r="I1394" s="6">
        <v>3.88</v>
      </c>
      <c r="J1394" s="5">
        <v>29</v>
      </c>
    </row>
    <row r="1395" spans="1:10">
      <c r="A1395" t="s">
        <v>39</v>
      </c>
      <c r="B1395" t="s">
        <v>35</v>
      </c>
      <c r="C1395" t="s">
        <v>13</v>
      </c>
      <c r="D1395" s="3">
        <v>45778</v>
      </c>
      <c r="E1395" s="5">
        <v>124</v>
      </c>
      <c r="F1395" s="4">
        <v>9570.84</v>
      </c>
      <c r="G1395" s="4">
        <v>6226.38</v>
      </c>
      <c r="H1395" s="4">
        <v>3344.45</v>
      </c>
      <c r="I1395" s="6">
        <v>3.86</v>
      </c>
      <c r="J1395" s="5">
        <v>29</v>
      </c>
    </row>
    <row r="1396" spans="1:10">
      <c r="A1396" t="s">
        <v>39</v>
      </c>
      <c r="B1396" t="s">
        <v>35</v>
      </c>
      <c r="C1396" t="s">
        <v>14</v>
      </c>
      <c r="D1396" s="3">
        <v>45778</v>
      </c>
      <c r="E1396" s="5">
        <v>170</v>
      </c>
      <c r="F1396" s="4">
        <v>8240.93</v>
      </c>
      <c r="G1396" s="4">
        <v>4871.62</v>
      </c>
      <c r="H1396" s="4">
        <v>3369.32</v>
      </c>
      <c r="I1396" s="6">
        <v>3.91</v>
      </c>
      <c r="J1396" s="5">
        <v>29</v>
      </c>
    </row>
    <row r="1397" spans="1:10">
      <c r="A1397" t="s">
        <v>39</v>
      </c>
      <c r="B1397" t="s">
        <v>35</v>
      </c>
      <c r="C1397" t="s">
        <v>15</v>
      </c>
      <c r="D1397" s="3">
        <v>45778</v>
      </c>
      <c r="E1397" s="5">
        <v>126</v>
      </c>
      <c r="F1397" s="4">
        <v>4467.1899999999996</v>
      </c>
      <c r="G1397" s="4">
        <v>2097.81</v>
      </c>
      <c r="H1397" s="4">
        <v>2369.38</v>
      </c>
      <c r="I1397" s="6">
        <v>4.0199999999999996</v>
      </c>
      <c r="J1397" s="5">
        <v>29</v>
      </c>
    </row>
    <row r="1398" spans="1:10">
      <c r="A1398" t="s">
        <v>39</v>
      </c>
      <c r="B1398" t="s">
        <v>35</v>
      </c>
      <c r="C1398" t="s">
        <v>16</v>
      </c>
      <c r="D1398" s="3">
        <v>45778</v>
      </c>
      <c r="E1398" s="5">
        <v>234</v>
      </c>
      <c r="F1398" s="4">
        <v>4375.2700000000004</v>
      </c>
      <c r="G1398" s="4">
        <v>3949.05</v>
      </c>
      <c r="H1398" s="4">
        <v>426.22</v>
      </c>
      <c r="I1398" s="6">
        <v>3.82</v>
      </c>
      <c r="J1398" s="5">
        <v>29</v>
      </c>
    </row>
    <row r="1399" spans="1:10">
      <c r="A1399" t="s">
        <v>39</v>
      </c>
      <c r="B1399" t="s">
        <v>35</v>
      </c>
      <c r="C1399" t="s">
        <v>17</v>
      </c>
      <c r="D1399" s="3">
        <v>45778</v>
      </c>
      <c r="E1399" s="5">
        <v>125</v>
      </c>
      <c r="F1399" s="4">
        <v>8309.25</v>
      </c>
      <c r="G1399" s="4">
        <v>5505.49</v>
      </c>
      <c r="H1399" s="4">
        <v>2803.76</v>
      </c>
      <c r="I1399" s="6">
        <v>3.96</v>
      </c>
      <c r="J1399" s="5">
        <v>29</v>
      </c>
    </row>
    <row r="1400" spans="1:10">
      <c r="A1400" t="s">
        <v>39</v>
      </c>
      <c r="B1400" t="s">
        <v>35</v>
      </c>
      <c r="C1400" t="s">
        <v>12</v>
      </c>
      <c r="D1400" s="3">
        <v>45809</v>
      </c>
      <c r="E1400" s="5">
        <v>151</v>
      </c>
      <c r="F1400" s="4">
        <v>23408.400000000001</v>
      </c>
      <c r="G1400" s="4">
        <v>18081.830000000002</v>
      </c>
      <c r="H1400" s="4">
        <v>5326.57</v>
      </c>
      <c r="I1400" s="6">
        <v>3.79</v>
      </c>
      <c r="J1400" s="5">
        <v>30</v>
      </c>
    </row>
    <row r="1401" spans="1:10">
      <c r="A1401" t="s">
        <v>39</v>
      </c>
      <c r="B1401" t="s">
        <v>35</v>
      </c>
      <c r="C1401" t="s">
        <v>13</v>
      </c>
      <c r="D1401" s="3">
        <v>45809</v>
      </c>
      <c r="E1401" s="5">
        <v>114</v>
      </c>
      <c r="F1401" s="4">
        <v>8725.15</v>
      </c>
      <c r="G1401" s="4">
        <v>5684.53</v>
      </c>
      <c r="H1401" s="4">
        <v>3040.61</v>
      </c>
      <c r="I1401" s="6">
        <v>3.99</v>
      </c>
      <c r="J1401" s="5">
        <v>30</v>
      </c>
    </row>
    <row r="1402" spans="1:10">
      <c r="A1402" t="s">
        <v>39</v>
      </c>
      <c r="B1402" t="s">
        <v>35</v>
      </c>
      <c r="C1402" t="s">
        <v>14</v>
      </c>
      <c r="D1402" s="3">
        <v>45809</v>
      </c>
      <c r="E1402" s="5">
        <v>168</v>
      </c>
      <c r="F1402" s="4">
        <v>8277.32</v>
      </c>
      <c r="G1402" s="4">
        <v>4964.45</v>
      </c>
      <c r="H1402" s="4">
        <v>3312.87</v>
      </c>
      <c r="I1402" s="6">
        <v>3.88</v>
      </c>
      <c r="J1402" s="5">
        <v>30</v>
      </c>
    </row>
    <row r="1403" spans="1:10">
      <c r="A1403" t="s">
        <v>39</v>
      </c>
      <c r="B1403" t="s">
        <v>35</v>
      </c>
      <c r="C1403" t="s">
        <v>15</v>
      </c>
      <c r="D1403" s="3">
        <v>45809</v>
      </c>
      <c r="E1403" s="5">
        <v>139</v>
      </c>
      <c r="F1403" s="4">
        <v>4932.3999999999996</v>
      </c>
      <c r="G1403" s="4">
        <v>2432.56</v>
      </c>
      <c r="H1403" s="4">
        <v>2499.84</v>
      </c>
      <c r="I1403" s="6">
        <v>3.82</v>
      </c>
      <c r="J1403" s="5">
        <v>30</v>
      </c>
    </row>
    <row r="1404" spans="1:10">
      <c r="A1404" t="s">
        <v>39</v>
      </c>
      <c r="B1404" t="s">
        <v>35</v>
      </c>
      <c r="C1404" t="s">
        <v>16</v>
      </c>
      <c r="D1404" s="3">
        <v>45809</v>
      </c>
      <c r="E1404" s="5">
        <v>195</v>
      </c>
      <c r="F1404" s="4">
        <v>3676.35</v>
      </c>
      <c r="G1404" s="4">
        <v>3284.4</v>
      </c>
      <c r="H1404" s="4">
        <v>391.95</v>
      </c>
      <c r="I1404" s="6">
        <v>3.75</v>
      </c>
      <c r="J1404" s="5">
        <v>30</v>
      </c>
    </row>
    <row r="1405" spans="1:10">
      <c r="A1405" t="s">
        <v>39</v>
      </c>
      <c r="B1405" t="s">
        <v>35</v>
      </c>
      <c r="C1405" t="s">
        <v>17</v>
      </c>
      <c r="D1405" s="3">
        <v>45809</v>
      </c>
      <c r="E1405" s="5">
        <v>129</v>
      </c>
      <c r="F1405" s="4">
        <v>8469.27</v>
      </c>
      <c r="G1405" s="4">
        <v>5563.51</v>
      </c>
      <c r="H1405" s="4">
        <v>2905.76</v>
      </c>
      <c r="I1405" s="6">
        <v>4.09</v>
      </c>
      <c r="J1405" s="5">
        <v>30</v>
      </c>
    </row>
    <row r="1406" spans="1:10">
      <c r="A1406" t="s">
        <v>39</v>
      </c>
      <c r="B1406" t="s">
        <v>35</v>
      </c>
      <c r="C1406" t="s">
        <v>12</v>
      </c>
      <c r="D1406" s="3">
        <v>45839</v>
      </c>
      <c r="E1406" s="5">
        <v>155</v>
      </c>
      <c r="F1406" s="4">
        <v>23030.38</v>
      </c>
      <c r="G1406" s="4">
        <v>18583.46</v>
      </c>
      <c r="H1406" s="4">
        <v>4446.92</v>
      </c>
      <c r="I1406" s="6">
        <v>4.08</v>
      </c>
      <c r="J1406" s="5">
        <v>31</v>
      </c>
    </row>
    <row r="1407" spans="1:10">
      <c r="A1407" t="s">
        <v>39</v>
      </c>
      <c r="B1407" t="s">
        <v>35</v>
      </c>
      <c r="C1407" t="s">
        <v>13</v>
      </c>
      <c r="D1407" s="3">
        <v>45839</v>
      </c>
      <c r="E1407" s="5">
        <v>146</v>
      </c>
      <c r="F1407" s="4">
        <v>10991.13</v>
      </c>
      <c r="G1407" s="4">
        <v>7273.06</v>
      </c>
      <c r="H1407" s="4">
        <v>3718.07</v>
      </c>
      <c r="I1407" s="6">
        <v>4.0599999999999996</v>
      </c>
      <c r="J1407" s="5">
        <v>31</v>
      </c>
    </row>
    <row r="1408" spans="1:10">
      <c r="A1408" t="s">
        <v>39</v>
      </c>
      <c r="B1408" t="s">
        <v>35</v>
      </c>
      <c r="C1408" t="s">
        <v>14</v>
      </c>
      <c r="D1408" s="3">
        <v>45839</v>
      </c>
      <c r="E1408" s="5">
        <v>163</v>
      </c>
      <c r="F1408" s="4">
        <v>7666.35</v>
      </c>
      <c r="G1408" s="4">
        <v>4680.3599999999997</v>
      </c>
      <c r="H1408" s="4">
        <v>2986</v>
      </c>
      <c r="I1408" s="6">
        <v>4.0999999999999996</v>
      </c>
      <c r="J1408" s="5">
        <v>31</v>
      </c>
    </row>
    <row r="1409" spans="1:10">
      <c r="A1409" t="s">
        <v>39</v>
      </c>
      <c r="B1409" t="s">
        <v>35</v>
      </c>
      <c r="C1409" t="s">
        <v>15</v>
      </c>
      <c r="D1409" s="3">
        <v>45839</v>
      </c>
      <c r="E1409" s="5">
        <v>152</v>
      </c>
      <c r="F1409" s="4">
        <v>5813.47</v>
      </c>
      <c r="G1409" s="4">
        <v>2812.13</v>
      </c>
      <c r="H1409" s="4">
        <v>3001.34</v>
      </c>
      <c r="I1409" s="6">
        <v>4.01</v>
      </c>
      <c r="J1409" s="5">
        <v>31</v>
      </c>
    </row>
    <row r="1410" spans="1:10">
      <c r="A1410" t="s">
        <v>39</v>
      </c>
      <c r="B1410" t="s">
        <v>35</v>
      </c>
      <c r="C1410" t="s">
        <v>16</v>
      </c>
      <c r="D1410" s="3">
        <v>45839</v>
      </c>
      <c r="E1410" s="5">
        <v>181</v>
      </c>
      <c r="F1410" s="4">
        <v>3429.1</v>
      </c>
      <c r="G1410" s="4">
        <v>3101.22</v>
      </c>
      <c r="H1410" s="4">
        <v>327.88</v>
      </c>
      <c r="I1410" s="6">
        <v>4.01</v>
      </c>
      <c r="J1410" s="5">
        <v>31</v>
      </c>
    </row>
    <row r="1411" spans="1:10">
      <c r="A1411" t="s">
        <v>39</v>
      </c>
      <c r="B1411" t="s">
        <v>35</v>
      </c>
      <c r="C1411" t="s">
        <v>17</v>
      </c>
      <c r="D1411" s="3">
        <v>45839</v>
      </c>
      <c r="E1411" s="5">
        <v>150</v>
      </c>
      <c r="F1411" s="4">
        <v>10005.41</v>
      </c>
      <c r="G1411" s="4">
        <v>6533.55</v>
      </c>
      <c r="H1411" s="4">
        <v>3471.86</v>
      </c>
      <c r="I1411" s="6">
        <v>4.07</v>
      </c>
      <c r="J1411" s="5">
        <v>31</v>
      </c>
    </row>
    <row r="1412" spans="1:10">
      <c r="A1412" t="s">
        <v>39</v>
      </c>
      <c r="B1412" t="s">
        <v>35</v>
      </c>
      <c r="C1412" t="s">
        <v>12</v>
      </c>
      <c r="D1412" s="3">
        <v>45870</v>
      </c>
      <c r="E1412" s="5">
        <v>152</v>
      </c>
      <c r="F1412" s="4">
        <v>21160.81</v>
      </c>
      <c r="G1412" s="4">
        <v>16561.5</v>
      </c>
      <c r="H1412" s="4">
        <v>4599.3100000000004</v>
      </c>
      <c r="I1412" s="6">
        <v>4.1100000000000003</v>
      </c>
      <c r="J1412" s="5">
        <v>30</v>
      </c>
    </row>
    <row r="1413" spans="1:10">
      <c r="A1413" t="s">
        <v>39</v>
      </c>
      <c r="B1413" t="s">
        <v>35</v>
      </c>
      <c r="C1413" t="s">
        <v>13</v>
      </c>
      <c r="D1413" s="3">
        <v>45870</v>
      </c>
      <c r="E1413" s="5">
        <v>118</v>
      </c>
      <c r="F1413" s="4">
        <v>9089.4500000000007</v>
      </c>
      <c r="G1413" s="4">
        <v>6137.79</v>
      </c>
      <c r="H1413" s="4">
        <v>2951.66</v>
      </c>
      <c r="I1413" s="6">
        <v>4.09</v>
      </c>
      <c r="J1413" s="5">
        <v>30</v>
      </c>
    </row>
    <row r="1414" spans="1:10">
      <c r="A1414" t="s">
        <v>39</v>
      </c>
      <c r="B1414" t="s">
        <v>35</v>
      </c>
      <c r="C1414" t="s">
        <v>14</v>
      </c>
      <c r="D1414" s="3">
        <v>45870</v>
      </c>
      <c r="E1414" s="5">
        <v>181</v>
      </c>
      <c r="F1414" s="4">
        <v>8174.77</v>
      </c>
      <c r="G1414" s="4">
        <v>5127.05</v>
      </c>
      <c r="H1414" s="4">
        <v>3047.72</v>
      </c>
      <c r="I1414" s="6">
        <v>3.85</v>
      </c>
      <c r="J1414" s="5">
        <v>30</v>
      </c>
    </row>
    <row r="1415" spans="1:10">
      <c r="A1415" t="s">
        <v>39</v>
      </c>
      <c r="B1415" t="s">
        <v>35</v>
      </c>
      <c r="C1415" t="s">
        <v>15</v>
      </c>
      <c r="D1415" s="3">
        <v>45870</v>
      </c>
      <c r="E1415" s="5">
        <v>131</v>
      </c>
      <c r="F1415" s="4">
        <v>4548.51</v>
      </c>
      <c r="G1415" s="4">
        <v>2278.16</v>
      </c>
      <c r="H1415" s="4">
        <v>2270.35</v>
      </c>
      <c r="I1415" s="6">
        <v>3.95</v>
      </c>
      <c r="J1415" s="5">
        <v>30</v>
      </c>
    </row>
    <row r="1416" spans="1:10">
      <c r="A1416" t="s">
        <v>39</v>
      </c>
      <c r="B1416" t="s">
        <v>35</v>
      </c>
      <c r="C1416" t="s">
        <v>16</v>
      </c>
      <c r="D1416" s="3">
        <v>45870</v>
      </c>
      <c r="E1416" s="5">
        <v>237</v>
      </c>
      <c r="F1416" s="4">
        <v>4507.1099999999997</v>
      </c>
      <c r="G1416" s="4">
        <v>4103.0600000000004</v>
      </c>
      <c r="H1416" s="4">
        <v>404.05</v>
      </c>
      <c r="I1416" s="6">
        <v>3.9</v>
      </c>
      <c r="J1416" s="5">
        <v>30</v>
      </c>
    </row>
    <row r="1417" spans="1:10">
      <c r="A1417" t="s">
        <v>39</v>
      </c>
      <c r="B1417" t="s">
        <v>35</v>
      </c>
      <c r="C1417" t="s">
        <v>17</v>
      </c>
      <c r="D1417" s="3">
        <v>45870</v>
      </c>
      <c r="E1417" s="5">
        <v>128</v>
      </c>
      <c r="F1417" s="4">
        <v>8374</v>
      </c>
      <c r="G1417" s="4">
        <v>5477.73</v>
      </c>
      <c r="H1417" s="4">
        <v>2896.27</v>
      </c>
      <c r="I1417" s="6">
        <v>3.96</v>
      </c>
      <c r="J1417" s="5">
        <v>30</v>
      </c>
    </row>
    <row r="1418" spans="1:10">
      <c r="A1418" t="s">
        <v>39</v>
      </c>
      <c r="B1418" t="s">
        <v>35</v>
      </c>
      <c r="C1418" t="s">
        <v>12</v>
      </c>
      <c r="D1418" s="3">
        <v>45901</v>
      </c>
      <c r="E1418" s="5">
        <v>126</v>
      </c>
      <c r="F1418" s="4">
        <v>17242.45</v>
      </c>
      <c r="G1418" s="4">
        <v>13348.71</v>
      </c>
      <c r="H1418" s="4">
        <v>3893.74</v>
      </c>
      <c r="I1418" s="6">
        <v>3.84</v>
      </c>
      <c r="J1418" s="5">
        <v>30</v>
      </c>
    </row>
    <row r="1419" spans="1:10">
      <c r="A1419" t="s">
        <v>39</v>
      </c>
      <c r="B1419" t="s">
        <v>35</v>
      </c>
      <c r="C1419" t="s">
        <v>13</v>
      </c>
      <c r="D1419" s="3">
        <v>45901</v>
      </c>
      <c r="E1419" s="5">
        <v>121</v>
      </c>
      <c r="F1419" s="4">
        <v>9875.07</v>
      </c>
      <c r="G1419" s="4">
        <v>6930.3</v>
      </c>
      <c r="H1419" s="4">
        <v>2944.77</v>
      </c>
      <c r="I1419" s="6">
        <v>3.92</v>
      </c>
      <c r="J1419" s="5">
        <v>30</v>
      </c>
    </row>
    <row r="1420" spans="1:10">
      <c r="A1420" t="s">
        <v>39</v>
      </c>
      <c r="B1420" t="s">
        <v>35</v>
      </c>
      <c r="C1420" t="s">
        <v>14</v>
      </c>
      <c r="D1420" s="3">
        <v>45901</v>
      </c>
      <c r="E1420" s="5">
        <v>143</v>
      </c>
      <c r="F1420" s="4">
        <v>6853.03</v>
      </c>
      <c r="G1420" s="4">
        <v>4301.6099999999997</v>
      </c>
      <c r="H1420" s="4">
        <v>2551.42</v>
      </c>
      <c r="I1420" s="6">
        <v>4</v>
      </c>
      <c r="J1420" s="5">
        <v>30</v>
      </c>
    </row>
    <row r="1421" spans="1:10">
      <c r="A1421" t="s">
        <v>39</v>
      </c>
      <c r="B1421" t="s">
        <v>35</v>
      </c>
      <c r="C1421" t="s">
        <v>15</v>
      </c>
      <c r="D1421" s="3">
        <v>45901</v>
      </c>
      <c r="E1421" s="5">
        <v>113</v>
      </c>
      <c r="F1421" s="4">
        <v>3963.31</v>
      </c>
      <c r="G1421" s="4">
        <v>1967.38</v>
      </c>
      <c r="H1421" s="4">
        <v>1995.93</v>
      </c>
      <c r="I1421" s="6">
        <v>3.85</v>
      </c>
      <c r="J1421" s="5">
        <v>30</v>
      </c>
    </row>
    <row r="1422" spans="1:10">
      <c r="A1422" t="s">
        <v>39</v>
      </c>
      <c r="B1422" t="s">
        <v>35</v>
      </c>
      <c r="C1422" t="s">
        <v>16</v>
      </c>
      <c r="D1422" s="3">
        <v>45901</v>
      </c>
      <c r="E1422" s="5">
        <v>223</v>
      </c>
      <c r="F1422" s="4">
        <v>4192.1400000000003</v>
      </c>
      <c r="G1422" s="4">
        <v>3909.23</v>
      </c>
      <c r="H1422" s="4">
        <v>282.91000000000003</v>
      </c>
      <c r="I1422" s="6">
        <v>3.92</v>
      </c>
      <c r="J1422" s="5">
        <v>30</v>
      </c>
    </row>
    <row r="1423" spans="1:10">
      <c r="A1423" t="s">
        <v>39</v>
      </c>
      <c r="B1423" t="s">
        <v>35</v>
      </c>
      <c r="C1423" t="s">
        <v>17</v>
      </c>
      <c r="D1423" s="3">
        <v>45901</v>
      </c>
      <c r="E1423" s="5">
        <v>98</v>
      </c>
      <c r="F1423" s="4">
        <v>6450.09</v>
      </c>
      <c r="G1423" s="4">
        <v>4341.75</v>
      </c>
      <c r="H1423" s="4">
        <v>2108.34</v>
      </c>
      <c r="I1423" s="6">
        <v>3.92</v>
      </c>
      <c r="J1423" s="5">
        <v>30</v>
      </c>
    </row>
    <row r="1424" spans="1:10">
      <c r="A1424" t="s">
        <v>39</v>
      </c>
      <c r="B1424" t="s">
        <v>35</v>
      </c>
      <c r="C1424" t="s">
        <v>12</v>
      </c>
      <c r="D1424" s="3">
        <v>45931</v>
      </c>
      <c r="E1424" s="5">
        <v>133</v>
      </c>
      <c r="F1424" s="4">
        <v>18175.27</v>
      </c>
      <c r="G1424" s="4">
        <v>14402.09</v>
      </c>
      <c r="H1424" s="4">
        <v>3773.18</v>
      </c>
      <c r="I1424" s="6">
        <v>3.96</v>
      </c>
      <c r="J1424" s="5">
        <v>28</v>
      </c>
    </row>
    <row r="1425" spans="1:10">
      <c r="A1425" t="s">
        <v>39</v>
      </c>
      <c r="B1425" t="s">
        <v>35</v>
      </c>
      <c r="C1425" t="s">
        <v>13</v>
      </c>
      <c r="D1425" s="3">
        <v>45931</v>
      </c>
      <c r="E1425" s="5">
        <v>144</v>
      </c>
      <c r="F1425" s="4">
        <v>10511.27</v>
      </c>
      <c r="G1425" s="4">
        <v>7277.77</v>
      </c>
      <c r="H1425" s="4">
        <v>3233.5</v>
      </c>
      <c r="I1425" s="6">
        <v>4</v>
      </c>
      <c r="J1425" s="5">
        <v>28</v>
      </c>
    </row>
    <row r="1426" spans="1:10">
      <c r="A1426" t="s">
        <v>39</v>
      </c>
      <c r="B1426" t="s">
        <v>35</v>
      </c>
      <c r="C1426" t="s">
        <v>14</v>
      </c>
      <c r="D1426" s="3">
        <v>45931</v>
      </c>
      <c r="E1426" s="5">
        <v>164</v>
      </c>
      <c r="F1426" s="4">
        <v>7797.71</v>
      </c>
      <c r="G1426" s="4">
        <v>4984.16</v>
      </c>
      <c r="H1426" s="4">
        <v>2813.55</v>
      </c>
      <c r="I1426" s="6">
        <v>4.09</v>
      </c>
      <c r="J1426" s="5">
        <v>28</v>
      </c>
    </row>
    <row r="1427" spans="1:10">
      <c r="A1427" t="s">
        <v>39</v>
      </c>
      <c r="B1427" t="s">
        <v>35</v>
      </c>
      <c r="C1427" t="s">
        <v>15</v>
      </c>
      <c r="D1427" s="3">
        <v>45931</v>
      </c>
      <c r="E1427" s="5">
        <v>141</v>
      </c>
      <c r="F1427" s="4">
        <v>4806.0600000000004</v>
      </c>
      <c r="G1427" s="4">
        <v>2439.4299999999998</v>
      </c>
      <c r="H1427" s="4">
        <v>2366.62</v>
      </c>
      <c r="I1427" s="6">
        <v>3.98</v>
      </c>
      <c r="J1427" s="5">
        <v>28</v>
      </c>
    </row>
    <row r="1428" spans="1:10">
      <c r="A1428" t="s">
        <v>39</v>
      </c>
      <c r="B1428" t="s">
        <v>35</v>
      </c>
      <c r="C1428" t="s">
        <v>16</v>
      </c>
      <c r="D1428" s="3">
        <v>45931</v>
      </c>
      <c r="E1428" s="5">
        <v>239</v>
      </c>
      <c r="F1428" s="4">
        <v>4422.13</v>
      </c>
      <c r="G1428" s="4">
        <v>4195.8599999999997</v>
      </c>
      <c r="H1428" s="4">
        <v>226.27</v>
      </c>
      <c r="I1428" s="6">
        <v>3.93</v>
      </c>
      <c r="J1428" s="5">
        <v>28</v>
      </c>
    </row>
    <row r="1429" spans="1:10">
      <c r="A1429" t="s">
        <v>39</v>
      </c>
      <c r="B1429" t="s">
        <v>35</v>
      </c>
      <c r="C1429" t="s">
        <v>17</v>
      </c>
      <c r="D1429" s="3">
        <v>45931</v>
      </c>
      <c r="E1429" s="5">
        <v>106</v>
      </c>
      <c r="F1429" s="4">
        <v>6331.46</v>
      </c>
      <c r="G1429" s="4">
        <v>4221.9799999999996</v>
      </c>
      <c r="H1429" s="4">
        <v>2109.48</v>
      </c>
      <c r="I1429" s="6">
        <v>3.86</v>
      </c>
      <c r="J1429" s="5">
        <v>28</v>
      </c>
    </row>
    <row r="1430" spans="1:10">
      <c r="A1430" t="s">
        <v>39</v>
      </c>
      <c r="B1430" t="s">
        <v>35</v>
      </c>
      <c r="C1430" t="s">
        <v>12</v>
      </c>
      <c r="D1430" s="3">
        <v>45962</v>
      </c>
      <c r="E1430" s="5">
        <v>231</v>
      </c>
      <c r="F1430" s="4">
        <v>33185.279999999999</v>
      </c>
      <c r="G1430" s="4">
        <v>26935.59</v>
      </c>
      <c r="H1430" s="4">
        <v>6249.69</v>
      </c>
      <c r="I1430" s="6">
        <v>3.88</v>
      </c>
      <c r="J1430" s="5">
        <v>31</v>
      </c>
    </row>
    <row r="1431" spans="1:10">
      <c r="A1431" t="s">
        <v>39</v>
      </c>
      <c r="B1431" t="s">
        <v>35</v>
      </c>
      <c r="C1431" t="s">
        <v>13</v>
      </c>
      <c r="D1431" s="3">
        <v>45962</v>
      </c>
      <c r="E1431" s="5">
        <v>176</v>
      </c>
      <c r="F1431" s="4">
        <v>12842.57</v>
      </c>
      <c r="G1431" s="4">
        <v>8793.9699999999993</v>
      </c>
      <c r="H1431" s="4">
        <v>4048.6</v>
      </c>
      <c r="I1431" s="6">
        <v>3.85</v>
      </c>
      <c r="J1431" s="5">
        <v>31</v>
      </c>
    </row>
    <row r="1432" spans="1:10">
      <c r="A1432" t="s">
        <v>39</v>
      </c>
      <c r="B1432" t="s">
        <v>35</v>
      </c>
      <c r="C1432" t="s">
        <v>14</v>
      </c>
      <c r="D1432" s="3">
        <v>45962</v>
      </c>
      <c r="E1432" s="5">
        <v>238</v>
      </c>
      <c r="F1432" s="4">
        <v>12211.42</v>
      </c>
      <c r="G1432" s="4">
        <v>7657.3</v>
      </c>
      <c r="H1432" s="4">
        <v>4554.12</v>
      </c>
      <c r="I1432" s="6">
        <v>3.83</v>
      </c>
      <c r="J1432" s="5">
        <v>31</v>
      </c>
    </row>
    <row r="1433" spans="1:10">
      <c r="A1433" t="s">
        <v>39</v>
      </c>
      <c r="B1433" t="s">
        <v>35</v>
      </c>
      <c r="C1433" t="s">
        <v>15</v>
      </c>
      <c r="D1433" s="3">
        <v>45962</v>
      </c>
      <c r="E1433" s="5">
        <v>153</v>
      </c>
      <c r="F1433" s="4">
        <v>5565.69</v>
      </c>
      <c r="G1433" s="4">
        <v>2951.74</v>
      </c>
      <c r="H1433" s="4">
        <v>2613.9499999999998</v>
      </c>
      <c r="I1433" s="6">
        <v>4.04</v>
      </c>
      <c r="J1433" s="5">
        <v>31</v>
      </c>
    </row>
    <row r="1434" spans="1:10">
      <c r="A1434" t="s">
        <v>39</v>
      </c>
      <c r="B1434" t="s">
        <v>35</v>
      </c>
      <c r="C1434" t="s">
        <v>16</v>
      </c>
      <c r="D1434" s="3">
        <v>45962</v>
      </c>
      <c r="E1434" s="5">
        <v>254</v>
      </c>
      <c r="F1434" s="4">
        <v>4907.3500000000004</v>
      </c>
      <c r="G1434" s="4">
        <v>4708.7</v>
      </c>
      <c r="H1434" s="4">
        <v>198.66</v>
      </c>
      <c r="I1434" s="6">
        <v>3.98</v>
      </c>
      <c r="J1434" s="5">
        <v>31</v>
      </c>
    </row>
    <row r="1435" spans="1:10">
      <c r="A1435" t="s">
        <v>39</v>
      </c>
      <c r="B1435" t="s">
        <v>35</v>
      </c>
      <c r="C1435" t="s">
        <v>17</v>
      </c>
      <c r="D1435" s="3">
        <v>45962</v>
      </c>
      <c r="E1435" s="5">
        <v>119</v>
      </c>
      <c r="F1435" s="4">
        <v>7660.7</v>
      </c>
      <c r="G1435" s="4">
        <v>5303.85</v>
      </c>
      <c r="H1435" s="4">
        <v>2356.85</v>
      </c>
      <c r="I1435" s="6">
        <v>3.9</v>
      </c>
      <c r="J1435" s="5">
        <v>31</v>
      </c>
    </row>
    <row r="1436" spans="1:10">
      <c r="A1436" t="s">
        <v>39</v>
      </c>
      <c r="B1436" t="s">
        <v>35</v>
      </c>
      <c r="C1436" t="s">
        <v>12</v>
      </c>
      <c r="D1436" s="3">
        <v>45992</v>
      </c>
      <c r="E1436" s="5">
        <v>270</v>
      </c>
      <c r="F1436" s="4">
        <v>36896.26</v>
      </c>
      <c r="G1436" s="4">
        <v>30564.35</v>
      </c>
      <c r="H1436" s="4">
        <v>6331.91</v>
      </c>
      <c r="I1436" s="6">
        <v>4</v>
      </c>
      <c r="J1436" s="5">
        <v>30</v>
      </c>
    </row>
    <row r="1437" spans="1:10">
      <c r="A1437" t="s">
        <v>39</v>
      </c>
      <c r="B1437" t="s">
        <v>35</v>
      </c>
      <c r="C1437" t="s">
        <v>13</v>
      </c>
      <c r="D1437" s="3">
        <v>45992</v>
      </c>
      <c r="E1437" s="5">
        <v>181</v>
      </c>
      <c r="F1437" s="4">
        <v>13198.36</v>
      </c>
      <c r="G1437" s="4">
        <v>9548.6299999999992</v>
      </c>
      <c r="H1437" s="4">
        <v>3649.73</v>
      </c>
      <c r="I1437" s="6">
        <v>4.0999999999999996</v>
      </c>
      <c r="J1437" s="5">
        <v>30</v>
      </c>
    </row>
    <row r="1438" spans="1:10">
      <c r="A1438" t="s">
        <v>39</v>
      </c>
      <c r="B1438" t="s">
        <v>35</v>
      </c>
      <c r="C1438" t="s">
        <v>14</v>
      </c>
      <c r="D1438" s="3">
        <v>45992</v>
      </c>
      <c r="E1438" s="5">
        <v>211</v>
      </c>
      <c r="F1438" s="4">
        <v>9764.5</v>
      </c>
      <c r="G1438" s="4">
        <v>6426.94</v>
      </c>
      <c r="H1438" s="4">
        <v>3337.55</v>
      </c>
      <c r="I1438" s="6">
        <v>4.0199999999999996</v>
      </c>
      <c r="J1438" s="5">
        <v>30</v>
      </c>
    </row>
    <row r="1439" spans="1:10">
      <c r="A1439" t="s">
        <v>39</v>
      </c>
      <c r="B1439" t="s">
        <v>35</v>
      </c>
      <c r="C1439" t="s">
        <v>15</v>
      </c>
      <c r="D1439" s="3">
        <v>45992</v>
      </c>
      <c r="E1439" s="5">
        <v>180</v>
      </c>
      <c r="F1439" s="4">
        <v>6198.79</v>
      </c>
      <c r="G1439" s="4">
        <v>3309.14</v>
      </c>
      <c r="H1439" s="4">
        <v>2889.65</v>
      </c>
      <c r="I1439" s="6">
        <v>4</v>
      </c>
      <c r="J1439" s="5">
        <v>30</v>
      </c>
    </row>
    <row r="1440" spans="1:10">
      <c r="A1440" t="s">
        <v>39</v>
      </c>
      <c r="B1440" t="s">
        <v>35</v>
      </c>
      <c r="C1440" t="s">
        <v>16</v>
      </c>
      <c r="D1440" s="3">
        <v>45992</v>
      </c>
      <c r="E1440" s="5">
        <v>310</v>
      </c>
      <c r="F1440" s="4">
        <v>5409.13</v>
      </c>
      <c r="G1440" s="4">
        <v>5342.66</v>
      </c>
      <c r="H1440" s="4">
        <v>66.47</v>
      </c>
      <c r="I1440" s="6">
        <v>3.87</v>
      </c>
      <c r="J1440" s="5">
        <v>30</v>
      </c>
    </row>
    <row r="1441" spans="1:10">
      <c r="A1441" t="s">
        <v>39</v>
      </c>
      <c r="B1441" t="s">
        <v>35</v>
      </c>
      <c r="C1441" t="s">
        <v>17</v>
      </c>
      <c r="D1441" s="3">
        <v>45992</v>
      </c>
      <c r="E1441" s="5">
        <v>130</v>
      </c>
      <c r="F1441" s="4">
        <v>8437.4</v>
      </c>
      <c r="G1441" s="4">
        <v>5818.03</v>
      </c>
      <c r="H1441" s="4">
        <v>2619.37</v>
      </c>
      <c r="I1441" s="6">
        <v>3.76</v>
      </c>
      <c r="J1441" s="5">
        <v>30</v>
      </c>
    </row>
    <row r="1442" spans="1:10">
      <c r="A1442" t="s">
        <v>40</v>
      </c>
      <c r="B1442" t="s">
        <v>41</v>
      </c>
      <c r="C1442" t="s">
        <v>12</v>
      </c>
      <c r="D1442" s="3">
        <v>45658</v>
      </c>
      <c r="E1442" s="5">
        <v>106</v>
      </c>
      <c r="F1442" s="4">
        <v>14679.8</v>
      </c>
      <c r="G1442" s="4">
        <v>11203.44</v>
      </c>
      <c r="H1442" s="4">
        <v>3476.36</v>
      </c>
      <c r="I1442" s="6">
        <v>4.13</v>
      </c>
      <c r="J1442" s="5">
        <v>30</v>
      </c>
    </row>
    <row r="1443" spans="1:10">
      <c r="A1443" t="s">
        <v>40</v>
      </c>
      <c r="B1443" t="s">
        <v>41</v>
      </c>
      <c r="C1443" t="s">
        <v>13</v>
      </c>
      <c r="D1443" s="3">
        <v>45658</v>
      </c>
      <c r="E1443" s="5">
        <v>93</v>
      </c>
      <c r="F1443" s="4">
        <v>6702.56</v>
      </c>
      <c r="G1443" s="4">
        <v>4191.5600000000004</v>
      </c>
      <c r="H1443" s="4">
        <v>2511</v>
      </c>
      <c r="I1443" s="6">
        <v>4.04</v>
      </c>
      <c r="J1443" s="5">
        <v>30</v>
      </c>
    </row>
    <row r="1444" spans="1:10">
      <c r="A1444" t="s">
        <v>40</v>
      </c>
      <c r="B1444" t="s">
        <v>41</v>
      </c>
      <c r="C1444" t="s">
        <v>14</v>
      </c>
      <c r="D1444" s="3">
        <v>45658</v>
      </c>
      <c r="E1444" s="5">
        <v>136</v>
      </c>
      <c r="F1444" s="4">
        <v>6825.92</v>
      </c>
      <c r="G1444" s="4">
        <v>4026.11</v>
      </c>
      <c r="H1444" s="4">
        <v>2799.81</v>
      </c>
      <c r="I1444" s="6">
        <v>4.28</v>
      </c>
      <c r="J1444" s="5">
        <v>30</v>
      </c>
    </row>
    <row r="1445" spans="1:10">
      <c r="A1445" t="s">
        <v>40</v>
      </c>
      <c r="B1445" t="s">
        <v>41</v>
      </c>
      <c r="C1445" t="s">
        <v>15</v>
      </c>
      <c r="D1445" s="3">
        <v>45658</v>
      </c>
      <c r="E1445" s="5">
        <v>106</v>
      </c>
      <c r="F1445" s="4">
        <v>3696.77</v>
      </c>
      <c r="G1445" s="4">
        <v>1741.45</v>
      </c>
      <c r="H1445" s="4">
        <v>1955.33</v>
      </c>
      <c r="I1445" s="6">
        <v>4.01</v>
      </c>
      <c r="J1445" s="5">
        <v>30</v>
      </c>
    </row>
    <row r="1446" spans="1:10">
      <c r="A1446" t="s">
        <v>40</v>
      </c>
      <c r="B1446" t="s">
        <v>41</v>
      </c>
      <c r="C1446" t="s">
        <v>16</v>
      </c>
      <c r="D1446" s="3">
        <v>45658</v>
      </c>
      <c r="E1446" s="5">
        <v>163</v>
      </c>
      <c r="F1446" s="4">
        <v>3105.41</v>
      </c>
      <c r="G1446" s="4">
        <v>2805.2</v>
      </c>
      <c r="H1446" s="4">
        <v>300.2</v>
      </c>
      <c r="I1446" s="6">
        <v>4.26</v>
      </c>
      <c r="J1446" s="5">
        <v>30</v>
      </c>
    </row>
    <row r="1447" spans="1:10">
      <c r="A1447" t="s">
        <v>40</v>
      </c>
      <c r="B1447" t="s">
        <v>41</v>
      </c>
      <c r="C1447" t="s">
        <v>17</v>
      </c>
      <c r="D1447" s="3">
        <v>45658</v>
      </c>
      <c r="E1447" s="5">
        <v>78</v>
      </c>
      <c r="F1447" s="4">
        <v>4781.34</v>
      </c>
      <c r="G1447" s="4">
        <v>2904.06</v>
      </c>
      <c r="H1447" s="4">
        <v>1877.28</v>
      </c>
      <c r="I1447" s="6">
        <v>4.12</v>
      </c>
      <c r="J1447" s="5">
        <v>30</v>
      </c>
    </row>
    <row r="1448" spans="1:10">
      <c r="A1448" t="s">
        <v>40</v>
      </c>
      <c r="B1448" t="s">
        <v>41</v>
      </c>
      <c r="C1448" t="s">
        <v>12</v>
      </c>
      <c r="D1448" s="3">
        <v>45689</v>
      </c>
      <c r="E1448" s="5">
        <v>102</v>
      </c>
      <c r="F1448" s="4">
        <v>15599.64</v>
      </c>
      <c r="G1448" s="4">
        <v>11979.6</v>
      </c>
      <c r="H1448" s="4">
        <v>3620.04</v>
      </c>
      <c r="I1448" s="6">
        <v>4.13</v>
      </c>
      <c r="J1448" s="5">
        <v>29</v>
      </c>
    </row>
    <row r="1449" spans="1:10">
      <c r="A1449" t="s">
        <v>40</v>
      </c>
      <c r="B1449" t="s">
        <v>41</v>
      </c>
      <c r="C1449" t="s">
        <v>13</v>
      </c>
      <c r="D1449" s="3">
        <v>45689</v>
      </c>
      <c r="E1449" s="5">
        <v>95</v>
      </c>
      <c r="F1449" s="4">
        <v>7510.34</v>
      </c>
      <c r="G1449" s="4">
        <v>4986.83</v>
      </c>
      <c r="H1449" s="4">
        <v>2523.5100000000002</v>
      </c>
      <c r="I1449" s="6">
        <v>4.01</v>
      </c>
      <c r="J1449" s="5">
        <v>29</v>
      </c>
    </row>
    <row r="1450" spans="1:10">
      <c r="A1450" t="s">
        <v>40</v>
      </c>
      <c r="B1450" t="s">
        <v>41</v>
      </c>
      <c r="C1450" t="s">
        <v>14</v>
      </c>
      <c r="D1450" s="3">
        <v>45689</v>
      </c>
      <c r="E1450" s="5">
        <v>120</v>
      </c>
      <c r="F1450" s="4">
        <v>5999.32</v>
      </c>
      <c r="G1450" s="4">
        <v>3605.09</v>
      </c>
      <c r="H1450" s="4">
        <v>2394.23</v>
      </c>
      <c r="I1450" s="6">
        <v>4.28</v>
      </c>
      <c r="J1450" s="5">
        <v>29</v>
      </c>
    </row>
    <row r="1451" spans="1:10">
      <c r="A1451" t="s">
        <v>40</v>
      </c>
      <c r="B1451" t="s">
        <v>41</v>
      </c>
      <c r="C1451" t="s">
        <v>15</v>
      </c>
      <c r="D1451" s="3">
        <v>45689</v>
      </c>
      <c r="E1451" s="5">
        <v>99</v>
      </c>
      <c r="F1451" s="4">
        <v>3774.92</v>
      </c>
      <c r="G1451" s="4">
        <v>1756.45</v>
      </c>
      <c r="H1451" s="4">
        <v>2018.48</v>
      </c>
      <c r="I1451" s="6">
        <v>4.2</v>
      </c>
      <c r="J1451" s="5">
        <v>29</v>
      </c>
    </row>
    <row r="1452" spans="1:10">
      <c r="A1452" t="s">
        <v>40</v>
      </c>
      <c r="B1452" t="s">
        <v>41</v>
      </c>
      <c r="C1452" t="s">
        <v>16</v>
      </c>
      <c r="D1452" s="3">
        <v>45689</v>
      </c>
      <c r="E1452" s="5">
        <v>174</v>
      </c>
      <c r="F1452" s="4">
        <v>2991.14</v>
      </c>
      <c r="G1452" s="4">
        <v>2703.38</v>
      </c>
      <c r="H1452" s="4">
        <v>287.76</v>
      </c>
      <c r="I1452" s="6">
        <v>4.2699999999999996</v>
      </c>
      <c r="J1452" s="5">
        <v>29</v>
      </c>
    </row>
    <row r="1453" spans="1:10">
      <c r="A1453" t="s">
        <v>40</v>
      </c>
      <c r="B1453" t="s">
        <v>41</v>
      </c>
      <c r="C1453" t="s">
        <v>17</v>
      </c>
      <c r="D1453" s="3">
        <v>45689</v>
      </c>
      <c r="E1453" s="5">
        <v>84</v>
      </c>
      <c r="F1453" s="4">
        <v>5204.7299999999996</v>
      </c>
      <c r="G1453" s="4">
        <v>3260.95</v>
      </c>
      <c r="H1453" s="4">
        <v>1943.78</v>
      </c>
      <c r="I1453" s="6">
        <v>4.09</v>
      </c>
      <c r="J1453" s="5">
        <v>29</v>
      </c>
    </row>
    <row r="1454" spans="1:10">
      <c r="A1454" t="s">
        <v>40</v>
      </c>
      <c r="B1454" t="s">
        <v>41</v>
      </c>
      <c r="C1454" t="s">
        <v>12</v>
      </c>
      <c r="D1454" s="3">
        <v>45717</v>
      </c>
      <c r="E1454" s="5">
        <v>121</v>
      </c>
      <c r="F1454" s="4">
        <v>16826.14</v>
      </c>
      <c r="G1454" s="4">
        <v>13023.28</v>
      </c>
      <c r="H1454" s="4">
        <v>3802.86</v>
      </c>
      <c r="I1454" s="6">
        <v>4.2</v>
      </c>
      <c r="J1454" s="5">
        <v>29</v>
      </c>
    </row>
    <row r="1455" spans="1:10">
      <c r="A1455" t="s">
        <v>40</v>
      </c>
      <c r="B1455" t="s">
        <v>41</v>
      </c>
      <c r="C1455" t="s">
        <v>13</v>
      </c>
      <c r="D1455" s="3">
        <v>45717</v>
      </c>
      <c r="E1455" s="5">
        <v>109</v>
      </c>
      <c r="F1455" s="4">
        <v>8433.1</v>
      </c>
      <c r="G1455" s="4">
        <v>5346.83</v>
      </c>
      <c r="H1455" s="4">
        <v>3086.27</v>
      </c>
      <c r="I1455" s="6">
        <v>4.0599999999999996</v>
      </c>
      <c r="J1455" s="5">
        <v>29</v>
      </c>
    </row>
    <row r="1456" spans="1:10">
      <c r="A1456" t="s">
        <v>40</v>
      </c>
      <c r="B1456" t="s">
        <v>41</v>
      </c>
      <c r="C1456" t="s">
        <v>14</v>
      </c>
      <c r="D1456" s="3">
        <v>45717</v>
      </c>
      <c r="E1456" s="5">
        <v>166</v>
      </c>
      <c r="F1456" s="4">
        <v>8159.67</v>
      </c>
      <c r="G1456" s="4">
        <v>4776.04</v>
      </c>
      <c r="H1456" s="4">
        <v>3383.63</v>
      </c>
      <c r="I1456" s="6">
        <v>4.3</v>
      </c>
      <c r="J1456" s="5">
        <v>29</v>
      </c>
    </row>
    <row r="1457" spans="1:10">
      <c r="A1457" t="s">
        <v>40</v>
      </c>
      <c r="B1457" t="s">
        <v>41</v>
      </c>
      <c r="C1457" t="s">
        <v>15</v>
      </c>
      <c r="D1457" s="3">
        <v>45717</v>
      </c>
      <c r="E1457" s="5">
        <v>117</v>
      </c>
      <c r="F1457" s="4">
        <v>4221.07</v>
      </c>
      <c r="G1457" s="4">
        <v>1998.79</v>
      </c>
      <c r="H1457" s="4">
        <v>2222.2800000000002</v>
      </c>
      <c r="I1457" s="6">
        <v>4.05</v>
      </c>
      <c r="J1457" s="5">
        <v>29</v>
      </c>
    </row>
    <row r="1458" spans="1:10">
      <c r="A1458" t="s">
        <v>40</v>
      </c>
      <c r="B1458" t="s">
        <v>41</v>
      </c>
      <c r="C1458" t="s">
        <v>16</v>
      </c>
      <c r="D1458" s="3">
        <v>45717</v>
      </c>
      <c r="E1458" s="5">
        <v>191</v>
      </c>
      <c r="F1458" s="4">
        <v>3265.22</v>
      </c>
      <c r="G1458" s="4">
        <v>2972.18</v>
      </c>
      <c r="H1458" s="4">
        <v>293.04000000000002</v>
      </c>
      <c r="I1458" s="6">
        <v>4.09</v>
      </c>
      <c r="J1458" s="5">
        <v>29</v>
      </c>
    </row>
    <row r="1459" spans="1:10">
      <c r="A1459" t="s">
        <v>40</v>
      </c>
      <c r="B1459" t="s">
        <v>41</v>
      </c>
      <c r="C1459" t="s">
        <v>17</v>
      </c>
      <c r="D1459" s="3">
        <v>45717</v>
      </c>
      <c r="E1459" s="5">
        <v>80</v>
      </c>
      <c r="F1459" s="4">
        <v>5133.99</v>
      </c>
      <c r="G1459" s="4">
        <v>3182.25</v>
      </c>
      <c r="H1459" s="4">
        <v>1951.74</v>
      </c>
      <c r="I1459" s="6">
        <v>4.3</v>
      </c>
      <c r="J1459" s="5">
        <v>29</v>
      </c>
    </row>
    <row r="1460" spans="1:10">
      <c r="A1460" t="s">
        <v>40</v>
      </c>
      <c r="B1460" t="s">
        <v>41</v>
      </c>
      <c r="C1460" t="s">
        <v>12</v>
      </c>
      <c r="D1460" s="3">
        <v>45748</v>
      </c>
      <c r="E1460" s="5">
        <v>122</v>
      </c>
      <c r="F1460" s="4">
        <v>17923.03</v>
      </c>
      <c r="G1460" s="4">
        <v>13910.67</v>
      </c>
      <c r="H1460" s="4">
        <v>4012.36</v>
      </c>
      <c r="I1460" s="6">
        <v>3.99</v>
      </c>
      <c r="J1460" s="5">
        <v>30</v>
      </c>
    </row>
    <row r="1461" spans="1:10">
      <c r="A1461" t="s">
        <v>40</v>
      </c>
      <c r="B1461" t="s">
        <v>41</v>
      </c>
      <c r="C1461" t="s">
        <v>13</v>
      </c>
      <c r="D1461" s="3">
        <v>45748</v>
      </c>
      <c r="E1461" s="5">
        <v>106</v>
      </c>
      <c r="F1461" s="4">
        <v>8017.92</v>
      </c>
      <c r="G1461" s="4">
        <v>5337.53</v>
      </c>
      <c r="H1461" s="4">
        <v>2680.39</v>
      </c>
      <c r="I1461" s="6">
        <v>4.3</v>
      </c>
      <c r="J1461" s="5">
        <v>30</v>
      </c>
    </row>
    <row r="1462" spans="1:10">
      <c r="A1462" t="s">
        <v>40</v>
      </c>
      <c r="B1462" t="s">
        <v>41</v>
      </c>
      <c r="C1462" t="s">
        <v>14</v>
      </c>
      <c r="D1462" s="3">
        <v>45748</v>
      </c>
      <c r="E1462" s="5">
        <v>169</v>
      </c>
      <c r="F1462" s="4">
        <v>7816.9</v>
      </c>
      <c r="G1462" s="4">
        <v>4636.28</v>
      </c>
      <c r="H1462" s="4">
        <v>3180.62</v>
      </c>
      <c r="I1462" s="6">
        <v>4.0199999999999996</v>
      </c>
      <c r="J1462" s="5">
        <v>30</v>
      </c>
    </row>
    <row r="1463" spans="1:10">
      <c r="A1463" t="s">
        <v>40</v>
      </c>
      <c r="B1463" t="s">
        <v>41</v>
      </c>
      <c r="C1463" t="s">
        <v>15</v>
      </c>
      <c r="D1463" s="3">
        <v>45748</v>
      </c>
      <c r="E1463" s="5">
        <v>99</v>
      </c>
      <c r="F1463" s="4">
        <v>3450.08</v>
      </c>
      <c r="G1463" s="4">
        <v>1683.18</v>
      </c>
      <c r="H1463" s="4">
        <v>1766.9</v>
      </c>
      <c r="I1463" s="6">
        <v>4.09</v>
      </c>
      <c r="J1463" s="5">
        <v>30</v>
      </c>
    </row>
    <row r="1464" spans="1:10">
      <c r="A1464" t="s">
        <v>40</v>
      </c>
      <c r="B1464" t="s">
        <v>41</v>
      </c>
      <c r="C1464" t="s">
        <v>16</v>
      </c>
      <c r="D1464" s="3">
        <v>45748</v>
      </c>
      <c r="E1464" s="5">
        <v>201</v>
      </c>
      <c r="F1464" s="4">
        <v>3653.73</v>
      </c>
      <c r="G1464" s="4">
        <v>3333.18</v>
      </c>
      <c r="H1464" s="4">
        <v>320.55</v>
      </c>
      <c r="I1464" s="6">
        <v>4.1900000000000004</v>
      </c>
      <c r="J1464" s="5">
        <v>30</v>
      </c>
    </row>
    <row r="1465" spans="1:10">
      <c r="A1465" t="s">
        <v>40</v>
      </c>
      <c r="B1465" t="s">
        <v>41</v>
      </c>
      <c r="C1465" t="s">
        <v>17</v>
      </c>
      <c r="D1465" s="3">
        <v>45748</v>
      </c>
      <c r="E1465" s="5">
        <v>99</v>
      </c>
      <c r="F1465" s="4">
        <v>6279.86</v>
      </c>
      <c r="G1465" s="4">
        <v>4068.16</v>
      </c>
      <c r="H1465" s="4">
        <v>2211.69</v>
      </c>
      <c r="I1465" s="6">
        <v>4.2300000000000004</v>
      </c>
      <c r="J1465" s="5">
        <v>30</v>
      </c>
    </row>
    <row r="1466" spans="1:10">
      <c r="A1466" t="s">
        <v>40</v>
      </c>
      <c r="B1466" t="s">
        <v>41</v>
      </c>
      <c r="C1466" t="s">
        <v>12</v>
      </c>
      <c r="D1466" s="3">
        <v>45778</v>
      </c>
      <c r="E1466" s="5">
        <v>125</v>
      </c>
      <c r="F1466" s="4">
        <v>19448.48</v>
      </c>
      <c r="G1466" s="4">
        <v>15493.45</v>
      </c>
      <c r="H1466" s="4">
        <v>3955.03</v>
      </c>
      <c r="I1466" s="6">
        <v>4.13</v>
      </c>
      <c r="J1466" s="5">
        <v>30</v>
      </c>
    </row>
    <row r="1467" spans="1:10">
      <c r="A1467" t="s">
        <v>40</v>
      </c>
      <c r="B1467" t="s">
        <v>41</v>
      </c>
      <c r="C1467" t="s">
        <v>13</v>
      </c>
      <c r="D1467" s="3">
        <v>45778</v>
      </c>
      <c r="E1467" s="5">
        <v>134</v>
      </c>
      <c r="F1467" s="4">
        <v>9783.08</v>
      </c>
      <c r="G1467" s="4">
        <v>6478.28</v>
      </c>
      <c r="H1467" s="4">
        <v>3304.8</v>
      </c>
      <c r="I1467" s="6">
        <v>3.99</v>
      </c>
      <c r="J1467" s="5">
        <v>30</v>
      </c>
    </row>
    <row r="1468" spans="1:10">
      <c r="A1468" t="s">
        <v>40</v>
      </c>
      <c r="B1468" t="s">
        <v>41</v>
      </c>
      <c r="C1468" t="s">
        <v>14</v>
      </c>
      <c r="D1468" s="3">
        <v>45778</v>
      </c>
      <c r="E1468" s="5">
        <v>145</v>
      </c>
      <c r="F1468" s="4">
        <v>7460.68</v>
      </c>
      <c r="G1468" s="4">
        <v>4379.1000000000004</v>
      </c>
      <c r="H1468" s="4">
        <v>3081.58</v>
      </c>
      <c r="I1468" s="6">
        <v>4.21</v>
      </c>
      <c r="J1468" s="5">
        <v>30</v>
      </c>
    </row>
    <row r="1469" spans="1:10">
      <c r="A1469" t="s">
        <v>40</v>
      </c>
      <c r="B1469" t="s">
        <v>41</v>
      </c>
      <c r="C1469" t="s">
        <v>15</v>
      </c>
      <c r="D1469" s="3">
        <v>45778</v>
      </c>
      <c r="E1469" s="5">
        <v>129</v>
      </c>
      <c r="F1469" s="4">
        <v>4905.2</v>
      </c>
      <c r="G1469" s="4">
        <v>2373.85</v>
      </c>
      <c r="H1469" s="4">
        <v>2531.35</v>
      </c>
      <c r="I1469" s="6">
        <v>3.95</v>
      </c>
      <c r="J1469" s="5">
        <v>30</v>
      </c>
    </row>
    <row r="1470" spans="1:10">
      <c r="A1470" t="s">
        <v>40</v>
      </c>
      <c r="B1470" t="s">
        <v>41</v>
      </c>
      <c r="C1470" t="s">
        <v>16</v>
      </c>
      <c r="D1470" s="3">
        <v>45778</v>
      </c>
      <c r="E1470" s="5">
        <v>224</v>
      </c>
      <c r="F1470" s="4">
        <v>3974.64</v>
      </c>
      <c r="G1470" s="4">
        <v>3550.55</v>
      </c>
      <c r="H1470" s="4">
        <v>424.09</v>
      </c>
      <c r="I1470" s="6">
        <v>4.1399999999999997</v>
      </c>
      <c r="J1470" s="5">
        <v>30</v>
      </c>
    </row>
    <row r="1471" spans="1:10">
      <c r="A1471" t="s">
        <v>40</v>
      </c>
      <c r="B1471" t="s">
        <v>41</v>
      </c>
      <c r="C1471" t="s">
        <v>17</v>
      </c>
      <c r="D1471" s="3">
        <v>45778</v>
      </c>
      <c r="E1471" s="5">
        <v>137</v>
      </c>
      <c r="F1471" s="4">
        <v>8888.33</v>
      </c>
      <c r="G1471" s="4">
        <v>5779.4</v>
      </c>
      <c r="H1471" s="4">
        <v>3108.92</v>
      </c>
      <c r="I1471" s="6">
        <v>4.13</v>
      </c>
      <c r="J1471" s="5">
        <v>30</v>
      </c>
    </row>
    <row r="1472" spans="1:10">
      <c r="A1472" t="s">
        <v>40</v>
      </c>
      <c r="B1472" t="s">
        <v>41</v>
      </c>
      <c r="C1472" t="s">
        <v>12</v>
      </c>
      <c r="D1472" s="3">
        <v>45809</v>
      </c>
      <c r="E1472" s="5">
        <v>144</v>
      </c>
      <c r="F1472" s="4">
        <v>21562.63</v>
      </c>
      <c r="G1472" s="4">
        <v>16809.009999999998</v>
      </c>
      <c r="H1472" s="4">
        <v>4753.62</v>
      </c>
      <c r="I1472" s="6">
        <v>4.04</v>
      </c>
      <c r="J1472" s="5">
        <v>31</v>
      </c>
    </row>
    <row r="1473" spans="1:10">
      <c r="A1473" t="s">
        <v>40</v>
      </c>
      <c r="B1473" t="s">
        <v>41</v>
      </c>
      <c r="C1473" t="s">
        <v>13</v>
      </c>
      <c r="D1473" s="3">
        <v>45809</v>
      </c>
      <c r="E1473" s="5">
        <v>121</v>
      </c>
      <c r="F1473" s="4">
        <v>9086.6200000000008</v>
      </c>
      <c r="G1473" s="4">
        <v>6219.42</v>
      </c>
      <c r="H1473" s="4">
        <v>2867.2</v>
      </c>
      <c r="I1473" s="6">
        <v>4.1399999999999997</v>
      </c>
      <c r="J1473" s="5">
        <v>31</v>
      </c>
    </row>
    <row r="1474" spans="1:10">
      <c r="A1474" t="s">
        <v>40</v>
      </c>
      <c r="B1474" t="s">
        <v>41</v>
      </c>
      <c r="C1474" t="s">
        <v>14</v>
      </c>
      <c r="D1474" s="3">
        <v>45809</v>
      </c>
      <c r="E1474" s="5">
        <v>165</v>
      </c>
      <c r="F1474" s="4">
        <v>7922.03</v>
      </c>
      <c r="G1474" s="4">
        <v>4952.75</v>
      </c>
      <c r="H1474" s="4">
        <v>2969.28</v>
      </c>
      <c r="I1474" s="6">
        <v>4.08</v>
      </c>
      <c r="J1474" s="5">
        <v>31</v>
      </c>
    </row>
    <row r="1475" spans="1:10">
      <c r="A1475" t="s">
        <v>40</v>
      </c>
      <c r="B1475" t="s">
        <v>41</v>
      </c>
      <c r="C1475" t="s">
        <v>15</v>
      </c>
      <c r="D1475" s="3">
        <v>45809</v>
      </c>
      <c r="E1475" s="5">
        <v>134</v>
      </c>
      <c r="F1475" s="4">
        <v>4747</v>
      </c>
      <c r="G1475" s="4">
        <v>2308.77</v>
      </c>
      <c r="H1475" s="4">
        <v>2438.23</v>
      </c>
      <c r="I1475" s="6">
        <v>4.1100000000000003</v>
      </c>
      <c r="J1475" s="5">
        <v>31</v>
      </c>
    </row>
    <row r="1476" spans="1:10">
      <c r="A1476" t="s">
        <v>40</v>
      </c>
      <c r="B1476" t="s">
        <v>41</v>
      </c>
      <c r="C1476" t="s">
        <v>16</v>
      </c>
      <c r="D1476" s="3">
        <v>45809</v>
      </c>
      <c r="E1476" s="5">
        <v>246</v>
      </c>
      <c r="F1476" s="4">
        <v>4695.67</v>
      </c>
      <c r="G1476" s="4">
        <v>4222.57</v>
      </c>
      <c r="H1476" s="4">
        <v>473.11</v>
      </c>
      <c r="I1476" s="6">
        <v>4.17</v>
      </c>
      <c r="J1476" s="5">
        <v>31</v>
      </c>
    </row>
    <row r="1477" spans="1:10">
      <c r="A1477" t="s">
        <v>40</v>
      </c>
      <c r="B1477" t="s">
        <v>41</v>
      </c>
      <c r="C1477" t="s">
        <v>17</v>
      </c>
      <c r="D1477" s="3">
        <v>45809</v>
      </c>
      <c r="E1477" s="5">
        <v>132</v>
      </c>
      <c r="F1477" s="4">
        <v>8256.08</v>
      </c>
      <c r="G1477" s="4">
        <v>5248.76</v>
      </c>
      <c r="H1477" s="4">
        <v>3007.32</v>
      </c>
      <c r="I1477" s="6">
        <v>4.2</v>
      </c>
      <c r="J1477" s="5">
        <v>31</v>
      </c>
    </row>
    <row r="1478" spans="1:10">
      <c r="A1478" t="s">
        <v>40</v>
      </c>
      <c r="B1478" t="s">
        <v>41</v>
      </c>
      <c r="C1478" t="s">
        <v>12</v>
      </c>
      <c r="D1478" s="3">
        <v>45839</v>
      </c>
      <c r="E1478" s="5">
        <v>149</v>
      </c>
      <c r="F1478" s="4">
        <v>21792.48</v>
      </c>
      <c r="G1478" s="4">
        <v>17184.16</v>
      </c>
      <c r="H1478" s="4">
        <v>4608.3100000000004</v>
      </c>
      <c r="I1478" s="6">
        <v>4.1399999999999997</v>
      </c>
      <c r="J1478" s="5">
        <v>31</v>
      </c>
    </row>
    <row r="1479" spans="1:10">
      <c r="A1479" t="s">
        <v>40</v>
      </c>
      <c r="B1479" t="s">
        <v>41</v>
      </c>
      <c r="C1479" t="s">
        <v>13</v>
      </c>
      <c r="D1479" s="3">
        <v>45839</v>
      </c>
      <c r="E1479" s="5">
        <v>120</v>
      </c>
      <c r="F1479" s="4">
        <v>9172.66</v>
      </c>
      <c r="G1479" s="4">
        <v>6223.88</v>
      </c>
      <c r="H1479" s="4">
        <v>2948.78</v>
      </c>
      <c r="I1479" s="6">
        <v>4</v>
      </c>
      <c r="J1479" s="5">
        <v>31</v>
      </c>
    </row>
    <row r="1480" spans="1:10">
      <c r="A1480" t="s">
        <v>40</v>
      </c>
      <c r="B1480" t="s">
        <v>41</v>
      </c>
      <c r="C1480" t="s">
        <v>14</v>
      </c>
      <c r="D1480" s="3">
        <v>45839</v>
      </c>
      <c r="E1480" s="5">
        <v>179</v>
      </c>
      <c r="F1480" s="4">
        <v>8787.44</v>
      </c>
      <c r="G1480" s="4">
        <v>5373.37</v>
      </c>
      <c r="H1480" s="4">
        <v>3414.06</v>
      </c>
      <c r="I1480" s="6">
        <v>4.1900000000000004</v>
      </c>
      <c r="J1480" s="5">
        <v>31</v>
      </c>
    </row>
    <row r="1481" spans="1:10">
      <c r="A1481" t="s">
        <v>40</v>
      </c>
      <c r="B1481" t="s">
        <v>41</v>
      </c>
      <c r="C1481" t="s">
        <v>15</v>
      </c>
      <c r="D1481" s="3">
        <v>45839</v>
      </c>
      <c r="E1481" s="5">
        <v>144</v>
      </c>
      <c r="F1481" s="4">
        <v>5429.23</v>
      </c>
      <c r="G1481" s="4">
        <v>2658.07</v>
      </c>
      <c r="H1481" s="4">
        <v>2771.16</v>
      </c>
      <c r="I1481" s="6">
        <v>3.97</v>
      </c>
      <c r="J1481" s="5">
        <v>31</v>
      </c>
    </row>
    <row r="1482" spans="1:10">
      <c r="A1482" t="s">
        <v>40</v>
      </c>
      <c r="B1482" t="s">
        <v>41</v>
      </c>
      <c r="C1482" t="s">
        <v>16</v>
      </c>
      <c r="D1482" s="3">
        <v>45839</v>
      </c>
      <c r="E1482" s="5">
        <v>224</v>
      </c>
      <c r="F1482" s="4">
        <v>3996.91</v>
      </c>
      <c r="G1482" s="4">
        <v>3729.17</v>
      </c>
      <c r="H1482" s="4">
        <v>267.74</v>
      </c>
      <c r="I1482" s="6">
        <v>4.12</v>
      </c>
      <c r="J1482" s="5">
        <v>31</v>
      </c>
    </row>
    <row r="1483" spans="1:10">
      <c r="A1483" t="s">
        <v>40</v>
      </c>
      <c r="B1483" t="s">
        <v>41</v>
      </c>
      <c r="C1483" t="s">
        <v>17</v>
      </c>
      <c r="D1483" s="3">
        <v>45839</v>
      </c>
      <c r="E1483" s="5">
        <v>132</v>
      </c>
      <c r="F1483" s="4">
        <v>8569.69</v>
      </c>
      <c r="G1483" s="4">
        <v>5663.93</v>
      </c>
      <c r="H1483" s="4">
        <v>2905.76</v>
      </c>
      <c r="I1483" s="6">
        <v>4.08</v>
      </c>
      <c r="J1483" s="5">
        <v>31</v>
      </c>
    </row>
    <row r="1484" spans="1:10">
      <c r="A1484" t="s">
        <v>40</v>
      </c>
      <c r="B1484" t="s">
        <v>41</v>
      </c>
      <c r="C1484" t="s">
        <v>12</v>
      </c>
      <c r="D1484" s="3">
        <v>45870</v>
      </c>
      <c r="E1484" s="5">
        <v>135</v>
      </c>
      <c r="F1484" s="4">
        <v>19363.150000000001</v>
      </c>
      <c r="G1484" s="4">
        <v>15483.98</v>
      </c>
      <c r="H1484" s="4">
        <v>3879.17</v>
      </c>
      <c r="I1484" s="6">
        <v>4.03</v>
      </c>
      <c r="J1484" s="5">
        <v>31</v>
      </c>
    </row>
    <row r="1485" spans="1:10">
      <c r="A1485" t="s">
        <v>40</v>
      </c>
      <c r="B1485" t="s">
        <v>41</v>
      </c>
      <c r="C1485" t="s">
        <v>13</v>
      </c>
      <c r="D1485" s="3">
        <v>45870</v>
      </c>
      <c r="E1485" s="5">
        <v>135</v>
      </c>
      <c r="F1485" s="4">
        <v>10575.31</v>
      </c>
      <c r="G1485" s="4">
        <v>7252.4</v>
      </c>
      <c r="H1485" s="4">
        <v>3322.91</v>
      </c>
      <c r="I1485" s="6">
        <v>4.2699999999999996</v>
      </c>
      <c r="J1485" s="5">
        <v>31</v>
      </c>
    </row>
    <row r="1486" spans="1:10">
      <c r="A1486" t="s">
        <v>40</v>
      </c>
      <c r="B1486" t="s">
        <v>41</v>
      </c>
      <c r="C1486" t="s">
        <v>14</v>
      </c>
      <c r="D1486" s="3">
        <v>45870</v>
      </c>
      <c r="E1486" s="5">
        <v>202</v>
      </c>
      <c r="F1486" s="4">
        <v>9572.5</v>
      </c>
      <c r="G1486" s="4">
        <v>5782.52</v>
      </c>
      <c r="H1486" s="4">
        <v>3789.99</v>
      </c>
      <c r="I1486" s="6">
        <v>4.0599999999999996</v>
      </c>
      <c r="J1486" s="5">
        <v>31</v>
      </c>
    </row>
    <row r="1487" spans="1:10">
      <c r="A1487" t="s">
        <v>40</v>
      </c>
      <c r="B1487" t="s">
        <v>41</v>
      </c>
      <c r="C1487" t="s">
        <v>15</v>
      </c>
      <c r="D1487" s="3">
        <v>45870</v>
      </c>
      <c r="E1487" s="5">
        <v>138</v>
      </c>
      <c r="F1487" s="4">
        <v>4990.49</v>
      </c>
      <c r="G1487" s="4">
        <v>2559.85</v>
      </c>
      <c r="H1487" s="4">
        <v>2430.65</v>
      </c>
      <c r="I1487" s="6">
        <v>4.1500000000000004</v>
      </c>
      <c r="J1487" s="5">
        <v>31</v>
      </c>
    </row>
    <row r="1488" spans="1:10">
      <c r="A1488" t="s">
        <v>40</v>
      </c>
      <c r="B1488" t="s">
        <v>41</v>
      </c>
      <c r="C1488" t="s">
        <v>16</v>
      </c>
      <c r="D1488" s="3">
        <v>45870</v>
      </c>
      <c r="E1488" s="5">
        <v>233</v>
      </c>
      <c r="F1488" s="4">
        <v>4351</v>
      </c>
      <c r="G1488" s="4">
        <v>4032.8</v>
      </c>
      <c r="H1488" s="4">
        <v>318.2</v>
      </c>
      <c r="I1488" s="6">
        <v>4.2699999999999996</v>
      </c>
      <c r="J1488" s="5">
        <v>31</v>
      </c>
    </row>
    <row r="1489" spans="1:10">
      <c r="A1489" t="s">
        <v>40</v>
      </c>
      <c r="B1489" t="s">
        <v>41</v>
      </c>
      <c r="C1489" t="s">
        <v>17</v>
      </c>
      <c r="D1489" s="3">
        <v>45870</v>
      </c>
      <c r="E1489" s="5">
        <v>124</v>
      </c>
      <c r="F1489" s="4">
        <v>7633.29</v>
      </c>
      <c r="G1489" s="4">
        <v>5019.9799999999996</v>
      </c>
      <c r="H1489" s="4">
        <v>2613.31</v>
      </c>
      <c r="I1489" s="6">
        <v>4.1500000000000004</v>
      </c>
      <c r="J1489" s="5">
        <v>31</v>
      </c>
    </row>
    <row r="1490" spans="1:10">
      <c r="A1490" t="s">
        <v>40</v>
      </c>
      <c r="B1490" t="s">
        <v>41</v>
      </c>
      <c r="C1490" t="s">
        <v>12</v>
      </c>
      <c r="D1490" s="3">
        <v>45901</v>
      </c>
      <c r="E1490" s="5">
        <v>148</v>
      </c>
      <c r="F1490" s="4">
        <v>21181.78</v>
      </c>
      <c r="G1490" s="4">
        <v>16905.87</v>
      </c>
      <c r="H1490" s="4">
        <v>4275.91</v>
      </c>
      <c r="I1490" s="6">
        <v>4.22</v>
      </c>
      <c r="J1490" s="5">
        <v>30</v>
      </c>
    </row>
    <row r="1491" spans="1:10">
      <c r="A1491" t="s">
        <v>40</v>
      </c>
      <c r="B1491" t="s">
        <v>41</v>
      </c>
      <c r="C1491" t="s">
        <v>13</v>
      </c>
      <c r="D1491" s="3">
        <v>45901</v>
      </c>
      <c r="E1491" s="5">
        <v>130</v>
      </c>
      <c r="F1491" s="4">
        <v>9756.85</v>
      </c>
      <c r="G1491" s="4">
        <v>6758.96</v>
      </c>
      <c r="H1491" s="4">
        <v>2997.89</v>
      </c>
      <c r="I1491" s="6">
        <v>4.08</v>
      </c>
      <c r="J1491" s="5">
        <v>30</v>
      </c>
    </row>
    <row r="1492" spans="1:10">
      <c r="A1492" t="s">
        <v>40</v>
      </c>
      <c r="B1492" t="s">
        <v>41</v>
      </c>
      <c r="C1492" t="s">
        <v>14</v>
      </c>
      <c r="D1492" s="3">
        <v>45901</v>
      </c>
      <c r="E1492" s="5">
        <v>141</v>
      </c>
      <c r="F1492" s="4">
        <v>7164.79</v>
      </c>
      <c r="G1492" s="4">
        <v>4577.01</v>
      </c>
      <c r="H1492" s="4">
        <v>2587.7800000000002</v>
      </c>
      <c r="I1492" s="6">
        <v>4.25</v>
      </c>
      <c r="J1492" s="5">
        <v>30</v>
      </c>
    </row>
    <row r="1493" spans="1:10">
      <c r="A1493" t="s">
        <v>40</v>
      </c>
      <c r="B1493" t="s">
        <v>41</v>
      </c>
      <c r="C1493" t="s">
        <v>15</v>
      </c>
      <c r="D1493" s="3">
        <v>45901</v>
      </c>
      <c r="E1493" s="5">
        <v>133</v>
      </c>
      <c r="F1493" s="4">
        <v>4859.8999999999996</v>
      </c>
      <c r="G1493" s="4">
        <v>2437.33</v>
      </c>
      <c r="H1493" s="4">
        <v>2422.5700000000002</v>
      </c>
      <c r="I1493" s="6">
        <v>3.96</v>
      </c>
      <c r="J1493" s="5">
        <v>30</v>
      </c>
    </row>
    <row r="1494" spans="1:10">
      <c r="A1494" t="s">
        <v>40</v>
      </c>
      <c r="B1494" t="s">
        <v>41</v>
      </c>
      <c r="C1494" t="s">
        <v>16</v>
      </c>
      <c r="D1494" s="3">
        <v>45901</v>
      </c>
      <c r="E1494" s="5">
        <v>229</v>
      </c>
      <c r="F1494" s="4">
        <v>4005.03</v>
      </c>
      <c r="G1494" s="4">
        <v>3770.84</v>
      </c>
      <c r="H1494" s="4">
        <v>234.2</v>
      </c>
      <c r="I1494" s="6">
        <v>3.95</v>
      </c>
      <c r="J1494" s="5">
        <v>30</v>
      </c>
    </row>
    <row r="1495" spans="1:10">
      <c r="A1495" t="s">
        <v>40</v>
      </c>
      <c r="B1495" t="s">
        <v>41</v>
      </c>
      <c r="C1495" t="s">
        <v>17</v>
      </c>
      <c r="D1495" s="3">
        <v>45901</v>
      </c>
      <c r="E1495" s="5">
        <v>96</v>
      </c>
      <c r="F1495" s="4">
        <v>6298.32</v>
      </c>
      <c r="G1495" s="4">
        <v>4104.9799999999996</v>
      </c>
      <c r="H1495" s="4">
        <v>2193.35</v>
      </c>
      <c r="I1495" s="6">
        <v>4.07</v>
      </c>
      <c r="J1495" s="5">
        <v>30</v>
      </c>
    </row>
    <row r="1496" spans="1:10">
      <c r="A1496" t="s">
        <v>40</v>
      </c>
      <c r="B1496" t="s">
        <v>41</v>
      </c>
      <c r="C1496" t="s">
        <v>12</v>
      </c>
      <c r="D1496" s="3">
        <v>45931</v>
      </c>
      <c r="E1496" s="5">
        <v>130</v>
      </c>
      <c r="F1496" s="4">
        <v>18846.13</v>
      </c>
      <c r="G1496" s="4">
        <v>15013.48</v>
      </c>
      <c r="H1496" s="4">
        <v>3832.65</v>
      </c>
      <c r="I1496" s="6">
        <v>3.97</v>
      </c>
      <c r="J1496" s="5">
        <v>28</v>
      </c>
    </row>
    <row r="1497" spans="1:10">
      <c r="A1497" t="s">
        <v>40</v>
      </c>
      <c r="B1497" t="s">
        <v>41</v>
      </c>
      <c r="C1497" t="s">
        <v>13</v>
      </c>
      <c r="D1497" s="3">
        <v>45931</v>
      </c>
      <c r="E1497" s="5">
        <v>124</v>
      </c>
      <c r="F1497" s="4">
        <v>9945.3700000000008</v>
      </c>
      <c r="G1497" s="4">
        <v>6904.01</v>
      </c>
      <c r="H1497" s="4">
        <v>3041.36</v>
      </c>
      <c r="I1497" s="6">
        <v>4.05</v>
      </c>
      <c r="J1497" s="5">
        <v>28</v>
      </c>
    </row>
    <row r="1498" spans="1:10">
      <c r="A1498" t="s">
        <v>40</v>
      </c>
      <c r="B1498" t="s">
        <v>41</v>
      </c>
      <c r="C1498" t="s">
        <v>14</v>
      </c>
      <c r="D1498" s="3">
        <v>45931</v>
      </c>
      <c r="E1498" s="5">
        <v>157</v>
      </c>
      <c r="F1498" s="4">
        <v>7520.96</v>
      </c>
      <c r="G1498" s="4">
        <v>4697.12</v>
      </c>
      <c r="H1498" s="4">
        <v>2823.83</v>
      </c>
      <c r="I1498" s="6">
        <v>4.13</v>
      </c>
      <c r="J1498" s="5">
        <v>28</v>
      </c>
    </row>
    <row r="1499" spans="1:10">
      <c r="A1499" t="s">
        <v>40</v>
      </c>
      <c r="B1499" t="s">
        <v>41</v>
      </c>
      <c r="C1499" t="s">
        <v>15</v>
      </c>
      <c r="D1499" s="3">
        <v>45931</v>
      </c>
      <c r="E1499" s="5">
        <v>128</v>
      </c>
      <c r="F1499" s="4">
        <v>4764.76</v>
      </c>
      <c r="G1499" s="4">
        <v>2456.0700000000002</v>
      </c>
      <c r="H1499" s="4">
        <v>2308.6799999999998</v>
      </c>
      <c r="I1499" s="6">
        <v>4.26</v>
      </c>
      <c r="J1499" s="5">
        <v>28</v>
      </c>
    </row>
    <row r="1500" spans="1:10">
      <c r="A1500" t="s">
        <v>40</v>
      </c>
      <c r="B1500" t="s">
        <v>41</v>
      </c>
      <c r="C1500" t="s">
        <v>16</v>
      </c>
      <c r="D1500" s="3">
        <v>45931</v>
      </c>
      <c r="E1500" s="5">
        <v>210</v>
      </c>
      <c r="F1500" s="4">
        <v>3651.92</v>
      </c>
      <c r="G1500" s="4">
        <v>3410.73</v>
      </c>
      <c r="H1500" s="4">
        <v>241.19</v>
      </c>
      <c r="I1500" s="6">
        <v>4.1500000000000004</v>
      </c>
      <c r="J1500" s="5">
        <v>28</v>
      </c>
    </row>
    <row r="1501" spans="1:10">
      <c r="A1501" t="s">
        <v>40</v>
      </c>
      <c r="B1501" t="s">
        <v>41</v>
      </c>
      <c r="C1501" t="s">
        <v>17</v>
      </c>
      <c r="D1501" s="3">
        <v>45931</v>
      </c>
      <c r="E1501" s="5">
        <v>95</v>
      </c>
      <c r="F1501" s="4">
        <v>6215.99</v>
      </c>
      <c r="G1501" s="4">
        <v>4299.71</v>
      </c>
      <c r="H1501" s="4">
        <v>1916.29</v>
      </c>
      <c r="I1501" s="6">
        <v>4.04</v>
      </c>
      <c r="J1501" s="5">
        <v>28</v>
      </c>
    </row>
    <row r="1502" spans="1:10">
      <c r="A1502" t="s">
        <v>40</v>
      </c>
      <c r="B1502" t="s">
        <v>41</v>
      </c>
      <c r="C1502" t="s">
        <v>12</v>
      </c>
      <c r="D1502" s="3">
        <v>45962</v>
      </c>
      <c r="E1502" s="5">
        <v>256</v>
      </c>
      <c r="F1502" s="4">
        <v>35203.99</v>
      </c>
      <c r="G1502" s="4">
        <v>28003.07</v>
      </c>
      <c r="H1502" s="4">
        <v>7200.92</v>
      </c>
      <c r="I1502" s="6">
        <v>4.1100000000000003</v>
      </c>
      <c r="J1502" s="5">
        <v>32</v>
      </c>
    </row>
    <row r="1503" spans="1:10">
      <c r="A1503" t="s">
        <v>40</v>
      </c>
      <c r="B1503" t="s">
        <v>41</v>
      </c>
      <c r="C1503" t="s">
        <v>13</v>
      </c>
      <c r="D1503" s="3">
        <v>45962</v>
      </c>
      <c r="E1503" s="5">
        <v>147</v>
      </c>
      <c r="F1503" s="4">
        <v>10877.64</v>
      </c>
      <c r="G1503" s="4">
        <v>7726.94</v>
      </c>
      <c r="H1503" s="4">
        <v>3150.71</v>
      </c>
      <c r="I1503" s="6">
        <v>4.22</v>
      </c>
      <c r="J1503" s="5">
        <v>32</v>
      </c>
    </row>
    <row r="1504" spans="1:10">
      <c r="A1504" t="s">
        <v>40</v>
      </c>
      <c r="B1504" t="s">
        <v>41</v>
      </c>
      <c r="C1504" t="s">
        <v>14</v>
      </c>
      <c r="D1504" s="3">
        <v>45962</v>
      </c>
      <c r="E1504" s="5">
        <v>240</v>
      </c>
      <c r="F1504" s="4">
        <v>12216.11</v>
      </c>
      <c r="G1504" s="4">
        <v>8011.17</v>
      </c>
      <c r="H1504" s="4">
        <v>4204.93</v>
      </c>
      <c r="I1504" s="6">
        <v>4.17</v>
      </c>
      <c r="J1504" s="5">
        <v>32</v>
      </c>
    </row>
    <row r="1505" spans="1:10">
      <c r="A1505" t="s">
        <v>40</v>
      </c>
      <c r="B1505" t="s">
        <v>41</v>
      </c>
      <c r="C1505" t="s">
        <v>15</v>
      </c>
      <c r="D1505" s="3">
        <v>45962</v>
      </c>
      <c r="E1505" s="5">
        <v>152</v>
      </c>
      <c r="F1505" s="4">
        <v>5791.76</v>
      </c>
      <c r="G1505" s="4">
        <v>2969.6</v>
      </c>
      <c r="H1505" s="4">
        <v>2822.16</v>
      </c>
      <c r="I1505" s="6">
        <v>4.05</v>
      </c>
      <c r="J1505" s="5">
        <v>32</v>
      </c>
    </row>
    <row r="1506" spans="1:10">
      <c r="A1506" t="s">
        <v>40</v>
      </c>
      <c r="B1506" t="s">
        <v>41</v>
      </c>
      <c r="C1506" t="s">
        <v>16</v>
      </c>
      <c r="D1506" s="3">
        <v>45962</v>
      </c>
      <c r="E1506" s="5">
        <v>296</v>
      </c>
      <c r="F1506" s="4">
        <v>5184.45</v>
      </c>
      <c r="G1506" s="4">
        <v>4796.92</v>
      </c>
      <c r="H1506" s="4">
        <v>387.54</v>
      </c>
      <c r="I1506" s="6">
        <v>3.97</v>
      </c>
      <c r="J1506" s="5">
        <v>32</v>
      </c>
    </row>
    <row r="1507" spans="1:10">
      <c r="A1507" t="s">
        <v>40</v>
      </c>
      <c r="B1507" t="s">
        <v>41</v>
      </c>
      <c r="C1507" t="s">
        <v>17</v>
      </c>
      <c r="D1507" s="3">
        <v>45962</v>
      </c>
      <c r="E1507" s="5">
        <v>134</v>
      </c>
      <c r="F1507" s="4">
        <v>7841.74</v>
      </c>
      <c r="G1507" s="4">
        <v>5427.42</v>
      </c>
      <c r="H1507" s="4">
        <v>2414.3200000000002</v>
      </c>
      <c r="I1507" s="6">
        <v>4.0599999999999996</v>
      </c>
      <c r="J1507" s="5">
        <v>32</v>
      </c>
    </row>
    <row r="1508" spans="1:10">
      <c r="A1508" t="s">
        <v>40</v>
      </c>
      <c r="B1508" t="s">
        <v>41</v>
      </c>
      <c r="C1508" t="s">
        <v>12</v>
      </c>
      <c r="D1508" s="3">
        <v>45992</v>
      </c>
      <c r="E1508" s="5">
        <v>238</v>
      </c>
      <c r="F1508" s="4">
        <v>35564.94</v>
      </c>
      <c r="G1508" s="4">
        <v>28906.33</v>
      </c>
      <c r="H1508" s="4">
        <v>6658.61</v>
      </c>
      <c r="I1508" s="6">
        <v>4</v>
      </c>
      <c r="J1508" s="5">
        <v>32</v>
      </c>
    </row>
    <row r="1509" spans="1:10">
      <c r="A1509" t="s">
        <v>40</v>
      </c>
      <c r="B1509" t="s">
        <v>41</v>
      </c>
      <c r="C1509" t="s">
        <v>13</v>
      </c>
      <c r="D1509" s="3">
        <v>45992</v>
      </c>
      <c r="E1509" s="5">
        <v>167</v>
      </c>
      <c r="F1509" s="4">
        <v>12172.9</v>
      </c>
      <c r="G1509" s="4">
        <v>8709.42</v>
      </c>
      <c r="H1509" s="4">
        <v>3463.49</v>
      </c>
      <c r="I1509" s="6">
        <v>4.2300000000000004</v>
      </c>
      <c r="J1509" s="5">
        <v>32</v>
      </c>
    </row>
    <row r="1510" spans="1:10">
      <c r="A1510" t="s">
        <v>40</v>
      </c>
      <c r="B1510" t="s">
        <v>41</v>
      </c>
      <c r="C1510" t="s">
        <v>14</v>
      </c>
      <c r="D1510" s="3">
        <v>45992</v>
      </c>
      <c r="E1510" s="5">
        <v>250</v>
      </c>
      <c r="F1510" s="4">
        <v>12712.24</v>
      </c>
      <c r="G1510" s="4">
        <v>8701.94</v>
      </c>
      <c r="H1510" s="4">
        <v>4010.29</v>
      </c>
      <c r="I1510" s="6">
        <v>4.12</v>
      </c>
      <c r="J1510" s="5">
        <v>32</v>
      </c>
    </row>
    <row r="1511" spans="1:10">
      <c r="A1511" t="s">
        <v>40</v>
      </c>
      <c r="B1511" t="s">
        <v>41</v>
      </c>
      <c r="C1511" t="s">
        <v>15</v>
      </c>
      <c r="D1511" s="3">
        <v>45992</v>
      </c>
      <c r="E1511" s="5">
        <v>174</v>
      </c>
      <c r="F1511" s="4">
        <v>5905.62</v>
      </c>
      <c r="G1511" s="4">
        <v>3294.04</v>
      </c>
      <c r="H1511" s="4">
        <v>2611.58</v>
      </c>
      <c r="I1511" s="6">
        <v>3.97</v>
      </c>
      <c r="J1511" s="5">
        <v>32</v>
      </c>
    </row>
    <row r="1512" spans="1:10">
      <c r="A1512" t="s">
        <v>40</v>
      </c>
      <c r="B1512" t="s">
        <v>41</v>
      </c>
      <c r="C1512" t="s">
        <v>16</v>
      </c>
      <c r="D1512" s="3">
        <v>45992</v>
      </c>
      <c r="E1512" s="5">
        <v>274</v>
      </c>
      <c r="F1512" s="4">
        <v>5257.91</v>
      </c>
      <c r="G1512" s="4">
        <v>5019.43</v>
      </c>
      <c r="H1512" s="4">
        <v>238.48</v>
      </c>
      <c r="I1512" s="6">
        <v>4.05</v>
      </c>
      <c r="J1512" s="5">
        <v>32</v>
      </c>
    </row>
    <row r="1513" spans="1:10">
      <c r="A1513" t="s">
        <v>40</v>
      </c>
      <c r="B1513" t="s">
        <v>41</v>
      </c>
      <c r="C1513" t="s">
        <v>17</v>
      </c>
      <c r="D1513" s="3">
        <v>45992</v>
      </c>
      <c r="E1513" s="5">
        <v>124</v>
      </c>
      <c r="F1513" s="4">
        <v>7934.33</v>
      </c>
      <c r="G1513" s="4">
        <v>5463.94</v>
      </c>
      <c r="H1513" s="4">
        <v>2470.39</v>
      </c>
      <c r="I1513" s="6">
        <v>4.28</v>
      </c>
      <c r="J1513" s="5">
        <v>32</v>
      </c>
    </row>
    <row r="1514" spans="1:10">
      <c r="A1514" t="s">
        <v>42</v>
      </c>
      <c r="B1514" t="s">
        <v>41</v>
      </c>
      <c r="C1514" t="s">
        <v>12</v>
      </c>
      <c r="D1514" s="3">
        <v>45658</v>
      </c>
      <c r="E1514" s="5">
        <v>100</v>
      </c>
      <c r="F1514" s="4">
        <v>14645.5</v>
      </c>
      <c r="G1514" s="4">
        <v>10734.11</v>
      </c>
      <c r="H1514" s="4">
        <v>3911.39</v>
      </c>
      <c r="I1514" s="6">
        <v>4.0599999999999996</v>
      </c>
      <c r="J1514" s="5">
        <v>25</v>
      </c>
    </row>
    <row r="1515" spans="1:10">
      <c r="A1515" t="s">
        <v>42</v>
      </c>
      <c r="B1515" t="s">
        <v>41</v>
      </c>
      <c r="C1515" t="s">
        <v>13</v>
      </c>
      <c r="D1515" s="3">
        <v>45658</v>
      </c>
      <c r="E1515" s="5">
        <v>100</v>
      </c>
      <c r="F1515" s="4">
        <v>7761.57</v>
      </c>
      <c r="G1515" s="4">
        <v>5049.3999999999996</v>
      </c>
      <c r="H1515" s="4">
        <v>2712.17</v>
      </c>
      <c r="I1515" s="6">
        <v>4.01</v>
      </c>
      <c r="J1515" s="5">
        <v>25</v>
      </c>
    </row>
    <row r="1516" spans="1:10">
      <c r="A1516" t="s">
        <v>42</v>
      </c>
      <c r="B1516" t="s">
        <v>41</v>
      </c>
      <c r="C1516" t="s">
        <v>14</v>
      </c>
      <c r="D1516" s="3">
        <v>45658</v>
      </c>
      <c r="E1516" s="5">
        <v>109</v>
      </c>
      <c r="F1516" s="4">
        <v>5357.44</v>
      </c>
      <c r="G1516" s="4">
        <v>3158.25</v>
      </c>
      <c r="H1516" s="4">
        <v>2199.19</v>
      </c>
      <c r="I1516" s="6">
        <v>3.94</v>
      </c>
      <c r="J1516" s="5">
        <v>25</v>
      </c>
    </row>
    <row r="1517" spans="1:10">
      <c r="A1517" t="s">
        <v>42</v>
      </c>
      <c r="B1517" t="s">
        <v>41</v>
      </c>
      <c r="C1517" t="s">
        <v>15</v>
      </c>
      <c r="D1517" s="3">
        <v>45658</v>
      </c>
      <c r="E1517" s="5">
        <v>95</v>
      </c>
      <c r="F1517" s="4">
        <v>3613.32</v>
      </c>
      <c r="G1517" s="4">
        <v>1685.79</v>
      </c>
      <c r="H1517" s="4">
        <v>1927.53</v>
      </c>
      <c r="I1517" s="6">
        <v>4.1100000000000003</v>
      </c>
      <c r="J1517" s="5">
        <v>25</v>
      </c>
    </row>
    <row r="1518" spans="1:10">
      <c r="A1518" t="s">
        <v>42</v>
      </c>
      <c r="B1518" t="s">
        <v>41</v>
      </c>
      <c r="C1518" t="s">
        <v>16</v>
      </c>
      <c r="D1518" s="3">
        <v>45658</v>
      </c>
      <c r="E1518" s="5">
        <v>155</v>
      </c>
      <c r="F1518" s="4">
        <v>2707.75</v>
      </c>
      <c r="G1518" s="4">
        <v>2326.61</v>
      </c>
      <c r="H1518" s="4">
        <v>381.14</v>
      </c>
      <c r="I1518" s="6">
        <v>3.87</v>
      </c>
      <c r="J1518" s="5">
        <v>25</v>
      </c>
    </row>
    <row r="1519" spans="1:10">
      <c r="A1519" t="s">
        <v>42</v>
      </c>
      <c r="B1519" t="s">
        <v>41</v>
      </c>
      <c r="C1519" t="s">
        <v>17</v>
      </c>
      <c r="D1519" s="3">
        <v>45658</v>
      </c>
      <c r="E1519" s="5">
        <v>56</v>
      </c>
      <c r="F1519" s="4">
        <v>3397.13</v>
      </c>
      <c r="G1519" s="4">
        <v>2094.64</v>
      </c>
      <c r="H1519" s="4">
        <v>1302.49</v>
      </c>
      <c r="I1519" s="6">
        <v>4.13</v>
      </c>
      <c r="J1519" s="5">
        <v>25</v>
      </c>
    </row>
    <row r="1520" spans="1:10">
      <c r="A1520" t="s">
        <v>42</v>
      </c>
      <c r="B1520" t="s">
        <v>41</v>
      </c>
      <c r="C1520" t="s">
        <v>12</v>
      </c>
      <c r="D1520" s="3">
        <v>45689</v>
      </c>
      <c r="E1520" s="5">
        <v>90</v>
      </c>
      <c r="F1520" s="4">
        <v>14000.29</v>
      </c>
      <c r="G1520" s="4">
        <v>10467.68</v>
      </c>
      <c r="H1520" s="4">
        <v>3532.61</v>
      </c>
      <c r="I1520" s="6">
        <v>3.98</v>
      </c>
      <c r="J1520" s="5">
        <v>24</v>
      </c>
    </row>
    <row r="1521" spans="1:10">
      <c r="A1521" t="s">
        <v>42</v>
      </c>
      <c r="B1521" t="s">
        <v>41</v>
      </c>
      <c r="C1521" t="s">
        <v>13</v>
      </c>
      <c r="D1521" s="3">
        <v>45689</v>
      </c>
      <c r="E1521" s="5">
        <v>90</v>
      </c>
      <c r="F1521" s="4">
        <v>7083.39</v>
      </c>
      <c r="G1521" s="4">
        <v>4703.07</v>
      </c>
      <c r="H1521" s="4">
        <v>2380.3200000000002</v>
      </c>
      <c r="I1521" s="6">
        <v>4.1399999999999997</v>
      </c>
      <c r="J1521" s="5">
        <v>24</v>
      </c>
    </row>
    <row r="1522" spans="1:10">
      <c r="A1522" t="s">
        <v>42</v>
      </c>
      <c r="B1522" t="s">
        <v>41</v>
      </c>
      <c r="C1522" t="s">
        <v>14</v>
      </c>
      <c r="D1522" s="3">
        <v>45689</v>
      </c>
      <c r="E1522" s="5">
        <v>122</v>
      </c>
      <c r="F1522" s="4">
        <v>6091.38</v>
      </c>
      <c r="G1522" s="4">
        <v>3638.37</v>
      </c>
      <c r="H1522" s="4">
        <v>2453</v>
      </c>
      <c r="I1522" s="6">
        <v>3.83</v>
      </c>
      <c r="J1522" s="5">
        <v>24</v>
      </c>
    </row>
    <row r="1523" spans="1:10">
      <c r="A1523" t="s">
        <v>42</v>
      </c>
      <c r="B1523" t="s">
        <v>41</v>
      </c>
      <c r="C1523" t="s">
        <v>15</v>
      </c>
      <c r="D1523" s="3">
        <v>45689</v>
      </c>
      <c r="E1523" s="5">
        <v>91</v>
      </c>
      <c r="F1523" s="4">
        <v>3522.86</v>
      </c>
      <c r="G1523" s="4">
        <v>1652.07</v>
      </c>
      <c r="H1523" s="4">
        <v>1870.78</v>
      </c>
      <c r="I1523" s="6">
        <v>4.13</v>
      </c>
      <c r="J1523" s="5">
        <v>24</v>
      </c>
    </row>
    <row r="1524" spans="1:10">
      <c r="A1524" t="s">
        <v>42</v>
      </c>
      <c r="B1524" t="s">
        <v>41</v>
      </c>
      <c r="C1524" t="s">
        <v>16</v>
      </c>
      <c r="D1524" s="3">
        <v>45689</v>
      </c>
      <c r="E1524" s="5">
        <v>138</v>
      </c>
      <c r="F1524" s="4">
        <v>2575.15</v>
      </c>
      <c r="G1524" s="4">
        <v>2321.12</v>
      </c>
      <c r="H1524" s="4">
        <v>254.03</v>
      </c>
      <c r="I1524" s="6">
        <v>3.88</v>
      </c>
      <c r="J1524" s="5">
        <v>24</v>
      </c>
    </row>
    <row r="1525" spans="1:10">
      <c r="A1525" t="s">
        <v>42</v>
      </c>
      <c r="B1525" t="s">
        <v>41</v>
      </c>
      <c r="C1525" t="s">
        <v>17</v>
      </c>
      <c r="D1525" s="3">
        <v>45689</v>
      </c>
      <c r="E1525" s="5">
        <v>58</v>
      </c>
      <c r="F1525" s="4">
        <v>3658.51</v>
      </c>
      <c r="G1525" s="4">
        <v>2264.02</v>
      </c>
      <c r="H1525" s="4">
        <v>1394.49</v>
      </c>
      <c r="I1525" s="6">
        <v>4.17</v>
      </c>
      <c r="J1525" s="5">
        <v>24</v>
      </c>
    </row>
    <row r="1526" spans="1:10">
      <c r="A1526" t="s">
        <v>42</v>
      </c>
      <c r="B1526" t="s">
        <v>41</v>
      </c>
      <c r="C1526" t="s">
        <v>12</v>
      </c>
      <c r="D1526" s="3">
        <v>45717</v>
      </c>
      <c r="E1526" s="5">
        <v>122</v>
      </c>
      <c r="F1526" s="4">
        <v>17953.36</v>
      </c>
      <c r="G1526" s="4">
        <v>13464.08</v>
      </c>
      <c r="H1526" s="4">
        <v>4489.28</v>
      </c>
      <c r="I1526" s="6">
        <v>3.98</v>
      </c>
      <c r="J1526" s="5">
        <v>25</v>
      </c>
    </row>
    <row r="1527" spans="1:10">
      <c r="A1527" t="s">
        <v>42</v>
      </c>
      <c r="B1527" t="s">
        <v>41</v>
      </c>
      <c r="C1527" t="s">
        <v>13</v>
      </c>
      <c r="D1527" s="3">
        <v>45717</v>
      </c>
      <c r="E1527" s="5">
        <v>92</v>
      </c>
      <c r="F1527" s="4">
        <v>6580.18</v>
      </c>
      <c r="G1527" s="4">
        <v>4408.88</v>
      </c>
      <c r="H1527" s="4">
        <v>2171.3000000000002</v>
      </c>
      <c r="I1527" s="6">
        <v>4.16</v>
      </c>
      <c r="J1527" s="5">
        <v>25</v>
      </c>
    </row>
    <row r="1528" spans="1:10">
      <c r="A1528" t="s">
        <v>42</v>
      </c>
      <c r="B1528" t="s">
        <v>41</v>
      </c>
      <c r="C1528" t="s">
        <v>14</v>
      </c>
      <c r="D1528" s="3">
        <v>45717</v>
      </c>
      <c r="E1528" s="5">
        <v>158</v>
      </c>
      <c r="F1528" s="4">
        <v>8123.11</v>
      </c>
      <c r="G1528" s="4">
        <v>4882.9399999999996</v>
      </c>
      <c r="H1528" s="4">
        <v>3240.17</v>
      </c>
      <c r="I1528" s="6">
        <v>3.93</v>
      </c>
      <c r="J1528" s="5">
        <v>25</v>
      </c>
    </row>
    <row r="1529" spans="1:10">
      <c r="A1529" t="s">
        <v>42</v>
      </c>
      <c r="B1529" t="s">
        <v>41</v>
      </c>
      <c r="C1529" t="s">
        <v>15</v>
      </c>
      <c r="D1529" s="3">
        <v>45717</v>
      </c>
      <c r="E1529" s="5">
        <v>101</v>
      </c>
      <c r="F1529" s="4">
        <v>3855.32</v>
      </c>
      <c r="G1529" s="4">
        <v>1782.61</v>
      </c>
      <c r="H1529" s="4">
        <v>2072.6999999999998</v>
      </c>
      <c r="I1529" s="6">
        <v>3.98</v>
      </c>
      <c r="J1529" s="5">
        <v>25</v>
      </c>
    </row>
    <row r="1530" spans="1:10">
      <c r="A1530" t="s">
        <v>42</v>
      </c>
      <c r="B1530" t="s">
        <v>41</v>
      </c>
      <c r="C1530" t="s">
        <v>16</v>
      </c>
      <c r="D1530" s="3">
        <v>45717</v>
      </c>
      <c r="E1530" s="5">
        <v>162</v>
      </c>
      <c r="F1530" s="4">
        <v>3004.12</v>
      </c>
      <c r="G1530" s="4">
        <v>2726.19</v>
      </c>
      <c r="H1530" s="4">
        <v>277.93</v>
      </c>
      <c r="I1530" s="6">
        <v>3.89</v>
      </c>
      <c r="J1530" s="5">
        <v>25</v>
      </c>
    </row>
    <row r="1531" spans="1:10">
      <c r="A1531" t="s">
        <v>42</v>
      </c>
      <c r="B1531" t="s">
        <v>41</v>
      </c>
      <c r="C1531" t="s">
        <v>17</v>
      </c>
      <c r="D1531" s="3">
        <v>45717</v>
      </c>
      <c r="E1531" s="5">
        <v>90</v>
      </c>
      <c r="F1531" s="4">
        <v>5307.77</v>
      </c>
      <c r="G1531" s="4">
        <v>3410.76</v>
      </c>
      <c r="H1531" s="4">
        <v>1897.01</v>
      </c>
      <c r="I1531" s="6">
        <v>4</v>
      </c>
      <c r="J1531" s="5">
        <v>25</v>
      </c>
    </row>
    <row r="1532" spans="1:10">
      <c r="A1532" t="s">
        <v>42</v>
      </c>
      <c r="B1532" t="s">
        <v>41</v>
      </c>
      <c r="C1532" t="s">
        <v>12</v>
      </c>
      <c r="D1532" s="3">
        <v>45748</v>
      </c>
      <c r="E1532" s="5">
        <v>127</v>
      </c>
      <c r="F1532" s="4">
        <v>18399</v>
      </c>
      <c r="G1532" s="4">
        <v>14485.29</v>
      </c>
      <c r="H1532" s="4">
        <v>3913.71</v>
      </c>
      <c r="I1532" s="6">
        <v>3.86</v>
      </c>
      <c r="J1532" s="5">
        <v>26</v>
      </c>
    </row>
    <row r="1533" spans="1:10">
      <c r="A1533" t="s">
        <v>42</v>
      </c>
      <c r="B1533" t="s">
        <v>41</v>
      </c>
      <c r="C1533" t="s">
        <v>13</v>
      </c>
      <c r="D1533" s="3">
        <v>45748</v>
      </c>
      <c r="E1533" s="5">
        <v>104</v>
      </c>
      <c r="F1533" s="4">
        <v>7607.19</v>
      </c>
      <c r="G1533" s="4">
        <v>4933.74</v>
      </c>
      <c r="H1533" s="4">
        <v>2673.45</v>
      </c>
      <c r="I1533" s="6">
        <v>3.85</v>
      </c>
      <c r="J1533" s="5">
        <v>26</v>
      </c>
    </row>
    <row r="1534" spans="1:10">
      <c r="A1534" t="s">
        <v>42</v>
      </c>
      <c r="B1534" t="s">
        <v>41</v>
      </c>
      <c r="C1534" t="s">
        <v>14</v>
      </c>
      <c r="D1534" s="3">
        <v>45748</v>
      </c>
      <c r="E1534" s="5">
        <v>141</v>
      </c>
      <c r="F1534" s="4">
        <v>6880.9</v>
      </c>
      <c r="G1534" s="4">
        <v>4072.01</v>
      </c>
      <c r="H1534" s="4">
        <v>2808.89</v>
      </c>
      <c r="I1534" s="6">
        <v>4.07</v>
      </c>
      <c r="J1534" s="5">
        <v>26</v>
      </c>
    </row>
    <row r="1535" spans="1:10">
      <c r="A1535" t="s">
        <v>42</v>
      </c>
      <c r="B1535" t="s">
        <v>41</v>
      </c>
      <c r="C1535" t="s">
        <v>15</v>
      </c>
      <c r="D1535" s="3">
        <v>45748</v>
      </c>
      <c r="E1535" s="5">
        <v>121</v>
      </c>
      <c r="F1535" s="4">
        <v>4559.32</v>
      </c>
      <c r="G1535" s="4">
        <v>2197.84</v>
      </c>
      <c r="H1535" s="4">
        <v>2361.48</v>
      </c>
      <c r="I1535" s="6">
        <v>3.89</v>
      </c>
      <c r="J1535" s="5">
        <v>26</v>
      </c>
    </row>
    <row r="1536" spans="1:10">
      <c r="A1536" t="s">
        <v>42</v>
      </c>
      <c r="B1536" t="s">
        <v>41</v>
      </c>
      <c r="C1536" t="s">
        <v>16</v>
      </c>
      <c r="D1536" s="3">
        <v>45748</v>
      </c>
      <c r="E1536" s="5">
        <v>166</v>
      </c>
      <c r="F1536" s="4">
        <v>2810.01</v>
      </c>
      <c r="G1536" s="4">
        <v>2477.98</v>
      </c>
      <c r="H1536" s="4">
        <v>332.03</v>
      </c>
      <c r="I1536" s="6">
        <v>3.9</v>
      </c>
      <c r="J1536" s="5">
        <v>26</v>
      </c>
    </row>
    <row r="1537" spans="1:10">
      <c r="A1537" t="s">
        <v>42</v>
      </c>
      <c r="B1537" t="s">
        <v>41</v>
      </c>
      <c r="C1537" t="s">
        <v>17</v>
      </c>
      <c r="D1537" s="3">
        <v>45748</v>
      </c>
      <c r="E1537" s="5">
        <v>88</v>
      </c>
      <c r="F1537" s="4">
        <v>5568.47</v>
      </c>
      <c r="G1537" s="4">
        <v>3469.73</v>
      </c>
      <c r="H1537" s="4">
        <v>2098.7399999999998</v>
      </c>
      <c r="I1537" s="6">
        <v>3.91</v>
      </c>
      <c r="J1537" s="5">
        <v>26</v>
      </c>
    </row>
    <row r="1538" spans="1:10">
      <c r="A1538" t="s">
        <v>42</v>
      </c>
      <c r="B1538" t="s">
        <v>41</v>
      </c>
      <c r="C1538" t="s">
        <v>12</v>
      </c>
      <c r="D1538" s="3">
        <v>45778</v>
      </c>
      <c r="E1538" s="5">
        <v>136</v>
      </c>
      <c r="F1538" s="4">
        <v>20725.13</v>
      </c>
      <c r="G1538" s="4">
        <v>15867.42</v>
      </c>
      <c r="H1538" s="4">
        <v>4857.7</v>
      </c>
      <c r="I1538" s="6">
        <v>4</v>
      </c>
      <c r="J1538" s="5">
        <v>25</v>
      </c>
    </row>
    <row r="1539" spans="1:10">
      <c r="A1539" t="s">
        <v>42</v>
      </c>
      <c r="B1539" t="s">
        <v>41</v>
      </c>
      <c r="C1539" t="s">
        <v>13</v>
      </c>
      <c r="D1539" s="3">
        <v>45778</v>
      </c>
      <c r="E1539" s="5">
        <v>103</v>
      </c>
      <c r="F1539" s="4">
        <v>8164.01</v>
      </c>
      <c r="G1539" s="4">
        <v>5343.06</v>
      </c>
      <c r="H1539" s="4">
        <v>2820.95</v>
      </c>
      <c r="I1539" s="6">
        <v>4.07</v>
      </c>
      <c r="J1539" s="5">
        <v>25</v>
      </c>
    </row>
    <row r="1540" spans="1:10">
      <c r="A1540" t="s">
        <v>42</v>
      </c>
      <c r="B1540" t="s">
        <v>41</v>
      </c>
      <c r="C1540" t="s">
        <v>14</v>
      </c>
      <c r="D1540" s="3">
        <v>45778</v>
      </c>
      <c r="E1540" s="5">
        <v>155</v>
      </c>
      <c r="F1540" s="4">
        <v>7200.53</v>
      </c>
      <c r="G1540" s="4">
        <v>4326.8100000000004</v>
      </c>
      <c r="H1540" s="4">
        <v>2873.72</v>
      </c>
      <c r="I1540" s="6">
        <v>3.89</v>
      </c>
      <c r="J1540" s="5">
        <v>25</v>
      </c>
    </row>
    <row r="1541" spans="1:10">
      <c r="A1541" t="s">
        <v>42</v>
      </c>
      <c r="B1541" t="s">
        <v>41</v>
      </c>
      <c r="C1541" t="s">
        <v>15</v>
      </c>
      <c r="D1541" s="3">
        <v>45778</v>
      </c>
      <c r="E1541" s="5">
        <v>105</v>
      </c>
      <c r="F1541" s="4">
        <v>4016.99</v>
      </c>
      <c r="G1541" s="4">
        <v>1996.1</v>
      </c>
      <c r="H1541" s="4">
        <v>2020.88</v>
      </c>
      <c r="I1541" s="6">
        <v>4.1399999999999997</v>
      </c>
      <c r="J1541" s="5">
        <v>25</v>
      </c>
    </row>
    <row r="1542" spans="1:10">
      <c r="A1542" t="s">
        <v>42</v>
      </c>
      <c r="B1542" t="s">
        <v>41</v>
      </c>
      <c r="C1542" t="s">
        <v>16</v>
      </c>
      <c r="D1542" s="3">
        <v>45778</v>
      </c>
      <c r="E1542" s="5">
        <v>206</v>
      </c>
      <c r="F1542" s="4">
        <v>3964.73</v>
      </c>
      <c r="G1542" s="4">
        <v>3615.75</v>
      </c>
      <c r="H1542" s="4">
        <v>348.98</v>
      </c>
      <c r="I1542" s="6">
        <v>4.0199999999999996</v>
      </c>
      <c r="J1542" s="5">
        <v>25</v>
      </c>
    </row>
    <row r="1543" spans="1:10">
      <c r="A1543" t="s">
        <v>42</v>
      </c>
      <c r="B1543" t="s">
        <v>41</v>
      </c>
      <c r="C1543" t="s">
        <v>17</v>
      </c>
      <c r="D1543" s="3">
        <v>45778</v>
      </c>
      <c r="E1543" s="5">
        <v>140</v>
      </c>
      <c r="F1543" s="4">
        <v>9261.2000000000007</v>
      </c>
      <c r="G1543" s="4">
        <v>6133.88</v>
      </c>
      <c r="H1543" s="4">
        <v>3127.32</v>
      </c>
      <c r="I1543" s="6">
        <v>3.9</v>
      </c>
      <c r="J1543" s="5">
        <v>25</v>
      </c>
    </row>
    <row r="1544" spans="1:10">
      <c r="A1544" t="s">
        <v>42</v>
      </c>
      <c r="B1544" t="s">
        <v>41</v>
      </c>
      <c r="C1544" t="s">
        <v>12</v>
      </c>
      <c r="D1544" s="3">
        <v>45809</v>
      </c>
      <c r="E1544" s="5">
        <v>147</v>
      </c>
      <c r="F1544" s="4">
        <v>21827.73</v>
      </c>
      <c r="G1544" s="4">
        <v>16667.330000000002</v>
      </c>
      <c r="H1544" s="4">
        <v>5160.3999999999996</v>
      </c>
      <c r="I1544" s="6">
        <v>4.17</v>
      </c>
      <c r="J1544" s="5">
        <v>26</v>
      </c>
    </row>
    <row r="1545" spans="1:10">
      <c r="A1545" t="s">
        <v>42</v>
      </c>
      <c r="B1545" t="s">
        <v>41</v>
      </c>
      <c r="C1545" t="s">
        <v>13</v>
      </c>
      <c r="D1545" s="3">
        <v>45809</v>
      </c>
      <c r="E1545" s="5">
        <v>124</v>
      </c>
      <c r="F1545" s="4">
        <v>9083.01</v>
      </c>
      <c r="G1545" s="4">
        <v>6110.17</v>
      </c>
      <c r="H1545" s="4">
        <v>2972.84</v>
      </c>
      <c r="I1545" s="6">
        <v>3.83</v>
      </c>
      <c r="J1545" s="5">
        <v>26</v>
      </c>
    </row>
    <row r="1546" spans="1:10">
      <c r="A1546" t="s">
        <v>42</v>
      </c>
      <c r="B1546" t="s">
        <v>41</v>
      </c>
      <c r="C1546" t="s">
        <v>14</v>
      </c>
      <c r="D1546" s="3">
        <v>45809</v>
      </c>
      <c r="E1546" s="5">
        <v>130</v>
      </c>
      <c r="F1546" s="4">
        <v>6676.55</v>
      </c>
      <c r="G1546" s="4">
        <v>4152.66</v>
      </c>
      <c r="H1546" s="4">
        <v>2523.89</v>
      </c>
      <c r="I1546" s="6">
        <v>4</v>
      </c>
      <c r="J1546" s="5">
        <v>26</v>
      </c>
    </row>
    <row r="1547" spans="1:10">
      <c r="A1547" t="s">
        <v>42</v>
      </c>
      <c r="B1547" t="s">
        <v>41</v>
      </c>
      <c r="C1547" t="s">
        <v>15</v>
      </c>
      <c r="D1547" s="3">
        <v>45809</v>
      </c>
      <c r="E1547" s="5">
        <v>124</v>
      </c>
      <c r="F1547" s="4">
        <v>4336.45</v>
      </c>
      <c r="G1547" s="4">
        <v>2087.02</v>
      </c>
      <c r="H1547" s="4">
        <v>2249.44</v>
      </c>
      <c r="I1547" s="6">
        <v>4.16</v>
      </c>
      <c r="J1547" s="5">
        <v>26</v>
      </c>
    </row>
    <row r="1548" spans="1:10">
      <c r="A1548" t="s">
        <v>42</v>
      </c>
      <c r="B1548" t="s">
        <v>41</v>
      </c>
      <c r="C1548" t="s">
        <v>16</v>
      </c>
      <c r="D1548" s="3">
        <v>45809</v>
      </c>
      <c r="E1548" s="5">
        <v>214</v>
      </c>
      <c r="F1548" s="4">
        <v>4023.42</v>
      </c>
      <c r="G1548" s="4">
        <v>3635.41</v>
      </c>
      <c r="H1548" s="4">
        <v>388.01</v>
      </c>
      <c r="I1548" s="6">
        <v>3.95</v>
      </c>
      <c r="J1548" s="5">
        <v>26</v>
      </c>
    </row>
    <row r="1549" spans="1:10">
      <c r="A1549" t="s">
        <v>42</v>
      </c>
      <c r="B1549" t="s">
        <v>41</v>
      </c>
      <c r="C1549" t="s">
        <v>17</v>
      </c>
      <c r="D1549" s="3">
        <v>45809</v>
      </c>
      <c r="E1549" s="5">
        <v>114</v>
      </c>
      <c r="F1549" s="4">
        <v>6848.36</v>
      </c>
      <c r="G1549" s="4">
        <v>4375.47</v>
      </c>
      <c r="H1549" s="4">
        <v>2472.89</v>
      </c>
      <c r="I1549" s="6">
        <v>4.12</v>
      </c>
      <c r="J1549" s="5">
        <v>26</v>
      </c>
    </row>
    <row r="1550" spans="1:10">
      <c r="A1550" t="s">
        <v>42</v>
      </c>
      <c r="B1550" t="s">
        <v>41</v>
      </c>
      <c r="C1550" t="s">
        <v>12</v>
      </c>
      <c r="D1550" s="3">
        <v>45839</v>
      </c>
      <c r="E1550" s="5">
        <v>129</v>
      </c>
      <c r="F1550" s="4">
        <v>17964.88</v>
      </c>
      <c r="G1550" s="4">
        <v>13942.64</v>
      </c>
      <c r="H1550" s="4">
        <v>4022.24</v>
      </c>
      <c r="I1550" s="6">
        <v>3.92</v>
      </c>
      <c r="J1550" s="5">
        <v>26</v>
      </c>
    </row>
    <row r="1551" spans="1:10">
      <c r="A1551" t="s">
        <v>42</v>
      </c>
      <c r="B1551" t="s">
        <v>41</v>
      </c>
      <c r="C1551" t="s">
        <v>13</v>
      </c>
      <c r="D1551" s="3">
        <v>45839</v>
      </c>
      <c r="E1551" s="5">
        <v>131</v>
      </c>
      <c r="F1551" s="4">
        <v>10219.59</v>
      </c>
      <c r="G1551" s="4">
        <v>7077.28</v>
      </c>
      <c r="H1551" s="4">
        <v>3142.31</v>
      </c>
      <c r="I1551" s="6">
        <v>3.96</v>
      </c>
      <c r="J1551" s="5">
        <v>26</v>
      </c>
    </row>
    <row r="1552" spans="1:10">
      <c r="A1552" t="s">
        <v>42</v>
      </c>
      <c r="B1552" t="s">
        <v>41</v>
      </c>
      <c r="C1552" t="s">
        <v>14</v>
      </c>
      <c r="D1552" s="3">
        <v>45839</v>
      </c>
      <c r="E1552" s="5">
        <v>153</v>
      </c>
      <c r="F1552" s="4">
        <v>6913.97</v>
      </c>
      <c r="G1552" s="4">
        <v>4165.28</v>
      </c>
      <c r="H1552" s="4">
        <v>2748.7</v>
      </c>
      <c r="I1552" s="6">
        <v>3.94</v>
      </c>
      <c r="J1552" s="5">
        <v>26</v>
      </c>
    </row>
    <row r="1553" spans="1:10">
      <c r="A1553" t="s">
        <v>42</v>
      </c>
      <c r="B1553" t="s">
        <v>41</v>
      </c>
      <c r="C1553" t="s">
        <v>15</v>
      </c>
      <c r="D1553" s="3">
        <v>45839</v>
      </c>
      <c r="E1553" s="5">
        <v>121</v>
      </c>
      <c r="F1553" s="4">
        <v>4517.2700000000004</v>
      </c>
      <c r="G1553" s="4">
        <v>2265.69</v>
      </c>
      <c r="H1553" s="4">
        <v>2251.59</v>
      </c>
      <c r="I1553" s="6">
        <v>4.08</v>
      </c>
      <c r="J1553" s="5">
        <v>26</v>
      </c>
    </row>
    <row r="1554" spans="1:10">
      <c r="A1554" t="s">
        <v>42</v>
      </c>
      <c r="B1554" t="s">
        <v>41</v>
      </c>
      <c r="C1554" t="s">
        <v>16</v>
      </c>
      <c r="D1554" s="3">
        <v>45839</v>
      </c>
      <c r="E1554" s="5">
        <v>211</v>
      </c>
      <c r="F1554" s="4">
        <v>3706.36</v>
      </c>
      <c r="G1554" s="4">
        <v>3312.58</v>
      </c>
      <c r="H1554" s="4">
        <v>393.78</v>
      </c>
      <c r="I1554" s="6">
        <v>3.82</v>
      </c>
      <c r="J1554" s="5">
        <v>26</v>
      </c>
    </row>
    <row r="1555" spans="1:10">
      <c r="A1555" t="s">
        <v>42</v>
      </c>
      <c r="B1555" t="s">
        <v>41</v>
      </c>
      <c r="C1555" t="s">
        <v>17</v>
      </c>
      <c r="D1555" s="3">
        <v>45839</v>
      </c>
      <c r="E1555" s="5">
        <v>111</v>
      </c>
      <c r="F1555" s="4">
        <v>6789.79</v>
      </c>
      <c r="G1555" s="4">
        <v>4383.24</v>
      </c>
      <c r="H1555" s="4">
        <v>2406.5500000000002</v>
      </c>
      <c r="I1555" s="6">
        <v>4.1500000000000004</v>
      </c>
      <c r="J1555" s="5">
        <v>26</v>
      </c>
    </row>
    <row r="1556" spans="1:10">
      <c r="A1556" t="s">
        <v>42</v>
      </c>
      <c r="B1556" t="s">
        <v>41</v>
      </c>
      <c r="C1556" t="s">
        <v>12</v>
      </c>
      <c r="D1556" s="3">
        <v>45870</v>
      </c>
      <c r="E1556" s="5">
        <v>145</v>
      </c>
      <c r="F1556" s="4">
        <v>20884.79</v>
      </c>
      <c r="G1556" s="4">
        <v>17014.669999999998</v>
      </c>
      <c r="H1556" s="4">
        <v>3870.12</v>
      </c>
      <c r="I1556" s="6">
        <v>4.07</v>
      </c>
      <c r="J1556" s="5">
        <v>25</v>
      </c>
    </row>
    <row r="1557" spans="1:10">
      <c r="A1557" t="s">
        <v>42</v>
      </c>
      <c r="B1557" t="s">
        <v>41</v>
      </c>
      <c r="C1557" t="s">
        <v>13</v>
      </c>
      <c r="D1557" s="3">
        <v>45870</v>
      </c>
      <c r="E1557" s="5">
        <v>120</v>
      </c>
      <c r="F1557" s="4">
        <v>8741.64</v>
      </c>
      <c r="G1557" s="4">
        <v>6102.1</v>
      </c>
      <c r="H1557" s="4">
        <v>2639.54</v>
      </c>
      <c r="I1557" s="6">
        <v>3.84</v>
      </c>
      <c r="J1557" s="5">
        <v>25</v>
      </c>
    </row>
    <row r="1558" spans="1:10">
      <c r="A1558" t="s">
        <v>42</v>
      </c>
      <c r="B1558" t="s">
        <v>41</v>
      </c>
      <c r="C1558" t="s">
        <v>14</v>
      </c>
      <c r="D1558" s="3">
        <v>45870</v>
      </c>
      <c r="E1558" s="5">
        <v>182</v>
      </c>
      <c r="F1558" s="4">
        <v>8814.6</v>
      </c>
      <c r="G1558" s="4">
        <v>5429.78</v>
      </c>
      <c r="H1558" s="4">
        <v>3384.82</v>
      </c>
      <c r="I1558" s="6">
        <v>3.99</v>
      </c>
      <c r="J1558" s="5">
        <v>25</v>
      </c>
    </row>
    <row r="1559" spans="1:10">
      <c r="A1559" t="s">
        <v>42</v>
      </c>
      <c r="B1559" t="s">
        <v>41</v>
      </c>
      <c r="C1559" t="s">
        <v>15</v>
      </c>
      <c r="D1559" s="3">
        <v>45870</v>
      </c>
      <c r="E1559" s="5">
        <v>131</v>
      </c>
      <c r="F1559" s="4">
        <v>4492.2299999999996</v>
      </c>
      <c r="G1559" s="4">
        <v>2283.5500000000002</v>
      </c>
      <c r="H1559" s="4">
        <v>2208.6799999999998</v>
      </c>
      <c r="I1559" s="6">
        <v>3.98</v>
      </c>
      <c r="J1559" s="5">
        <v>25</v>
      </c>
    </row>
    <row r="1560" spans="1:10">
      <c r="A1560" t="s">
        <v>42</v>
      </c>
      <c r="B1560" t="s">
        <v>41</v>
      </c>
      <c r="C1560" t="s">
        <v>16</v>
      </c>
      <c r="D1560" s="3">
        <v>45870</v>
      </c>
      <c r="E1560" s="5">
        <v>207</v>
      </c>
      <c r="F1560" s="4">
        <v>4012.87</v>
      </c>
      <c r="G1560" s="4">
        <v>3699.69</v>
      </c>
      <c r="H1560" s="4">
        <v>313.18</v>
      </c>
      <c r="I1560" s="6">
        <v>4.1399999999999997</v>
      </c>
      <c r="J1560" s="5">
        <v>25</v>
      </c>
    </row>
    <row r="1561" spans="1:10">
      <c r="A1561" t="s">
        <v>42</v>
      </c>
      <c r="B1561" t="s">
        <v>41</v>
      </c>
      <c r="C1561" t="s">
        <v>17</v>
      </c>
      <c r="D1561" s="3">
        <v>45870</v>
      </c>
      <c r="E1561" s="5">
        <v>129</v>
      </c>
      <c r="F1561" s="4">
        <v>7832.76</v>
      </c>
      <c r="G1561" s="4">
        <v>5141.92</v>
      </c>
      <c r="H1561" s="4">
        <v>2690.85</v>
      </c>
      <c r="I1561" s="6">
        <v>3.98</v>
      </c>
      <c r="J1561" s="5">
        <v>25</v>
      </c>
    </row>
    <row r="1562" spans="1:10">
      <c r="A1562" t="s">
        <v>42</v>
      </c>
      <c r="B1562" t="s">
        <v>41</v>
      </c>
      <c r="C1562" t="s">
        <v>12</v>
      </c>
      <c r="D1562" s="3">
        <v>45901</v>
      </c>
      <c r="E1562" s="5">
        <v>114</v>
      </c>
      <c r="F1562" s="4">
        <v>16148.59</v>
      </c>
      <c r="G1562" s="4">
        <v>12741.99</v>
      </c>
      <c r="H1562" s="4">
        <v>3406.59</v>
      </c>
      <c r="I1562" s="6">
        <v>4.1500000000000004</v>
      </c>
      <c r="J1562" s="5">
        <v>25</v>
      </c>
    </row>
    <row r="1563" spans="1:10">
      <c r="A1563" t="s">
        <v>42</v>
      </c>
      <c r="B1563" t="s">
        <v>41</v>
      </c>
      <c r="C1563" t="s">
        <v>13</v>
      </c>
      <c r="D1563" s="3">
        <v>45901</v>
      </c>
      <c r="E1563" s="5">
        <v>104</v>
      </c>
      <c r="F1563" s="4">
        <v>7778.93</v>
      </c>
      <c r="G1563" s="4">
        <v>5510.71</v>
      </c>
      <c r="H1563" s="4">
        <v>2268.21</v>
      </c>
      <c r="I1563" s="6">
        <v>4.0999999999999996</v>
      </c>
      <c r="J1563" s="5">
        <v>25</v>
      </c>
    </row>
    <row r="1564" spans="1:10">
      <c r="A1564" t="s">
        <v>42</v>
      </c>
      <c r="B1564" t="s">
        <v>41</v>
      </c>
      <c r="C1564" t="s">
        <v>14</v>
      </c>
      <c r="D1564" s="3">
        <v>45901</v>
      </c>
      <c r="E1564" s="5">
        <v>158</v>
      </c>
      <c r="F1564" s="4">
        <v>7826.98</v>
      </c>
      <c r="G1564" s="4">
        <v>5003.3</v>
      </c>
      <c r="H1564" s="4">
        <v>2823.69</v>
      </c>
      <c r="I1564" s="6">
        <v>3.84</v>
      </c>
      <c r="J1564" s="5">
        <v>25</v>
      </c>
    </row>
    <row r="1565" spans="1:10">
      <c r="A1565" t="s">
        <v>42</v>
      </c>
      <c r="B1565" t="s">
        <v>41</v>
      </c>
      <c r="C1565" t="s">
        <v>15</v>
      </c>
      <c r="D1565" s="3">
        <v>45901</v>
      </c>
      <c r="E1565" s="5">
        <v>136</v>
      </c>
      <c r="F1565" s="4">
        <v>4704.1099999999997</v>
      </c>
      <c r="G1565" s="4">
        <v>2350.96</v>
      </c>
      <c r="H1565" s="4">
        <v>2353.16</v>
      </c>
      <c r="I1565" s="6">
        <v>3.84</v>
      </c>
      <c r="J1565" s="5">
        <v>25</v>
      </c>
    </row>
    <row r="1566" spans="1:10">
      <c r="A1566" t="s">
        <v>42</v>
      </c>
      <c r="B1566" t="s">
        <v>41</v>
      </c>
      <c r="C1566" t="s">
        <v>16</v>
      </c>
      <c r="D1566" s="3">
        <v>45901</v>
      </c>
      <c r="E1566" s="5">
        <v>197</v>
      </c>
      <c r="F1566" s="4">
        <v>3549.9</v>
      </c>
      <c r="G1566" s="4">
        <v>3392.19</v>
      </c>
      <c r="H1566" s="4">
        <v>157.71</v>
      </c>
      <c r="I1566" s="6">
        <v>4.13</v>
      </c>
      <c r="J1566" s="5">
        <v>25</v>
      </c>
    </row>
    <row r="1567" spans="1:10">
      <c r="A1567" t="s">
        <v>42</v>
      </c>
      <c r="B1567" t="s">
        <v>41</v>
      </c>
      <c r="C1567" t="s">
        <v>17</v>
      </c>
      <c r="D1567" s="3">
        <v>45901</v>
      </c>
      <c r="E1567" s="5">
        <v>101</v>
      </c>
      <c r="F1567" s="4">
        <v>5922.04</v>
      </c>
      <c r="G1567" s="4">
        <v>3921.87</v>
      </c>
      <c r="H1567" s="4">
        <v>2000.17</v>
      </c>
      <c r="I1567" s="6">
        <v>4.08</v>
      </c>
      <c r="J1567" s="5">
        <v>25</v>
      </c>
    </row>
    <row r="1568" spans="1:10">
      <c r="A1568" t="s">
        <v>42</v>
      </c>
      <c r="B1568" t="s">
        <v>41</v>
      </c>
      <c r="C1568" t="s">
        <v>12</v>
      </c>
      <c r="D1568" s="3">
        <v>45931</v>
      </c>
      <c r="E1568" s="5">
        <v>129</v>
      </c>
      <c r="F1568" s="4">
        <v>19467.55</v>
      </c>
      <c r="G1568" s="4">
        <v>15321.39</v>
      </c>
      <c r="H1568" s="4">
        <v>4146.16</v>
      </c>
      <c r="I1568" s="6">
        <v>3.95</v>
      </c>
      <c r="J1568" s="5">
        <v>26</v>
      </c>
    </row>
    <row r="1569" spans="1:10">
      <c r="A1569" t="s">
        <v>42</v>
      </c>
      <c r="B1569" t="s">
        <v>41</v>
      </c>
      <c r="C1569" t="s">
        <v>13</v>
      </c>
      <c r="D1569" s="3">
        <v>45931</v>
      </c>
      <c r="E1569" s="5">
        <v>122</v>
      </c>
      <c r="F1569" s="4">
        <v>8980.14</v>
      </c>
      <c r="G1569" s="4">
        <v>6151.49</v>
      </c>
      <c r="H1569" s="4">
        <v>2828.65</v>
      </c>
      <c r="I1569" s="6">
        <v>4.12</v>
      </c>
      <c r="J1569" s="5">
        <v>26</v>
      </c>
    </row>
    <row r="1570" spans="1:10">
      <c r="A1570" t="s">
        <v>42</v>
      </c>
      <c r="B1570" t="s">
        <v>41</v>
      </c>
      <c r="C1570" t="s">
        <v>14</v>
      </c>
      <c r="D1570" s="3">
        <v>45931</v>
      </c>
      <c r="E1570" s="5">
        <v>153</v>
      </c>
      <c r="F1570" s="4">
        <v>7482.47</v>
      </c>
      <c r="G1570" s="4">
        <v>4790.32</v>
      </c>
      <c r="H1570" s="4">
        <v>2692.15</v>
      </c>
      <c r="I1570" s="6">
        <v>3.9</v>
      </c>
      <c r="J1570" s="5">
        <v>26</v>
      </c>
    </row>
    <row r="1571" spans="1:10">
      <c r="A1571" t="s">
        <v>42</v>
      </c>
      <c r="B1571" t="s">
        <v>41</v>
      </c>
      <c r="C1571" t="s">
        <v>15</v>
      </c>
      <c r="D1571" s="3">
        <v>45931</v>
      </c>
      <c r="E1571" s="5">
        <v>109</v>
      </c>
      <c r="F1571" s="4">
        <v>4236.82</v>
      </c>
      <c r="G1571" s="4">
        <v>2112.9299999999998</v>
      </c>
      <c r="H1571" s="4">
        <v>2123.89</v>
      </c>
      <c r="I1571" s="6">
        <v>4.0999999999999996</v>
      </c>
      <c r="J1571" s="5">
        <v>26</v>
      </c>
    </row>
    <row r="1572" spans="1:10">
      <c r="A1572" t="s">
        <v>42</v>
      </c>
      <c r="B1572" t="s">
        <v>41</v>
      </c>
      <c r="C1572" t="s">
        <v>16</v>
      </c>
      <c r="D1572" s="3">
        <v>45931</v>
      </c>
      <c r="E1572" s="5">
        <v>226</v>
      </c>
      <c r="F1572" s="4">
        <v>3964.11</v>
      </c>
      <c r="G1572" s="4">
        <v>3702.06</v>
      </c>
      <c r="H1572" s="4">
        <v>262.05</v>
      </c>
      <c r="I1572" s="6">
        <v>3.83</v>
      </c>
      <c r="J1572" s="5">
        <v>26</v>
      </c>
    </row>
    <row r="1573" spans="1:10">
      <c r="A1573" t="s">
        <v>42</v>
      </c>
      <c r="B1573" t="s">
        <v>41</v>
      </c>
      <c r="C1573" t="s">
        <v>17</v>
      </c>
      <c r="D1573" s="3">
        <v>45931</v>
      </c>
      <c r="E1573" s="5">
        <v>111</v>
      </c>
      <c r="F1573" s="4">
        <v>6785.74</v>
      </c>
      <c r="G1573" s="4">
        <v>4514.3900000000003</v>
      </c>
      <c r="H1573" s="4">
        <v>2271.35</v>
      </c>
      <c r="I1573" s="6">
        <v>4.18</v>
      </c>
      <c r="J1573" s="5">
        <v>26</v>
      </c>
    </row>
    <row r="1574" spans="1:10">
      <c r="A1574" t="s">
        <v>42</v>
      </c>
      <c r="B1574" t="s">
        <v>41</v>
      </c>
      <c r="C1574" t="s">
        <v>12</v>
      </c>
      <c r="D1574" s="3">
        <v>45962</v>
      </c>
      <c r="E1574" s="5">
        <v>199</v>
      </c>
      <c r="F1574" s="4">
        <v>30966.34</v>
      </c>
      <c r="G1574" s="4">
        <v>25589.88</v>
      </c>
      <c r="H1574" s="4">
        <v>5376.47</v>
      </c>
      <c r="I1574" s="6">
        <v>3.88</v>
      </c>
      <c r="J1574" s="5">
        <v>26</v>
      </c>
    </row>
    <row r="1575" spans="1:10">
      <c r="A1575" t="s">
        <v>42</v>
      </c>
      <c r="B1575" t="s">
        <v>41</v>
      </c>
      <c r="C1575" t="s">
        <v>13</v>
      </c>
      <c r="D1575" s="3">
        <v>45962</v>
      </c>
      <c r="E1575" s="5">
        <v>154</v>
      </c>
      <c r="F1575" s="4">
        <v>11134.59</v>
      </c>
      <c r="G1575" s="4">
        <v>7948.86</v>
      </c>
      <c r="H1575" s="4">
        <v>3185.72</v>
      </c>
      <c r="I1575" s="6">
        <v>4.0599999999999996</v>
      </c>
      <c r="J1575" s="5">
        <v>26</v>
      </c>
    </row>
    <row r="1576" spans="1:10">
      <c r="A1576" t="s">
        <v>42</v>
      </c>
      <c r="B1576" t="s">
        <v>41</v>
      </c>
      <c r="C1576" t="s">
        <v>14</v>
      </c>
      <c r="D1576" s="3">
        <v>45962</v>
      </c>
      <c r="E1576" s="5">
        <v>176</v>
      </c>
      <c r="F1576" s="4">
        <v>8643.9</v>
      </c>
      <c r="G1576" s="4">
        <v>5368.06</v>
      </c>
      <c r="H1576" s="4">
        <v>3275.84</v>
      </c>
      <c r="I1576" s="6">
        <v>4.17</v>
      </c>
      <c r="J1576" s="5">
        <v>26</v>
      </c>
    </row>
    <row r="1577" spans="1:10">
      <c r="A1577" t="s">
        <v>42</v>
      </c>
      <c r="B1577" t="s">
        <v>41</v>
      </c>
      <c r="C1577" t="s">
        <v>15</v>
      </c>
      <c r="D1577" s="3">
        <v>45962</v>
      </c>
      <c r="E1577" s="5">
        <v>161</v>
      </c>
      <c r="F1577" s="4">
        <v>5980.68</v>
      </c>
      <c r="G1577" s="4">
        <v>3194.09</v>
      </c>
      <c r="H1577" s="4">
        <v>2786.59</v>
      </c>
      <c r="I1577" s="6">
        <v>3.94</v>
      </c>
      <c r="J1577" s="5">
        <v>26</v>
      </c>
    </row>
    <row r="1578" spans="1:10">
      <c r="A1578" t="s">
        <v>42</v>
      </c>
      <c r="B1578" t="s">
        <v>41</v>
      </c>
      <c r="C1578" t="s">
        <v>16</v>
      </c>
      <c r="D1578" s="3">
        <v>45962</v>
      </c>
      <c r="E1578" s="5">
        <v>258</v>
      </c>
      <c r="F1578" s="4">
        <v>4987.82</v>
      </c>
      <c r="G1578" s="4">
        <v>4708.01</v>
      </c>
      <c r="H1578" s="4">
        <v>279.81</v>
      </c>
      <c r="I1578" s="6">
        <v>3.87</v>
      </c>
      <c r="J1578" s="5">
        <v>26</v>
      </c>
    </row>
    <row r="1579" spans="1:10">
      <c r="A1579" t="s">
        <v>42</v>
      </c>
      <c r="B1579" t="s">
        <v>41</v>
      </c>
      <c r="C1579" t="s">
        <v>17</v>
      </c>
      <c r="D1579" s="3">
        <v>45962</v>
      </c>
      <c r="E1579" s="5">
        <v>100</v>
      </c>
      <c r="F1579" s="4">
        <v>5870.26</v>
      </c>
      <c r="G1579" s="4">
        <v>4026.18</v>
      </c>
      <c r="H1579" s="4">
        <v>1844.08</v>
      </c>
      <c r="I1579" s="6">
        <v>3.94</v>
      </c>
      <c r="J1579" s="5">
        <v>26</v>
      </c>
    </row>
    <row r="1580" spans="1:10">
      <c r="A1580" t="s">
        <v>42</v>
      </c>
      <c r="B1580" t="s">
        <v>41</v>
      </c>
      <c r="C1580" t="s">
        <v>12</v>
      </c>
      <c r="D1580" s="3">
        <v>45992</v>
      </c>
      <c r="E1580" s="5">
        <v>240</v>
      </c>
      <c r="F1580" s="4">
        <v>35646.36</v>
      </c>
      <c r="G1580" s="4">
        <v>29071.83</v>
      </c>
      <c r="H1580" s="4">
        <v>6574.53</v>
      </c>
      <c r="I1580" s="6">
        <v>3.92</v>
      </c>
      <c r="J1580" s="5">
        <v>26</v>
      </c>
    </row>
    <row r="1581" spans="1:10">
      <c r="A1581" t="s">
        <v>42</v>
      </c>
      <c r="B1581" t="s">
        <v>41</v>
      </c>
      <c r="C1581" t="s">
        <v>13</v>
      </c>
      <c r="D1581" s="3">
        <v>45992</v>
      </c>
      <c r="E1581" s="5">
        <v>146</v>
      </c>
      <c r="F1581" s="4">
        <v>10803.19</v>
      </c>
      <c r="G1581" s="4">
        <v>7970.59</v>
      </c>
      <c r="H1581" s="4">
        <v>2832.6</v>
      </c>
      <c r="I1581" s="6">
        <v>3.97</v>
      </c>
      <c r="J1581" s="5">
        <v>26</v>
      </c>
    </row>
    <row r="1582" spans="1:10">
      <c r="A1582" t="s">
        <v>42</v>
      </c>
      <c r="B1582" t="s">
        <v>41</v>
      </c>
      <c r="C1582" t="s">
        <v>14</v>
      </c>
      <c r="D1582" s="3">
        <v>45992</v>
      </c>
      <c r="E1582" s="5">
        <v>253</v>
      </c>
      <c r="F1582" s="4">
        <v>12075.88</v>
      </c>
      <c r="G1582" s="4">
        <v>7995.44</v>
      </c>
      <c r="H1582" s="4">
        <v>4080.44</v>
      </c>
      <c r="I1582" s="6">
        <v>4.0599999999999996</v>
      </c>
      <c r="J1582" s="5">
        <v>26</v>
      </c>
    </row>
    <row r="1583" spans="1:10">
      <c r="A1583" t="s">
        <v>42</v>
      </c>
      <c r="B1583" t="s">
        <v>41</v>
      </c>
      <c r="C1583" t="s">
        <v>15</v>
      </c>
      <c r="D1583" s="3">
        <v>45992</v>
      </c>
      <c r="E1583" s="5">
        <v>171</v>
      </c>
      <c r="F1583" s="4">
        <v>6609.21</v>
      </c>
      <c r="G1583" s="4">
        <v>3533.74</v>
      </c>
      <c r="H1583" s="4">
        <v>3075.47</v>
      </c>
      <c r="I1583" s="6">
        <v>3.93</v>
      </c>
      <c r="J1583" s="5">
        <v>26</v>
      </c>
    </row>
    <row r="1584" spans="1:10">
      <c r="A1584" t="s">
        <v>42</v>
      </c>
      <c r="B1584" t="s">
        <v>41</v>
      </c>
      <c r="C1584" t="s">
        <v>16</v>
      </c>
      <c r="D1584" s="3">
        <v>45992</v>
      </c>
      <c r="E1584" s="5">
        <v>304</v>
      </c>
      <c r="F1584" s="4">
        <v>5849.78</v>
      </c>
      <c r="G1584" s="4">
        <v>5751.82</v>
      </c>
      <c r="H1584" s="4">
        <v>97.95</v>
      </c>
      <c r="I1584" s="6">
        <v>4.01</v>
      </c>
      <c r="J1584" s="5">
        <v>26</v>
      </c>
    </row>
    <row r="1585" spans="1:10">
      <c r="A1585" t="s">
        <v>42</v>
      </c>
      <c r="B1585" t="s">
        <v>41</v>
      </c>
      <c r="C1585" t="s">
        <v>17</v>
      </c>
      <c r="D1585" s="3">
        <v>45992</v>
      </c>
      <c r="E1585" s="5">
        <v>113</v>
      </c>
      <c r="F1585" s="4">
        <v>6937.8</v>
      </c>
      <c r="G1585" s="4">
        <v>4779.3900000000003</v>
      </c>
      <c r="H1585" s="4">
        <v>2158.41</v>
      </c>
      <c r="I1585" s="6">
        <v>3.96</v>
      </c>
      <c r="J1585" s="5">
        <v>26</v>
      </c>
    </row>
    <row r="1586" spans="1:10">
      <c r="A1586" t="s">
        <v>43</v>
      </c>
      <c r="B1586" t="s">
        <v>41</v>
      </c>
      <c r="C1586" t="s">
        <v>12</v>
      </c>
      <c r="D1586" s="3">
        <v>45658</v>
      </c>
      <c r="E1586" s="5">
        <v>69</v>
      </c>
      <c r="F1586" s="4">
        <v>10072.049999999999</v>
      </c>
      <c r="G1586" s="4">
        <v>7582.62</v>
      </c>
      <c r="H1586" s="4">
        <v>2489.4299999999998</v>
      </c>
      <c r="I1586" s="6">
        <v>3.62</v>
      </c>
      <c r="J1586" s="5">
        <v>27</v>
      </c>
    </row>
    <row r="1587" spans="1:10">
      <c r="A1587" t="s">
        <v>43</v>
      </c>
      <c r="B1587" t="s">
        <v>41</v>
      </c>
      <c r="C1587" t="s">
        <v>13</v>
      </c>
      <c r="D1587" s="3">
        <v>45658</v>
      </c>
      <c r="E1587" s="5">
        <v>78</v>
      </c>
      <c r="F1587" s="4">
        <v>6200.15</v>
      </c>
      <c r="G1587" s="4">
        <v>4042.14</v>
      </c>
      <c r="H1587" s="4">
        <v>2158.0100000000002</v>
      </c>
      <c r="I1587" s="6">
        <v>3.68</v>
      </c>
      <c r="J1587" s="5">
        <v>27</v>
      </c>
    </row>
    <row r="1588" spans="1:10">
      <c r="A1588" t="s">
        <v>43</v>
      </c>
      <c r="B1588" t="s">
        <v>41</v>
      </c>
      <c r="C1588" t="s">
        <v>14</v>
      </c>
      <c r="D1588" s="3">
        <v>45658</v>
      </c>
      <c r="E1588" s="5">
        <v>89</v>
      </c>
      <c r="F1588" s="4">
        <v>4039.87</v>
      </c>
      <c r="G1588" s="4">
        <v>2320.87</v>
      </c>
      <c r="H1588" s="4">
        <v>1718.99</v>
      </c>
      <c r="I1588" s="6">
        <v>3.63</v>
      </c>
      <c r="J1588" s="5">
        <v>27</v>
      </c>
    </row>
    <row r="1589" spans="1:10">
      <c r="A1589" t="s">
        <v>43</v>
      </c>
      <c r="B1589" t="s">
        <v>41</v>
      </c>
      <c r="C1589" t="s">
        <v>15</v>
      </c>
      <c r="D1589" s="3">
        <v>45658</v>
      </c>
      <c r="E1589" s="5">
        <v>85</v>
      </c>
      <c r="F1589" s="4">
        <v>2972.46</v>
      </c>
      <c r="G1589" s="4">
        <v>1382.61</v>
      </c>
      <c r="H1589" s="4">
        <v>1589.85</v>
      </c>
      <c r="I1589" s="6">
        <v>3.52</v>
      </c>
      <c r="J1589" s="5">
        <v>27</v>
      </c>
    </row>
    <row r="1590" spans="1:10">
      <c r="A1590" t="s">
        <v>43</v>
      </c>
      <c r="B1590" t="s">
        <v>41</v>
      </c>
      <c r="C1590" t="s">
        <v>16</v>
      </c>
      <c r="D1590" s="3">
        <v>45658</v>
      </c>
      <c r="E1590" s="5">
        <v>118</v>
      </c>
      <c r="F1590" s="4">
        <v>2152.58</v>
      </c>
      <c r="G1590" s="4">
        <v>1870.48</v>
      </c>
      <c r="H1590" s="4">
        <v>282.10000000000002</v>
      </c>
      <c r="I1590" s="6">
        <v>3.59</v>
      </c>
      <c r="J1590" s="5">
        <v>27</v>
      </c>
    </row>
    <row r="1591" spans="1:10">
      <c r="A1591" t="s">
        <v>43</v>
      </c>
      <c r="B1591" t="s">
        <v>41</v>
      </c>
      <c r="C1591" t="s">
        <v>17</v>
      </c>
      <c r="D1591" s="3">
        <v>45658</v>
      </c>
      <c r="E1591" s="5">
        <v>61</v>
      </c>
      <c r="F1591" s="4">
        <v>4035.43</v>
      </c>
      <c r="G1591" s="4">
        <v>2498.6</v>
      </c>
      <c r="H1591" s="4">
        <v>1536.82</v>
      </c>
      <c r="I1591" s="6">
        <v>3.52</v>
      </c>
      <c r="J1591" s="5">
        <v>27</v>
      </c>
    </row>
    <row r="1592" spans="1:10">
      <c r="A1592" t="s">
        <v>43</v>
      </c>
      <c r="B1592" t="s">
        <v>41</v>
      </c>
      <c r="C1592" t="s">
        <v>12</v>
      </c>
      <c r="D1592" s="3">
        <v>45689</v>
      </c>
      <c r="E1592" s="5">
        <v>83</v>
      </c>
      <c r="F1592" s="4">
        <v>11731.86</v>
      </c>
      <c r="G1592" s="4">
        <v>8830.83</v>
      </c>
      <c r="H1592" s="4">
        <v>2901.03</v>
      </c>
      <c r="I1592" s="6">
        <v>3.67</v>
      </c>
      <c r="J1592" s="5">
        <v>27</v>
      </c>
    </row>
    <row r="1593" spans="1:10">
      <c r="A1593" t="s">
        <v>43</v>
      </c>
      <c r="B1593" t="s">
        <v>41</v>
      </c>
      <c r="C1593" t="s">
        <v>13</v>
      </c>
      <c r="D1593" s="3">
        <v>45689</v>
      </c>
      <c r="E1593" s="5">
        <v>72</v>
      </c>
      <c r="F1593" s="4">
        <v>5565.79</v>
      </c>
      <c r="G1593" s="4">
        <v>3685.52</v>
      </c>
      <c r="H1593" s="4">
        <v>1880.26</v>
      </c>
      <c r="I1593" s="6">
        <v>3.65</v>
      </c>
      <c r="J1593" s="5">
        <v>27</v>
      </c>
    </row>
    <row r="1594" spans="1:10">
      <c r="A1594" t="s">
        <v>43</v>
      </c>
      <c r="B1594" t="s">
        <v>41</v>
      </c>
      <c r="C1594" t="s">
        <v>14</v>
      </c>
      <c r="D1594" s="3">
        <v>45689</v>
      </c>
      <c r="E1594" s="5">
        <v>88</v>
      </c>
      <c r="F1594" s="4">
        <v>4245.34</v>
      </c>
      <c r="G1594" s="4">
        <v>2520.65</v>
      </c>
      <c r="H1594" s="4">
        <v>1724.69</v>
      </c>
      <c r="I1594" s="6">
        <v>3.76</v>
      </c>
      <c r="J1594" s="5">
        <v>27</v>
      </c>
    </row>
    <row r="1595" spans="1:10">
      <c r="A1595" t="s">
        <v>43</v>
      </c>
      <c r="B1595" t="s">
        <v>41</v>
      </c>
      <c r="C1595" t="s">
        <v>15</v>
      </c>
      <c r="D1595" s="3">
        <v>45689</v>
      </c>
      <c r="E1595" s="5">
        <v>81</v>
      </c>
      <c r="F1595" s="4">
        <v>2886.15</v>
      </c>
      <c r="G1595" s="4">
        <v>1351.85</v>
      </c>
      <c r="H1595" s="4">
        <v>1534.3</v>
      </c>
      <c r="I1595" s="6">
        <v>3.74</v>
      </c>
      <c r="J1595" s="5">
        <v>27</v>
      </c>
    </row>
    <row r="1596" spans="1:10">
      <c r="A1596" t="s">
        <v>43</v>
      </c>
      <c r="B1596" t="s">
        <v>41</v>
      </c>
      <c r="C1596" t="s">
        <v>16</v>
      </c>
      <c r="D1596" s="3">
        <v>45689</v>
      </c>
      <c r="E1596" s="5">
        <v>154</v>
      </c>
      <c r="F1596" s="4">
        <v>2785.31</v>
      </c>
      <c r="G1596" s="4">
        <v>2510.16</v>
      </c>
      <c r="H1596" s="4">
        <v>275.14999999999998</v>
      </c>
      <c r="I1596" s="6">
        <v>3.74</v>
      </c>
      <c r="J1596" s="5">
        <v>27</v>
      </c>
    </row>
    <row r="1597" spans="1:10">
      <c r="A1597" t="s">
        <v>43</v>
      </c>
      <c r="B1597" t="s">
        <v>41</v>
      </c>
      <c r="C1597" t="s">
        <v>17</v>
      </c>
      <c r="D1597" s="3">
        <v>45689</v>
      </c>
      <c r="E1597" s="5">
        <v>62</v>
      </c>
      <c r="F1597" s="4">
        <v>3637.72</v>
      </c>
      <c r="G1597" s="4">
        <v>2265.77</v>
      </c>
      <c r="H1597" s="4">
        <v>1371.95</v>
      </c>
      <c r="I1597" s="6">
        <v>3.72</v>
      </c>
      <c r="J1597" s="5">
        <v>27</v>
      </c>
    </row>
    <row r="1598" spans="1:10">
      <c r="A1598" t="s">
        <v>43</v>
      </c>
      <c r="B1598" t="s">
        <v>41</v>
      </c>
      <c r="C1598" t="s">
        <v>12</v>
      </c>
      <c r="D1598" s="3">
        <v>45717</v>
      </c>
      <c r="E1598" s="5">
        <v>87</v>
      </c>
      <c r="F1598" s="4">
        <v>13041.85</v>
      </c>
      <c r="G1598" s="4">
        <v>10011.709999999999</v>
      </c>
      <c r="H1598" s="4">
        <v>3030.13</v>
      </c>
      <c r="I1598" s="6">
        <v>3.56</v>
      </c>
      <c r="J1598" s="5">
        <v>27</v>
      </c>
    </row>
    <row r="1599" spans="1:10">
      <c r="A1599" t="s">
        <v>43</v>
      </c>
      <c r="B1599" t="s">
        <v>41</v>
      </c>
      <c r="C1599" t="s">
        <v>13</v>
      </c>
      <c r="D1599" s="3">
        <v>45717</v>
      </c>
      <c r="E1599" s="5">
        <v>81</v>
      </c>
      <c r="F1599" s="4">
        <v>6619.8</v>
      </c>
      <c r="G1599" s="4">
        <v>4412.2700000000004</v>
      </c>
      <c r="H1599" s="4">
        <v>2207.52</v>
      </c>
      <c r="I1599" s="6">
        <v>3.53</v>
      </c>
      <c r="J1599" s="5">
        <v>27</v>
      </c>
    </row>
    <row r="1600" spans="1:10">
      <c r="A1600" t="s">
        <v>43</v>
      </c>
      <c r="B1600" t="s">
        <v>41</v>
      </c>
      <c r="C1600" t="s">
        <v>14</v>
      </c>
      <c r="D1600" s="3">
        <v>45717</v>
      </c>
      <c r="E1600" s="5">
        <v>135</v>
      </c>
      <c r="F1600" s="4">
        <v>6639.2</v>
      </c>
      <c r="G1600" s="4">
        <v>4018.04</v>
      </c>
      <c r="H1600" s="4">
        <v>2621.16</v>
      </c>
      <c r="I1600" s="6">
        <v>3.5</v>
      </c>
      <c r="J1600" s="5">
        <v>27</v>
      </c>
    </row>
    <row r="1601" spans="1:10">
      <c r="A1601" t="s">
        <v>43</v>
      </c>
      <c r="B1601" t="s">
        <v>41</v>
      </c>
      <c r="C1601" t="s">
        <v>15</v>
      </c>
      <c r="D1601" s="3">
        <v>45717</v>
      </c>
      <c r="E1601" s="5">
        <v>102</v>
      </c>
      <c r="F1601" s="4">
        <v>3726.39</v>
      </c>
      <c r="G1601" s="4">
        <v>1706.71</v>
      </c>
      <c r="H1601" s="4">
        <v>2019.68</v>
      </c>
      <c r="I1601" s="6">
        <v>3.51</v>
      </c>
      <c r="J1601" s="5">
        <v>27</v>
      </c>
    </row>
    <row r="1602" spans="1:10">
      <c r="A1602" t="s">
        <v>43</v>
      </c>
      <c r="B1602" t="s">
        <v>41</v>
      </c>
      <c r="C1602" t="s">
        <v>16</v>
      </c>
      <c r="D1602" s="3">
        <v>45717</v>
      </c>
      <c r="E1602" s="5">
        <v>156</v>
      </c>
      <c r="F1602" s="4">
        <v>2911.48</v>
      </c>
      <c r="G1602" s="4">
        <v>2654.51</v>
      </c>
      <c r="H1602" s="4">
        <v>256.98</v>
      </c>
      <c r="I1602" s="6">
        <v>3.78</v>
      </c>
      <c r="J1602" s="5">
        <v>27</v>
      </c>
    </row>
    <row r="1603" spans="1:10">
      <c r="A1603" t="s">
        <v>43</v>
      </c>
      <c r="B1603" t="s">
        <v>41</v>
      </c>
      <c r="C1603" t="s">
        <v>17</v>
      </c>
      <c r="D1603" s="3">
        <v>45717</v>
      </c>
      <c r="E1603" s="5">
        <v>73</v>
      </c>
      <c r="F1603" s="4">
        <v>4635.82</v>
      </c>
      <c r="G1603" s="4">
        <v>2927.5</v>
      </c>
      <c r="H1603" s="4">
        <v>1708.32</v>
      </c>
      <c r="I1603" s="6">
        <v>3.69</v>
      </c>
      <c r="J1603" s="5">
        <v>27</v>
      </c>
    </row>
    <row r="1604" spans="1:10">
      <c r="A1604" t="s">
        <v>43</v>
      </c>
      <c r="B1604" t="s">
        <v>41</v>
      </c>
      <c r="C1604" t="s">
        <v>12</v>
      </c>
      <c r="D1604" s="3">
        <v>45748</v>
      </c>
      <c r="E1604" s="5">
        <v>94</v>
      </c>
      <c r="F1604" s="4">
        <v>14100.43</v>
      </c>
      <c r="G1604" s="4">
        <v>11027.07</v>
      </c>
      <c r="H1604" s="4">
        <v>3073.36</v>
      </c>
      <c r="I1604" s="6">
        <v>3.5</v>
      </c>
      <c r="J1604" s="5">
        <v>27</v>
      </c>
    </row>
    <row r="1605" spans="1:10">
      <c r="A1605" t="s">
        <v>43</v>
      </c>
      <c r="B1605" t="s">
        <v>41</v>
      </c>
      <c r="C1605" t="s">
        <v>13</v>
      </c>
      <c r="D1605" s="3">
        <v>45748</v>
      </c>
      <c r="E1605" s="5">
        <v>74</v>
      </c>
      <c r="F1605" s="4">
        <v>5392.94</v>
      </c>
      <c r="G1605" s="4">
        <v>3482.72</v>
      </c>
      <c r="H1605" s="4">
        <v>1910.22</v>
      </c>
      <c r="I1605" s="6">
        <v>3.76</v>
      </c>
      <c r="J1605" s="5">
        <v>27</v>
      </c>
    </row>
    <row r="1606" spans="1:10">
      <c r="A1606" t="s">
        <v>43</v>
      </c>
      <c r="B1606" t="s">
        <v>41</v>
      </c>
      <c r="C1606" t="s">
        <v>14</v>
      </c>
      <c r="D1606" s="3">
        <v>45748</v>
      </c>
      <c r="E1606" s="5">
        <v>136</v>
      </c>
      <c r="F1606" s="4">
        <v>6160.83</v>
      </c>
      <c r="G1606" s="4">
        <v>3680</v>
      </c>
      <c r="H1606" s="4">
        <v>2480.83</v>
      </c>
      <c r="I1606" s="6">
        <v>3.52</v>
      </c>
      <c r="J1606" s="5">
        <v>27</v>
      </c>
    </row>
    <row r="1607" spans="1:10">
      <c r="A1607" t="s">
        <v>43</v>
      </c>
      <c r="B1607" t="s">
        <v>41</v>
      </c>
      <c r="C1607" t="s">
        <v>15</v>
      </c>
      <c r="D1607" s="3">
        <v>45748</v>
      </c>
      <c r="E1607" s="5">
        <v>93</v>
      </c>
      <c r="F1607" s="4">
        <v>3260.45</v>
      </c>
      <c r="G1607" s="4">
        <v>1590.48</v>
      </c>
      <c r="H1607" s="4">
        <v>1669.96</v>
      </c>
      <c r="I1607" s="6">
        <v>3.77</v>
      </c>
      <c r="J1607" s="5">
        <v>27</v>
      </c>
    </row>
    <row r="1608" spans="1:10">
      <c r="A1608" t="s">
        <v>43</v>
      </c>
      <c r="B1608" t="s">
        <v>41</v>
      </c>
      <c r="C1608" t="s">
        <v>16</v>
      </c>
      <c r="D1608" s="3">
        <v>45748</v>
      </c>
      <c r="E1608" s="5">
        <v>156</v>
      </c>
      <c r="F1608" s="4">
        <v>2942.11</v>
      </c>
      <c r="G1608" s="4">
        <v>2586.2399999999998</v>
      </c>
      <c r="H1608" s="4">
        <v>355.87</v>
      </c>
      <c r="I1608" s="6">
        <v>3.59</v>
      </c>
      <c r="J1608" s="5">
        <v>27</v>
      </c>
    </row>
    <row r="1609" spans="1:10">
      <c r="A1609" t="s">
        <v>43</v>
      </c>
      <c r="B1609" t="s">
        <v>41</v>
      </c>
      <c r="C1609" t="s">
        <v>17</v>
      </c>
      <c r="D1609" s="3">
        <v>45748</v>
      </c>
      <c r="E1609" s="5">
        <v>72</v>
      </c>
      <c r="F1609" s="4">
        <v>4268.9399999999996</v>
      </c>
      <c r="G1609" s="4">
        <v>2789.35</v>
      </c>
      <c r="H1609" s="4">
        <v>1479.6</v>
      </c>
      <c r="I1609" s="6">
        <v>3.73</v>
      </c>
      <c r="J1609" s="5">
        <v>27</v>
      </c>
    </row>
    <row r="1610" spans="1:10">
      <c r="A1610" t="s">
        <v>43</v>
      </c>
      <c r="B1610" t="s">
        <v>41</v>
      </c>
      <c r="C1610" t="s">
        <v>12</v>
      </c>
      <c r="D1610" s="3">
        <v>45778</v>
      </c>
      <c r="E1610" s="5">
        <v>120</v>
      </c>
      <c r="F1610" s="4">
        <v>18450.46</v>
      </c>
      <c r="G1610" s="4">
        <v>14353.68</v>
      </c>
      <c r="H1610" s="4">
        <v>4096.78</v>
      </c>
      <c r="I1610" s="6">
        <v>3.54</v>
      </c>
      <c r="J1610" s="5">
        <v>28</v>
      </c>
    </row>
    <row r="1611" spans="1:10">
      <c r="A1611" t="s">
        <v>43</v>
      </c>
      <c r="B1611" t="s">
        <v>41</v>
      </c>
      <c r="C1611" t="s">
        <v>13</v>
      </c>
      <c r="D1611" s="3">
        <v>45778</v>
      </c>
      <c r="E1611" s="5">
        <v>97</v>
      </c>
      <c r="F1611" s="4">
        <v>7517.38</v>
      </c>
      <c r="G1611" s="4">
        <v>5091.5200000000004</v>
      </c>
      <c r="H1611" s="4">
        <v>2425.86</v>
      </c>
      <c r="I1611" s="6">
        <v>3.48</v>
      </c>
      <c r="J1611" s="5">
        <v>28</v>
      </c>
    </row>
    <row r="1612" spans="1:10">
      <c r="A1612" t="s">
        <v>43</v>
      </c>
      <c r="B1612" t="s">
        <v>41</v>
      </c>
      <c r="C1612" t="s">
        <v>14</v>
      </c>
      <c r="D1612" s="3">
        <v>45778</v>
      </c>
      <c r="E1612" s="5">
        <v>140</v>
      </c>
      <c r="F1612" s="4">
        <v>6987.68</v>
      </c>
      <c r="G1612" s="4">
        <v>4341.9799999999996</v>
      </c>
      <c r="H1612" s="4">
        <v>2645.7</v>
      </c>
      <c r="I1612" s="6">
        <v>3.77</v>
      </c>
      <c r="J1612" s="5">
        <v>28</v>
      </c>
    </row>
    <row r="1613" spans="1:10">
      <c r="A1613" t="s">
        <v>43</v>
      </c>
      <c r="B1613" t="s">
        <v>41</v>
      </c>
      <c r="C1613" t="s">
        <v>15</v>
      </c>
      <c r="D1613" s="3">
        <v>45778</v>
      </c>
      <c r="E1613" s="5">
        <v>105</v>
      </c>
      <c r="F1613" s="4">
        <v>3943.26</v>
      </c>
      <c r="G1613" s="4">
        <v>1919.51</v>
      </c>
      <c r="H1613" s="4">
        <v>2023.75</v>
      </c>
      <c r="I1613" s="6">
        <v>3.66</v>
      </c>
      <c r="J1613" s="5">
        <v>28</v>
      </c>
    </row>
    <row r="1614" spans="1:10">
      <c r="A1614" t="s">
        <v>43</v>
      </c>
      <c r="B1614" t="s">
        <v>41</v>
      </c>
      <c r="C1614" t="s">
        <v>16</v>
      </c>
      <c r="D1614" s="3">
        <v>45778</v>
      </c>
      <c r="E1614" s="5">
        <v>168</v>
      </c>
      <c r="F1614" s="4">
        <v>3048.36</v>
      </c>
      <c r="G1614" s="4">
        <v>2770.77</v>
      </c>
      <c r="H1614" s="4">
        <v>277.58999999999997</v>
      </c>
      <c r="I1614" s="6">
        <v>3.65</v>
      </c>
      <c r="J1614" s="5">
        <v>28</v>
      </c>
    </row>
    <row r="1615" spans="1:10">
      <c r="A1615" t="s">
        <v>43</v>
      </c>
      <c r="B1615" t="s">
        <v>41</v>
      </c>
      <c r="C1615" t="s">
        <v>17</v>
      </c>
      <c r="D1615" s="3">
        <v>45778</v>
      </c>
      <c r="E1615" s="5">
        <v>110</v>
      </c>
      <c r="F1615" s="4">
        <v>7058.79</v>
      </c>
      <c r="G1615" s="4">
        <v>4632.24</v>
      </c>
      <c r="H1615" s="4">
        <v>2426.5500000000002</v>
      </c>
      <c r="I1615" s="6">
        <v>3.64</v>
      </c>
      <c r="J1615" s="5">
        <v>28</v>
      </c>
    </row>
    <row r="1616" spans="1:10">
      <c r="A1616" t="s">
        <v>43</v>
      </c>
      <c r="B1616" t="s">
        <v>41</v>
      </c>
      <c r="C1616" t="s">
        <v>12</v>
      </c>
      <c r="D1616" s="3">
        <v>45809</v>
      </c>
      <c r="E1616" s="5">
        <v>105</v>
      </c>
      <c r="F1616" s="4">
        <v>14984.73</v>
      </c>
      <c r="G1616" s="4">
        <v>11381.99</v>
      </c>
      <c r="H1616" s="4">
        <v>3602.75</v>
      </c>
      <c r="I1616" s="6">
        <v>3.79</v>
      </c>
      <c r="J1616" s="5">
        <v>27</v>
      </c>
    </row>
    <row r="1617" spans="1:10">
      <c r="A1617" t="s">
        <v>43</v>
      </c>
      <c r="B1617" t="s">
        <v>41</v>
      </c>
      <c r="C1617" t="s">
        <v>13</v>
      </c>
      <c r="D1617" s="3">
        <v>45809</v>
      </c>
      <c r="E1617" s="5">
        <v>102</v>
      </c>
      <c r="F1617" s="4">
        <v>7739.59</v>
      </c>
      <c r="G1617" s="4">
        <v>5177.2299999999996</v>
      </c>
      <c r="H1617" s="4">
        <v>2562.36</v>
      </c>
      <c r="I1617" s="6">
        <v>3.64</v>
      </c>
      <c r="J1617" s="5">
        <v>27</v>
      </c>
    </row>
    <row r="1618" spans="1:10">
      <c r="A1618" t="s">
        <v>43</v>
      </c>
      <c r="B1618" t="s">
        <v>41</v>
      </c>
      <c r="C1618" t="s">
        <v>14</v>
      </c>
      <c r="D1618" s="3">
        <v>45809</v>
      </c>
      <c r="E1618" s="5">
        <v>140</v>
      </c>
      <c r="F1618" s="4">
        <v>6973.02</v>
      </c>
      <c r="G1618" s="4">
        <v>4131.25</v>
      </c>
      <c r="H1618" s="4">
        <v>2841.77</v>
      </c>
      <c r="I1618" s="6">
        <v>3.57</v>
      </c>
      <c r="J1618" s="5">
        <v>27</v>
      </c>
    </row>
    <row r="1619" spans="1:10">
      <c r="A1619" t="s">
        <v>43</v>
      </c>
      <c r="B1619" t="s">
        <v>41</v>
      </c>
      <c r="C1619" t="s">
        <v>15</v>
      </c>
      <c r="D1619" s="3">
        <v>45809</v>
      </c>
      <c r="E1619" s="5">
        <v>106</v>
      </c>
      <c r="F1619" s="4">
        <v>3689.72</v>
      </c>
      <c r="G1619" s="4">
        <v>1791.02</v>
      </c>
      <c r="H1619" s="4">
        <v>1898.7</v>
      </c>
      <c r="I1619" s="6">
        <v>3.55</v>
      </c>
      <c r="J1619" s="5">
        <v>27</v>
      </c>
    </row>
    <row r="1620" spans="1:10">
      <c r="A1620" t="s">
        <v>43</v>
      </c>
      <c r="B1620" t="s">
        <v>41</v>
      </c>
      <c r="C1620" t="s">
        <v>16</v>
      </c>
      <c r="D1620" s="3">
        <v>45809</v>
      </c>
      <c r="E1620" s="5">
        <v>187</v>
      </c>
      <c r="F1620" s="4">
        <v>3323.86</v>
      </c>
      <c r="G1620" s="4">
        <v>3043.24</v>
      </c>
      <c r="H1620" s="4">
        <v>280.62</v>
      </c>
      <c r="I1620" s="6">
        <v>3.74</v>
      </c>
      <c r="J1620" s="5">
        <v>27</v>
      </c>
    </row>
    <row r="1621" spans="1:10">
      <c r="A1621" t="s">
        <v>43</v>
      </c>
      <c r="B1621" t="s">
        <v>41</v>
      </c>
      <c r="C1621" t="s">
        <v>17</v>
      </c>
      <c r="D1621" s="3">
        <v>45809</v>
      </c>
      <c r="E1621" s="5">
        <v>123</v>
      </c>
      <c r="F1621" s="4">
        <v>7869.83</v>
      </c>
      <c r="G1621" s="4">
        <v>5002.1899999999996</v>
      </c>
      <c r="H1621" s="4">
        <v>2867.65</v>
      </c>
      <c r="I1621" s="6">
        <v>3.57</v>
      </c>
      <c r="J1621" s="5">
        <v>27</v>
      </c>
    </row>
    <row r="1622" spans="1:10">
      <c r="A1622" t="s">
        <v>43</v>
      </c>
      <c r="B1622" t="s">
        <v>41</v>
      </c>
      <c r="C1622" t="s">
        <v>12</v>
      </c>
      <c r="D1622" s="3">
        <v>45839</v>
      </c>
      <c r="E1622" s="5">
        <v>138</v>
      </c>
      <c r="F1622" s="4">
        <v>20695.04</v>
      </c>
      <c r="G1622" s="4">
        <v>16495.25</v>
      </c>
      <c r="H1622" s="4">
        <v>4199.79</v>
      </c>
      <c r="I1622" s="6">
        <v>3.75</v>
      </c>
      <c r="J1622" s="5">
        <v>29</v>
      </c>
    </row>
    <row r="1623" spans="1:10">
      <c r="A1623" t="s">
        <v>43</v>
      </c>
      <c r="B1623" t="s">
        <v>41</v>
      </c>
      <c r="C1623" t="s">
        <v>13</v>
      </c>
      <c r="D1623" s="3">
        <v>45839</v>
      </c>
      <c r="E1623" s="5">
        <v>104</v>
      </c>
      <c r="F1623" s="4">
        <v>8314.74</v>
      </c>
      <c r="G1623" s="4">
        <v>5736.95</v>
      </c>
      <c r="H1623" s="4">
        <v>2577.7800000000002</v>
      </c>
      <c r="I1623" s="6">
        <v>3.69</v>
      </c>
      <c r="J1623" s="5">
        <v>29</v>
      </c>
    </row>
    <row r="1624" spans="1:10">
      <c r="A1624" t="s">
        <v>43</v>
      </c>
      <c r="B1624" t="s">
        <v>41</v>
      </c>
      <c r="C1624" t="s">
        <v>14</v>
      </c>
      <c r="D1624" s="3">
        <v>45839</v>
      </c>
      <c r="E1624" s="5">
        <v>133</v>
      </c>
      <c r="F1624" s="4">
        <v>6597.15</v>
      </c>
      <c r="G1624" s="4">
        <v>3973.41</v>
      </c>
      <c r="H1624" s="4">
        <v>2623.74</v>
      </c>
      <c r="I1624" s="6">
        <v>3.54</v>
      </c>
      <c r="J1624" s="5">
        <v>29</v>
      </c>
    </row>
    <row r="1625" spans="1:10">
      <c r="A1625" t="s">
        <v>43</v>
      </c>
      <c r="B1625" t="s">
        <v>41</v>
      </c>
      <c r="C1625" t="s">
        <v>15</v>
      </c>
      <c r="D1625" s="3">
        <v>45839</v>
      </c>
      <c r="E1625" s="5">
        <v>129</v>
      </c>
      <c r="F1625" s="4">
        <v>4759.1899999999996</v>
      </c>
      <c r="G1625" s="4">
        <v>2304.0300000000002</v>
      </c>
      <c r="H1625" s="4">
        <v>2455.16</v>
      </c>
      <c r="I1625" s="6">
        <v>3.61</v>
      </c>
      <c r="J1625" s="5">
        <v>29</v>
      </c>
    </row>
    <row r="1626" spans="1:10">
      <c r="A1626" t="s">
        <v>43</v>
      </c>
      <c r="B1626" t="s">
        <v>41</v>
      </c>
      <c r="C1626" t="s">
        <v>16</v>
      </c>
      <c r="D1626" s="3">
        <v>45839</v>
      </c>
      <c r="E1626" s="5">
        <v>202</v>
      </c>
      <c r="F1626" s="4">
        <v>3524.45</v>
      </c>
      <c r="G1626" s="4">
        <v>3140.66</v>
      </c>
      <c r="H1626" s="4">
        <v>383.79</v>
      </c>
      <c r="I1626" s="6">
        <v>3.44</v>
      </c>
      <c r="J1626" s="5">
        <v>29</v>
      </c>
    </row>
    <row r="1627" spans="1:10">
      <c r="A1627" t="s">
        <v>43</v>
      </c>
      <c r="B1627" t="s">
        <v>41</v>
      </c>
      <c r="C1627" t="s">
        <v>17</v>
      </c>
      <c r="D1627" s="3">
        <v>45839</v>
      </c>
      <c r="E1627" s="5">
        <v>109</v>
      </c>
      <c r="F1627" s="4">
        <v>7185.96</v>
      </c>
      <c r="G1627" s="4">
        <v>4673.5600000000004</v>
      </c>
      <c r="H1627" s="4">
        <v>2512.4</v>
      </c>
      <c r="I1627" s="6">
        <v>3.52</v>
      </c>
      <c r="J1627" s="5">
        <v>29</v>
      </c>
    </row>
    <row r="1628" spans="1:10">
      <c r="A1628" t="s">
        <v>43</v>
      </c>
      <c r="B1628" t="s">
        <v>41</v>
      </c>
      <c r="C1628" t="s">
        <v>12</v>
      </c>
      <c r="D1628" s="3">
        <v>45870</v>
      </c>
      <c r="E1628" s="5">
        <v>117</v>
      </c>
      <c r="F1628" s="4">
        <v>16217.79</v>
      </c>
      <c r="G1628" s="4">
        <v>12633.86</v>
      </c>
      <c r="H1628" s="4">
        <v>3583.93</v>
      </c>
      <c r="I1628" s="6">
        <v>3.67</v>
      </c>
      <c r="J1628" s="5">
        <v>27</v>
      </c>
    </row>
    <row r="1629" spans="1:10">
      <c r="A1629" t="s">
        <v>43</v>
      </c>
      <c r="B1629" t="s">
        <v>41</v>
      </c>
      <c r="C1629" t="s">
        <v>13</v>
      </c>
      <c r="D1629" s="3">
        <v>45870</v>
      </c>
      <c r="E1629" s="5">
        <v>96</v>
      </c>
      <c r="F1629" s="4">
        <v>7355.03</v>
      </c>
      <c r="G1629" s="4">
        <v>5164.71</v>
      </c>
      <c r="H1629" s="4">
        <v>2190.3200000000002</v>
      </c>
      <c r="I1629" s="6">
        <v>3.75</v>
      </c>
      <c r="J1629" s="5">
        <v>27</v>
      </c>
    </row>
    <row r="1630" spans="1:10">
      <c r="A1630" t="s">
        <v>43</v>
      </c>
      <c r="B1630" t="s">
        <v>41</v>
      </c>
      <c r="C1630" t="s">
        <v>14</v>
      </c>
      <c r="D1630" s="3">
        <v>45870</v>
      </c>
      <c r="E1630" s="5">
        <v>157</v>
      </c>
      <c r="F1630" s="4">
        <v>7671.52</v>
      </c>
      <c r="G1630" s="4">
        <v>4885.1499999999996</v>
      </c>
      <c r="H1630" s="4">
        <v>2786.37</v>
      </c>
      <c r="I1630" s="6">
        <v>3.77</v>
      </c>
      <c r="J1630" s="5">
        <v>27</v>
      </c>
    </row>
    <row r="1631" spans="1:10">
      <c r="A1631" t="s">
        <v>43</v>
      </c>
      <c r="B1631" t="s">
        <v>41</v>
      </c>
      <c r="C1631" t="s">
        <v>15</v>
      </c>
      <c r="D1631" s="3">
        <v>45870</v>
      </c>
      <c r="E1631" s="5">
        <v>94</v>
      </c>
      <c r="F1631" s="4">
        <v>3594.88</v>
      </c>
      <c r="G1631" s="4">
        <v>1815.92</v>
      </c>
      <c r="H1631" s="4">
        <v>1778.96</v>
      </c>
      <c r="I1631" s="6">
        <v>3.5</v>
      </c>
      <c r="J1631" s="5">
        <v>27</v>
      </c>
    </row>
    <row r="1632" spans="1:10">
      <c r="A1632" t="s">
        <v>43</v>
      </c>
      <c r="B1632" t="s">
        <v>41</v>
      </c>
      <c r="C1632" t="s">
        <v>16</v>
      </c>
      <c r="D1632" s="3">
        <v>45870</v>
      </c>
      <c r="E1632" s="5">
        <v>213</v>
      </c>
      <c r="F1632" s="4">
        <v>4032.82</v>
      </c>
      <c r="G1632" s="4">
        <v>3821.48</v>
      </c>
      <c r="H1632" s="4">
        <v>211.35</v>
      </c>
      <c r="I1632" s="6">
        <v>3.71</v>
      </c>
      <c r="J1632" s="5">
        <v>27</v>
      </c>
    </row>
    <row r="1633" spans="1:10">
      <c r="A1633" t="s">
        <v>43</v>
      </c>
      <c r="B1633" t="s">
        <v>41</v>
      </c>
      <c r="C1633" t="s">
        <v>17</v>
      </c>
      <c r="D1633" s="3">
        <v>45870</v>
      </c>
      <c r="E1633" s="5">
        <v>111</v>
      </c>
      <c r="F1633" s="4">
        <v>7408.15</v>
      </c>
      <c r="G1633" s="4">
        <v>4987.07</v>
      </c>
      <c r="H1633" s="4">
        <v>2421.08</v>
      </c>
      <c r="I1633" s="6">
        <v>3.68</v>
      </c>
      <c r="J1633" s="5">
        <v>27</v>
      </c>
    </row>
    <row r="1634" spans="1:10">
      <c r="A1634" t="s">
        <v>43</v>
      </c>
      <c r="B1634" t="s">
        <v>41</v>
      </c>
      <c r="C1634" t="s">
        <v>12</v>
      </c>
      <c r="D1634" s="3">
        <v>45901</v>
      </c>
      <c r="E1634" s="5">
        <v>110</v>
      </c>
      <c r="F1634" s="4">
        <v>15228.38</v>
      </c>
      <c r="G1634" s="4">
        <v>12246.98</v>
      </c>
      <c r="H1634" s="4">
        <v>2981.4</v>
      </c>
      <c r="I1634" s="6">
        <v>3.78</v>
      </c>
      <c r="J1634" s="5">
        <v>26</v>
      </c>
    </row>
    <row r="1635" spans="1:10">
      <c r="A1635" t="s">
        <v>43</v>
      </c>
      <c r="B1635" t="s">
        <v>41</v>
      </c>
      <c r="C1635" t="s">
        <v>13</v>
      </c>
      <c r="D1635" s="3">
        <v>45901</v>
      </c>
      <c r="E1635" s="5">
        <v>97</v>
      </c>
      <c r="F1635" s="4">
        <v>7869.89</v>
      </c>
      <c r="G1635" s="4">
        <v>5303.06</v>
      </c>
      <c r="H1635" s="4">
        <v>2566.83</v>
      </c>
      <c r="I1635" s="6">
        <v>3.57</v>
      </c>
      <c r="J1635" s="5">
        <v>26</v>
      </c>
    </row>
    <row r="1636" spans="1:10">
      <c r="A1636" t="s">
        <v>43</v>
      </c>
      <c r="B1636" t="s">
        <v>41</v>
      </c>
      <c r="C1636" t="s">
        <v>14</v>
      </c>
      <c r="D1636" s="3">
        <v>45901</v>
      </c>
      <c r="E1636" s="5">
        <v>114</v>
      </c>
      <c r="F1636" s="4">
        <v>5704.87</v>
      </c>
      <c r="G1636" s="4">
        <v>3496.52</v>
      </c>
      <c r="H1636" s="4">
        <v>2208.35</v>
      </c>
      <c r="I1636" s="6">
        <v>3.7</v>
      </c>
      <c r="J1636" s="5">
        <v>26</v>
      </c>
    </row>
    <row r="1637" spans="1:10">
      <c r="A1637" t="s">
        <v>43</v>
      </c>
      <c r="B1637" t="s">
        <v>41</v>
      </c>
      <c r="C1637" t="s">
        <v>15</v>
      </c>
      <c r="D1637" s="3">
        <v>45901</v>
      </c>
      <c r="E1637" s="5">
        <v>107</v>
      </c>
      <c r="F1637" s="4">
        <v>3801.33</v>
      </c>
      <c r="G1637" s="4">
        <v>1889.1</v>
      </c>
      <c r="H1637" s="4">
        <v>1912.22</v>
      </c>
      <c r="I1637" s="6">
        <v>3.77</v>
      </c>
      <c r="J1637" s="5">
        <v>26</v>
      </c>
    </row>
    <row r="1638" spans="1:10">
      <c r="A1638" t="s">
        <v>43</v>
      </c>
      <c r="B1638" t="s">
        <v>41</v>
      </c>
      <c r="C1638" t="s">
        <v>16</v>
      </c>
      <c r="D1638" s="3">
        <v>45901</v>
      </c>
      <c r="E1638" s="5">
        <v>159</v>
      </c>
      <c r="F1638" s="4">
        <v>2998.42</v>
      </c>
      <c r="G1638" s="4">
        <v>2740.01</v>
      </c>
      <c r="H1638" s="4">
        <v>258.41000000000003</v>
      </c>
      <c r="I1638" s="6">
        <v>3.72</v>
      </c>
      <c r="J1638" s="5">
        <v>26</v>
      </c>
    </row>
    <row r="1639" spans="1:10">
      <c r="A1639" t="s">
        <v>43</v>
      </c>
      <c r="B1639" t="s">
        <v>41</v>
      </c>
      <c r="C1639" t="s">
        <v>17</v>
      </c>
      <c r="D1639" s="3">
        <v>45901</v>
      </c>
      <c r="E1639" s="5">
        <v>80</v>
      </c>
      <c r="F1639" s="4">
        <v>4899.41</v>
      </c>
      <c r="G1639" s="4">
        <v>3273.79</v>
      </c>
      <c r="H1639" s="4">
        <v>1625.62</v>
      </c>
      <c r="I1639" s="6">
        <v>3.49</v>
      </c>
      <c r="J1639" s="5">
        <v>26</v>
      </c>
    </row>
    <row r="1640" spans="1:10">
      <c r="A1640" t="s">
        <v>43</v>
      </c>
      <c r="B1640" t="s">
        <v>41</v>
      </c>
      <c r="C1640" t="s">
        <v>12</v>
      </c>
      <c r="D1640" s="3">
        <v>45931</v>
      </c>
      <c r="E1640" s="5">
        <v>113</v>
      </c>
      <c r="F1640" s="4">
        <v>16845.77</v>
      </c>
      <c r="G1640" s="4">
        <v>13337.15</v>
      </c>
      <c r="H1640" s="4">
        <v>3508.63</v>
      </c>
      <c r="I1640" s="6">
        <v>3.73</v>
      </c>
      <c r="J1640" s="5">
        <v>27</v>
      </c>
    </row>
    <row r="1641" spans="1:10">
      <c r="A1641" t="s">
        <v>43</v>
      </c>
      <c r="B1641" t="s">
        <v>41</v>
      </c>
      <c r="C1641" t="s">
        <v>13</v>
      </c>
      <c r="D1641" s="3">
        <v>45931</v>
      </c>
      <c r="E1641" s="5">
        <v>96</v>
      </c>
      <c r="F1641" s="4">
        <v>7399.25</v>
      </c>
      <c r="G1641" s="4">
        <v>5223.57</v>
      </c>
      <c r="H1641" s="4">
        <v>2175.6799999999998</v>
      </c>
      <c r="I1641" s="6">
        <v>3.51</v>
      </c>
      <c r="J1641" s="5">
        <v>27</v>
      </c>
    </row>
    <row r="1642" spans="1:10">
      <c r="A1642" t="s">
        <v>43</v>
      </c>
      <c r="B1642" t="s">
        <v>41</v>
      </c>
      <c r="C1642" t="s">
        <v>14</v>
      </c>
      <c r="D1642" s="3">
        <v>45931</v>
      </c>
      <c r="E1642" s="5">
        <v>111</v>
      </c>
      <c r="F1642" s="4">
        <v>5678.2</v>
      </c>
      <c r="G1642" s="4">
        <v>3697.58</v>
      </c>
      <c r="H1642" s="4">
        <v>1980.63</v>
      </c>
      <c r="I1642" s="6">
        <v>3.65</v>
      </c>
      <c r="J1642" s="5">
        <v>27</v>
      </c>
    </row>
    <row r="1643" spans="1:10">
      <c r="A1643" t="s">
        <v>43</v>
      </c>
      <c r="B1643" t="s">
        <v>41</v>
      </c>
      <c r="C1643" t="s">
        <v>15</v>
      </c>
      <c r="D1643" s="3">
        <v>45931</v>
      </c>
      <c r="E1643" s="5">
        <v>118</v>
      </c>
      <c r="F1643" s="4">
        <v>4398.84</v>
      </c>
      <c r="G1643" s="4">
        <v>2321.1999999999998</v>
      </c>
      <c r="H1643" s="4">
        <v>2077.64</v>
      </c>
      <c r="I1643" s="6">
        <v>3.62</v>
      </c>
      <c r="J1643" s="5">
        <v>27</v>
      </c>
    </row>
    <row r="1644" spans="1:10">
      <c r="A1644" t="s">
        <v>43</v>
      </c>
      <c r="B1644" t="s">
        <v>41</v>
      </c>
      <c r="C1644" t="s">
        <v>16</v>
      </c>
      <c r="D1644" s="3">
        <v>45931</v>
      </c>
      <c r="E1644" s="5">
        <v>185</v>
      </c>
      <c r="F1644" s="4">
        <v>3371.39</v>
      </c>
      <c r="G1644" s="4">
        <v>3067.56</v>
      </c>
      <c r="H1644" s="4">
        <v>303.83</v>
      </c>
      <c r="I1644" s="6">
        <v>3.56</v>
      </c>
      <c r="J1644" s="5">
        <v>27</v>
      </c>
    </row>
    <row r="1645" spans="1:10">
      <c r="A1645" t="s">
        <v>43</v>
      </c>
      <c r="B1645" t="s">
        <v>41</v>
      </c>
      <c r="C1645" t="s">
        <v>17</v>
      </c>
      <c r="D1645" s="3">
        <v>45931</v>
      </c>
      <c r="E1645" s="5">
        <v>72</v>
      </c>
      <c r="F1645" s="4">
        <v>4447.18</v>
      </c>
      <c r="G1645" s="4">
        <v>3046.38</v>
      </c>
      <c r="H1645" s="4">
        <v>1400.79</v>
      </c>
      <c r="I1645" s="6">
        <v>3.62</v>
      </c>
      <c r="J1645" s="5">
        <v>27</v>
      </c>
    </row>
    <row r="1646" spans="1:10">
      <c r="A1646" t="s">
        <v>43</v>
      </c>
      <c r="B1646" t="s">
        <v>41</v>
      </c>
      <c r="C1646" t="s">
        <v>12</v>
      </c>
      <c r="D1646" s="3">
        <v>45962</v>
      </c>
      <c r="E1646" s="5">
        <v>188</v>
      </c>
      <c r="F1646" s="4">
        <v>28072.49</v>
      </c>
      <c r="G1646" s="4">
        <v>23287.87</v>
      </c>
      <c r="H1646" s="4">
        <v>4784.62</v>
      </c>
      <c r="I1646" s="6">
        <v>3.48</v>
      </c>
      <c r="J1646" s="5">
        <v>30</v>
      </c>
    </row>
    <row r="1647" spans="1:10">
      <c r="A1647" t="s">
        <v>43</v>
      </c>
      <c r="B1647" t="s">
        <v>41</v>
      </c>
      <c r="C1647" t="s">
        <v>13</v>
      </c>
      <c r="D1647" s="3">
        <v>45962</v>
      </c>
      <c r="E1647" s="5">
        <v>111</v>
      </c>
      <c r="F1647" s="4">
        <v>8675.7900000000009</v>
      </c>
      <c r="G1647" s="4">
        <v>6150.8</v>
      </c>
      <c r="H1647" s="4">
        <v>2524.9899999999998</v>
      </c>
      <c r="I1647" s="6">
        <v>3.7</v>
      </c>
      <c r="J1647" s="5">
        <v>30</v>
      </c>
    </row>
    <row r="1648" spans="1:10">
      <c r="A1648" t="s">
        <v>43</v>
      </c>
      <c r="B1648" t="s">
        <v>41</v>
      </c>
      <c r="C1648" t="s">
        <v>14</v>
      </c>
      <c r="D1648" s="3">
        <v>45962</v>
      </c>
      <c r="E1648" s="5">
        <v>174</v>
      </c>
      <c r="F1648" s="4">
        <v>8320.93</v>
      </c>
      <c r="G1648" s="4">
        <v>5383.19</v>
      </c>
      <c r="H1648" s="4">
        <v>2937.74</v>
      </c>
      <c r="I1648" s="6">
        <v>3.66</v>
      </c>
      <c r="J1648" s="5">
        <v>30</v>
      </c>
    </row>
    <row r="1649" spans="1:10">
      <c r="A1649" t="s">
        <v>43</v>
      </c>
      <c r="B1649" t="s">
        <v>41</v>
      </c>
      <c r="C1649" t="s">
        <v>15</v>
      </c>
      <c r="D1649" s="3">
        <v>45962</v>
      </c>
      <c r="E1649" s="5">
        <v>130</v>
      </c>
      <c r="F1649" s="4">
        <v>4598.59</v>
      </c>
      <c r="G1649" s="4">
        <v>2426.09</v>
      </c>
      <c r="H1649" s="4">
        <v>2172.5</v>
      </c>
      <c r="I1649" s="6">
        <v>3.79</v>
      </c>
      <c r="J1649" s="5">
        <v>30</v>
      </c>
    </row>
    <row r="1650" spans="1:10">
      <c r="A1650" t="s">
        <v>43</v>
      </c>
      <c r="B1650" t="s">
        <v>41</v>
      </c>
      <c r="C1650" t="s">
        <v>16</v>
      </c>
      <c r="D1650" s="3">
        <v>45962</v>
      </c>
      <c r="E1650" s="5">
        <v>240</v>
      </c>
      <c r="F1650" s="4">
        <v>4380.01</v>
      </c>
      <c r="G1650" s="4">
        <v>4221.07</v>
      </c>
      <c r="H1650" s="4">
        <v>158.94</v>
      </c>
      <c r="I1650" s="6">
        <v>3.69</v>
      </c>
      <c r="J1650" s="5">
        <v>30</v>
      </c>
    </row>
    <row r="1651" spans="1:10">
      <c r="A1651" t="s">
        <v>43</v>
      </c>
      <c r="B1651" t="s">
        <v>41</v>
      </c>
      <c r="C1651" t="s">
        <v>17</v>
      </c>
      <c r="D1651" s="3">
        <v>45962</v>
      </c>
      <c r="E1651" s="5">
        <v>99</v>
      </c>
      <c r="F1651" s="4">
        <v>6153.14</v>
      </c>
      <c r="G1651" s="4">
        <v>4110.1099999999997</v>
      </c>
      <c r="H1651" s="4">
        <v>2043.03</v>
      </c>
      <c r="I1651" s="6">
        <v>3.66</v>
      </c>
      <c r="J1651" s="5">
        <v>30</v>
      </c>
    </row>
    <row r="1652" spans="1:10">
      <c r="A1652" t="s">
        <v>43</v>
      </c>
      <c r="B1652" t="s">
        <v>41</v>
      </c>
      <c r="C1652" t="s">
        <v>12</v>
      </c>
      <c r="D1652" s="3">
        <v>45992</v>
      </c>
      <c r="E1652" s="5">
        <v>198</v>
      </c>
      <c r="F1652" s="4">
        <v>30128.81</v>
      </c>
      <c r="G1652" s="4">
        <v>25043.37</v>
      </c>
      <c r="H1652" s="4">
        <v>5085.4399999999996</v>
      </c>
      <c r="I1652" s="6">
        <v>3.53</v>
      </c>
      <c r="J1652" s="5">
        <v>30</v>
      </c>
    </row>
    <row r="1653" spans="1:10">
      <c r="A1653" t="s">
        <v>43</v>
      </c>
      <c r="B1653" t="s">
        <v>41</v>
      </c>
      <c r="C1653" t="s">
        <v>13</v>
      </c>
      <c r="D1653" s="3">
        <v>45992</v>
      </c>
      <c r="E1653" s="5">
        <v>119</v>
      </c>
      <c r="F1653" s="4">
        <v>8883.15</v>
      </c>
      <c r="G1653" s="4">
        <v>6270</v>
      </c>
      <c r="H1653" s="4">
        <v>2613.15</v>
      </c>
      <c r="I1653" s="6">
        <v>3.58</v>
      </c>
      <c r="J1653" s="5">
        <v>30</v>
      </c>
    </row>
    <row r="1654" spans="1:10">
      <c r="A1654" t="s">
        <v>43</v>
      </c>
      <c r="B1654" t="s">
        <v>41</v>
      </c>
      <c r="C1654" t="s">
        <v>14</v>
      </c>
      <c r="D1654" s="3">
        <v>45992</v>
      </c>
      <c r="E1654" s="5">
        <v>204</v>
      </c>
      <c r="F1654" s="4">
        <v>9377.2199999999993</v>
      </c>
      <c r="G1654" s="4">
        <v>6429.56</v>
      </c>
      <c r="H1654" s="4">
        <v>2947.66</v>
      </c>
      <c r="I1654" s="6">
        <v>3.57</v>
      </c>
      <c r="J1654" s="5">
        <v>30</v>
      </c>
    </row>
    <row r="1655" spans="1:10">
      <c r="A1655" t="s">
        <v>43</v>
      </c>
      <c r="B1655" t="s">
        <v>41</v>
      </c>
      <c r="C1655" t="s">
        <v>15</v>
      </c>
      <c r="D1655" s="3">
        <v>45992</v>
      </c>
      <c r="E1655" s="5">
        <v>129</v>
      </c>
      <c r="F1655" s="4">
        <v>4425.71</v>
      </c>
      <c r="G1655" s="4">
        <v>2423.94</v>
      </c>
      <c r="H1655" s="4">
        <v>2001.76</v>
      </c>
      <c r="I1655" s="6">
        <v>3.65</v>
      </c>
      <c r="J1655" s="5">
        <v>30</v>
      </c>
    </row>
    <row r="1656" spans="1:10">
      <c r="A1656" t="s">
        <v>43</v>
      </c>
      <c r="B1656" t="s">
        <v>41</v>
      </c>
      <c r="C1656" t="s">
        <v>16</v>
      </c>
      <c r="D1656" s="3">
        <v>45992</v>
      </c>
      <c r="E1656" s="5">
        <v>253</v>
      </c>
      <c r="F1656" s="4">
        <v>4298.54</v>
      </c>
      <c r="G1656" s="4">
        <v>4200.04</v>
      </c>
      <c r="H1656" s="4">
        <v>98.51</v>
      </c>
      <c r="I1656" s="6">
        <v>3.65</v>
      </c>
      <c r="J1656" s="5">
        <v>30</v>
      </c>
    </row>
    <row r="1657" spans="1:10">
      <c r="A1657" t="s">
        <v>43</v>
      </c>
      <c r="B1657" t="s">
        <v>41</v>
      </c>
      <c r="C1657" t="s">
        <v>17</v>
      </c>
      <c r="D1657" s="3">
        <v>45992</v>
      </c>
      <c r="E1657" s="5">
        <v>105</v>
      </c>
      <c r="F1657" s="4">
        <v>6339.36</v>
      </c>
      <c r="G1657" s="4">
        <v>4549.21</v>
      </c>
      <c r="H1657" s="4">
        <v>1790.15</v>
      </c>
      <c r="I1657" s="6">
        <v>3.73</v>
      </c>
      <c r="J1657" s="5">
        <v>30</v>
      </c>
    </row>
    <row r="1658" spans="1:10">
      <c r="A1658" t="s">
        <v>44</v>
      </c>
      <c r="B1658" t="s">
        <v>41</v>
      </c>
      <c r="C1658" t="s">
        <v>12</v>
      </c>
      <c r="D1658" s="3">
        <v>45658</v>
      </c>
      <c r="E1658" s="5">
        <v>91</v>
      </c>
      <c r="F1658" s="4">
        <v>12883.15</v>
      </c>
      <c r="G1658" s="4">
        <v>9666.7099999999991</v>
      </c>
      <c r="H1658" s="4">
        <v>3216.44</v>
      </c>
      <c r="I1658" s="6">
        <v>4.0599999999999996</v>
      </c>
      <c r="J1658" s="5">
        <v>25</v>
      </c>
    </row>
    <row r="1659" spans="1:10">
      <c r="A1659" t="s">
        <v>44</v>
      </c>
      <c r="B1659" t="s">
        <v>41</v>
      </c>
      <c r="C1659" t="s">
        <v>13</v>
      </c>
      <c r="D1659" s="3">
        <v>45658</v>
      </c>
      <c r="E1659" s="5">
        <v>70</v>
      </c>
      <c r="F1659" s="4">
        <v>5564.29</v>
      </c>
      <c r="G1659" s="4">
        <v>3655.44</v>
      </c>
      <c r="H1659" s="4">
        <v>1908.84</v>
      </c>
      <c r="I1659" s="6">
        <v>4.18</v>
      </c>
      <c r="J1659" s="5">
        <v>25</v>
      </c>
    </row>
    <row r="1660" spans="1:10">
      <c r="A1660" t="s">
        <v>44</v>
      </c>
      <c r="B1660" t="s">
        <v>41</v>
      </c>
      <c r="C1660" t="s">
        <v>14</v>
      </c>
      <c r="D1660" s="3">
        <v>45658</v>
      </c>
      <c r="E1660" s="5">
        <v>106</v>
      </c>
      <c r="F1660" s="4">
        <v>5024.18</v>
      </c>
      <c r="G1660" s="4">
        <v>2867.88</v>
      </c>
      <c r="H1660" s="4">
        <v>2156.3000000000002</v>
      </c>
      <c r="I1660" s="6">
        <v>4.29</v>
      </c>
      <c r="J1660" s="5">
        <v>25</v>
      </c>
    </row>
    <row r="1661" spans="1:10">
      <c r="A1661" t="s">
        <v>44</v>
      </c>
      <c r="B1661" t="s">
        <v>41</v>
      </c>
      <c r="C1661" t="s">
        <v>15</v>
      </c>
      <c r="D1661" s="3">
        <v>45658</v>
      </c>
      <c r="E1661" s="5">
        <v>88</v>
      </c>
      <c r="F1661" s="4">
        <v>3235.87</v>
      </c>
      <c r="G1661" s="4">
        <v>1507.67</v>
      </c>
      <c r="H1661" s="4">
        <v>1728.2</v>
      </c>
      <c r="I1661" s="6">
        <v>4.3600000000000003</v>
      </c>
      <c r="J1661" s="5">
        <v>25</v>
      </c>
    </row>
    <row r="1662" spans="1:10">
      <c r="A1662" t="s">
        <v>44</v>
      </c>
      <c r="B1662" t="s">
        <v>41</v>
      </c>
      <c r="C1662" t="s">
        <v>16</v>
      </c>
      <c r="D1662" s="3">
        <v>45658</v>
      </c>
      <c r="E1662" s="5">
        <v>134</v>
      </c>
      <c r="F1662" s="4">
        <v>2346.2399999999998</v>
      </c>
      <c r="G1662" s="4">
        <v>2039.82</v>
      </c>
      <c r="H1662" s="4">
        <v>306.42</v>
      </c>
      <c r="I1662" s="6">
        <v>4.2300000000000004</v>
      </c>
      <c r="J1662" s="5">
        <v>25</v>
      </c>
    </row>
    <row r="1663" spans="1:10">
      <c r="A1663" t="s">
        <v>44</v>
      </c>
      <c r="B1663" t="s">
        <v>41</v>
      </c>
      <c r="C1663" t="s">
        <v>17</v>
      </c>
      <c r="D1663" s="3">
        <v>45658</v>
      </c>
      <c r="E1663" s="5">
        <v>56</v>
      </c>
      <c r="F1663" s="4">
        <v>3659.87</v>
      </c>
      <c r="G1663" s="4">
        <v>2279.0300000000002</v>
      </c>
      <c r="H1663" s="4">
        <v>1380.85</v>
      </c>
      <c r="I1663" s="6">
        <v>4.07</v>
      </c>
      <c r="J1663" s="5">
        <v>25</v>
      </c>
    </row>
    <row r="1664" spans="1:10">
      <c r="A1664" t="s">
        <v>44</v>
      </c>
      <c r="B1664" t="s">
        <v>41</v>
      </c>
      <c r="C1664" t="s">
        <v>12</v>
      </c>
      <c r="D1664" s="3">
        <v>45689</v>
      </c>
      <c r="E1664" s="5">
        <v>87</v>
      </c>
      <c r="F1664" s="4">
        <v>12437.11</v>
      </c>
      <c r="G1664" s="4">
        <v>9448.92</v>
      </c>
      <c r="H1664" s="4">
        <v>2988.19</v>
      </c>
      <c r="I1664" s="6">
        <v>4.3099999999999996</v>
      </c>
      <c r="J1664" s="5">
        <v>27</v>
      </c>
    </row>
    <row r="1665" spans="1:10">
      <c r="A1665" t="s">
        <v>44</v>
      </c>
      <c r="B1665" t="s">
        <v>41</v>
      </c>
      <c r="C1665" t="s">
        <v>13</v>
      </c>
      <c r="D1665" s="3">
        <v>45689</v>
      </c>
      <c r="E1665" s="5">
        <v>83</v>
      </c>
      <c r="F1665" s="4">
        <v>6248.56</v>
      </c>
      <c r="G1665" s="4">
        <v>3939.21</v>
      </c>
      <c r="H1665" s="4">
        <v>2309.36</v>
      </c>
      <c r="I1665" s="6">
        <v>4.2699999999999996</v>
      </c>
      <c r="J1665" s="5">
        <v>27</v>
      </c>
    </row>
    <row r="1666" spans="1:10">
      <c r="A1666" t="s">
        <v>44</v>
      </c>
      <c r="B1666" t="s">
        <v>41</v>
      </c>
      <c r="C1666" t="s">
        <v>14</v>
      </c>
      <c r="D1666" s="3">
        <v>45689</v>
      </c>
      <c r="E1666" s="5">
        <v>108</v>
      </c>
      <c r="F1666" s="4">
        <v>4918.1000000000004</v>
      </c>
      <c r="G1666" s="4">
        <v>2949.19</v>
      </c>
      <c r="H1666" s="4">
        <v>1968.91</v>
      </c>
      <c r="I1666" s="6">
        <v>4.1900000000000004</v>
      </c>
      <c r="J1666" s="5">
        <v>27</v>
      </c>
    </row>
    <row r="1667" spans="1:10">
      <c r="A1667" t="s">
        <v>44</v>
      </c>
      <c r="B1667" t="s">
        <v>41</v>
      </c>
      <c r="C1667" t="s">
        <v>15</v>
      </c>
      <c r="D1667" s="3">
        <v>45689</v>
      </c>
      <c r="E1667" s="5">
        <v>86</v>
      </c>
      <c r="F1667" s="4">
        <v>3103.63</v>
      </c>
      <c r="G1667" s="4">
        <v>1434.95</v>
      </c>
      <c r="H1667" s="4">
        <v>1668.68</v>
      </c>
      <c r="I1667" s="6">
        <v>4.21</v>
      </c>
      <c r="J1667" s="5">
        <v>27</v>
      </c>
    </row>
    <row r="1668" spans="1:10">
      <c r="A1668" t="s">
        <v>44</v>
      </c>
      <c r="B1668" t="s">
        <v>41</v>
      </c>
      <c r="C1668" t="s">
        <v>16</v>
      </c>
      <c r="D1668" s="3">
        <v>45689</v>
      </c>
      <c r="E1668" s="5">
        <v>133</v>
      </c>
      <c r="F1668" s="4">
        <v>2382.6799999999998</v>
      </c>
      <c r="G1668" s="4">
        <v>2081.12</v>
      </c>
      <c r="H1668" s="4">
        <v>301.56</v>
      </c>
      <c r="I1668" s="6">
        <v>4.17</v>
      </c>
      <c r="J1668" s="5">
        <v>27</v>
      </c>
    </row>
    <row r="1669" spans="1:10">
      <c r="A1669" t="s">
        <v>44</v>
      </c>
      <c r="B1669" t="s">
        <v>41</v>
      </c>
      <c r="C1669" t="s">
        <v>17</v>
      </c>
      <c r="D1669" s="3">
        <v>45689</v>
      </c>
      <c r="E1669" s="5">
        <v>62</v>
      </c>
      <c r="F1669" s="4">
        <v>3841.23</v>
      </c>
      <c r="G1669" s="4">
        <v>2395.96</v>
      </c>
      <c r="H1669" s="4">
        <v>1445.26</v>
      </c>
      <c r="I1669" s="6">
        <v>4.3499999999999996</v>
      </c>
      <c r="J1669" s="5">
        <v>27</v>
      </c>
    </row>
    <row r="1670" spans="1:10">
      <c r="A1670" t="s">
        <v>44</v>
      </c>
      <c r="B1670" t="s">
        <v>41</v>
      </c>
      <c r="C1670" t="s">
        <v>12</v>
      </c>
      <c r="D1670" s="3">
        <v>45717</v>
      </c>
      <c r="E1670" s="5">
        <v>102</v>
      </c>
      <c r="F1670" s="4">
        <v>14239.78</v>
      </c>
      <c r="G1670" s="4">
        <v>10854.48</v>
      </c>
      <c r="H1670" s="4">
        <v>3385.3</v>
      </c>
      <c r="I1670" s="6">
        <v>4.1900000000000004</v>
      </c>
      <c r="J1670" s="5">
        <v>27</v>
      </c>
    </row>
    <row r="1671" spans="1:10">
      <c r="A1671" t="s">
        <v>44</v>
      </c>
      <c r="B1671" t="s">
        <v>41</v>
      </c>
      <c r="C1671" t="s">
        <v>13</v>
      </c>
      <c r="D1671" s="3">
        <v>45717</v>
      </c>
      <c r="E1671" s="5">
        <v>85</v>
      </c>
      <c r="F1671" s="4">
        <v>6486.36</v>
      </c>
      <c r="G1671" s="4">
        <v>4347.87</v>
      </c>
      <c r="H1671" s="4">
        <v>2138.4899999999998</v>
      </c>
      <c r="I1671" s="6">
        <v>4.2</v>
      </c>
      <c r="J1671" s="5">
        <v>27</v>
      </c>
    </row>
    <row r="1672" spans="1:10">
      <c r="A1672" t="s">
        <v>44</v>
      </c>
      <c r="B1672" t="s">
        <v>41</v>
      </c>
      <c r="C1672" t="s">
        <v>14</v>
      </c>
      <c r="D1672" s="3">
        <v>45717</v>
      </c>
      <c r="E1672" s="5">
        <v>121</v>
      </c>
      <c r="F1672" s="4">
        <v>5829.84</v>
      </c>
      <c r="G1672" s="4">
        <v>3354.48</v>
      </c>
      <c r="H1672" s="4">
        <v>2475.36</v>
      </c>
      <c r="I1672" s="6">
        <v>4.07</v>
      </c>
      <c r="J1672" s="5">
        <v>27</v>
      </c>
    </row>
    <row r="1673" spans="1:10">
      <c r="A1673" t="s">
        <v>44</v>
      </c>
      <c r="B1673" t="s">
        <v>41</v>
      </c>
      <c r="C1673" t="s">
        <v>15</v>
      </c>
      <c r="D1673" s="3">
        <v>45717</v>
      </c>
      <c r="E1673" s="5">
        <v>96</v>
      </c>
      <c r="F1673" s="4">
        <v>3519.12</v>
      </c>
      <c r="G1673" s="4">
        <v>1703.05</v>
      </c>
      <c r="H1673" s="4">
        <v>1816.07</v>
      </c>
      <c r="I1673" s="6">
        <v>4.0599999999999996</v>
      </c>
      <c r="J1673" s="5">
        <v>27</v>
      </c>
    </row>
    <row r="1674" spans="1:10">
      <c r="A1674" t="s">
        <v>44</v>
      </c>
      <c r="B1674" t="s">
        <v>41</v>
      </c>
      <c r="C1674" t="s">
        <v>16</v>
      </c>
      <c r="D1674" s="3">
        <v>45717</v>
      </c>
      <c r="E1674" s="5">
        <v>167</v>
      </c>
      <c r="F1674" s="4">
        <v>2981.18</v>
      </c>
      <c r="G1674" s="4">
        <v>2625.64</v>
      </c>
      <c r="H1674" s="4">
        <v>355.54</v>
      </c>
      <c r="I1674" s="6">
        <v>4.18</v>
      </c>
      <c r="J1674" s="5">
        <v>27</v>
      </c>
    </row>
    <row r="1675" spans="1:10">
      <c r="A1675" t="s">
        <v>44</v>
      </c>
      <c r="B1675" t="s">
        <v>41</v>
      </c>
      <c r="C1675" t="s">
        <v>17</v>
      </c>
      <c r="D1675" s="3">
        <v>45717</v>
      </c>
      <c r="E1675" s="5">
        <v>71</v>
      </c>
      <c r="F1675" s="4">
        <v>4210.4399999999996</v>
      </c>
      <c r="G1675" s="4">
        <v>2629.85</v>
      </c>
      <c r="H1675" s="4">
        <v>1580.59</v>
      </c>
      <c r="I1675" s="6">
        <v>4.1500000000000004</v>
      </c>
      <c r="J1675" s="5">
        <v>27</v>
      </c>
    </row>
    <row r="1676" spans="1:10">
      <c r="A1676" t="s">
        <v>44</v>
      </c>
      <c r="B1676" t="s">
        <v>41</v>
      </c>
      <c r="C1676" t="s">
        <v>12</v>
      </c>
      <c r="D1676" s="3">
        <v>45748</v>
      </c>
      <c r="E1676" s="5">
        <v>95</v>
      </c>
      <c r="F1676" s="4">
        <v>13222.62</v>
      </c>
      <c r="G1676" s="4">
        <v>10209.58</v>
      </c>
      <c r="H1676" s="4">
        <v>3013.04</v>
      </c>
      <c r="I1676" s="6">
        <v>4.04</v>
      </c>
      <c r="J1676" s="5">
        <v>26</v>
      </c>
    </row>
    <row r="1677" spans="1:10">
      <c r="A1677" t="s">
        <v>44</v>
      </c>
      <c r="B1677" t="s">
        <v>41</v>
      </c>
      <c r="C1677" t="s">
        <v>13</v>
      </c>
      <c r="D1677" s="3">
        <v>45748</v>
      </c>
      <c r="E1677" s="5">
        <v>103</v>
      </c>
      <c r="F1677" s="4">
        <v>8338.35</v>
      </c>
      <c r="G1677" s="4">
        <v>5614.71</v>
      </c>
      <c r="H1677" s="4">
        <v>2723.64</v>
      </c>
      <c r="I1677" s="6">
        <v>4.0999999999999996</v>
      </c>
      <c r="J1677" s="5">
        <v>26</v>
      </c>
    </row>
    <row r="1678" spans="1:10">
      <c r="A1678" t="s">
        <v>44</v>
      </c>
      <c r="B1678" t="s">
        <v>41</v>
      </c>
      <c r="C1678" t="s">
        <v>14</v>
      </c>
      <c r="D1678" s="3">
        <v>45748</v>
      </c>
      <c r="E1678" s="5">
        <v>157</v>
      </c>
      <c r="F1678" s="4">
        <v>7212.9</v>
      </c>
      <c r="G1678" s="4">
        <v>4274.1499999999996</v>
      </c>
      <c r="H1678" s="4">
        <v>2938.76</v>
      </c>
      <c r="I1678" s="6">
        <v>4.33</v>
      </c>
      <c r="J1678" s="5">
        <v>26</v>
      </c>
    </row>
    <row r="1679" spans="1:10">
      <c r="A1679" t="s">
        <v>44</v>
      </c>
      <c r="B1679" t="s">
        <v>41</v>
      </c>
      <c r="C1679" t="s">
        <v>15</v>
      </c>
      <c r="D1679" s="3">
        <v>45748</v>
      </c>
      <c r="E1679" s="5">
        <v>97</v>
      </c>
      <c r="F1679" s="4">
        <v>3486.62</v>
      </c>
      <c r="G1679" s="4">
        <v>1673.91</v>
      </c>
      <c r="H1679" s="4">
        <v>1812.71</v>
      </c>
      <c r="I1679" s="6">
        <v>4.22</v>
      </c>
      <c r="J1679" s="5">
        <v>26</v>
      </c>
    </row>
    <row r="1680" spans="1:10">
      <c r="A1680" t="s">
        <v>44</v>
      </c>
      <c r="B1680" t="s">
        <v>41</v>
      </c>
      <c r="C1680" t="s">
        <v>16</v>
      </c>
      <c r="D1680" s="3">
        <v>45748</v>
      </c>
      <c r="E1680" s="5">
        <v>197</v>
      </c>
      <c r="F1680" s="4">
        <v>3569.16</v>
      </c>
      <c r="G1680" s="4">
        <v>3247.42</v>
      </c>
      <c r="H1680" s="4">
        <v>321.74</v>
      </c>
      <c r="I1680" s="6">
        <v>4.21</v>
      </c>
      <c r="J1680" s="5">
        <v>26</v>
      </c>
    </row>
    <row r="1681" spans="1:10">
      <c r="A1681" t="s">
        <v>44</v>
      </c>
      <c r="B1681" t="s">
        <v>41</v>
      </c>
      <c r="C1681" t="s">
        <v>17</v>
      </c>
      <c r="D1681" s="3">
        <v>45748</v>
      </c>
      <c r="E1681" s="5">
        <v>73</v>
      </c>
      <c r="F1681" s="4">
        <v>4737.24</v>
      </c>
      <c r="G1681" s="4">
        <v>3023.22</v>
      </c>
      <c r="H1681" s="4">
        <v>1714.02</v>
      </c>
      <c r="I1681" s="6">
        <v>4.18</v>
      </c>
      <c r="J1681" s="5">
        <v>26</v>
      </c>
    </row>
    <row r="1682" spans="1:10">
      <c r="A1682" t="s">
        <v>44</v>
      </c>
      <c r="B1682" t="s">
        <v>41</v>
      </c>
      <c r="C1682" t="s">
        <v>12</v>
      </c>
      <c r="D1682" s="3">
        <v>45778</v>
      </c>
      <c r="E1682" s="5">
        <v>117</v>
      </c>
      <c r="F1682" s="4">
        <v>17675.849999999999</v>
      </c>
      <c r="G1682" s="4">
        <v>13343.99</v>
      </c>
      <c r="H1682" s="4">
        <v>4331.8599999999997</v>
      </c>
      <c r="I1682" s="6">
        <v>4.24</v>
      </c>
      <c r="J1682" s="5">
        <v>27</v>
      </c>
    </row>
    <row r="1683" spans="1:10">
      <c r="A1683" t="s">
        <v>44</v>
      </c>
      <c r="B1683" t="s">
        <v>41</v>
      </c>
      <c r="C1683" t="s">
        <v>13</v>
      </c>
      <c r="D1683" s="3">
        <v>45778</v>
      </c>
      <c r="E1683" s="5">
        <v>104</v>
      </c>
      <c r="F1683" s="4">
        <v>8119.8</v>
      </c>
      <c r="G1683" s="4">
        <v>5355.07</v>
      </c>
      <c r="H1683" s="4">
        <v>2764.73</v>
      </c>
      <c r="I1683" s="6">
        <v>4.34</v>
      </c>
      <c r="J1683" s="5">
        <v>27</v>
      </c>
    </row>
    <row r="1684" spans="1:10">
      <c r="A1684" t="s">
        <v>44</v>
      </c>
      <c r="B1684" t="s">
        <v>41</v>
      </c>
      <c r="C1684" t="s">
        <v>14</v>
      </c>
      <c r="D1684" s="3">
        <v>45778</v>
      </c>
      <c r="E1684" s="5">
        <v>135</v>
      </c>
      <c r="F1684" s="4">
        <v>6699.43</v>
      </c>
      <c r="G1684" s="4">
        <v>4032.64</v>
      </c>
      <c r="H1684" s="4">
        <v>2666.79</v>
      </c>
      <c r="I1684" s="6">
        <v>4.12</v>
      </c>
      <c r="J1684" s="5">
        <v>27</v>
      </c>
    </row>
    <row r="1685" spans="1:10">
      <c r="A1685" t="s">
        <v>44</v>
      </c>
      <c r="B1685" t="s">
        <v>41</v>
      </c>
      <c r="C1685" t="s">
        <v>15</v>
      </c>
      <c r="D1685" s="3">
        <v>45778</v>
      </c>
      <c r="E1685" s="5">
        <v>116</v>
      </c>
      <c r="F1685" s="4">
        <v>3977.2</v>
      </c>
      <c r="G1685" s="4">
        <v>1886.34</v>
      </c>
      <c r="H1685" s="4">
        <v>2090.85</v>
      </c>
      <c r="I1685" s="6">
        <v>4.03</v>
      </c>
      <c r="J1685" s="5">
        <v>27</v>
      </c>
    </row>
    <row r="1686" spans="1:10">
      <c r="A1686" t="s">
        <v>44</v>
      </c>
      <c r="B1686" t="s">
        <v>41</v>
      </c>
      <c r="C1686" t="s">
        <v>16</v>
      </c>
      <c r="D1686" s="3">
        <v>45778</v>
      </c>
      <c r="E1686" s="5">
        <v>169</v>
      </c>
      <c r="F1686" s="4">
        <v>2991.01</v>
      </c>
      <c r="G1686" s="4">
        <v>2727.42</v>
      </c>
      <c r="H1686" s="4">
        <v>263.58999999999997</v>
      </c>
      <c r="I1686" s="6">
        <v>4.22</v>
      </c>
      <c r="J1686" s="5">
        <v>27</v>
      </c>
    </row>
    <row r="1687" spans="1:10">
      <c r="A1687" t="s">
        <v>44</v>
      </c>
      <c r="B1687" t="s">
        <v>41</v>
      </c>
      <c r="C1687" t="s">
        <v>17</v>
      </c>
      <c r="D1687" s="3">
        <v>45778</v>
      </c>
      <c r="E1687" s="5">
        <v>98</v>
      </c>
      <c r="F1687" s="4">
        <v>5783.87</v>
      </c>
      <c r="G1687" s="4">
        <v>3826.54</v>
      </c>
      <c r="H1687" s="4">
        <v>1957.33</v>
      </c>
      <c r="I1687" s="6">
        <v>4.21</v>
      </c>
      <c r="J1687" s="5">
        <v>27</v>
      </c>
    </row>
    <row r="1688" spans="1:10">
      <c r="A1688" t="s">
        <v>44</v>
      </c>
      <c r="B1688" t="s">
        <v>41</v>
      </c>
      <c r="C1688" t="s">
        <v>12</v>
      </c>
      <c r="D1688" s="3">
        <v>45809</v>
      </c>
      <c r="E1688" s="5">
        <v>137</v>
      </c>
      <c r="F1688" s="4">
        <v>20760.48</v>
      </c>
      <c r="G1688" s="4">
        <v>16195.74</v>
      </c>
      <c r="H1688" s="4">
        <v>4564.74</v>
      </c>
      <c r="I1688" s="6">
        <v>4.0199999999999996</v>
      </c>
      <c r="J1688" s="5">
        <v>26</v>
      </c>
    </row>
    <row r="1689" spans="1:10">
      <c r="A1689" t="s">
        <v>44</v>
      </c>
      <c r="B1689" t="s">
        <v>41</v>
      </c>
      <c r="C1689" t="s">
        <v>13</v>
      </c>
      <c r="D1689" s="3">
        <v>45809</v>
      </c>
      <c r="E1689" s="5">
        <v>110</v>
      </c>
      <c r="F1689" s="4">
        <v>8628.82</v>
      </c>
      <c r="G1689" s="4">
        <v>5792.36</v>
      </c>
      <c r="H1689" s="4">
        <v>2836.46</v>
      </c>
      <c r="I1689" s="6">
        <v>4.3600000000000003</v>
      </c>
      <c r="J1689" s="5">
        <v>26</v>
      </c>
    </row>
    <row r="1690" spans="1:10">
      <c r="A1690" t="s">
        <v>44</v>
      </c>
      <c r="B1690" t="s">
        <v>41</v>
      </c>
      <c r="C1690" t="s">
        <v>14</v>
      </c>
      <c r="D1690" s="3">
        <v>45809</v>
      </c>
      <c r="E1690" s="5">
        <v>142</v>
      </c>
      <c r="F1690" s="4">
        <v>7198.76</v>
      </c>
      <c r="G1690" s="4">
        <v>4480.54</v>
      </c>
      <c r="H1690" s="4">
        <v>2718.22</v>
      </c>
      <c r="I1690" s="6">
        <v>4.2300000000000004</v>
      </c>
      <c r="J1690" s="5">
        <v>26</v>
      </c>
    </row>
    <row r="1691" spans="1:10">
      <c r="A1691" t="s">
        <v>44</v>
      </c>
      <c r="B1691" t="s">
        <v>41</v>
      </c>
      <c r="C1691" t="s">
        <v>15</v>
      </c>
      <c r="D1691" s="3">
        <v>45809</v>
      </c>
      <c r="E1691" s="5">
        <v>126</v>
      </c>
      <c r="F1691" s="4">
        <v>4317.59</v>
      </c>
      <c r="G1691" s="4">
        <v>2119.88</v>
      </c>
      <c r="H1691" s="4">
        <v>2197.7199999999998</v>
      </c>
      <c r="I1691" s="6">
        <v>4.13</v>
      </c>
      <c r="J1691" s="5">
        <v>26</v>
      </c>
    </row>
    <row r="1692" spans="1:10">
      <c r="A1692" t="s">
        <v>44</v>
      </c>
      <c r="B1692" t="s">
        <v>41</v>
      </c>
      <c r="C1692" t="s">
        <v>16</v>
      </c>
      <c r="D1692" s="3">
        <v>45809</v>
      </c>
      <c r="E1692" s="5">
        <v>181</v>
      </c>
      <c r="F1692" s="4">
        <v>3488.47</v>
      </c>
      <c r="G1692" s="4">
        <v>3144.02</v>
      </c>
      <c r="H1692" s="4">
        <v>344.45</v>
      </c>
      <c r="I1692" s="6">
        <v>4.05</v>
      </c>
      <c r="J1692" s="5">
        <v>26</v>
      </c>
    </row>
    <row r="1693" spans="1:10">
      <c r="A1693" t="s">
        <v>44</v>
      </c>
      <c r="B1693" t="s">
        <v>41</v>
      </c>
      <c r="C1693" t="s">
        <v>17</v>
      </c>
      <c r="D1693" s="3">
        <v>45809</v>
      </c>
      <c r="E1693" s="5">
        <v>108</v>
      </c>
      <c r="F1693" s="4">
        <v>6316.79</v>
      </c>
      <c r="G1693" s="4">
        <v>4112.79</v>
      </c>
      <c r="H1693" s="4">
        <v>2204</v>
      </c>
      <c r="I1693" s="6">
        <v>4.16</v>
      </c>
      <c r="J1693" s="5">
        <v>26</v>
      </c>
    </row>
    <row r="1694" spans="1:10">
      <c r="A1694" t="s">
        <v>44</v>
      </c>
      <c r="B1694" t="s">
        <v>41</v>
      </c>
      <c r="C1694" t="s">
        <v>12</v>
      </c>
      <c r="D1694" s="3">
        <v>45839</v>
      </c>
      <c r="E1694" s="5">
        <v>134</v>
      </c>
      <c r="F1694" s="4">
        <v>18721.62</v>
      </c>
      <c r="G1694" s="4">
        <v>14400.91</v>
      </c>
      <c r="H1694" s="4">
        <v>4320.71</v>
      </c>
      <c r="I1694" s="6">
        <v>4.1100000000000003</v>
      </c>
      <c r="J1694" s="5">
        <v>26</v>
      </c>
    </row>
    <row r="1695" spans="1:10">
      <c r="A1695" t="s">
        <v>44</v>
      </c>
      <c r="B1695" t="s">
        <v>41</v>
      </c>
      <c r="C1695" t="s">
        <v>13</v>
      </c>
      <c r="D1695" s="3">
        <v>45839</v>
      </c>
      <c r="E1695" s="5">
        <v>121</v>
      </c>
      <c r="F1695" s="4">
        <v>8759.6299999999992</v>
      </c>
      <c r="G1695" s="4">
        <v>5852.87</v>
      </c>
      <c r="H1695" s="4">
        <v>2906.76</v>
      </c>
      <c r="I1695" s="6">
        <v>4.16</v>
      </c>
      <c r="J1695" s="5">
        <v>26</v>
      </c>
    </row>
    <row r="1696" spans="1:10">
      <c r="A1696" t="s">
        <v>44</v>
      </c>
      <c r="B1696" t="s">
        <v>41</v>
      </c>
      <c r="C1696" t="s">
        <v>14</v>
      </c>
      <c r="D1696" s="3">
        <v>45839</v>
      </c>
      <c r="E1696" s="5">
        <v>157</v>
      </c>
      <c r="F1696" s="4">
        <v>7427.03</v>
      </c>
      <c r="G1696" s="4">
        <v>4445.26</v>
      </c>
      <c r="H1696" s="4">
        <v>2981.77</v>
      </c>
      <c r="I1696" s="6">
        <v>4.04</v>
      </c>
      <c r="J1696" s="5">
        <v>26</v>
      </c>
    </row>
    <row r="1697" spans="1:10">
      <c r="A1697" t="s">
        <v>44</v>
      </c>
      <c r="B1697" t="s">
        <v>41</v>
      </c>
      <c r="C1697" t="s">
        <v>15</v>
      </c>
      <c r="D1697" s="3">
        <v>45839</v>
      </c>
      <c r="E1697" s="5">
        <v>137</v>
      </c>
      <c r="F1697" s="4">
        <v>4905.33</v>
      </c>
      <c r="G1697" s="4">
        <v>2406.77</v>
      </c>
      <c r="H1697" s="4">
        <v>2498.5500000000002</v>
      </c>
      <c r="I1697" s="6">
        <v>4.17</v>
      </c>
      <c r="J1697" s="5">
        <v>26</v>
      </c>
    </row>
    <row r="1698" spans="1:10">
      <c r="A1698" t="s">
        <v>44</v>
      </c>
      <c r="B1698" t="s">
        <v>41</v>
      </c>
      <c r="C1698" t="s">
        <v>16</v>
      </c>
      <c r="D1698" s="3">
        <v>45839</v>
      </c>
      <c r="E1698" s="5">
        <v>198</v>
      </c>
      <c r="F1698" s="4">
        <v>3763.17</v>
      </c>
      <c r="G1698" s="4">
        <v>3368.67</v>
      </c>
      <c r="H1698" s="4">
        <v>394.5</v>
      </c>
      <c r="I1698" s="6">
        <v>4.0599999999999996</v>
      </c>
      <c r="J1698" s="5">
        <v>26</v>
      </c>
    </row>
    <row r="1699" spans="1:10">
      <c r="A1699" t="s">
        <v>44</v>
      </c>
      <c r="B1699" t="s">
        <v>41</v>
      </c>
      <c r="C1699" t="s">
        <v>17</v>
      </c>
      <c r="D1699" s="3">
        <v>45839</v>
      </c>
      <c r="E1699" s="5">
        <v>128</v>
      </c>
      <c r="F1699" s="4">
        <v>8295.49</v>
      </c>
      <c r="G1699" s="4">
        <v>5469.93</v>
      </c>
      <c r="H1699" s="4">
        <v>2825.56</v>
      </c>
      <c r="I1699" s="6">
        <v>4.2</v>
      </c>
      <c r="J1699" s="5">
        <v>26</v>
      </c>
    </row>
    <row r="1700" spans="1:10">
      <c r="A1700" t="s">
        <v>44</v>
      </c>
      <c r="B1700" t="s">
        <v>41</v>
      </c>
      <c r="C1700" t="s">
        <v>12</v>
      </c>
      <c r="D1700" s="3">
        <v>45870</v>
      </c>
      <c r="E1700" s="5">
        <v>132</v>
      </c>
      <c r="F1700" s="4">
        <v>18844.61</v>
      </c>
      <c r="G1700" s="4">
        <v>14972.5</v>
      </c>
      <c r="H1700" s="4">
        <v>3872.11</v>
      </c>
      <c r="I1700" s="6">
        <v>4.04</v>
      </c>
      <c r="J1700" s="5">
        <v>28</v>
      </c>
    </row>
    <row r="1701" spans="1:10">
      <c r="A1701" t="s">
        <v>44</v>
      </c>
      <c r="B1701" t="s">
        <v>41</v>
      </c>
      <c r="C1701" t="s">
        <v>13</v>
      </c>
      <c r="D1701" s="3">
        <v>45870</v>
      </c>
      <c r="E1701" s="5">
        <v>110</v>
      </c>
      <c r="F1701" s="4">
        <v>7892.23</v>
      </c>
      <c r="G1701" s="4">
        <v>5425.63</v>
      </c>
      <c r="H1701" s="4">
        <v>2466.6</v>
      </c>
      <c r="I1701" s="6">
        <v>4.3499999999999996</v>
      </c>
      <c r="J1701" s="5">
        <v>28</v>
      </c>
    </row>
    <row r="1702" spans="1:10">
      <c r="A1702" t="s">
        <v>44</v>
      </c>
      <c r="B1702" t="s">
        <v>41</v>
      </c>
      <c r="C1702" t="s">
        <v>14</v>
      </c>
      <c r="D1702" s="3">
        <v>45870</v>
      </c>
      <c r="E1702" s="5">
        <v>185</v>
      </c>
      <c r="F1702" s="4">
        <v>9075.93</v>
      </c>
      <c r="G1702" s="4">
        <v>5510.25</v>
      </c>
      <c r="H1702" s="4">
        <v>3565.68</v>
      </c>
      <c r="I1702" s="6">
        <v>4.29</v>
      </c>
      <c r="J1702" s="5">
        <v>28</v>
      </c>
    </row>
    <row r="1703" spans="1:10">
      <c r="A1703" t="s">
        <v>44</v>
      </c>
      <c r="B1703" t="s">
        <v>41</v>
      </c>
      <c r="C1703" t="s">
        <v>15</v>
      </c>
      <c r="D1703" s="3">
        <v>45870</v>
      </c>
      <c r="E1703" s="5">
        <v>120</v>
      </c>
      <c r="F1703" s="4">
        <v>4454.8599999999997</v>
      </c>
      <c r="G1703" s="4">
        <v>2186.1</v>
      </c>
      <c r="H1703" s="4">
        <v>2268.7600000000002</v>
      </c>
      <c r="I1703" s="6">
        <v>4.22</v>
      </c>
      <c r="J1703" s="5">
        <v>28</v>
      </c>
    </row>
    <row r="1704" spans="1:10">
      <c r="A1704" t="s">
        <v>44</v>
      </c>
      <c r="B1704" t="s">
        <v>41</v>
      </c>
      <c r="C1704" t="s">
        <v>16</v>
      </c>
      <c r="D1704" s="3">
        <v>45870</v>
      </c>
      <c r="E1704" s="5">
        <v>167</v>
      </c>
      <c r="F1704" s="4">
        <v>3036.24</v>
      </c>
      <c r="G1704" s="4">
        <v>2846.93</v>
      </c>
      <c r="H1704" s="4">
        <v>189.31</v>
      </c>
      <c r="I1704" s="6">
        <v>4.04</v>
      </c>
      <c r="J1704" s="5">
        <v>28</v>
      </c>
    </row>
    <row r="1705" spans="1:10">
      <c r="A1705" t="s">
        <v>44</v>
      </c>
      <c r="B1705" t="s">
        <v>41</v>
      </c>
      <c r="C1705" t="s">
        <v>17</v>
      </c>
      <c r="D1705" s="3">
        <v>45870</v>
      </c>
      <c r="E1705" s="5">
        <v>120</v>
      </c>
      <c r="F1705" s="4">
        <v>7556.52</v>
      </c>
      <c r="G1705" s="4">
        <v>4902.83</v>
      </c>
      <c r="H1705" s="4">
        <v>2653.7</v>
      </c>
      <c r="I1705" s="6">
        <v>4.1100000000000003</v>
      </c>
      <c r="J1705" s="5">
        <v>28</v>
      </c>
    </row>
    <row r="1706" spans="1:10">
      <c r="A1706" t="s">
        <v>44</v>
      </c>
      <c r="B1706" t="s">
        <v>41</v>
      </c>
      <c r="C1706" t="s">
        <v>12</v>
      </c>
      <c r="D1706" s="3">
        <v>45901</v>
      </c>
      <c r="E1706" s="5">
        <v>131</v>
      </c>
      <c r="F1706" s="4">
        <v>17966.439999999999</v>
      </c>
      <c r="G1706" s="4">
        <v>14606.16</v>
      </c>
      <c r="H1706" s="4">
        <v>3360.27</v>
      </c>
      <c r="I1706" s="6">
        <v>4.3600000000000003</v>
      </c>
      <c r="J1706" s="5">
        <v>27</v>
      </c>
    </row>
    <row r="1707" spans="1:10">
      <c r="A1707" t="s">
        <v>44</v>
      </c>
      <c r="B1707" t="s">
        <v>41</v>
      </c>
      <c r="C1707" t="s">
        <v>13</v>
      </c>
      <c r="D1707" s="3">
        <v>45901</v>
      </c>
      <c r="E1707" s="5">
        <v>105</v>
      </c>
      <c r="F1707" s="4">
        <v>8194.68</v>
      </c>
      <c r="G1707" s="4">
        <v>5689.72</v>
      </c>
      <c r="H1707" s="4">
        <v>2504.96</v>
      </c>
      <c r="I1707" s="6">
        <v>4.08</v>
      </c>
      <c r="J1707" s="5">
        <v>27</v>
      </c>
    </row>
    <row r="1708" spans="1:10">
      <c r="A1708" t="s">
        <v>44</v>
      </c>
      <c r="B1708" t="s">
        <v>41</v>
      </c>
      <c r="C1708" t="s">
        <v>14</v>
      </c>
      <c r="D1708" s="3">
        <v>45901</v>
      </c>
      <c r="E1708" s="5">
        <v>159</v>
      </c>
      <c r="F1708" s="4">
        <v>7466.1</v>
      </c>
      <c r="G1708" s="4">
        <v>4618.63</v>
      </c>
      <c r="H1708" s="4">
        <v>2847.47</v>
      </c>
      <c r="I1708" s="6">
        <v>4.26</v>
      </c>
      <c r="J1708" s="5">
        <v>27</v>
      </c>
    </row>
    <row r="1709" spans="1:10">
      <c r="A1709" t="s">
        <v>44</v>
      </c>
      <c r="B1709" t="s">
        <v>41</v>
      </c>
      <c r="C1709" t="s">
        <v>15</v>
      </c>
      <c r="D1709" s="3">
        <v>45901</v>
      </c>
      <c r="E1709" s="5">
        <v>121</v>
      </c>
      <c r="F1709" s="4">
        <v>4704.0200000000004</v>
      </c>
      <c r="G1709" s="4">
        <v>2438.7399999999998</v>
      </c>
      <c r="H1709" s="4">
        <v>2265.2800000000002</v>
      </c>
      <c r="I1709" s="6">
        <v>4.09</v>
      </c>
      <c r="J1709" s="5">
        <v>27</v>
      </c>
    </row>
    <row r="1710" spans="1:10">
      <c r="A1710" t="s">
        <v>44</v>
      </c>
      <c r="B1710" t="s">
        <v>41</v>
      </c>
      <c r="C1710" t="s">
        <v>16</v>
      </c>
      <c r="D1710" s="3">
        <v>45901</v>
      </c>
      <c r="E1710" s="5">
        <v>194</v>
      </c>
      <c r="F1710" s="4">
        <v>3361.39</v>
      </c>
      <c r="G1710" s="4">
        <v>3125.75</v>
      </c>
      <c r="H1710" s="4">
        <v>235.64</v>
      </c>
      <c r="I1710" s="6">
        <v>4.01</v>
      </c>
      <c r="J1710" s="5">
        <v>27</v>
      </c>
    </row>
    <row r="1711" spans="1:10">
      <c r="A1711" t="s">
        <v>44</v>
      </c>
      <c r="B1711" t="s">
        <v>41</v>
      </c>
      <c r="C1711" t="s">
        <v>17</v>
      </c>
      <c r="D1711" s="3">
        <v>45901</v>
      </c>
      <c r="E1711" s="5">
        <v>80</v>
      </c>
      <c r="F1711" s="4">
        <v>4724.7</v>
      </c>
      <c r="G1711" s="4">
        <v>3193.67</v>
      </c>
      <c r="H1711" s="4">
        <v>1531.02</v>
      </c>
      <c r="I1711" s="6">
        <v>4.32</v>
      </c>
      <c r="J1711" s="5">
        <v>27</v>
      </c>
    </row>
    <row r="1712" spans="1:10">
      <c r="A1712" t="s">
        <v>44</v>
      </c>
      <c r="B1712" t="s">
        <v>41</v>
      </c>
      <c r="C1712" t="s">
        <v>12</v>
      </c>
      <c r="D1712" s="3">
        <v>45931</v>
      </c>
      <c r="E1712" s="5">
        <v>131</v>
      </c>
      <c r="F1712" s="4">
        <v>19197.77</v>
      </c>
      <c r="G1712" s="4">
        <v>15714.74</v>
      </c>
      <c r="H1712" s="4">
        <v>3483.03</v>
      </c>
      <c r="I1712" s="6">
        <v>4.34</v>
      </c>
      <c r="J1712" s="5">
        <v>26</v>
      </c>
    </row>
    <row r="1713" spans="1:10">
      <c r="A1713" t="s">
        <v>44</v>
      </c>
      <c r="B1713" t="s">
        <v>41</v>
      </c>
      <c r="C1713" t="s">
        <v>13</v>
      </c>
      <c r="D1713" s="3">
        <v>45931</v>
      </c>
      <c r="E1713" s="5">
        <v>110</v>
      </c>
      <c r="F1713" s="4">
        <v>8964.91</v>
      </c>
      <c r="G1713" s="4">
        <v>6272.1</v>
      </c>
      <c r="H1713" s="4">
        <v>2692.8</v>
      </c>
      <c r="I1713" s="6">
        <v>4.37</v>
      </c>
      <c r="J1713" s="5">
        <v>26</v>
      </c>
    </row>
    <row r="1714" spans="1:10">
      <c r="A1714" t="s">
        <v>44</v>
      </c>
      <c r="B1714" t="s">
        <v>41</v>
      </c>
      <c r="C1714" t="s">
        <v>14</v>
      </c>
      <c r="D1714" s="3">
        <v>45931</v>
      </c>
      <c r="E1714" s="5">
        <v>142</v>
      </c>
      <c r="F1714" s="4">
        <v>7039.01</v>
      </c>
      <c r="G1714" s="4">
        <v>4414.97</v>
      </c>
      <c r="H1714" s="4">
        <v>2624.04</v>
      </c>
      <c r="I1714" s="6">
        <v>4.09</v>
      </c>
      <c r="J1714" s="5">
        <v>26</v>
      </c>
    </row>
    <row r="1715" spans="1:10">
      <c r="A1715" t="s">
        <v>44</v>
      </c>
      <c r="B1715" t="s">
        <v>41</v>
      </c>
      <c r="C1715" t="s">
        <v>15</v>
      </c>
      <c r="D1715" s="3">
        <v>45931</v>
      </c>
      <c r="E1715" s="5">
        <v>113</v>
      </c>
      <c r="F1715" s="4">
        <v>4370.09</v>
      </c>
      <c r="G1715" s="4">
        <v>2223.1</v>
      </c>
      <c r="H1715" s="4">
        <v>2146.98</v>
      </c>
      <c r="I1715" s="6">
        <v>4.3499999999999996</v>
      </c>
      <c r="J1715" s="5">
        <v>26</v>
      </c>
    </row>
    <row r="1716" spans="1:10">
      <c r="A1716" t="s">
        <v>44</v>
      </c>
      <c r="B1716" t="s">
        <v>41</v>
      </c>
      <c r="C1716" t="s">
        <v>16</v>
      </c>
      <c r="D1716" s="3">
        <v>45931</v>
      </c>
      <c r="E1716" s="5">
        <v>221</v>
      </c>
      <c r="F1716" s="4">
        <v>4078.37</v>
      </c>
      <c r="G1716" s="4">
        <v>3695.9</v>
      </c>
      <c r="H1716" s="4">
        <v>382.47</v>
      </c>
      <c r="I1716" s="6">
        <v>3.99</v>
      </c>
      <c r="J1716" s="5">
        <v>26</v>
      </c>
    </row>
    <row r="1717" spans="1:10">
      <c r="A1717" t="s">
        <v>44</v>
      </c>
      <c r="B1717" t="s">
        <v>41</v>
      </c>
      <c r="C1717" t="s">
        <v>17</v>
      </c>
      <c r="D1717" s="3">
        <v>45931</v>
      </c>
      <c r="E1717" s="5">
        <v>102</v>
      </c>
      <c r="F1717" s="4">
        <v>6098.2</v>
      </c>
      <c r="G1717" s="4">
        <v>4123.95</v>
      </c>
      <c r="H1717" s="4">
        <v>1974.26</v>
      </c>
      <c r="I1717" s="6">
        <v>4.2699999999999996</v>
      </c>
      <c r="J1717" s="5">
        <v>26</v>
      </c>
    </row>
    <row r="1718" spans="1:10">
      <c r="A1718" t="s">
        <v>44</v>
      </c>
      <c r="B1718" t="s">
        <v>41</v>
      </c>
      <c r="C1718" t="s">
        <v>12</v>
      </c>
      <c r="D1718" s="3">
        <v>45962</v>
      </c>
      <c r="E1718" s="5">
        <v>205</v>
      </c>
      <c r="F1718" s="4">
        <v>31217.87</v>
      </c>
      <c r="G1718" s="4">
        <v>25512.68</v>
      </c>
      <c r="H1718" s="4">
        <v>5705.19</v>
      </c>
      <c r="I1718" s="6">
        <v>4.05</v>
      </c>
      <c r="J1718" s="5">
        <v>29</v>
      </c>
    </row>
    <row r="1719" spans="1:10">
      <c r="A1719" t="s">
        <v>44</v>
      </c>
      <c r="B1719" t="s">
        <v>41</v>
      </c>
      <c r="C1719" t="s">
        <v>13</v>
      </c>
      <c r="D1719" s="3">
        <v>45962</v>
      </c>
      <c r="E1719" s="5">
        <v>123</v>
      </c>
      <c r="F1719" s="4">
        <v>8827.6200000000008</v>
      </c>
      <c r="G1719" s="4">
        <v>6302.46</v>
      </c>
      <c r="H1719" s="4">
        <v>2525.16</v>
      </c>
      <c r="I1719" s="6">
        <v>4.26</v>
      </c>
      <c r="J1719" s="5">
        <v>29</v>
      </c>
    </row>
    <row r="1720" spans="1:10">
      <c r="A1720" t="s">
        <v>44</v>
      </c>
      <c r="B1720" t="s">
        <v>41</v>
      </c>
      <c r="C1720" t="s">
        <v>14</v>
      </c>
      <c r="D1720" s="3">
        <v>45962</v>
      </c>
      <c r="E1720" s="5">
        <v>196</v>
      </c>
      <c r="F1720" s="4">
        <v>9914.0499999999993</v>
      </c>
      <c r="G1720" s="4">
        <v>6469.66</v>
      </c>
      <c r="H1720" s="4">
        <v>3444.39</v>
      </c>
      <c r="I1720" s="6">
        <v>4.1500000000000004</v>
      </c>
      <c r="J1720" s="5">
        <v>29</v>
      </c>
    </row>
    <row r="1721" spans="1:10">
      <c r="A1721" t="s">
        <v>44</v>
      </c>
      <c r="B1721" t="s">
        <v>41</v>
      </c>
      <c r="C1721" t="s">
        <v>15</v>
      </c>
      <c r="D1721" s="3">
        <v>45962</v>
      </c>
      <c r="E1721" s="5">
        <v>134</v>
      </c>
      <c r="F1721" s="4">
        <v>4654.22</v>
      </c>
      <c r="G1721" s="4">
        <v>2459.11</v>
      </c>
      <c r="H1721" s="4">
        <v>2195.12</v>
      </c>
      <c r="I1721" s="6">
        <v>4.2699999999999996</v>
      </c>
      <c r="J1721" s="5">
        <v>29</v>
      </c>
    </row>
    <row r="1722" spans="1:10">
      <c r="A1722" t="s">
        <v>44</v>
      </c>
      <c r="B1722" t="s">
        <v>41</v>
      </c>
      <c r="C1722" t="s">
        <v>16</v>
      </c>
      <c r="D1722" s="3">
        <v>45962</v>
      </c>
      <c r="E1722" s="5">
        <v>267</v>
      </c>
      <c r="F1722" s="4">
        <v>5147.59</v>
      </c>
      <c r="G1722" s="4">
        <v>4822.6400000000003</v>
      </c>
      <c r="H1722" s="4">
        <v>324.95</v>
      </c>
      <c r="I1722" s="6">
        <v>4.07</v>
      </c>
      <c r="J1722" s="5">
        <v>29</v>
      </c>
    </row>
    <row r="1723" spans="1:10">
      <c r="A1723" t="s">
        <v>44</v>
      </c>
      <c r="B1723" t="s">
        <v>41</v>
      </c>
      <c r="C1723" t="s">
        <v>17</v>
      </c>
      <c r="D1723" s="3">
        <v>45962</v>
      </c>
      <c r="E1723" s="5">
        <v>108</v>
      </c>
      <c r="F1723" s="4">
        <v>6312.78</v>
      </c>
      <c r="G1723" s="4">
        <v>4236.32</v>
      </c>
      <c r="H1723" s="4">
        <v>2076.46</v>
      </c>
      <c r="I1723" s="6">
        <v>4.3499999999999996</v>
      </c>
      <c r="J1723" s="5">
        <v>29</v>
      </c>
    </row>
    <row r="1724" spans="1:10">
      <c r="A1724" t="s">
        <v>44</v>
      </c>
      <c r="B1724" t="s">
        <v>41</v>
      </c>
      <c r="C1724" t="s">
        <v>12</v>
      </c>
      <c r="D1724" s="3">
        <v>45992</v>
      </c>
      <c r="E1724" s="5">
        <v>238</v>
      </c>
      <c r="F1724" s="4">
        <v>35460.17</v>
      </c>
      <c r="G1724" s="4">
        <v>30193.27</v>
      </c>
      <c r="H1724" s="4">
        <v>5266.9</v>
      </c>
      <c r="I1724" s="6">
        <v>4.07</v>
      </c>
      <c r="J1724" s="5">
        <v>28</v>
      </c>
    </row>
    <row r="1725" spans="1:10">
      <c r="A1725" t="s">
        <v>44</v>
      </c>
      <c r="B1725" t="s">
        <v>41</v>
      </c>
      <c r="C1725" t="s">
        <v>13</v>
      </c>
      <c r="D1725" s="3">
        <v>45992</v>
      </c>
      <c r="E1725" s="5">
        <v>172</v>
      </c>
      <c r="F1725" s="4">
        <v>14081.38</v>
      </c>
      <c r="G1725" s="4">
        <v>10509.71</v>
      </c>
      <c r="H1725" s="4">
        <v>3571.66</v>
      </c>
      <c r="I1725" s="6">
        <v>4.03</v>
      </c>
      <c r="J1725" s="5">
        <v>28</v>
      </c>
    </row>
    <row r="1726" spans="1:10">
      <c r="A1726" t="s">
        <v>44</v>
      </c>
      <c r="B1726" t="s">
        <v>41</v>
      </c>
      <c r="C1726" t="s">
        <v>14</v>
      </c>
      <c r="D1726" s="3">
        <v>45992</v>
      </c>
      <c r="E1726" s="5">
        <v>200</v>
      </c>
      <c r="F1726" s="4">
        <v>9838.5</v>
      </c>
      <c r="G1726" s="4">
        <v>6358.67</v>
      </c>
      <c r="H1726" s="4">
        <v>3479.83</v>
      </c>
      <c r="I1726" s="6">
        <v>4.37</v>
      </c>
      <c r="J1726" s="5">
        <v>28</v>
      </c>
    </row>
    <row r="1727" spans="1:10">
      <c r="A1727" t="s">
        <v>44</v>
      </c>
      <c r="B1727" t="s">
        <v>41</v>
      </c>
      <c r="C1727" t="s">
        <v>15</v>
      </c>
      <c r="D1727" s="3">
        <v>45992</v>
      </c>
      <c r="E1727" s="5">
        <v>161</v>
      </c>
      <c r="F1727" s="4">
        <v>5966.29</v>
      </c>
      <c r="G1727" s="4">
        <v>3181.55</v>
      </c>
      <c r="H1727" s="4">
        <v>2784.74</v>
      </c>
      <c r="I1727" s="6">
        <v>4.12</v>
      </c>
      <c r="J1727" s="5">
        <v>28</v>
      </c>
    </row>
    <row r="1728" spans="1:10">
      <c r="A1728" t="s">
        <v>44</v>
      </c>
      <c r="B1728" t="s">
        <v>41</v>
      </c>
      <c r="C1728" t="s">
        <v>16</v>
      </c>
      <c r="D1728" s="3">
        <v>45992</v>
      </c>
      <c r="E1728" s="5">
        <v>262</v>
      </c>
      <c r="F1728" s="4">
        <v>4560.97</v>
      </c>
      <c r="G1728" s="4">
        <v>4441.28</v>
      </c>
      <c r="H1728" s="4">
        <v>119.7</v>
      </c>
      <c r="I1728" s="6">
        <v>4.2300000000000004</v>
      </c>
      <c r="J1728" s="5">
        <v>28</v>
      </c>
    </row>
    <row r="1729" spans="1:10">
      <c r="A1729" t="s">
        <v>44</v>
      </c>
      <c r="B1729" t="s">
        <v>41</v>
      </c>
      <c r="C1729" t="s">
        <v>17</v>
      </c>
      <c r="D1729" s="3">
        <v>45992</v>
      </c>
      <c r="E1729" s="5">
        <v>120</v>
      </c>
      <c r="F1729" s="4">
        <v>7621.66</v>
      </c>
      <c r="G1729" s="4">
        <v>5276.13</v>
      </c>
      <c r="H1729" s="4">
        <v>2345.52</v>
      </c>
      <c r="I1729" s="6">
        <v>4.2300000000000004</v>
      </c>
      <c r="J1729" s="5">
        <v>28</v>
      </c>
    </row>
    <row r="1730" spans="1:10">
      <c r="A1730" t="s">
        <v>45</v>
      </c>
      <c r="B1730" t="s">
        <v>41</v>
      </c>
      <c r="C1730" t="s">
        <v>12</v>
      </c>
      <c r="D1730" s="3">
        <v>45658</v>
      </c>
      <c r="E1730" s="5">
        <v>92</v>
      </c>
      <c r="F1730" s="4">
        <v>14137.29</v>
      </c>
      <c r="G1730" s="4">
        <v>11351.47</v>
      </c>
      <c r="H1730" s="4">
        <v>2785.82</v>
      </c>
      <c r="I1730" s="6">
        <v>3.66</v>
      </c>
      <c r="J1730" s="5">
        <v>23</v>
      </c>
    </row>
    <row r="1731" spans="1:10">
      <c r="A1731" t="s">
        <v>45</v>
      </c>
      <c r="B1731" t="s">
        <v>41</v>
      </c>
      <c r="C1731" t="s">
        <v>13</v>
      </c>
      <c r="D1731" s="3">
        <v>45658</v>
      </c>
      <c r="E1731" s="5">
        <v>84</v>
      </c>
      <c r="F1731" s="4">
        <v>6246.14</v>
      </c>
      <c r="G1731" s="4">
        <v>4304.1000000000004</v>
      </c>
      <c r="H1731" s="4">
        <v>1942.05</v>
      </c>
      <c r="I1731" s="6">
        <v>3.41</v>
      </c>
      <c r="J1731" s="5">
        <v>23</v>
      </c>
    </row>
    <row r="1732" spans="1:10">
      <c r="A1732" t="s">
        <v>45</v>
      </c>
      <c r="B1732" t="s">
        <v>41</v>
      </c>
      <c r="C1732" t="s">
        <v>14</v>
      </c>
      <c r="D1732" s="3">
        <v>45658</v>
      </c>
      <c r="E1732" s="5">
        <v>104</v>
      </c>
      <c r="F1732" s="4">
        <v>5121.91</v>
      </c>
      <c r="G1732" s="4">
        <v>3184.12</v>
      </c>
      <c r="H1732" s="4">
        <v>1937.79</v>
      </c>
      <c r="I1732" s="6">
        <v>3.72</v>
      </c>
      <c r="J1732" s="5">
        <v>23</v>
      </c>
    </row>
    <row r="1733" spans="1:10">
      <c r="A1733" t="s">
        <v>45</v>
      </c>
      <c r="B1733" t="s">
        <v>41</v>
      </c>
      <c r="C1733" t="s">
        <v>15</v>
      </c>
      <c r="D1733" s="3">
        <v>45658</v>
      </c>
      <c r="E1733" s="5">
        <v>74</v>
      </c>
      <c r="F1733" s="4">
        <v>2504.89</v>
      </c>
      <c r="G1733" s="4">
        <v>1234.5</v>
      </c>
      <c r="H1733" s="4">
        <v>1270.3900000000001</v>
      </c>
      <c r="I1733" s="6">
        <v>3.64</v>
      </c>
      <c r="J1733" s="5">
        <v>23</v>
      </c>
    </row>
    <row r="1734" spans="1:10">
      <c r="A1734" t="s">
        <v>45</v>
      </c>
      <c r="B1734" t="s">
        <v>41</v>
      </c>
      <c r="C1734" t="s">
        <v>16</v>
      </c>
      <c r="D1734" s="3">
        <v>45658</v>
      </c>
      <c r="E1734" s="5">
        <v>113</v>
      </c>
      <c r="F1734" s="4">
        <v>2003.94</v>
      </c>
      <c r="G1734" s="4">
        <v>1871.49</v>
      </c>
      <c r="H1734" s="4">
        <v>132.44999999999999</v>
      </c>
      <c r="I1734" s="6">
        <v>3.52</v>
      </c>
      <c r="J1734" s="5">
        <v>23</v>
      </c>
    </row>
    <row r="1735" spans="1:10">
      <c r="A1735" t="s">
        <v>45</v>
      </c>
      <c r="B1735" t="s">
        <v>41</v>
      </c>
      <c r="C1735" t="s">
        <v>17</v>
      </c>
      <c r="D1735" s="3">
        <v>45658</v>
      </c>
      <c r="E1735" s="5">
        <v>49</v>
      </c>
      <c r="F1735" s="4">
        <v>2907.49</v>
      </c>
      <c r="G1735" s="4">
        <v>1906.5</v>
      </c>
      <c r="H1735" s="4">
        <v>1000.99</v>
      </c>
      <c r="I1735" s="6">
        <v>3.58</v>
      </c>
      <c r="J1735" s="5">
        <v>23</v>
      </c>
    </row>
    <row r="1736" spans="1:10">
      <c r="A1736" t="s">
        <v>45</v>
      </c>
      <c r="B1736" t="s">
        <v>41</v>
      </c>
      <c r="C1736" t="s">
        <v>12</v>
      </c>
      <c r="D1736" s="3">
        <v>45689</v>
      </c>
      <c r="E1736" s="5">
        <v>84</v>
      </c>
      <c r="F1736" s="4">
        <v>11923.13</v>
      </c>
      <c r="G1736" s="4">
        <v>9385.9599999999991</v>
      </c>
      <c r="H1736" s="4">
        <v>2537.17</v>
      </c>
      <c r="I1736" s="6">
        <v>3.56</v>
      </c>
      <c r="J1736" s="5">
        <v>23</v>
      </c>
    </row>
    <row r="1737" spans="1:10">
      <c r="A1737" t="s">
        <v>45</v>
      </c>
      <c r="B1737" t="s">
        <v>41</v>
      </c>
      <c r="C1737" t="s">
        <v>13</v>
      </c>
      <c r="D1737" s="3">
        <v>45689</v>
      </c>
      <c r="E1737" s="5">
        <v>69</v>
      </c>
      <c r="F1737" s="4">
        <v>4933.1499999999996</v>
      </c>
      <c r="G1737" s="4">
        <v>3297.92</v>
      </c>
      <c r="H1737" s="4">
        <v>1635.23</v>
      </c>
      <c r="I1737" s="6">
        <v>3.43</v>
      </c>
      <c r="J1737" s="5">
        <v>23</v>
      </c>
    </row>
    <row r="1738" spans="1:10">
      <c r="A1738" t="s">
        <v>45</v>
      </c>
      <c r="B1738" t="s">
        <v>41</v>
      </c>
      <c r="C1738" t="s">
        <v>14</v>
      </c>
      <c r="D1738" s="3">
        <v>45689</v>
      </c>
      <c r="E1738" s="5">
        <v>90</v>
      </c>
      <c r="F1738" s="4">
        <v>4506.8100000000004</v>
      </c>
      <c r="G1738" s="4">
        <v>2879.01</v>
      </c>
      <c r="H1738" s="4">
        <v>1627.8</v>
      </c>
      <c r="I1738" s="6">
        <v>3.55</v>
      </c>
      <c r="J1738" s="5">
        <v>23</v>
      </c>
    </row>
    <row r="1739" spans="1:10">
      <c r="A1739" t="s">
        <v>45</v>
      </c>
      <c r="B1739" t="s">
        <v>41</v>
      </c>
      <c r="C1739" t="s">
        <v>15</v>
      </c>
      <c r="D1739" s="3">
        <v>45689</v>
      </c>
      <c r="E1739" s="5">
        <v>75</v>
      </c>
      <c r="F1739" s="4">
        <v>2566.14</v>
      </c>
      <c r="G1739" s="4">
        <v>1266.3499999999999</v>
      </c>
      <c r="H1739" s="4">
        <v>1299.79</v>
      </c>
      <c r="I1739" s="6">
        <v>3.46</v>
      </c>
      <c r="J1739" s="5">
        <v>23</v>
      </c>
    </row>
    <row r="1740" spans="1:10">
      <c r="A1740" t="s">
        <v>45</v>
      </c>
      <c r="B1740" t="s">
        <v>41</v>
      </c>
      <c r="C1740" t="s">
        <v>16</v>
      </c>
      <c r="D1740" s="3">
        <v>45689</v>
      </c>
      <c r="E1740" s="5">
        <v>120</v>
      </c>
      <c r="F1740" s="4">
        <v>2059.65</v>
      </c>
      <c r="G1740" s="4">
        <v>1894.66</v>
      </c>
      <c r="H1740" s="4">
        <v>164.99</v>
      </c>
      <c r="I1740" s="6">
        <v>3.66</v>
      </c>
      <c r="J1740" s="5">
        <v>23</v>
      </c>
    </row>
    <row r="1741" spans="1:10">
      <c r="A1741" t="s">
        <v>45</v>
      </c>
      <c r="B1741" t="s">
        <v>41</v>
      </c>
      <c r="C1741" t="s">
        <v>17</v>
      </c>
      <c r="D1741" s="3">
        <v>45689</v>
      </c>
      <c r="E1741" s="5">
        <v>64</v>
      </c>
      <c r="F1741" s="4">
        <v>4059.08</v>
      </c>
      <c r="G1741" s="4">
        <v>2703.39</v>
      </c>
      <c r="H1741" s="4">
        <v>1355.7</v>
      </c>
      <c r="I1741" s="6">
        <v>3.52</v>
      </c>
      <c r="J1741" s="5">
        <v>23</v>
      </c>
    </row>
    <row r="1742" spans="1:10">
      <c r="A1742" t="s">
        <v>45</v>
      </c>
      <c r="B1742" t="s">
        <v>41</v>
      </c>
      <c r="C1742" t="s">
        <v>12</v>
      </c>
      <c r="D1742" s="3">
        <v>45717</v>
      </c>
      <c r="E1742" s="5">
        <v>89</v>
      </c>
      <c r="F1742" s="4">
        <v>13862.97</v>
      </c>
      <c r="G1742" s="4">
        <v>11269.22</v>
      </c>
      <c r="H1742" s="4">
        <v>2593.75</v>
      </c>
      <c r="I1742" s="6">
        <v>3.69</v>
      </c>
      <c r="J1742" s="5">
        <v>24</v>
      </c>
    </row>
    <row r="1743" spans="1:10">
      <c r="A1743" t="s">
        <v>45</v>
      </c>
      <c r="B1743" t="s">
        <v>41</v>
      </c>
      <c r="C1743" t="s">
        <v>13</v>
      </c>
      <c r="D1743" s="3">
        <v>45717</v>
      </c>
      <c r="E1743" s="5">
        <v>88</v>
      </c>
      <c r="F1743" s="4">
        <v>6773.3</v>
      </c>
      <c r="G1743" s="4">
        <v>4579.76</v>
      </c>
      <c r="H1743" s="4">
        <v>2193.54</v>
      </c>
      <c r="I1743" s="6">
        <v>3.43</v>
      </c>
      <c r="J1743" s="5">
        <v>24</v>
      </c>
    </row>
    <row r="1744" spans="1:10">
      <c r="A1744" t="s">
        <v>45</v>
      </c>
      <c r="B1744" t="s">
        <v>41</v>
      </c>
      <c r="C1744" t="s">
        <v>14</v>
      </c>
      <c r="D1744" s="3">
        <v>45717</v>
      </c>
      <c r="E1744" s="5">
        <v>111</v>
      </c>
      <c r="F1744" s="4">
        <v>5079.68</v>
      </c>
      <c r="G1744" s="4">
        <v>3174.73</v>
      </c>
      <c r="H1744" s="4">
        <v>1904.95</v>
      </c>
      <c r="I1744" s="6">
        <v>3.44</v>
      </c>
      <c r="J1744" s="5">
        <v>24</v>
      </c>
    </row>
    <row r="1745" spans="1:10">
      <c r="A1745" t="s">
        <v>45</v>
      </c>
      <c r="B1745" t="s">
        <v>41</v>
      </c>
      <c r="C1745" t="s">
        <v>15</v>
      </c>
      <c r="D1745" s="3">
        <v>45717</v>
      </c>
      <c r="E1745" s="5">
        <v>80</v>
      </c>
      <c r="F1745" s="4">
        <v>3100.13</v>
      </c>
      <c r="G1745" s="4">
        <v>1611.06</v>
      </c>
      <c r="H1745" s="4">
        <v>1489.06</v>
      </c>
      <c r="I1745" s="6">
        <v>3.53</v>
      </c>
      <c r="J1745" s="5">
        <v>24</v>
      </c>
    </row>
    <row r="1746" spans="1:10">
      <c r="A1746" t="s">
        <v>45</v>
      </c>
      <c r="B1746" t="s">
        <v>41</v>
      </c>
      <c r="C1746" t="s">
        <v>16</v>
      </c>
      <c r="D1746" s="3">
        <v>45717</v>
      </c>
      <c r="E1746" s="5">
        <v>154</v>
      </c>
      <c r="F1746" s="4">
        <v>2909.41</v>
      </c>
      <c r="G1746" s="4">
        <v>2626.15</v>
      </c>
      <c r="H1746" s="4">
        <v>283.26</v>
      </c>
      <c r="I1746" s="6">
        <v>3.66</v>
      </c>
      <c r="J1746" s="5">
        <v>24</v>
      </c>
    </row>
    <row r="1747" spans="1:10">
      <c r="A1747" t="s">
        <v>45</v>
      </c>
      <c r="B1747" t="s">
        <v>41</v>
      </c>
      <c r="C1747" t="s">
        <v>17</v>
      </c>
      <c r="D1747" s="3">
        <v>45717</v>
      </c>
      <c r="E1747" s="5">
        <v>58</v>
      </c>
      <c r="F1747" s="4">
        <v>3407.82</v>
      </c>
      <c r="G1747" s="4">
        <v>2288.12</v>
      </c>
      <c r="H1747" s="4">
        <v>1119.7</v>
      </c>
      <c r="I1747" s="6">
        <v>3.55</v>
      </c>
      <c r="J1747" s="5">
        <v>24</v>
      </c>
    </row>
    <row r="1748" spans="1:10">
      <c r="A1748" t="s">
        <v>45</v>
      </c>
      <c r="B1748" t="s">
        <v>41</v>
      </c>
      <c r="C1748" t="s">
        <v>12</v>
      </c>
      <c r="D1748" s="3">
        <v>45748</v>
      </c>
      <c r="E1748" s="5">
        <v>92</v>
      </c>
      <c r="F1748" s="4">
        <v>13090.39</v>
      </c>
      <c r="G1748" s="4">
        <v>10436.81</v>
      </c>
      <c r="H1748" s="4">
        <v>2653.57</v>
      </c>
      <c r="I1748" s="6">
        <v>3.43</v>
      </c>
      <c r="J1748" s="5">
        <v>23</v>
      </c>
    </row>
    <row r="1749" spans="1:10">
      <c r="A1749" t="s">
        <v>45</v>
      </c>
      <c r="B1749" t="s">
        <v>41</v>
      </c>
      <c r="C1749" t="s">
        <v>13</v>
      </c>
      <c r="D1749" s="3">
        <v>45748</v>
      </c>
      <c r="E1749" s="5">
        <v>78</v>
      </c>
      <c r="F1749" s="4">
        <v>6196.39</v>
      </c>
      <c r="G1749" s="4">
        <v>4225.34</v>
      </c>
      <c r="H1749" s="4">
        <v>1971.05</v>
      </c>
      <c r="I1749" s="6">
        <v>3.61</v>
      </c>
      <c r="J1749" s="5">
        <v>23</v>
      </c>
    </row>
    <row r="1750" spans="1:10">
      <c r="A1750" t="s">
        <v>45</v>
      </c>
      <c r="B1750" t="s">
        <v>41</v>
      </c>
      <c r="C1750" t="s">
        <v>14</v>
      </c>
      <c r="D1750" s="3">
        <v>45748</v>
      </c>
      <c r="E1750" s="5">
        <v>129</v>
      </c>
      <c r="F1750" s="4">
        <v>6153.29</v>
      </c>
      <c r="G1750" s="4">
        <v>3964.01</v>
      </c>
      <c r="H1750" s="4">
        <v>2189.2800000000002</v>
      </c>
      <c r="I1750" s="6">
        <v>3.72</v>
      </c>
      <c r="J1750" s="5">
        <v>23</v>
      </c>
    </row>
    <row r="1751" spans="1:10">
      <c r="A1751" t="s">
        <v>45</v>
      </c>
      <c r="B1751" t="s">
        <v>41</v>
      </c>
      <c r="C1751" t="s">
        <v>15</v>
      </c>
      <c r="D1751" s="3">
        <v>45748</v>
      </c>
      <c r="E1751" s="5">
        <v>91</v>
      </c>
      <c r="F1751" s="4">
        <v>3363.44</v>
      </c>
      <c r="G1751" s="4">
        <v>1708.84</v>
      </c>
      <c r="H1751" s="4">
        <v>1654.6</v>
      </c>
      <c r="I1751" s="6">
        <v>3.74</v>
      </c>
      <c r="J1751" s="5">
        <v>23</v>
      </c>
    </row>
    <row r="1752" spans="1:10">
      <c r="A1752" t="s">
        <v>45</v>
      </c>
      <c r="B1752" t="s">
        <v>41</v>
      </c>
      <c r="C1752" t="s">
        <v>16</v>
      </c>
      <c r="D1752" s="3">
        <v>45748</v>
      </c>
      <c r="E1752" s="5">
        <v>154</v>
      </c>
      <c r="F1752" s="4">
        <v>2733.05</v>
      </c>
      <c r="G1752" s="4">
        <v>2502.88</v>
      </c>
      <c r="H1752" s="4">
        <v>230.16</v>
      </c>
      <c r="I1752" s="6">
        <v>3.41</v>
      </c>
      <c r="J1752" s="5">
        <v>23</v>
      </c>
    </row>
    <row r="1753" spans="1:10">
      <c r="A1753" t="s">
        <v>45</v>
      </c>
      <c r="B1753" t="s">
        <v>41</v>
      </c>
      <c r="C1753" t="s">
        <v>17</v>
      </c>
      <c r="D1753" s="3">
        <v>45748</v>
      </c>
      <c r="E1753" s="5">
        <v>62</v>
      </c>
      <c r="F1753" s="4">
        <v>3933.66</v>
      </c>
      <c r="G1753" s="4">
        <v>2578.66</v>
      </c>
      <c r="H1753" s="4">
        <v>1355</v>
      </c>
      <c r="I1753" s="6">
        <v>3.68</v>
      </c>
      <c r="J1753" s="5">
        <v>23</v>
      </c>
    </row>
    <row r="1754" spans="1:10">
      <c r="A1754" t="s">
        <v>45</v>
      </c>
      <c r="B1754" t="s">
        <v>41</v>
      </c>
      <c r="C1754" t="s">
        <v>12</v>
      </c>
      <c r="D1754" s="3">
        <v>45778</v>
      </c>
      <c r="E1754" s="5">
        <v>107</v>
      </c>
      <c r="F1754" s="4">
        <v>15689.48</v>
      </c>
      <c r="G1754" s="4">
        <v>12582.66</v>
      </c>
      <c r="H1754" s="4">
        <v>3106.82</v>
      </c>
      <c r="I1754" s="6">
        <v>3.57</v>
      </c>
      <c r="J1754" s="5">
        <v>24</v>
      </c>
    </row>
    <row r="1755" spans="1:10">
      <c r="A1755" t="s">
        <v>45</v>
      </c>
      <c r="B1755" t="s">
        <v>41</v>
      </c>
      <c r="C1755" t="s">
        <v>13</v>
      </c>
      <c r="D1755" s="3">
        <v>45778</v>
      </c>
      <c r="E1755" s="5">
        <v>91</v>
      </c>
      <c r="F1755" s="4">
        <v>7102.17</v>
      </c>
      <c r="G1755" s="4">
        <v>4870.87</v>
      </c>
      <c r="H1755" s="4">
        <v>2231.31</v>
      </c>
      <c r="I1755" s="6">
        <v>3.45</v>
      </c>
      <c r="J1755" s="5">
        <v>24</v>
      </c>
    </row>
    <row r="1756" spans="1:10">
      <c r="A1756" t="s">
        <v>45</v>
      </c>
      <c r="B1756" t="s">
        <v>41</v>
      </c>
      <c r="C1756" t="s">
        <v>14</v>
      </c>
      <c r="D1756" s="3">
        <v>45778</v>
      </c>
      <c r="E1756" s="5">
        <v>123</v>
      </c>
      <c r="F1756" s="4">
        <v>6032.9</v>
      </c>
      <c r="G1756" s="4">
        <v>3858.06</v>
      </c>
      <c r="H1756" s="4">
        <v>2174.84</v>
      </c>
      <c r="I1756" s="6">
        <v>3.63</v>
      </c>
      <c r="J1756" s="5">
        <v>24</v>
      </c>
    </row>
    <row r="1757" spans="1:10">
      <c r="A1757" t="s">
        <v>45</v>
      </c>
      <c r="B1757" t="s">
        <v>41</v>
      </c>
      <c r="C1757" t="s">
        <v>15</v>
      </c>
      <c r="D1757" s="3">
        <v>45778</v>
      </c>
      <c r="E1757" s="5">
        <v>99</v>
      </c>
      <c r="F1757" s="4">
        <v>3528.66</v>
      </c>
      <c r="G1757" s="4">
        <v>1840.57</v>
      </c>
      <c r="H1757" s="4">
        <v>1688.09</v>
      </c>
      <c r="I1757" s="6">
        <v>3.59</v>
      </c>
      <c r="J1757" s="5">
        <v>24</v>
      </c>
    </row>
    <row r="1758" spans="1:10">
      <c r="A1758" t="s">
        <v>45</v>
      </c>
      <c r="B1758" t="s">
        <v>41</v>
      </c>
      <c r="C1758" t="s">
        <v>16</v>
      </c>
      <c r="D1758" s="3">
        <v>45778</v>
      </c>
      <c r="E1758" s="5">
        <v>171</v>
      </c>
      <c r="F1758" s="4">
        <v>3153.31</v>
      </c>
      <c r="G1758" s="4">
        <v>2923.84</v>
      </c>
      <c r="H1758" s="4">
        <v>229.47</v>
      </c>
      <c r="I1758" s="6">
        <v>3.72</v>
      </c>
      <c r="J1758" s="5">
        <v>24</v>
      </c>
    </row>
    <row r="1759" spans="1:10">
      <c r="A1759" t="s">
        <v>45</v>
      </c>
      <c r="B1759" t="s">
        <v>41</v>
      </c>
      <c r="C1759" t="s">
        <v>17</v>
      </c>
      <c r="D1759" s="3">
        <v>45778</v>
      </c>
      <c r="E1759" s="5">
        <v>101</v>
      </c>
      <c r="F1759" s="4">
        <v>6340.12</v>
      </c>
      <c r="G1759" s="4">
        <v>4345.67</v>
      </c>
      <c r="H1759" s="4">
        <v>1994.45</v>
      </c>
      <c r="I1759" s="6">
        <v>3.45</v>
      </c>
      <c r="J1759" s="5">
        <v>24</v>
      </c>
    </row>
    <row r="1760" spans="1:10">
      <c r="A1760" t="s">
        <v>45</v>
      </c>
      <c r="B1760" t="s">
        <v>41</v>
      </c>
      <c r="C1760" t="s">
        <v>12</v>
      </c>
      <c r="D1760" s="3">
        <v>45809</v>
      </c>
      <c r="E1760" s="5">
        <v>91</v>
      </c>
      <c r="F1760" s="4">
        <v>13989.58</v>
      </c>
      <c r="G1760" s="4">
        <v>11348.19</v>
      </c>
      <c r="H1760" s="4">
        <v>2641.39</v>
      </c>
      <c r="I1760" s="6">
        <v>3.47</v>
      </c>
      <c r="J1760" s="5">
        <v>25</v>
      </c>
    </row>
    <row r="1761" spans="1:10">
      <c r="A1761" t="s">
        <v>45</v>
      </c>
      <c r="B1761" t="s">
        <v>41</v>
      </c>
      <c r="C1761" t="s">
        <v>13</v>
      </c>
      <c r="D1761" s="3">
        <v>45809</v>
      </c>
      <c r="E1761" s="5">
        <v>97</v>
      </c>
      <c r="F1761" s="4">
        <v>7136.48</v>
      </c>
      <c r="G1761" s="4">
        <v>5154.53</v>
      </c>
      <c r="H1761" s="4">
        <v>1981.95</v>
      </c>
      <c r="I1761" s="6">
        <v>3.68</v>
      </c>
      <c r="J1761" s="5">
        <v>25</v>
      </c>
    </row>
    <row r="1762" spans="1:10">
      <c r="A1762" t="s">
        <v>45</v>
      </c>
      <c r="B1762" t="s">
        <v>41</v>
      </c>
      <c r="C1762" t="s">
        <v>14</v>
      </c>
      <c r="D1762" s="3">
        <v>45809</v>
      </c>
      <c r="E1762" s="5">
        <v>115</v>
      </c>
      <c r="F1762" s="4">
        <v>5725.73</v>
      </c>
      <c r="G1762" s="4">
        <v>3799.88</v>
      </c>
      <c r="H1762" s="4">
        <v>1925.85</v>
      </c>
      <c r="I1762" s="6">
        <v>3.61</v>
      </c>
      <c r="J1762" s="5">
        <v>25</v>
      </c>
    </row>
    <row r="1763" spans="1:10">
      <c r="A1763" t="s">
        <v>45</v>
      </c>
      <c r="B1763" t="s">
        <v>41</v>
      </c>
      <c r="C1763" t="s">
        <v>15</v>
      </c>
      <c r="D1763" s="3">
        <v>45809</v>
      </c>
      <c r="E1763" s="5">
        <v>113</v>
      </c>
      <c r="F1763" s="4">
        <v>4012.51</v>
      </c>
      <c r="G1763" s="4">
        <v>2116.48</v>
      </c>
      <c r="H1763" s="4">
        <v>1896.03</v>
      </c>
      <c r="I1763" s="6">
        <v>3.75</v>
      </c>
      <c r="J1763" s="5">
        <v>25</v>
      </c>
    </row>
    <row r="1764" spans="1:10">
      <c r="A1764" t="s">
        <v>45</v>
      </c>
      <c r="B1764" t="s">
        <v>41</v>
      </c>
      <c r="C1764" t="s">
        <v>16</v>
      </c>
      <c r="D1764" s="3">
        <v>45809</v>
      </c>
      <c r="E1764" s="5">
        <v>158</v>
      </c>
      <c r="F1764" s="4">
        <v>2737.97</v>
      </c>
      <c r="G1764" s="4">
        <v>2580.29</v>
      </c>
      <c r="H1764" s="4">
        <v>157.68</v>
      </c>
      <c r="I1764" s="6">
        <v>3.65</v>
      </c>
      <c r="J1764" s="5">
        <v>25</v>
      </c>
    </row>
    <row r="1765" spans="1:10">
      <c r="A1765" t="s">
        <v>45</v>
      </c>
      <c r="B1765" t="s">
        <v>41</v>
      </c>
      <c r="C1765" t="s">
        <v>17</v>
      </c>
      <c r="D1765" s="3">
        <v>45809</v>
      </c>
      <c r="E1765" s="5">
        <v>93</v>
      </c>
      <c r="F1765" s="4">
        <v>5454.1</v>
      </c>
      <c r="G1765" s="4">
        <v>3673.16</v>
      </c>
      <c r="H1765" s="4">
        <v>1780.94</v>
      </c>
      <c r="I1765" s="6">
        <v>3.4</v>
      </c>
      <c r="J1765" s="5">
        <v>25</v>
      </c>
    </row>
    <row r="1766" spans="1:10">
      <c r="A1766" t="s">
        <v>45</v>
      </c>
      <c r="B1766" t="s">
        <v>41</v>
      </c>
      <c r="C1766" t="s">
        <v>12</v>
      </c>
      <c r="D1766" s="3">
        <v>45839</v>
      </c>
      <c r="E1766" s="5">
        <v>109</v>
      </c>
      <c r="F1766" s="4">
        <v>15328.31</v>
      </c>
      <c r="G1766" s="4">
        <v>12570.01</v>
      </c>
      <c r="H1766" s="4">
        <v>2758.31</v>
      </c>
      <c r="I1766" s="6">
        <v>3.68</v>
      </c>
      <c r="J1766" s="5">
        <v>25</v>
      </c>
    </row>
    <row r="1767" spans="1:10">
      <c r="A1767" t="s">
        <v>45</v>
      </c>
      <c r="B1767" t="s">
        <v>41</v>
      </c>
      <c r="C1767" t="s">
        <v>13</v>
      </c>
      <c r="D1767" s="3">
        <v>45839</v>
      </c>
      <c r="E1767" s="5">
        <v>93</v>
      </c>
      <c r="F1767" s="4">
        <v>7450.04</v>
      </c>
      <c r="G1767" s="4">
        <v>5394.63</v>
      </c>
      <c r="H1767" s="4">
        <v>2055.4</v>
      </c>
      <c r="I1767" s="6">
        <v>3.53</v>
      </c>
      <c r="J1767" s="5">
        <v>25</v>
      </c>
    </row>
    <row r="1768" spans="1:10">
      <c r="A1768" t="s">
        <v>45</v>
      </c>
      <c r="B1768" t="s">
        <v>41</v>
      </c>
      <c r="C1768" t="s">
        <v>14</v>
      </c>
      <c r="D1768" s="3">
        <v>45839</v>
      </c>
      <c r="E1768" s="5">
        <v>113</v>
      </c>
      <c r="F1768" s="4">
        <v>5103.67</v>
      </c>
      <c r="G1768" s="4">
        <v>3224.78</v>
      </c>
      <c r="H1768" s="4">
        <v>1878.88</v>
      </c>
      <c r="I1768" s="6">
        <v>3.53</v>
      </c>
      <c r="J1768" s="5">
        <v>25</v>
      </c>
    </row>
    <row r="1769" spans="1:10">
      <c r="A1769" t="s">
        <v>45</v>
      </c>
      <c r="B1769" t="s">
        <v>41</v>
      </c>
      <c r="C1769" t="s">
        <v>15</v>
      </c>
      <c r="D1769" s="3">
        <v>45839</v>
      </c>
      <c r="E1769" s="5">
        <v>117</v>
      </c>
      <c r="F1769" s="4">
        <v>4286.37</v>
      </c>
      <c r="G1769" s="4">
        <v>2227.23</v>
      </c>
      <c r="H1769" s="4">
        <v>2059.14</v>
      </c>
      <c r="I1769" s="6">
        <v>3.56</v>
      </c>
      <c r="J1769" s="5">
        <v>25</v>
      </c>
    </row>
    <row r="1770" spans="1:10">
      <c r="A1770" t="s">
        <v>45</v>
      </c>
      <c r="B1770" t="s">
        <v>41</v>
      </c>
      <c r="C1770" t="s">
        <v>16</v>
      </c>
      <c r="D1770" s="3">
        <v>45839</v>
      </c>
      <c r="E1770" s="5">
        <v>155</v>
      </c>
      <c r="F1770" s="4">
        <v>2763.18</v>
      </c>
      <c r="G1770" s="4">
        <v>2702.73</v>
      </c>
      <c r="H1770" s="4">
        <v>60.46</v>
      </c>
      <c r="I1770" s="6">
        <v>3.44</v>
      </c>
      <c r="J1770" s="5">
        <v>25</v>
      </c>
    </row>
    <row r="1771" spans="1:10">
      <c r="A1771" t="s">
        <v>45</v>
      </c>
      <c r="B1771" t="s">
        <v>41</v>
      </c>
      <c r="C1771" t="s">
        <v>17</v>
      </c>
      <c r="D1771" s="3">
        <v>45839</v>
      </c>
      <c r="E1771" s="5">
        <v>89</v>
      </c>
      <c r="F1771" s="4">
        <v>5406.39</v>
      </c>
      <c r="G1771" s="4">
        <v>3672.82</v>
      </c>
      <c r="H1771" s="4">
        <v>1733.57</v>
      </c>
      <c r="I1771" s="6">
        <v>3.49</v>
      </c>
      <c r="J1771" s="5">
        <v>25</v>
      </c>
    </row>
    <row r="1772" spans="1:10">
      <c r="A1772" t="s">
        <v>45</v>
      </c>
      <c r="B1772" t="s">
        <v>41</v>
      </c>
      <c r="C1772" t="s">
        <v>12</v>
      </c>
      <c r="D1772" s="3">
        <v>45870</v>
      </c>
      <c r="E1772" s="5">
        <v>101</v>
      </c>
      <c r="F1772" s="4">
        <v>14132.36</v>
      </c>
      <c r="G1772" s="4">
        <v>11351.91</v>
      </c>
      <c r="H1772" s="4">
        <v>2780.45</v>
      </c>
      <c r="I1772" s="6">
        <v>3.7</v>
      </c>
      <c r="J1772" s="5">
        <v>25</v>
      </c>
    </row>
    <row r="1773" spans="1:10">
      <c r="A1773" t="s">
        <v>45</v>
      </c>
      <c r="B1773" t="s">
        <v>41</v>
      </c>
      <c r="C1773" t="s">
        <v>13</v>
      </c>
      <c r="D1773" s="3">
        <v>45870</v>
      </c>
      <c r="E1773" s="5">
        <v>105</v>
      </c>
      <c r="F1773" s="4">
        <v>8518.58</v>
      </c>
      <c r="G1773" s="4">
        <v>5932.28</v>
      </c>
      <c r="H1773" s="4">
        <v>2586.3000000000002</v>
      </c>
      <c r="I1773" s="6">
        <v>3.64</v>
      </c>
      <c r="J1773" s="5">
        <v>25</v>
      </c>
    </row>
    <row r="1774" spans="1:10">
      <c r="A1774" t="s">
        <v>45</v>
      </c>
      <c r="B1774" t="s">
        <v>41</v>
      </c>
      <c r="C1774" t="s">
        <v>14</v>
      </c>
      <c r="D1774" s="3">
        <v>45870</v>
      </c>
      <c r="E1774" s="5">
        <v>130</v>
      </c>
      <c r="F1774" s="4">
        <v>5962.54</v>
      </c>
      <c r="G1774" s="4">
        <v>4019.9</v>
      </c>
      <c r="H1774" s="4">
        <v>1942.65</v>
      </c>
      <c r="I1774" s="6">
        <v>3.51</v>
      </c>
      <c r="J1774" s="5">
        <v>25</v>
      </c>
    </row>
    <row r="1775" spans="1:10">
      <c r="A1775" t="s">
        <v>45</v>
      </c>
      <c r="B1775" t="s">
        <v>41</v>
      </c>
      <c r="C1775" t="s">
        <v>15</v>
      </c>
      <c r="D1775" s="3">
        <v>45870</v>
      </c>
      <c r="E1775" s="5">
        <v>112</v>
      </c>
      <c r="F1775" s="4">
        <v>3925.64</v>
      </c>
      <c r="G1775" s="4">
        <v>2147.21</v>
      </c>
      <c r="H1775" s="4">
        <v>1778.43</v>
      </c>
      <c r="I1775" s="6">
        <v>3.64</v>
      </c>
      <c r="J1775" s="5">
        <v>25</v>
      </c>
    </row>
    <row r="1776" spans="1:10">
      <c r="A1776" t="s">
        <v>45</v>
      </c>
      <c r="B1776" t="s">
        <v>41</v>
      </c>
      <c r="C1776" t="s">
        <v>16</v>
      </c>
      <c r="D1776" s="3">
        <v>45870</v>
      </c>
      <c r="E1776" s="5">
        <v>203</v>
      </c>
      <c r="F1776" s="4">
        <v>3945.14</v>
      </c>
      <c r="G1776" s="4">
        <v>3861.96</v>
      </c>
      <c r="H1776" s="4">
        <v>83.18</v>
      </c>
      <c r="I1776" s="6">
        <v>3.69</v>
      </c>
      <c r="J1776" s="5">
        <v>25</v>
      </c>
    </row>
    <row r="1777" spans="1:10">
      <c r="A1777" t="s">
        <v>45</v>
      </c>
      <c r="B1777" t="s">
        <v>41</v>
      </c>
      <c r="C1777" t="s">
        <v>17</v>
      </c>
      <c r="D1777" s="3">
        <v>45870</v>
      </c>
      <c r="E1777" s="5">
        <v>90</v>
      </c>
      <c r="F1777" s="4">
        <v>5296.27</v>
      </c>
      <c r="G1777" s="4">
        <v>3612.75</v>
      </c>
      <c r="H1777" s="4">
        <v>1683.53</v>
      </c>
      <c r="I1777" s="6">
        <v>3.73</v>
      </c>
      <c r="J1777" s="5">
        <v>25</v>
      </c>
    </row>
    <row r="1778" spans="1:10">
      <c r="A1778" t="s">
        <v>45</v>
      </c>
      <c r="B1778" t="s">
        <v>41</v>
      </c>
      <c r="C1778" t="s">
        <v>12</v>
      </c>
      <c r="D1778" s="3">
        <v>45901</v>
      </c>
      <c r="E1778" s="5">
        <v>105</v>
      </c>
      <c r="F1778" s="4">
        <v>15109.23</v>
      </c>
      <c r="G1778" s="4">
        <v>12661.16</v>
      </c>
      <c r="H1778" s="4">
        <v>2448.0700000000002</v>
      </c>
      <c r="I1778" s="6">
        <v>3.75</v>
      </c>
      <c r="J1778" s="5">
        <v>24</v>
      </c>
    </row>
    <row r="1779" spans="1:10">
      <c r="A1779" t="s">
        <v>45</v>
      </c>
      <c r="B1779" t="s">
        <v>41</v>
      </c>
      <c r="C1779" t="s">
        <v>13</v>
      </c>
      <c r="D1779" s="3">
        <v>45901</v>
      </c>
      <c r="E1779" s="5">
        <v>99</v>
      </c>
      <c r="F1779" s="4">
        <v>7330.16</v>
      </c>
      <c r="G1779" s="4">
        <v>5155.3999999999996</v>
      </c>
      <c r="H1779" s="4">
        <v>2174.7600000000002</v>
      </c>
      <c r="I1779" s="6">
        <v>3.62</v>
      </c>
      <c r="J1779" s="5">
        <v>24</v>
      </c>
    </row>
    <row r="1780" spans="1:10">
      <c r="A1780" t="s">
        <v>45</v>
      </c>
      <c r="B1780" t="s">
        <v>41</v>
      </c>
      <c r="C1780" t="s">
        <v>14</v>
      </c>
      <c r="D1780" s="3">
        <v>45901</v>
      </c>
      <c r="E1780" s="5">
        <v>121</v>
      </c>
      <c r="F1780" s="4">
        <v>6101.55</v>
      </c>
      <c r="G1780" s="4">
        <v>4003.5</v>
      </c>
      <c r="H1780" s="4">
        <v>2098.0500000000002</v>
      </c>
      <c r="I1780" s="6">
        <v>3.42</v>
      </c>
      <c r="J1780" s="5">
        <v>24</v>
      </c>
    </row>
    <row r="1781" spans="1:10">
      <c r="A1781" t="s">
        <v>45</v>
      </c>
      <c r="B1781" t="s">
        <v>41</v>
      </c>
      <c r="C1781" t="s">
        <v>15</v>
      </c>
      <c r="D1781" s="3">
        <v>45901</v>
      </c>
      <c r="E1781" s="5">
        <v>106</v>
      </c>
      <c r="F1781" s="4">
        <v>4012.09</v>
      </c>
      <c r="G1781" s="4">
        <v>2227.3000000000002</v>
      </c>
      <c r="H1781" s="4">
        <v>1784.79</v>
      </c>
      <c r="I1781" s="6">
        <v>3.71</v>
      </c>
      <c r="J1781" s="5">
        <v>24</v>
      </c>
    </row>
    <row r="1782" spans="1:10">
      <c r="A1782" t="s">
        <v>45</v>
      </c>
      <c r="B1782" t="s">
        <v>41</v>
      </c>
      <c r="C1782" t="s">
        <v>16</v>
      </c>
      <c r="D1782" s="3">
        <v>45901</v>
      </c>
      <c r="E1782" s="5">
        <v>187</v>
      </c>
      <c r="F1782" s="4">
        <v>3262.64</v>
      </c>
      <c r="G1782" s="4">
        <v>3053.47</v>
      </c>
      <c r="H1782" s="4">
        <v>209.17</v>
      </c>
      <c r="I1782" s="6">
        <v>3.54</v>
      </c>
      <c r="J1782" s="5">
        <v>24</v>
      </c>
    </row>
    <row r="1783" spans="1:10">
      <c r="A1783" t="s">
        <v>45</v>
      </c>
      <c r="B1783" t="s">
        <v>41</v>
      </c>
      <c r="C1783" t="s">
        <v>17</v>
      </c>
      <c r="D1783" s="3">
        <v>45901</v>
      </c>
      <c r="E1783" s="5">
        <v>71</v>
      </c>
      <c r="F1783" s="4">
        <v>4546.78</v>
      </c>
      <c r="G1783" s="4">
        <v>3112.94</v>
      </c>
      <c r="H1783" s="4">
        <v>1433.84</v>
      </c>
      <c r="I1783" s="6">
        <v>3.58</v>
      </c>
      <c r="J1783" s="5">
        <v>24</v>
      </c>
    </row>
    <row r="1784" spans="1:10">
      <c r="A1784" t="s">
        <v>45</v>
      </c>
      <c r="B1784" t="s">
        <v>41</v>
      </c>
      <c r="C1784" t="s">
        <v>12</v>
      </c>
      <c r="D1784" s="3">
        <v>45931</v>
      </c>
      <c r="E1784" s="5">
        <v>99</v>
      </c>
      <c r="F1784" s="4">
        <v>14140.47</v>
      </c>
      <c r="G1784" s="4">
        <v>11774.08</v>
      </c>
      <c r="H1784" s="4">
        <v>2366.39</v>
      </c>
      <c r="I1784" s="6">
        <v>3.65</v>
      </c>
      <c r="J1784" s="5">
        <v>24</v>
      </c>
    </row>
    <row r="1785" spans="1:10">
      <c r="A1785" t="s">
        <v>45</v>
      </c>
      <c r="B1785" t="s">
        <v>41</v>
      </c>
      <c r="C1785" t="s">
        <v>13</v>
      </c>
      <c r="D1785" s="3">
        <v>45931</v>
      </c>
      <c r="E1785" s="5">
        <v>98</v>
      </c>
      <c r="F1785" s="4">
        <v>7747.34</v>
      </c>
      <c r="G1785" s="4">
        <v>5646.05</v>
      </c>
      <c r="H1785" s="4">
        <v>2101.29</v>
      </c>
      <c r="I1785" s="6">
        <v>3.5</v>
      </c>
      <c r="J1785" s="5">
        <v>24</v>
      </c>
    </row>
    <row r="1786" spans="1:10">
      <c r="A1786" t="s">
        <v>45</v>
      </c>
      <c r="B1786" t="s">
        <v>41</v>
      </c>
      <c r="C1786" t="s">
        <v>14</v>
      </c>
      <c r="D1786" s="3">
        <v>45931</v>
      </c>
      <c r="E1786" s="5">
        <v>106</v>
      </c>
      <c r="F1786" s="4">
        <v>5198.7</v>
      </c>
      <c r="G1786" s="4">
        <v>3381.23</v>
      </c>
      <c r="H1786" s="4">
        <v>1817.47</v>
      </c>
      <c r="I1786" s="6">
        <v>3.48</v>
      </c>
      <c r="J1786" s="5">
        <v>24</v>
      </c>
    </row>
    <row r="1787" spans="1:10">
      <c r="A1787" t="s">
        <v>45</v>
      </c>
      <c r="B1787" t="s">
        <v>41</v>
      </c>
      <c r="C1787" t="s">
        <v>15</v>
      </c>
      <c r="D1787" s="3">
        <v>45931</v>
      </c>
      <c r="E1787" s="5">
        <v>114</v>
      </c>
      <c r="F1787" s="4">
        <v>3974.4</v>
      </c>
      <c r="G1787" s="4">
        <v>2229.4899999999998</v>
      </c>
      <c r="H1787" s="4">
        <v>1744.91</v>
      </c>
      <c r="I1787" s="6">
        <v>3.54</v>
      </c>
      <c r="J1787" s="5">
        <v>24</v>
      </c>
    </row>
    <row r="1788" spans="1:10">
      <c r="A1788" t="s">
        <v>45</v>
      </c>
      <c r="B1788" t="s">
        <v>41</v>
      </c>
      <c r="C1788" t="s">
        <v>16</v>
      </c>
      <c r="D1788" s="3">
        <v>45931</v>
      </c>
      <c r="E1788" s="5">
        <v>161</v>
      </c>
      <c r="F1788" s="4">
        <v>2955.94</v>
      </c>
      <c r="G1788" s="4">
        <v>2911.85</v>
      </c>
      <c r="H1788" s="4">
        <v>44.09</v>
      </c>
      <c r="I1788" s="6">
        <v>3.5</v>
      </c>
      <c r="J1788" s="5">
        <v>24</v>
      </c>
    </row>
    <row r="1789" spans="1:10">
      <c r="A1789" t="s">
        <v>45</v>
      </c>
      <c r="B1789" t="s">
        <v>41</v>
      </c>
      <c r="C1789" t="s">
        <v>17</v>
      </c>
      <c r="D1789" s="3">
        <v>45931</v>
      </c>
      <c r="E1789" s="5">
        <v>89</v>
      </c>
      <c r="F1789" s="4">
        <v>5612.23</v>
      </c>
      <c r="G1789" s="4">
        <v>3891.77</v>
      </c>
      <c r="H1789" s="4">
        <v>1720.46</v>
      </c>
      <c r="I1789" s="6">
        <v>3.43</v>
      </c>
      <c r="J1789" s="5">
        <v>24</v>
      </c>
    </row>
    <row r="1790" spans="1:10">
      <c r="A1790" t="s">
        <v>45</v>
      </c>
      <c r="B1790" t="s">
        <v>41</v>
      </c>
      <c r="C1790" t="s">
        <v>12</v>
      </c>
      <c r="D1790" s="3">
        <v>45962</v>
      </c>
      <c r="E1790" s="5">
        <v>165</v>
      </c>
      <c r="F1790" s="4">
        <v>22627.31</v>
      </c>
      <c r="G1790" s="4">
        <v>19134.14</v>
      </c>
      <c r="H1790" s="4">
        <v>3493.17</v>
      </c>
      <c r="I1790" s="6">
        <v>3.52</v>
      </c>
      <c r="J1790" s="5">
        <v>27</v>
      </c>
    </row>
    <row r="1791" spans="1:10">
      <c r="A1791" t="s">
        <v>45</v>
      </c>
      <c r="B1791" t="s">
        <v>41</v>
      </c>
      <c r="C1791" t="s">
        <v>13</v>
      </c>
      <c r="D1791" s="3">
        <v>45962</v>
      </c>
      <c r="E1791" s="5">
        <v>116</v>
      </c>
      <c r="F1791" s="4">
        <v>8843.8700000000008</v>
      </c>
      <c r="G1791" s="4">
        <v>6473.92</v>
      </c>
      <c r="H1791" s="4">
        <v>2369.9499999999998</v>
      </c>
      <c r="I1791" s="6">
        <v>3.53</v>
      </c>
      <c r="J1791" s="5">
        <v>27</v>
      </c>
    </row>
    <row r="1792" spans="1:10">
      <c r="A1792" t="s">
        <v>45</v>
      </c>
      <c r="B1792" t="s">
        <v>41</v>
      </c>
      <c r="C1792" t="s">
        <v>14</v>
      </c>
      <c r="D1792" s="3">
        <v>45962</v>
      </c>
      <c r="E1792" s="5">
        <v>164</v>
      </c>
      <c r="F1792" s="4">
        <v>7426.92</v>
      </c>
      <c r="G1792" s="4">
        <v>4995.63</v>
      </c>
      <c r="H1792" s="4">
        <v>2431.29</v>
      </c>
      <c r="I1792" s="6">
        <v>3.49</v>
      </c>
      <c r="J1792" s="5">
        <v>27</v>
      </c>
    </row>
    <row r="1793" spans="1:10">
      <c r="A1793" t="s">
        <v>45</v>
      </c>
      <c r="B1793" t="s">
        <v>41</v>
      </c>
      <c r="C1793" t="s">
        <v>15</v>
      </c>
      <c r="D1793" s="3">
        <v>45962</v>
      </c>
      <c r="E1793" s="5">
        <v>123</v>
      </c>
      <c r="F1793" s="4">
        <v>4209.3599999999997</v>
      </c>
      <c r="G1793" s="4">
        <v>2392.4699999999998</v>
      </c>
      <c r="H1793" s="4">
        <v>1816.89</v>
      </c>
      <c r="I1793" s="6">
        <v>3.51</v>
      </c>
      <c r="J1793" s="5">
        <v>27</v>
      </c>
    </row>
    <row r="1794" spans="1:10">
      <c r="A1794" t="s">
        <v>45</v>
      </c>
      <c r="B1794" t="s">
        <v>41</v>
      </c>
      <c r="C1794" t="s">
        <v>16</v>
      </c>
      <c r="D1794" s="3">
        <v>45962</v>
      </c>
      <c r="E1794" s="5">
        <v>192</v>
      </c>
      <c r="F1794" s="4">
        <v>3286.46</v>
      </c>
      <c r="G1794" s="4">
        <v>3112.68</v>
      </c>
      <c r="H1794" s="4">
        <v>173.78</v>
      </c>
      <c r="I1794" s="6">
        <v>3.45</v>
      </c>
      <c r="J1794" s="5">
        <v>27</v>
      </c>
    </row>
    <row r="1795" spans="1:10">
      <c r="A1795" t="s">
        <v>45</v>
      </c>
      <c r="B1795" t="s">
        <v>41</v>
      </c>
      <c r="C1795" t="s">
        <v>17</v>
      </c>
      <c r="D1795" s="3">
        <v>45962</v>
      </c>
      <c r="E1795" s="5">
        <v>92</v>
      </c>
      <c r="F1795" s="4">
        <v>5456.46</v>
      </c>
      <c r="G1795" s="4">
        <v>3868.65</v>
      </c>
      <c r="H1795" s="4">
        <v>1587.81</v>
      </c>
      <c r="I1795" s="6">
        <v>3.6</v>
      </c>
      <c r="J1795" s="5">
        <v>27</v>
      </c>
    </row>
    <row r="1796" spans="1:10">
      <c r="A1796" t="s">
        <v>45</v>
      </c>
      <c r="B1796" t="s">
        <v>41</v>
      </c>
      <c r="C1796" t="s">
        <v>12</v>
      </c>
      <c r="D1796" s="3">
        <v>45992</v>
      </c>
      <c r="E1796" s="5">
        <v>200</v>
      </c>
      <c r="F1796" s="4">
        <v>28489.03</v>
      </c>
      <c r="G1796" s="4">
        <v>25283.77</v>
      </c>
      <c r="H1796" s="4">
        <v>3205.26</v>
      </c>
      <c r="I1796" s="6">
        <v>3.62</v>
      </c>
      <c r="J1796" s="5">
        <v>26</v>
      </c>
    </row>
    <row r="1797" spans="1:10">
      <c r="A1797" t="s">
        <v>45</v>
      </c>
      <c r="B1797" t="s">
        <v>41</v>
      </c>
      <c r="C1797" t="s">
        <v>13</v>
      </c>
      <c r="D1797" s="3">
        <v>45992</v>
      </c>
      <c r="E1797" s="5">
        <v>139</v>
      </c>
      <c r="F1797" s="4">
        <v>10336.08</v>
      </c>
      <c r="G1797" s="4">
        <v>7962.81</v>
      </c>
      <c r="H1797" s="4">
        <v>2373.27</v>
      </c>
      <c r="I1797" s="6">
        <v>3.76</v>
      </c>
      <c r="J1797" s="5">
        <v>26</v>
      </c>
    </row>
    <row r="1798" spans="1:10">
      <c r="A1798" t="s">
        <v>45</v>
      </c>
      <c r="B1798" t="s">
        <v>41</v>
      </c>
      <c r="C1798" t="s">
        <v>14</v>
      </c>
      <c r="D1798" s="3">
        <v>45992</v>
      </c>
      <c r="E1798" s="5">
        <v>220</v>
      </c>
      <c r="F1798" s="4">
        <v>11020.15</v>
      </c>
      <c r="G1798" s="4">
        <v>7916.27</v>
      </c>
      <c r="H1798" s="4">
        <v>3103.88</v>
      </c>
      <c r="I1798" s="6">
        <v>3.4</v>
      </c>
      <c r="J1798" s="5">
        <v>26</v>
      </c>
    </row>
    <row r="1799" spans="1:10">
      <c r="A1799" t="s">
        <v>45</v>
      </c>
      <c r="B1799" t="s">
        <v>41</v>
      </c>
      <c r="C1799" t="s">
        <v>15</v>
      </c>
      <c r="D1799" s="3">
        <v>45992</v>
      </c>
      <c r="E1799" s="5">
        <v>138</v>
      </c>
      <c r="F1799" s="4">
        <v>4878.21</v>
      </c>
      <c r="G1799" s="4">
        <v>2889.05</v>
      </c>
      <c r="H1799" s="4">
        <v>1989.16</v>
      </c>
      <c r="I1799" s="6">
        <v>3.68</v>
      </c>
      <c r="J1799" s="5">
        <v>26</v>
      </c>
    </row>
    <row r="1800" spans="1:10">
      <c r="A1800" t="s">
        <v>45</v>
      </c>
      <c r="B1800" t="s">
        <v>41</v>
      </c>
      <c r="C1800" t="s">
        <v>16</v>
      </c>
      <c r="D1800" s="3">
        <v>45992</v>
      </c>
      <c r="E1800" s="5">
        <v>222</v>
      </c>
      <c r="F1800" s="4">
        <v>4080.69</v>
      </c>
      <c r="G1800" s="4">
        <v>3953.97</v>
      </c>
      <c r="H1800" s="4">
        <v>126.72</v>
      </c>
      <c r="I1800" s="6">
        <v>3.54</v>
      </c>
      <c r="J1800" s="5">
        <v>26</v>
      </c>
    </row>
    <row r="1801" spans="1:10">
      <c r="A1801" t="s">
        <v>45</v>
      </c>
      <c r="B1801" t="s">
        <v>41</v>
      </c>
      <c r="C1801" t="s">
        <v>17</v>
      </c>
      <c r="D1801" s="3">
        <v>45992</v>
      </c>
      <c r="E1801" s="5">
        <v>108</v>
      </c>
      <c r="F1801" s="4">
        <v>6774.82</v>
      </c>
      <c r="G1801" s="4">
        <v>5098.8</v>
      </c>
      <c r="H1801" s="4">
        <v>1676.01</v>
      </c>
      <c r="I1801" s="6">
        <v>3.45</v>
      </c>
      <c r="J1801" s="5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01"/>
  <sheetViews>
    <sheetView workbookViewId="0"/>
  </sheetViews>
  <sheetFormatPr baseColWidth="10" defaultColWidth="8.83203125" defaultRowHeight="14"/>
  <cols>
    <col min="1" max="1" width="30" customWidth="1"/>
    <col min="2" max="2" width="8" customWidth="1"/>
    <col min="3" max="3" width="13.6640625" customWidth="1"/>
    <col min="4" max="4" width="11" customWidth="1"/>
    <col min="5" max="5" width="10.6640625" customWidth="1"/>
    <col min="6" max="6" width="8.1640625" customWidth="1"/>
    <col min="7" max="7" width="8.5" customWidth="1"/>
    <col min="8" max="8" width="7.33203125" customWidth="1"/>
    <col min="9" max="9" width="8" customWidth="1"/>
    <col min="10" max="10" width="12.33203125" customWidth="1"/>
    <col min="11" max="11" width="21.6640625" customWidth="1"/>
    <col min="12" max="12" width="13" customWidth="1"/>
    <col min="13" max="13" width="29.1640625" customWidth="1"/>
    <col min="14" max="14" width="15.1640625" customWidth="1"/>
    <col min="15" max="15" width="13.6640625" customWidth="1"/>
  </cols>
  <sheetData>
    <row r="1" spans="1:15" ht="32">
      <c r="A1" s="7" t="s">
        <v>0</v>
      </c>
      <c r="B1" s="7" t="s">
        <v>1</v>
      </c>
      <c r="C1" s="7" t="s">
        <v>2</v>
      </c>
      <c r="D1" s="7" t="s">
        <v>3</v>
      </c>
      <c r="E1" s="7" t="s">
        <v>46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47</v>
      </c>
      <c r="K1" s="7" t="s">
        <v>8</v>
      </c>
      <c r="L1" s="7" t="s">
        <v>9</v>
      </c>
      <c r="M1" s="7" t="s">
        <v>48</v>
      </c>
      <c r="N1" s="7" t="s">
        <v>49</v>
      </c>
      <c r="O1" s="7" t="s">
        <v>50</v>
      </c>
    </row>
    <row r="2" spans="1:15">
      <c r="A2" t="str">
        <f>'Raw Data'!A2</f>
        <v>Newark RM-01</v>
      </c>
      <c r="B2" t="str">
        <f>'Raw Data'!B2</f>
        <v>Northeast</v>
      </c>
      <c r="C2" t="str">
        <f>'Raw Data'!C2</f>
        <v>Electronics</v>
      </c>
      <c r="D2" s="3">
        <f>'Raw Data'!D2</f>
        <v>45658</v>
      </c>
      <c r="E2" t="str">
        <f t="shared" ref="E2:E65" si="0">TEXT(D2,"mmm")</f>
        <v>Jan</v>
      </c>
      <c r="F2" s="5">
        <f>'Raw Data'!E2</f>
        <v>94</v>
      </c>
      <c r="G2" s="4">
        <f>'Raw Data'!F2</f>
        <v>13249.27</v>
      </c>
      <c r="H2" s="4">
        <f>'Raw Data'!G2</f>
        <v>9657.98</v>
      </c>
      <c r="I2" s="4">
        <f t="shared" ref="I2:I65" si="1">G2-H2</f>
        <v>3591.2900000000009</v>
      </c>
      <c r="J2" s="8">
        <f t="shared" ref="J2:J65" si="2">IFERROR(I2/G2,0)</f>
        <v>0.27105568835113186</v>
      </c>
      <c r="K2" s="6">
        <f>'Raw Data'!I2</f>
        <v>3.91</v>
      </c>
      <c r="L2" s="5">
        <f>'Raw Data'!J2</f>
        <v>22</v>
      </c>
      <c r="M2" s="5">
        <f>IF(COUNTIFS($A$2:A2,A2,$D$2:D2,D2)=1,L2,0)</f>
        <v>22</v>
      </c>
      <c r="N2" s="4">
        <f t="shared" ref="N2:N65" si="3">IFERROR(G2/L2,0)</f>
        <v>602.23954545454546</v>
      </c>
      <c r="O2" t="str">
        <f t="shared" ref="O2:O65" si="4">IF(OR(A2="",B2="",C2="",F2&lt;0,G2&lt;0,H2&lt;0,K2&lt;1,K2&gt;5),"Review","OK")</f>
        <v>OK</v>
      </c>
    </row>
    <row r="3" spans="1:15">
      <c r="A3" t="str">
        <f>'Raw Data'!A3</f>
        <v>Newark RM-01</v>
      </c>
      <c r="B3" t="str">
        <f>'Raw Data'!B3</f>
        <v>Northeast</v>
      </c>
      <c r="C3" t="str">
        <f>'Raw Data'!C3</f>
        <v>Home Goods</v>
      </c>
      <c r="D3" s="3">
        <f>'Raw Data'!D3</f>
        <v>45658</v>
      </c>
      <c r="E3" t="str">
        <f t="shared" si="0"/>
        <v>Jan</v>
      </c>
      <c r="F3" s="5">
        <f>'Raw Data'!E3</f>
        <v>68</v>
      </c>
      <c r="G3" s="4">
        <f>'Raw Data'!F3</f>
        <v>5051.6400000000003</v>
      </c>
      <c r="H3" s="4">
        <f>'Raw Data'!G3</f>
        <v>3176.98</v>
      </c>
      <c r="I3" s="4">
        <f t="shared" si="1"/>
        <v>1874.6600000000003</v>
      </c>
      <c r="J3" s="8">
        <f t="shared" si="2"/>
        <v>0.37109928656832242</v>
      </c>
      <c r="K3" s="6">
        <f>'Raw Data'!I3</f>
        <v>4.13</v>
      </c>
      <c r="L3" s="5">
        <f>'Raw Data'!J3</f>
        <v>22</v>
      </c>
      <c r="M3" s="5">
        <f>IF(COUNTIFS($A$2:A3,A3,$D$2:D3,D3)=1,L3,0)</f>
        <v>0</v>
      </c>
      <c r="N3" s="4">
        <f t="shared" si="3"/>
        <v>229.62</v>
      </c>
      <c r="O3" t="str">
        <f t="shared" si="4"/>
        <v>OK</v>
      </c>
    </row>
    <row r="4" spans="1:15">
      <c r="A4" t="str">
        <f>'Raw Data'!A4</f>
        <v>Newark RM-01</v>
      </c>
      <c r="B4" t="str">
        <f>'Raw Data'!B4</f>
        <v>Northeast</v>
      </c>
      <c r="C4" t="str">
        <f>'Raw Data'!C4</f>
        <v>Apparel</v>
      </c>
      <c r="D4" s="3">
        <f>'Raw Data'!D4</f>
        <v>45658</v>
      </c>
      <c r="E4" t="str">
        <f t="shared" si="0"/>
        <v>Jan</v>
      </c>
      <c r="F4" s="5">
        <f>'Raw Data'!E4</f>
        <v>104</v>
      </c>
      <c r="G4" s="4">
        <f>'Raw Data'!F4</f>
        <v>5150.55</v>
      </c>
      <c r="H4" s="4">
        <f>'Raw Data'!G4</f>
        <v>2968.61</v>
      </c>
      <c r="I4" s="4">
        <f t="shared" si="1"/>
        <v>2181.94</v>
      </c>
      <c r="J4" s="8">
        <f t="shared" si="2"/>
        <v>0.4236324276048189</v>
      </c>
      <c r="K4" s="6">
        <f>'Raw Data'!I4</f>
        <v>4.12</v>
      </c>
      <c r="L4" s="5">
        <f>'Raw Data'!J4</f>
        <v>22</v>
      </c>
      <c r="M4" s="5">
        <f>IF(COUNTIFS($A$2:A4,A4,$D$2:D4,D4)=1,L4,0)</f>
        <v>0</v>
      </c>
      <c r="N4" s="4">
        <f t="shared" si="3"/>
        <v>234.1159090909091</v>
      </c>
      <c r="O4" t="str">
        <f t="shared" si="4"/>
        <v>OK</v>
      </c>
    </row>
    <row r="5" spans="1:15">
      <c r="A5" t="str">
        <f>'Raw Data'!A5</f>
        <v>Newark RM-01</v>
      </c>
      <c r="B5" t="str">
        <f>'Raw Data'!B5</f>
        <v>Northeast</v>
      </c>
      <c r="C5" t="str">
        <f>'Raw Data'!C5</f>
        <v>Beauty</v>
      </c>
      <c r="D5" s="3">
        <f>'Raw Data'!D5</f>
        <v>45658</v>
      </c>
      <c r="E5" t="str">
        <f t="shared" si="0"/>
        <v>Jan</v>
      </c>
      <c r="F5" s="5">
        <f>'Raw Data'!E5</f>
        <v>77</v>
      </c>
      <c r="G5" s="4">
        <f>'Raw Data'!F5</f>
        <v>2783.75</v>
      </c>
      <c r="H5" s="4">
        <f>'Raw Data'!G5</f>
        <v>1262.46</v>
      </c>
      <c r="I5" s="4">
        <f t="shared" si="1"/>
        <v>1521.29</v>
      </c>
      <c r="J5" s="8">
        <f t="shared" si="2"/>
        <v>0.54648944768747187</v>
      </c>
      <c r="K5" s="6">
        <f>'Raw Data'!I5</f>
        <v>3.88</v>
      </c>
      <c r="L5" s="5">
        <f>'Raw Data'!J5</f>
        <v>22</v>
      </c>
      <c r="M5" s="5">
        <f>IF(COUNTIFS($A$2:A5,A5,$D$2:D5,D5)=1,L5,0)</f>
        <v>0</v>
      </c>
      <c r="N5" s="4">
        <f t="shared" si="3"/>
        <v>126.53409090909091</v>
      </c>
      <c r="O5" t="str">
        <f t="shared" si="4"/>
        <v>OK</v>
      </c>
    </row>
    <row r="6" spans="1:15">
      <c r="A6" t="str">
        <f>'Raw Data'!A6</f>
        <v>Newark RM-01</v>
      </c>
      <c r="B6" t="str">
        <f>'Raw Data'!B6</f>
        <v>Northeast</v>
      </c>
      <c r="C6" t="str">
        <f>'Raw Data'!C6</f>
        <v>Grocery</v>
      </c>
      <c r="D6" s="3">
        <f>'Raw Data'!D6</f>
        <v>45658</v>
      </c>
      <c r="E6" t="str">
        <f t="shared" si="0"/>
        <v>Jan</v>
      </c>
      <c r="F6" s="5">
        <f>'Raw Data'!E6</f>
        <v>127</v>
      </c>
      <c r="G6" s="4">
        <f>'Raw Data'!F6</f>
        <v>2335.9299999999998</v>
      </c>
      <c r="H6" s="4">
        <f>'Raw Data'!G6</f>
        <v>2104.69</v>
      </c>
      <c r="I6" s="4">
        <f t="shared" si="1"/>
        <v>231.23999999999978</v>
      </c>
      <c r="J6" s="8">
        <f t="shared" si="2"/>
        <v>9.899269241800901E-2</v>
      </c>
      <c r="K6" s="6">
        <f>'Raw Data'!I6</f>
        <v>3.91</v>
      </c>
      <c r="L6" s="5">
        <f>'Raw Data'!J6</f>
        <v>22</v>
      </c>
      <c r="M6" s="5">
        <f>IF(COUNTIFS($A$2:A6,A6,$D$2:D6,D6)=1,L6,0)</f>
        <v>0</v>
      </c>
      <c r="N6" s="4">
        <f t="shared" si="3"/>
        <v>106.17863636363636</v>
      </c>
      <c r="O6" t="str">
        <f t="shared" si="4"/>
        <v>OK</v>
      </c>
    </row>
    <row r="7" spans="1:15">
      <c r="A7" t="str">
        <f>'Raw Data'!A7</f>
        <v>Newark RM-01</v>
      </c>
      <c r="B7" t="str">
        <f>'Raw Data'!B7</f>
        <v>Northeast</v>
      </c>
      <c r="C7" t="str">
        <f>'Raw Data'!C7</f>
        <v>Sports</v>
      </c>
      <c r="D7" s="3">
        <f>'Raw Data'!D7</f>
        <v>45658</v>
      </c>
      <c r="E7" t="str">
        <f t="shared" si="0"/>
        <v>Jan</v>
      </c>
      <c r="F7" s="5">
        <f>'Raw Data'!E7</f>
        <v>60</v>
      </c>
      <c r="G7" s="4">
        <f>'Raw Data'!F7</f>
        <v>3611.02</v>
      </c>
      <c r="H7" s="4">
        <f>'Raw Data'!G7</f>
        <v>2305.67</v>
      </c>
      <c r="I7" s="4">
        <f t="shared" si="1"/>
        <v>1305.3499999999999</v>
      </c>
      <c r="J7" s="8">
        <f t="shared" si="2"/>
        <v>0.36149065914893852</v>
      </c>
      <c r="K7" s="6">
        <f>'Raw Data'!I7</f>
        <v>3.98</v>
      </c>
      <c r="L7" s="5">
        <f>'Raw Data'!J7</f>
        <v>22</v>
      </c>
      <c r="M7" s="5">
        <f>IF(COUNTIFS($A$2:A7,A7,$D$2:D7,D7)=1,L7,0)</f>
        <v>0</v>
      </c>
      <c r="N7" s="4">
        <f t="shared" si="3"/>
        <v>164.13727272727272</v>
      </c>
      <c r="O7" t="str">
        <f t="shared" si="4"/>
        <v>OK</v>
      </c>
    </row>
    <row r="8" spans="1:15">
      <c r="A8" t="str">
        <f>'Raw Data'!A8</f>
        <v>Newark RM-01</v>
      </c>
      <c r="B8" t="str">
        <f>'Raw Data'!B8</f>
        <v>Northeast</v>
      </c>
      <c r="C8" t="str">
        <f>'Raw Data'!C8</f>
        <v>Electronics</v>
      </c>
      <c r="D8" s="3">
        <f>'Raw Data'!D8</f>
        <v>45689</v>
      </c>
      <c r="E8" t="str">
        <f t="shared" si="0"/>
        <v>Feb</v>
      </c>
      <c r="F8" s="5">
        <f>'Raw Data'!E8</f>
        <v>86</v>
      </c>
      <c r="G8" s="4">
        <f>'Raw Data'!F8</f>
        <v>11988.63</v>
      </c>
      <c r="H8" s="4">
        <f>'Raw Data'!G8</f>
        <v>8878.5</v>
      </c>
      <c r="I8" s="4">
        <f t="shared" si="1"/>
        <v>3110.1299999999992</v>
      </c>
      <c r="J8" s="8">
        <f t="shared" si="2"/>
        <v>0.25942330358014215</v>
      </c>
      <c r="K8" s="6">
        <f>'Raw Data'!I8</f>
        <v>4.04</v>
      </c>
      <c r="L8" s="5">
        <f>'Raw Data'!J8</f>
        <v>21</v>
      </c>
      <c r="M8" s="5">
        <f>IF(COUNTIFS($A$2:A8,A8,$D$2:D8,D8)=1,L8,0)</f>
        <v>21</v>
      </c>
      <c r="N8" s="4">
        <f t="shared" si="3"/>
        <v>570.88714285714286</v>
      </c>
      <c r="O8" t="str">
        <f t="shared" si="4"/>
        <v>OK</v>
      </c>
    </row>
    <row r="9" spans="1:15">
      <c r="A9" t="str">
        <f>'Raw Data'!A9</f>
        <v>Newark RM-01</v>
      </c>
      <c r="B9" t="str">
        <f>'Raw Data'!B9</f>
        <v>Northeast</v>
      </c>
      <c r="C9" t="str">
        <f>'Raw Data'!C9</f>
        <v>Home Goods</v>
      </c>
      <c r="D9" s="3">
        <f>'Raw Data'!D9</f>
        <v>45689</v>
      </c>
      <c r="E9" t="str">
        <f t="shared" si="0"/>
        <v>Feb</v>
      </c>
      <c r="F9" s="5">
        <f>'Raw Data'!E9</f>
        <v>64</v>
      </c>
      <c r="G9" s="4">
        <f>'Raw Data'!F9</f>
        <v>4978.29</v>
      </c>
      <c r="H9" s="4">
        <f>'Raw Data'!G9</f>
        <v>3193.74</v>
      </c>
      <c r="I9" s="4">
        <f t="shared" si="1"/>
        <v>1784.5500000000002</v>
      </c>
      <c r="J9" s="8">
        <f t="shared" si="2"/>
        <v>0.35846646137529153</v>
      </c>
      <c r="K9" s="6">
        <f>'Raw Data'!I9</f>
        <v>4.01</v>
      </c>
      <c r="L9" s="5">
        <f>'Raw Data'!J9</f>
        <v>21</v>
      </c>
      <c r="M9" s="5">
        <f>IF(COUNTIFS($A$2:A9,A9,$D$2:D9,D9)=1,L9,0)</f>
        <v>0</v>
      </c>
      <c r="N9" s="4">
        <f t="shared" si="3"/>
        <v>237.06142857142856</v>
      </c>
      <c r="O9" t="str">
        <f t="shared" si="4"/>
        <v>OK</v>
      </c>
    </row>
    <row r="10" spans="1:15">
      <c r="A10" t="str">
        <f>'Raw Data'!A10</f>
        <v>Newark RM-01</v>
      </c>
      <c r="B10" t="str">
        <f>'Raw Data'!B10</f>
        <v>Northeast</v>
      </c>
      <c r="C10" t="str">
        <f>'Raw Data'!C10</f>
        <v>Apparel</v>
      </c>
      <c r="D10" s="3">
        <f>'Raw Data'!D10</f>
        <v>45689</v>
      </c>
      <c r="E10" t="str">
        <f t="shared" si="0"/>
        <v>Feb</v>
      </c>
      <c r="F10" s="5">
        <f>'Raw Data'!E10</f>
        <v>92</v>
      </c>
      <c r="G10" s="4">
        <f>'Raw Data'!F10</f>
        <v>4493.07</v>
      </c>
      <c r="H10" s="4">
        <f>'Raw Data'!G10</f>
        <v>2702.83</v>
      </c>
      <c r="I10" s="4">
        <f t="shared" si="1"/>
        <v>1790.2399999999998</v>
      </c>
      <c r="J10" s="8">
        <f t="shared" si="2"/>
        <v>0.39844471597371062</v>
      </c>
      <c r="K10" s="6">
        <f>'Raw Data'!I10</f>
        <v>4.04</v>
      </c>
      <c r="L10" s="5">
        <f>'Raw Data'!J10</f>
        <v>21</v>
      </c>
      <c r="M10" s="5">
        <f>IF(COUNTIFS($A$2:A10,A10,$D$2:D10,D10)=1,L10,0)</f>
        <v>0</v>
      </c>
      <c r="N10" s="4">
        <f t="shared" si="3"/>
        <v>213.95571428571427</v>
      </c>
      <c r="O10" t="str">
        <f t="shared" si="4"/>
        <v>OK</v>
      </c>
    </row>
    <row r="11" spans="1:15">
      <c r="A11" t="str">
        <f>'Raw Data'!A11</f>
        <v>Newark RM-01</v>
      </c>
      <c r="B11" t="str">
        <f>'Raw Data'!B11</f>
        <v>Northeast</v>
      </c>
      <c r="C11" t="str">
        <f>'Raw Data'!C11</f>
        <v>Beauty</v>
      </c>
      <c r="D11" s="3">
        <f>'Raw Data'!D11</f>
        <v>45689</v>
      </c>
      <c r="E11" t="str">
        <f t="shared" si="0"/>
        <v>Feb</v>
      </c>
      <c r="F11" s="5">
        <f>'Raw Data'!E11</f>
        <v>83</v>
      </c>
      <c r="G11" s="4">
        <f>'Raw Data'!F11</f>
        <v>2856.64</v>
      </c>
      <c r="H11" s="4">
        <f>'Raw Data'!G11</f>
        <v>1361.93</v>
      </c>
      <c r="I11" s="4">
        <f t="shared" si="1"/>
        <v>1494.7099999999998</v>
      </c>
      <c r="J11" s="8">
        <f t="shared" si="2"/>
        <v>0.52324059034390047</v>
      </c>
      <c r="K11" s="6">
        <f>'Raw Data'!I11</f>
        <v>4.0599999999999996</v>
      </c>
      <c r="L11" s="5">
        <f>'Raw Data'!J11</f>
        <v>21</v>
      </c>
      <c r="M11" s="5">
        <f>IF(COUNTIFS($A$2:A11,A11,$D$2:D11,D11)=1,L11,0)</f>
        <v>0</v>
      </c>
      <c r="N11" s="4">
        <f t="shared" si="3"/>
        <v>136.03047619047618</v>
      </c>
      <c r="O11" t="str">
        <f t="shared" si="4"/>
        <v>OK</v>
      </c>
    </row>
    <row r="12" spans="1:15">
      <c r="A12" t="str">
        <f>'Raw Data'!A12</f>
        <v>Newark RM-01</v>
      </c>
      <c r="B12" t="str">
        <f>'Raw Data'!B12</f>
        <v>Northeast</v>
      </c>
      <c r="C12" t="str">
        <f>'Raw Data'!C12</f>
        <v>Grocery</v>
      </c>
      <c r="D12" s="3">
        <f>'Raw Data'!D12</f>
        <v>45689</v>
      </c>
      <c r="E12" t="str">
        <f t="shared" si="0"/>
        <v>Feb</v>
      </c>
      <c r="F12" s="5">
        <f>'Raw Data'!E12</f>
        <v>136</v>
      </c>
      <c r="G12" s="4">
        <f>'Raw Data'!F12</f>
        <v>2401.71</v>
      </c>
      <c r="H12" s="4">
        <f>'Raw Data'!G12</f>
        <v>2084.27</v>
      </c>
      <c r="I12" s="4">
        <f t="shared" si="1"/>
        <v>317.44000000000005</v>
      </c>
      <c r="J12" s="8">
        <f t="shared" si="2"/>
        <v>0.13217249376485923</v>
      </c>
      <c r="K12" s="6">
        <f>'Raw Data'!I12</f>
        <v>3.76</v>
      </c>
      <c r="L12" s="5">
        <f>'Raw Data'!J12</f>
        <v>21</v>
      </c>
      <c r="M12" s="5">
        <f>IF(COUNTIFS($A$2:A12,A12,$D$2:D12,D12)=1,L12,0)</f>
        <v>0</v>
      </c>
      <c r="N12" s="4">
        <f t="shared" si="3"/>
        <v>114.36714285714285</v>
      </c>
      <c r="O12" t="str">
        <f t="shared" si="4"/>
        <v>OK</v>
      </c>
    </row>
    <row r="13" spans="1:15">
      <c r="A13" t="str">
        <f>'Raw Data'!A13</f>
        <v>Newark RM-01</v>
      </c>
      <c r="B13" t="str">
        <f>'Raw Data'!B13</f>
        <v>Northeast</v>
      </c>
      <c r="C13" t="str">
        <f>'Raw Data'!C13</f>
        <v>Sports</v>
      </c>
      <c r="D13" s="3">
        <f>'Raw Data'!D13</f>
        <v>45689</v>
      </c>
      <c r="E13" t="str">
        <f t="shared" si="0"/>
        <v>Feb</v>
      </c>
      <c r="F13" s="5">
        <f>'Raw Data'!E13</f>
        <v>56</v>
      </c>
      <c r="G13" s="4">
        <f>'Raw Data'!F13</f>
        <v>3614.67</v>
      </c>
      <c r="H13" s="4">
        <f>'Raw Data'!G13</f>
        <v>2292.61</v>
      </c>
      <c r="I13" s="4">
        <f t="shared" si="1"/>
        <v>1322.06</v>
      </c>
      <c r="J13" s="8">
        <f t="shared" si="2"/>
        <v>0.36574846389850246</v>
      </c>
      <c r="K13" s="6">
        <f>'Raw Data'!I13</f>
        <v>4.1399999999999997</v>
      </c>
      <c r="L13" s="5">
        <f>'Raw Data'!J13</f>
        <v>21</v>
      </c>
      <c r="M13" s="5">
        <f>IF(COUNTIFS($A$2:A13,A13,$D$2:D13,D13)=1,L13,0)</f>
        <v>0</v>
      </c>
      <c r="N13" s="4">
        <f t="shared" si="3"/>
        <v>172.12714285714287</v>
      </c>
      <c r="O13" t="str">
        <f t="shared" si="4"/>
        <v>OK</v>
      </c>
    </row>
    <row r="14" spans="1:15">
      <c r="A14" t="str">
        <f>'Raw Data'!A14</f>
        <v>Newark RM-01</v>
      </c>
      <c r="B14" t="str">
        <f>'Raw Data'!B14</f>
        <v>Northeast</v>
      </c>
      <c r="C14" t="str">
        <f>'Raw Data'!C14</f>
        <v>Electronics</v>
      </c>
      <c r="D14" s="3">
        <f>'Raw Data'!D14</f>
        <v>45717</v>
      </c>
      <c r="E14" t="str">
        <f t="shared" si="0"/>
        <v>Mar</v>
      </c>
      <c r="F14" s="5">
        <f>'Raw Data'!E14</f>
        <v>91</v>
      </c>
      <c r="G14" s="4">
        <f>'Raw Data'!F14</f>
        <v>13558.42</v>
      </c>
      <c r="H14" s="4">
        <f>'Raw Data'!G14</f>
        <v>10543.31</v>
      </c>
      <c r="I14" s="4">
        <f t="shared" si="1"/>
        <v>3015.1100000000006</v>
      </c>
      <c r="J14" s="8">
        <f t="shared" si="2"/>
        <v>0.22237915627337113</v>
      </c>
      <c r="K14" s="6">
        <f>'Raw Data'!I14</f>
        <v>3.97</v>
      </c>
      <c r="L14" s="5">
        <f>'Raw Data'!J14</f>
        <v>22</v>
      </c>
      <c r="M14" s="5">
        <f>IF(COUNTIFS($A$2:A14,A14,$D$2:D14,D14)=1,L14,0)</f>
        <v>22</v>
      </c>
      <c r="N14" s="4">
        <f t="shared" si="3"/>
        <v>616.29181818181814</v>
      </c>
      <c r="O14" t="str">
        <f t="shared" si="4"/>
        <v>OK</v>
      </c>
    </row>
    <row r="15" spans="1:15">
      <c r="A15" t="str">
        <f>'Raw Data'!A15</f>
        <v>Newark RM-01</v>
      </c>
      <c r="B15" t="str">
        <f>'Raw Data'!B15</f>
        <v>Northeast</v>
      </c>
      <c r="C15" t="str">
        <f>'Raw Data'!C15</f>
        <v>Home Goods</v>
      </c>
      <c r="D15" s="3">
        <f>'Raw Data'!D15</f>
        <v>45717</v>
      </c>
      <c r="E15" t="str">
        <f t="shared" si="0"/>
        <v>Mar</v>
      </c>
      <c r="F15" s="5">
        <f>'Raw Data'!E15</f>
        <v>86</v>
      </c>
      <c r="G15" s="4">
        <f>'Raw Data'!F15</f>
        <v>6325.85</v>
      </c>
      <c r="H15" s="4">
        <f>'Raw Data'!G15</f>
        <v>4093.25</v>
      </c>
      <c r="I15" s="4">
        <f t="shared" si="1"/>
        <v>2232.6000000000004</v>
      </c>
      <c r="J15" s="8">
        <f t="shared" si="2"/>
        <v>0.3529328074488014</v>
      </c>
      <c r="K15" s="6">
        <f>'Raw Data'!I15</f>
        <v>3.85</v>
      </c>
      <c r="L15" s="5">
        <f>'Raw Data'!J15</f>
        <v>22</v>
      </c>
      <c r="M15" s="5">
        <f>IF(COUNTIFS($A$2:A15,A15,$D$2:D15,D15)=1,L15,0)</f>
        <v>0</v>
      </c>
      <c r="N15" s="4">
        <f t="shared" si="3"/>
        <v>287.53863636363639</v>
      </c>
      <c r="O15" t="str">
        <f t="shared" si="4"/>
        <v>OK</v>
      </c>
    </row>
    <row r="16" spans="1:15">
      <c r="A16" t="str">
        <f>'Raw Data'!A16</f>
        <v>Newark RM-01</v>
      </c>
      <c r="B16" t="str">
        <f>'Raw Data'!B16</f>
        <v>Northeast</v>
      </c>
      <c r="C16" t="str">
        <f>'Raw Data'!C16</f>
        <v>Apparel</v>
      </c>
      <c r="D16" s="3">
        <f>'Raw Data'!D16</f>
        <v>45717</v>
      </c>
      <c r="E16" t="str">
        <f t="shared" si="0"/>
        <v>Mar</v>
      </c>
      <c r="F16" s="5">
        <f>'Raw Data'!E16</f>
        <v>153</v>
      </c>
      <c r="G16" s="4">
        <f>'Raw Data'!F16</f>
        <v>7847.72</v>
      </c>
      <c r="H16" s="4">
        <f>'Raw Data'!G16</f>
        <v>4673.43</v>
      </c>
      <c r="I16" s="4">
        <f t="shared" si="1"/>
        <v>3174.29</v>
      </c>
      <c r="J16" s="8">
        <f t="shared" si="2"/>
        <v>0.40448563404402804</v>
      </c>
      <c r="K16" s="6">
        <f>'Raw Data'!I16</f>
        <v>3.97</v>
      </c>
      <c r="L16" s="5">
        <f>'Raw Data'!J16</f>
        <v>22</v>
      </c>
      <c r="M16" s="5">
        <f>IF(COUNTIFS($A$2:A16,A16,$D$2:D16,D16)=1,L16,0)</f>
        <v>0</v>
      </c>
      <c r="N16" s="4">
        <f t="shared" si="3"/>
        <v>356.71454545454549</v>
      </c>
      <c r="O16" t="str">
        <f t="shared" si="4"/>
        <v>OK</v>
      </c>
    </row>
    <row r="17" spans="1:15">
      <c r="A17" t="str">
        <f>'Raw Data'!A17</f>
        <v>Newark RM-01</v>
      </c>
      <c r="B17" t="str">
        <f>'Raw Data'!B17</f>
        <v>Northeast</v>
      </c>
      <c r="C17" t="str">
        <f>'Raw Data'!C17</f>
        <v>Beauty</v>
      </c>
      <c r="D17" s="3">
        <f>'Raw Data'!D17</f>
        <v>45717</v>
      </c>
      <c r="E17" t="str">
        <f t="shared" si="0"/>
        <v>Mar</v>
      </c>
      <c r="F17" s="5">
        <f>'Raw Data'!E17</f>
        <v>86</v>
      </c>
      <c r="G17" s="4">
        <f>'Raw Data'!F17</f>
        <v>2958.73</v>
      </c>
      <c r="H17" s="4">
        <f>'Raw Data'!G17</f>
        <v>1385.04</v>
      </c>
      <c r="I17" s="4">
        <f t="shared" si="1"/>
        <v>1573.69</v>
      </c>
      <c r="J17" s="8">
        <f t="shared" si="2"/>
        <v>0.53188023239700821</v>
      </c>
      <c r="K17" s="6">
        <f>'Raw Data'!I17</f>
        <v>4.1500000000000004</v>
      </c>
      <c r="L17" s="5">
        <f>'Raw Data'!J17</f>
        <v>22</v>
      </c>
      <c r="M17" s="5">
        <f>IF(COUNTIFS($A$2:A17,A17,$D$2:D17,D17)=1,L17,0)</f>
        <v>0</v>
      </c>
      <c r="N17" s="4">
        <f t="shared" si="3"/>
        <v>134.48772727272728</v>
      </c>
      <c r="O17" t="str">
        <f t="shared" si="4"/>
        <v>OK</v>
      </c>
    </row>
    <row r="18" spans="1:15">
      <c r="A18" t="str">
        <f>'Raw Data'!A18</f>
        <v>Newark RM-01</v>
      </c>
      <c r="B18" t="str">
        <f>'Raw Data'!B18</f>
        <v>Northeast</v>
      </c>
      <c r="C18" t="str">
        <f>'Raw Data'!C18</f>
        <v>Grocery</v>
      </c>
      <c r="D18" s="3">
        <f>'Raw Data'!D18</f>
        <v>45717</v>
      </c>
      <c r="E18" t="str">
        <f t="shared" si="0"/>
        <v>Mar</v>
      </c>
      <c r="F18" s="5">
        <f>'Raw Data'!E18</f>
        <v>154</v>
      </c>
      <c r="G18" s="4">
        <f>'Raw Data'!F18</f>
        <v>2699.16</v>
      </c>
      <c r="H18" s="4">
        <f>'Raw Data'!G18</f>
        <v>2417.38</v>
      </c>
      <c r="I18" s="4">
        <f t="shared" si="1"/>
        <v>281.77999999999975</v>
      </c>
      <c r="J18" s="8">
        <f t="shared" si="2"/>
        <v>0.1043954415447768</v>
      </c>
      <c r="K18" s="6">
        <f>'Raw Data'!I18</f>
        <v>3.79</v>
      </c>
      <c r="L18" s="5">
        <f>'Raw Data'!J18</f>
        <v>22</v>
      </c>
      <c r="M18" s="5">
        <f>IF(COUNTIFS($A$2:A18,A18,$D$2:D18,D18)=1,L18,0)</f>
        <v>0</v>
      </c>
      <c r="N18" s="4">
        <f t="shared" si="3"/>
        <v>122.68909090909091</v>
      </c>
      <c r="O18" t="str">
        <f t="shared" si="4"/>
        <v>OK</v>
      </c>
    </row>
    <row r="19" spans="1:15">
      <c r="A19" t="str">
        <f>'Raw Data'!A19</f>
        <v>Newark RM-01</v>
      </c>
      <c r="B19" t="str">
        <f>'Raw Data'!B19</f>
        <v>Northeast</v>
      </c>
      <c r="C19" t="str">
        <f>'Raw Data'!C19</f>
        <v>Sports</v>
      </c>
      <c r="D19" s="3">
        <f>'Raw Data'!D19</f>
        <v>45717</v>
      </c>
      <c r="E19" t="str">
        <f t="shared" si="0"/>
        <v>Mar</v>
      </c>
      <c r="F19" s="5">
        <f>'Raw Data'!E19</f>
        <v>64</v>
      </c>
      <c r="G19" s="4">
        <f>'Raw Data'!F19</f>
        <v>4136.51</v>
      </c>
      <c r="H19" s="4">
        <f>'Raw Data'!G19</f>
        <v>2663.84</v>
      </c>
      <c r="I19" s="4">
        <f t="shared" si="1"/>
        <v>1472.67</v>
      </c>
      <c r="J19" s="8">
        <f t="shared" si="2"/>
        <v>0.35601751234736528</v>
      </c>
      <c r="K19" s="6">
        <f>'Raw Data'!I19</f>
        <v>4.1399999999999997</v>
      </c>
      <c r="L19" s="5">
        <f>'Raw Data'!J19</f>
        <v>22</v>
      </c>
      <c r="M19" s="5">
        <f>IF(COUNTIFS($A$2:A19,A19,$D$2:D19,D19)=1,L19,0)</f>
        <v>0</v>
      </c>
      <c r="N19" s="4">
        <f t="shared" si="3"/>
        <v>188.02318181818183</v>
      </c>
      <c r="O19" t="str">
        <f t="shared" si="4"/>
        <v>OK</v>
      </c>
    </row>
    <row r="20" spans="1:15">
      <c r="A20" t="str">
        <f>'Raw Data'!A20</f>
        <v>Newark RM-01</v>
      </c>
      <c r="B20" t="str">
        <f>'Raw Data'!B20</f>
        <v>Northeast</v>
      </c>
      <c r="C20" t="str">
        <f>'Raw Data'!C20</f>
        <v>Electronics</v>
      </c>
      <c r="D20" s="3">
        <f>'Raw Data'!D20</f>
        <v>45748</v>
      </c>
      <c r="E20" t="str">
        <f t="shared" si="0"/>
        <v>Apr</v>
      </c>
      <c r="F20" s="5">
        <f>'Raw Data'!E20</f>
        <v>110</v>
      </c>
      <c r="G20" s="4">
        <f>'Raw Data'!F20</f>
        <v>16220.71</v>
      </c>
      <c r="H20" s="4">
        <f>'Raw Data'!G20</f>
        <v>12281.9</v>
      </c>
      <c r="I20" s="4">
        <f t="shared" si="1"/>
        <v>3938.8099999999995</v>
      </c>
      <c r="J20" s="8">
        <f t="shared" si="2"/>
        <v>0.24282599220379378</v>
      </c>
      <c r="K20" s="6">
        <f>'Raw Data'!I20</f>
        <v>4.1100000000000003</v>
      </c>
      <c r="L20" s="5">
        <f>'Raw Data'!J20</f>
        <v>22</v>
      </c>
      <c r="M20" s="5">
        <f>IF(COUNTIFS($A$2:A20,A20,$D$2:D20,D20)=1,L20,0)</f>
        <v>22</v>
      </c>
      <c r="N20" s="4">
        <f t="shared" si="3"/>
        <v>737.30499999999995</v>
      </c>
      <c r="O20" t="str">
        <f t="shared" si="4"/>
        <v>OK</v>
      </c>
    </row>
    <row r="21" spans="1:15">
      <c r="A21" t="str">
        <f>'Raw Data'!A21</f>
        <v>Newark RM-01</v>
      </c>
      <c r="B21" t="str">
        <f>'Raw Data'!B21</f>
        <v>Northeast</v>
      </c>
      <c r="C21" t="str">
        <f>'Raw Data'!C21</f>
        <v>Home Goods</v>
      </c>
      <c r="D21" s="3">
        <f>'Raw Data'!D21</f>
        <v>45748</v>
      </c>
      <c r="E21" t="str">
        <f t="shared" si="0"/>
        <v>Apr</v>
      </c>
      <c r="F21" s="5">
        <f>'Raw Data'!E21</f>
        <v>100</v>
      </c>
      <c r="G21" s="4">
        <f>'Raw Data'!F21</f>
        <v>7594.22</v>
      </c>
      <c r="H21" s="4">
        <f>'Raw Data'!G21</f>
        <v>4910.59</v>
      </c>
      <c r="I21" s="4">
        <f t="shared" si="1"/>
        <v>2683.63</v>
      </c>
      <c r="J21" s="8">
        <f t="shared" si="2"/>
        <v>0.35337796376718084</v>
      </c>
      <c r="K21" s="6">
        <f>'Raw Data'!I21</f>
        <v>3.99</v>
      </c>
      <c r="L21" s="5">
        <f>'Raw Data'!J21</f>
        <v>22</v>
      </c>
      <c r="M21" s="5">
        <f>IF(COUNTIFS($A$2:A21,A21,$D$2:D21,D21)=1,L21,0)</f>
        <v>0</v>
      </c>
      <c r="N21" s="4">
        <f t="shared" si="3"/>
        <v>345.19181818181818</v>
      </c>
      <c r="O21" t="str">
        <f t="shared" si="4"/>
        <v>OK</v>
      </c>
    </row>
    <row r="22" spans="1:15">
      <c r="A22" t="str">
        <f>'Raw Data'!A22</f>
        <v>Newark RM-01</v>
      </c>
      <c r="B22" t="str">
        <f>'Raw Data'!B22</f>
        <v>Northeast</v>
      </c>
      <c r="C22" t="str">
        <f>'Raw Data'!C22</f>
        <v>Apparel</v>
      </c>
      <c r="D22" s="3">
        <f>'Raw Data'!D22</f>
        <v>45748</v>
      </c>
      <c r="E22" t="str">
        <f t="shared" si="0"/>
        <v>Apr</v>
      </c>
      <c r="F22" s="5">
        <f>'Raw Data'!E22</f>
        <v>138</v>
      </c>
      <c r="G22" s="4">
        <f>'Raw Data'!F22</f>
        <v>6515.63</v>
      </c>
      <c r="H22" s="4">
        <f>'Raw Data'!G22</f>
        <v>4012.11</v>
      </c>
      <c r="I22" s="4">
        <f t="shared" si="1"/>
        <v>2503.52</v>
      </c>
      <c r="J22" s="8">
        <f t="shared" si="2"/>
        <v>0.38423299051664994</v>
      </c>
      <c r="K22" s="6">
        <f>'Raw Data'!I22</f>
        <v>4.03</v>
      </c>
      <c r="L22" s="5">
        <f>'Raw Data'!J22</f>
        <v>22</v>
      </c>
      <c r="M22" s="5">
        <f>IF(COUNTIFS($A$2:A22,A22,$D$2:D22,D22)=1,L22,0)</f>
        <v>0</v>
      </c>
      <c r="N22" s="4">
        <f t="shared" si="3"/>
        <v>296.16500000000002</v>
      </c>
      <c r="O22" t="str">
        <f t="shared" si="4"/>
        <v>OK</v>
      </c>
    </row>
    <row r="23" spans="1:15">
      <c r="A23" t="str">
        <f>'Raw Data'!A23</f>
        <v>Newark RM-01</v>
      </c>
      <c r="B23" t="str">
        <f>'Raw Data'!B23</f>
        <v>Northeast</v>
      </c>
      <c r="C23" t="str">
        <f>'Raw Data'!C23</f>
        <v>Beauty</v>
      </c>
      <c r="D23" s="3">
        <f>'Raw Data'!D23</f>
        <v>45748</v>
      </c>
      <c r="E23" t="str">
        <f t="shared" si="0"/>
        <v>Apr</v>
      </c>
      <c r="F23" s="5">
        <f>'Raw Data'!E23</f>
        <v>93</v>
      </c>
      <c r="G23" s="4">
        <f>'Raw Data'!F23</f>
        <v>3352.47</v>
      </c>
      <c r="H23" s="4">
        <f>'Raw Data'!G23</f>
        <v>1604.17</v>
      </c>
      <c r="I23" s="4">
        <f t="shared" si="1"/>
        <v>1748.2999999999997</v>
      </c>
      <c r="J23" s="8">
        <f t="shared" si="2"/>
        <v>0.52149609094190252</v>
      </c>
      <c r="K23" s="6">
        <f>'Raw Data'!I23</f>
        <v>3.84</v>
      </c>
      <c r="L23" s="5">
        <f>'Raw Data'!J23</f>
        <v>22</v>
      </c>
      <c r="M23" s="5">
        <f>IF(COUNTIFS($A$2:A23,A23,$D$2:D23,D23)=1,L23,0)</f>
        <v>0</v>
      </c>
      <c r="N23" s="4">
        <f t="shared" si="3"/>
        <v>152.38499999999999</v>
      </c>
      <c r="O23" t="str">
        <f t="shared" si="4"/>
        <v>OK</v>
      </c>
    </row>
    <row r="24" spans="1:15">
      <c r="A24" t="str">
        <f>'Raw Data'!A24</f>
        <v>Newark RM-01</v>
      </c>
      <c r="B24" t="str">
        <f>'Raw Data'!B24</f>
        <v>Northeast</v>
      </c>
      <c r="C24" t="str">
        <f>'Raw Data'!C24</f>
        <v>Grocery</v>
      </c>
      <c r="D24" s="3">
        <f>'Raw Data'!D24</f>
        <v>45748</v>
      </c>
      <c r="E24" t="str">
        <f t="shared" si="0"/>
        <v>Apr</v>
      </c>
      <c r="F24" s="5">
        <f>'Raw Data'!E24</f>
        <v>165</v>
      </c>
      <c r="G24" s="4">
        <f>'Raw Data'!F24</f>
        <v>3036.42</v>
      </c>
      <c r="H24" s="4">
        <f>'Raw Data'!G24</f>
        <v>2682.55</v>
      </c>
      <c r="I24" s="4">
        <f t="shared" si="1"/>
        <v>353.86999999999989</v>
      </c>
      <c r="J24" s="8">
        <f t="shared" si="2"/>
        <v>0.11654184862436681</v>
      </c>
      <c r="K24" s="6">
        <f>'Raw Data'!I24</f>
        <v>3.84</v>
      </c>
      <c r="L24" s="5">
        <f>'Raw Data'!J24</f>
        <v>22</v>
      </c>
      <c r="M24" s="5">
        <f>IF(COUNTIFS($A$2:A24,A24,$D$2:D24,D24)=1,L24,0)</f>
        <v>0</v>
      </c>
      <c r="N24" s="4">
        <f t="shared" si="3"/>
        <v>138.01909090909092</v>
      </c>
      <c r="O24" t="str">
        <f t="shared" si="4"/>
        <v>OK</v>
      </c>
    </row>
    <row r="25" spans="1:15">
      <c r="A25" t="str">
        <f>'Raw Data'!A25</f>
        <v>Newark RM-01</v>
      </c>
      <c r="B25" t="str">
        <f>'Raw Data'!B25</f>
        <v>Northeast</v>
      </c>
      <c r="C25" t="str">
        <f>'Raw Data'!C25</f>
        <v>Sports</v>
      </c>
      <c r="D25" s="3">
        <f>'Raw Data'!D25</f>
        <v>45748</v>
      </c>
      <c r="E25" t="str">
        <f t="shared" si="0"/>
        <v>Apr</v>
      </c>
      <c r="F25" s="5">
        <f>'Raw Data'!E25</f>
        <v>79</v>
      </c>
      <c r="G25" s="4">
        <f>'Raw Data'!F25</f>
        <v>4652.8</v>
      </c>
      <c r="H25" s="4">
        <f>'Raw Data'!G25</f>
        <v>2991.84</v>
      </c>
      <c r="I25" s="4">
        <f t="shared" si="1"/>
        <v>1660.96</v>
      </c>
      <c r="J25" s="8">
        <f t="shared" si="2"/>
        <v>0.35698074277854197</v>
      </c>
      <c r="K25" s="6">
        <f>'Raw Data'!I25</f>
        <v>3.87</v>
      </c>
      <c r="L25" s="5">
        <f>'Raw Data'!J25</f>
        <v>22</v>
      </c>
      <c r="M25" s="5">
        <f>IF(COUNTIFS($A$2:A25,A25,$D$2:D25,D25)=1,L25,0)</f>
        <v>0</v>
      </c>
      <c r="N25" s="4">
        <f t="shared" si="3"/>
        <v>211.4909090909091</v>
      </c>
      <c r="O25" t="str">
        <f t="shared" si="4"/>
        <v>OK</v>
      </c>
    </row>
    <row r="26" spans="1:15">
      <c r="A26" t="str">
        <f>'Raw Data'!A26</f>
        <v>Newark RM-01</v>
      </c>
      <c r="B26" t="str">
        <f>'Raw Data'!B26</f>
        <v>Northeast</v>
      </c>
      <c r="C26" t="str">
        <f>'Raw Data'!C26</f>
        <v>Electronics</v>
      </c>
      <c r="D26" s="3">
        <f>'Raw Data'!D26</f>
        <v>45778</v>
      </c>
      <c r="E26" t="str">
        <f t="shared" si="0"/>
        <v>May</v>
      </c>
      <c r="F26" s="5">
        <f>'Raw Data'!E26</f>
        <v>113</v>
      </c>
      <c r="G26" s="4">
        <f>'Raw Data'!F26</f>
        <v>15947.86</v>
      </c>
      <c r="H26" s="4">
        <f>'Raw Data'!G26</f>
        <v>12468.79</v>
      </c>
      <c r="I26" s="4">
        <f t="shared" si="1"/>
        <v>3479.0699999999997</v>
      </c>
      <c r="J26" s="8">
        <f t="shared" si="2"/>
        <v>0.21815278037304062</v>
      </c>
      <c r="K26" s="6">
        <f>'Raw Data'!I26</f>
        <v>3.87</v>
      </c>
      <c r="L26" s="5">
        <f>'Raw Data'!J26</f>
        <v>21</v>
      </c>
      <c r="M26" s="5">
        <f>IF(COUNTIFS($A$2:A26,A26,$D$2:D26,D26)=1,L26,0)</f>
        <v>21</v>
      </c>
      <c r="N26" s="4">
        <f t="shared" si="3"/>
        <v>759.42190476190478</v>
      </c>
      <c r="O26" t="str">
        <f t="shared" si="4"/>
        <v>OK</v>
      </c>
    </row>
    <row r="27" spans="1:15">
      <c r="A27" t="str">
        <f>'Raw Data'!A27</f>
        <v>Newark RM-01</v>
      </c>
      <c r="B27" t="str">
        <f>'Raw Data'!B27</f>
        <v>Northeast</v>
      </c>
      <c r="C27" t="str">
        <f>'Raw Data'!C27</f>
        <v>Home Goods</v>
      </c>
      <c r="D27" s="3">
        <f>'Raw Data'!D27</f>
        <v>45778</v>
      </c>
      <c r="E27" t="str">
        <f t="shared" si="0"/>
        <v>May</v>
      </c>
      <c r="F27" s="5">
        <f>'Raw Data'!E27</f>
        <v>97</v>
      </c>
      <c r="G27" s="4">
        <f>'Raw Data'!F27</f>
        <v>7066.24</v>
      </c>
      <c r="H27" s="4">
        <f>'Raw Data'!G27</f>
        <v>4814.59</v>
      </c>
      <c r="I27" s="4">
        <f t="shared" si="1"/>
        <v>2251.6499999999996</v>
      </c>
      <c r="J27" s="8">
        <f t="shared" si="2"/>
        <v>0.31864895616339095</v>
      </c>
      <c r="K27" s="6">
        <f>'Raw Data'!I27</f>
        <v>4</v>
      </c>
      <c r="L27" s="5">
        <f>'Raw Data'!J27</f>
        <v>21</v>
      </c>
      <c r="M27" s="5">
        <f>IF(COUNTIFS($A$2:A27,A27,$D$2:D27,D27)=1,L27,0)</f>
        <v>0</v>
      </c>
      <c r="N27" s="4">
        <f t="shared" si="3"/>
        <v>336.48761904761903</v>
      </c>
      <c r="O27" t="str">
        <f t="shared" si="4"/>
        <v>OK</v>
      </c>
    </row>
    <row r="28" spans="1:15">
      <c r="A28" t="str">
        <f>'Raw Data'!A28</f>
        <v>Newark RM-01</v>
      </c>
      <c r="B28" t="str">
        <f>'Raw Data'!B28</f>
        <v>Northeast</v>
      </c>
      <c r="C28" t="str">
        <f>'Raw Data'!C28</f>
        <v>Apparel</v>
      </c>
      <c r="D28" s="3">
        <f>'Raw Data'!D28</f>
        <v>45778</v>
      </c>
      <c r="E28" t="str">
        <f t="shared" si="0"/>
        <v>May</v>
      </c>
      <c r="F28" s="5">
        <f>'Raw Data'!E28</f>
        <v>108</v>
      </c>
      <c r="G28" s="4">
        <f>'Raw Data'!F28</f>
        <v>5459.01</v>
      </c>
      <c r="H28" s="4">
        <f>'Raw Data'!G28</f>
        <v>3235.99</v>
      </c>
      <c r="I28" s="4">
        <f t="shared" si="1"/>
        <v>2223.0200000000004</v>
      </c>
      <c r="J28" s="8">
        <f t="shared" si="2"/>
        <v>0.40722035680462215</v>
      </c>
      <c r="K28" s="6">
        <f>'Raw Data'!I28</f>
        <v>3.83</v>
      </c>
      <c r="L28" s="5">
        <f>'Raw Data'!J28</f>
        <v>21</v>
      </c>
      <c r="M28" s="5">
        <f>IF(COUNTIFS($A$2:A28,A28,$D$2:D28,D28)=1,L28,0)</f>
        <v>0</v>
      </c>
      <c r="N28" s="4">
        <f t="shared" si="3"/>
        <v>259.95285714285717</v>
      </c>
      <c r="O28" t="str">
        <f t="shared" si="4"/>
        <v>OK</v>
      </c>
    </row>
    <row r="29" spans="1:15">
      <c r="A29" t="str">
        <f>'Raw Data'!A29</f>
        <v>Newark RM-01</v>
      </c>
      <c r="B29" t="str">
        <f>'Raw Data'!B29</f>
        <v>Northeast</v>
      </c>
      <c r="C29" t="str">
        <f>'Raw Data'!C29</f>
        <v>Beauty</v>
      </c>
      <c r="D29" s="3">
        <f>'Raw Data'!D29</f>
        <v>45778</v>
      </c>
      <c r="E29" t="str">
        <f t="shared" si="0"/>
        <v>May</v>
      </c>
      <c r="F29" s="5">
        <f>'Raw Data'!E29</f>
        <v>108</v>
      </c>
      <c r="G29" s="4">
        <f>'Raw Data'!F29</f>
        <v>3889.35</v>
      </c>
      <c r="H29" s="4">
        <f>'Raw Data'!G29</f>
        <v>1873.81</v>
      </c>
      <c r="I29" s="4">
        <f t="shared" si="1"/>
        <v>2015.54</v>
      </c>
      <c r="J29" s="8">
        <f t="shared" si="2"/>
        <v>0.51822026816820288</v>
      </c>
      <c r="K29" s="6">
        <f>'Raw Data'!I29</f>
        <v>3.96</v>
      </c>
      <c r="L29" s="5">
        <f>'Raw Data'!J29</f>
        <v>21</v>
      </c>
      <c r="M29" s="5">
        <f>IF(COUNTIFS($A$2:A29,A29,$D$2:D29,D29)=1,L29,0)</f>
        <v>0</v>
      </c>
      <c r="N29" s="4">
        <f t="shared" si="3"/>
        <v>185.20714285714286</v>
      </c>
      <c r="O29" t="str">
        <f t="shared" si="4"/>
        <v>OK</v>
      </c>
    </row>
    <row r="30" spans="1:15">
      <c r="A30" t="str">
        <f>'Raw Data'!A30</f>
        <v>Newark RM-01</v>
      </c>
      <c r="B30" t="str">
        <f>'Raw Data'!B30</f>
        <v>Northeast</v>
      </c>
      <c r="C30" t="str">
        <f>'Raw Data'!C30</f>
        <v>Grocery</v>
      </c>
      <c r="D30" s="3">
        <f>'Raw Data'!D30</f>
        <v>45778</v>
      </c>
      <c r="E30" t="str">
        <f t="shared" si="0"/>
        <v>May</v>
      </c>
      <c r="F30" s="5">
        <f>'Raw Data'!E30</f>
        <v>171</v>
      </c>
      <c r="G30" s="4">
        <f>'Raw Data'!F30</f>
        <v>3317.42</v>
      </c>
      <c r="H30" s="4">
        <f>'Raw Data'!G30</f>
        <v>2926.69</v>
      </c>
      <c r="I30" s="4">
        <f t="shared" si="1"/>
        <v>390.73</v>
      </c>
      <c r="J30" s="8">
        <f t="shared" si="2"/>
        <v>0.11778128786828319</v>
      </c>
      <c r="K30" s="6">
        <f>'Raw Data'!I30</f>
        <v>3.91</v>
      </c>
      <c r="L30" s="5">
        <f>'Raw Data'!J30</f>
        <v>21</v>
      </c>
      <c r="M30" s="5">
        <f>IF(COUNTIFS($A$2:A30,A30,$D$2:D30,D30)=1,L30,0)</f>
        <v>0</v>
      </c>
      <c r="N30" s="4">
        <f t="shared" si="3"/>
        <v>157.97238095238095</v>
      </c>
      <c r="O30" t="str">
        <f t="shared" si="4"/>
        <v>OK</v>
      </c>
    </row>
    <row r="31" spans="1:15">
      <c r="A31" t="str">
        <f>'Raw Data'!A31</f>
        <v>Newark RM-01</v>
      </c>
      <c r="B31" t="str">
        <f>'Raw Data'!B31</f>
        <v>Northeast</v>
      </c>
      <c r="C31" t="str">
        <f>'Raw Data'!C31</f>
        <v>Sports</v>
      </c>
      <c r="D31" s="3">
        <f>'Raw Data'!D31</f>
        <v>45778</v>
      </c>
      <c r="E31" t="str">
        <f t="shared" si="0"/>
        <v>May</v>
      </c>
      <c r="F31" s="5">
        <f>'Raw Data'!E31</f>
        <v>88</v>
      </c>
      <c r="G31" s="4">
        <f>'Raw Data'!F31</f>
        <v>5387.81</v>
      </c>
      <c r="H31" s="4">
        <f>'Raw Data'!G31</f>
        <v>3545.05</v>
      </c>
      <c r="I31" s="4">
        <f t="shared" si="1"/>
        <v>1842.7600000000002</v>
      </c>
      <c r="J31" s="8">
        <f t="shared" si="2"/>
        <v>0.34202393922577079</v>
      </c>
      <c r="K31" s="6">
        <f>'Raw Data'!I31</f>
        <v>3.88</v>
      </c>
      <c r="L31" s="5">
        <f>'Raw Data'!J31</f>
        <v>21</v>
      </c>
      <c r="M31" s="5">
        <f>IF(COUNTIFS($A$2:A31,A31,$D$2:D31,D31)=1,L31,0)</f>
        <v>0</v>
      </c>
      <c r="N31" s="4">
        <f t="shared" si="3"/>
        <v>256.56238095238098</v>
      </c>
      <c r="O31" t="str">
        <f t="shared" si="4"/>
        <v>OK</v>
      </c>
    </row>
    <row r="32" spans="1:15">
      <c r="A32" t="str">
        <f>'Raw Data'!A32</f>
        <v>Newark RM-01</v>
      </c>
      <c r="B32" t="str">
        <f>'Raw Data'!B32</f>
        <v>Northeast</v>
      </c>
      <c r="C32" t="str">
        <f>'Raw Data'!C32</f>
        <v>Electronics</v>
      </c>
      <c r="D32" s="3">
        <f>'Raw Data'!D32</f>
        <v>45809</v>
      </c>
      <c r="E32" t="str">
        <f t="shared" si="0"/>
        <v>Jun</v>
      </c>
      <c r="F32" s="5">
        <f>'Raw Data'!E32</f>
        <v>110</v>
      </c>
      <c r="G32" s="4">
        <f>'Raw Data'!F32</f>
        <v>15402.73</v>
      </c>
      <c r="H32" s="4">
        <f>'Raw Data'!G32</f>
        <v>11987.19</v>
      </c>
      <c r="I32" s="4">
        <f t="shared" si="1"/>
        <v>3415.5399999999991</v>
      </c>
      <c r="J32" s="8">
        <f t="shared" si="2"/>
        <v>0.22174900163802125</v>
      </c>
      <c r="K32" s="6">
        <f>'Raw Data'!I32</f>
        <v>4.1100000000000003</v>
      </c>
      <c r="L32" s="5">
        <f>'Raw Data'!J32</f>
        <v>23</v>
      </c>
      <c r="M32" s="5">
        <f>IF(COUNTIFS($A$2:A32,A32,$D$2:D32,D32)=1,L32,0)</f>
        <v>23</v>
      </c>
      <c r="N32" s="4">
        <f t="shared" si="3"/>
        <v>669.68391304347824</v>
      </c>
      <c r="O32" t="str">
        <f t="shared" si="4"/>
        <v>OK</v>
      </c>
    </row>
    <row r="33" spans="1:15">
      <c r="A33" t="str">
        <f>'Raw Data'!A33</f>
        <v>Newark RM-01</v>
      </c>
      <c r="B33" t="str">
        <f>'Raw Data'!B33</f>
        <v>Northeast</v>
      </c>
      <c r="C33" t="str">
        <f>'Raw Data'!C33</f>
        <v>Home Goods</v>
      </c>
      <c r="D33" s="3">
        <f>'Raw Data'!D33</f>
        <v>45809</v>
      </c>
      <c r="E33" t="str">
        <f t="shared" si="0"/>
        <v>Jun</v>
      </c>
      <c r="F33" s="5">
        <f>'Raw Data'!E33</f>
        <v>103</v>
      </c>
      <c r="G33" s="4">
        <f>'Raw Data'!F33</f>
        <v>7440.94</v>
      </c>
      <c r="H33" s="4">
        <f>'Raw Data'!G33</f>
        <v>5077.5600000000004</v>
      </c>
      <c r="I33" s="4">
        <f t="shared" si="1"/>
        <v>2363.3799999999992</v>
      </c>
      <c r="J33" s="8">
        <f t="shared" si="2"/>
        <v>0.31761847293487105</v>
      </c>
      <c r="K33" s="6">
        <f>'Raw Data'!I33</f>
        <v>4.0999999999999996</v>
      </c>
      <c r="L33" s="5">
        <f>'Raw Data'!J33</f>
        <v>23</v>
      </c>
      <c r="M33" s="5">
        <f>IF(COUNTIFS($A$2:A33,A33,$D$2:D33,D33)=1,L33,0)</f>
        <v>0</v>
      </c>
      <c r="N33" s="4">
        <f t="shared" si="3"/>
        <v>323.5191304347826</v>
      </c>
      <c r="O33" t="str">
        <f t="shared" si="4"/>
        <v>OK</v>
      </c>
    </row>
    <row r="34" spans="1:15">
      <c r="A34" t="str">
        <f>'Raw Data'!A34</f>
        <v>Newark RM-01</v>
      </c>
      <c r="B34" t="str">
        <f>'Raw Data'!B34</f>
        <v>Northeast</v>
      </c>
      <c r="C34" t="str">
        <f>'Raw Data'!C34</f>
        <v>Apparel</v>
      </c>
      <c r="D34" s="3">
        <f>'Raw Data'!D34</f>
        <v>45809</v>
      </c>
      <c r="E34" t="str">
        <f t="shared" si="0"/>
        <v>Jun</v>
      </c>
      <c r="F34" s="5">
        <f>'Raw Data'!E34</f>
        <v>145</v>
      </c>
      <c r="G34" s="4">
        <f>'Raw Data'!F34</f>
        <v>7069.15</v>
      </c>
      <c r="H34" s="4">
        <f>'Raw Data'!G34</f>
        <v>4186.63</v>
      </c>
      <c r="I34" s="4">
        <f t="shared" si="1"/>
        <v>2882.5199999999995</v>
      </c>
      <c r="J34" s="8">
        <f t="shared" si="2"/>
        <v>0.40776048039721885</v>
      </c>
      <c r="K34" s="6">
        <f>'Raw Data'!I34</f>
        <v>3.83</v>
      </c>
      <c r="L34" s="5">
        <f>'Raw Data'!J34</f>
        <v>23</v>
      </c>
      <c r="M34" s="5">
        <f>IF(COUNTIFS($A$2:A34,A34,$D$2:D34,D34)=1,L34,0)</f>
        <v>0</v>
      </c>
      <c r="N34" s="4">
        <f t="shared" si="3"/>
        <v>307.35434782608695</v>
      </c>
      <c r="O34" t="str">
        <f t="shared" si="4"/>
        <v>OK</v>
      </c>
    </row>
    <row r="35" spans="1:15">
      <c r="A35" t="str">
        <f>'Raw Data'!A35</f>
        <v>Newark RM-01</v>
      </c>
      <c r="B35" t="str">
        <f>'Raw Data'!B35</f>
        <v>Northeast</v>
      </c>
      <c r="C35" t="str">
        <f>'Raw Data'!C35</f>
        <v>Beauty</v>
      </c>
      <c r="D35" s="3">
        <f>'Raw Data'!D35</f>
        <v>45809</v>
      </c>
      <c r="E35" t="str">
        <f t="shared" si="0"/>
        <v>Jun</v>
      </c>
      <c r="F35" s="5">
        <f>'Raw Data'!E35</f>
        <v>118</v>
      </c>
      <c r="G35" s="4">
        <f>'Raw Data'!F35</f>
        <v>4441.28</v>
      </c>
      <c r="H35" s="4">
        <f>'Raw Data'!G35</f>
        <v>2141.81</v>
      </c>
      <c r="I35" s="4">
        <f t="shared" si="1"/>
        <v>2299.4699999999998</v>
      </c>
      <c r="J35" s="8">
        <f t="shared" si="2"/>
        <v>0.51774938756394551</v>
      </c>
      <c r="K35" s="6">
        <f>'Raw Data'!I35</f>
        <v>3.94</v>
      </c>
      <c r="L35" s="5">
        <f>'Raw Data'!J35</f>
        <v>23</v>
      </c>
      <c r="M35" s="5">
        <f>IF(COUNTIFS($A$2:A35,A35,$D$2:D35,D35)=1,L35,0)</f>
        <v>0</v>
      </c>
      <c r="N35" s="4">
        <f t="shared" si="3"/>
        <v>193.09913043478261</v>
      </c>
      <c r="O35" t="str">
        <f t="shared" si="4"/>
        <v>OK</v>
      </c>
    </row>
    <row r="36" spans="1:15">
      <c r="A36" t="str">
        <f>'Raw Data'!A36</f>
        <v>Newark RM-01</v>
      </c>
      <c r="B36" t="str">
        <f>'Raw Data'!B36</f>
        <v>Northeast</v>
      </c>
      <c r="C36" t="str">
        <f>'Raw Data'!C36</f>
        <v>Grocery</v>
      </c>
      <c r="D36" s="3">
        <f>'Raw Data'!D36</f>
        <v>45809</v>
      </c>
      <c r="E36" t="str">
        <f t="shared" si="0"/>
        <v>Jun</v>
      </c>
      <c r="F36" s="5">
        <f>'Raw Data'!E36</f>
        <v>152</v>
      </c>
      <c r="G36" s="4">
        <f>'Raw Data'!F36</f>
        <v>2917.51</v>
      </c>
      <c r="H36" s="4">
        <f>'Raw Data'!G36</f>
        <v>2601.5100000000002</v>
      </c>
      <c r="I36" s="4">
        <f t="shared" si="1"/>
        <v>316</v>
      </c>
      <c r="J36" s="8">
        <f t="shared" si="2"/>
        <v>0.10831153963482558</v>
      </c>
      <c r="K36" s="6">
        <f>'Raw Data'!I36</f>
        <v>3.76</v>
      </c>
      <c r="L36" s="5">
        <f>'Raw Data'!J36</f>
        <v>23</v>
      </c>
      <c r="M36" s="5">
        <f>IF(COUNTIFS($A$2:A36,A36,$D$2:D36,D36)=1,L36,0)</f>
        <v>0</v>
      </c>
      <c r="N36" s="4">
        <f t="shared" si="3"/>
        <v>126.84826086956522</v>
      </c>
      <c r="O36" t="str">
        <f t="shared" si="4"/>
        <v>OK</v>
      </c>
    </row>
    <row r="37" spans="1:15">
      <c r="A37" t="str">
        <f>'Raw Data'!A37</f>
        <v>Newark RM-01</v>
      </c>
      <c r="B37" t="str">
        <f>'Raw Data'!B37</f>
        <v>Northeast</v>
      </c>
      <c r="C37" t="str">
        <f>'Raw Data'!C37</f>
        <v>Sports</v>
      </c>
      <c r="D37" s="3">
        <f>'Raw Data'!D37</f>
        <v>45809</v>
      </c>
      <c r="E37" t="str">
        <f t="shared" si="0"/>
        <v>Jun</v>
      </c>
      <c r="F37" s="5">
        <f>'Raw Data'!E37</f>
        <v>108</v>
      </c>
      <c r="G37" s="4">
        <f>'Raw Data'!F37</f>
        <v>6660.24</v>
      </c>
      <c r="H37" s="4">
        <f>'Raw Data'!G37</f>
        <v>4439.9399999999996</v>
      </c>
      <c r="I37" s="4">
        <f t="shared" si="1"/>
        <v>2220.3000000000002</v>
      </c>
      <c r="J37" s="8">
        <f t="shared" si="2"/>
        <v>0.33336636517602974</v>
      </c>
      <c r="K37" s="6">
        <f>'Raw Data'!I37</f>
        <v>4.07</v>
      </c>
      <c r="L37" s="5">
        <f>'Raw Data'!J37</f>
        <v>23</v>
      </c>
      <c r="M37" s="5">
        <f>IF(COUNTIFS($A$2:A37,A37,$D$2:D37,D37)=1,L37,0)</f>
        <v>0</v>
      </c>
      <c r="N37" s="4">
        <f t="shared" si="3"/>
        <v>289.57565217391306</v>
      </c>
      <c r="O37" t="str">
        <f t="shared" si="4"/>
        <v>OK</v>
      </c>
    </row>
    <row r="38" spans="1:15">
      <c r="A38" t="str">
        <f>'Raw Data'!A38</f>
        <v>Newark RM-01</v>
      </c>
      <c r="B38" t="str">
        <f>'Raw Data'!B38</f>
        <v>Northeast</v>
      </c>
      <c r="C38" t="str">
        <f>'Raw Data'!C38</f>
        <v>Electronics</v>
      </c>
      <c r="D38" s="3">
        <f>'Raw Data'!D38</f>
        <v>45839</v>
      </c>
      <c r="E38" t="str">
        <f t="shared" si="0"/>
        <v>Jul</v>
      </c>
      <c r="F38" s="5">
        <f>'Raw Data'!E38</f>
        <v>99</v>
      </c>
      <c r="G38" s="4">
        <f>'Raw Data'!F38</f>
        <v>15494.2</v>
      </c>
      <c r="H38" s="4">
        <f>'Raw Data'!G38</f>
        <v>12219.19</v>
      </c>
      <c r="I38" s="4">
        <f t="shared" si="1"/>
        <v>3275.01</v>
      </c>
      <c r="J38" s="8">
        <f t="shared" si="2"/>
        <v>0.2113700610551045</v>
      </c>
      <c r="K38" s="6">
        <f>'Raw Data'!I38</f>
        <v>4.05</v>
      </c>
      <c r="L38" s="5">
        <f>'Raw Data'!J38</f>
        <v>23</v>
      </c>
      <c r="M38" s="5">
        <f>IF(COUNTIFS($A$2:A38,A38,$D$2:D38,D38)=1,L38,0)</f>
        <v>23</v>
      </c>
      <c r="N38" s="4">
        <f t="shared" si="3"/>
        <v>673.66086956521747</v>
      </c>
      <c r="O38" t="str">
        <f t="shared" si="4"/>
        <v>OK</v>
      </c>
    </row>
    <row r="39" spans="1:15">
      <c r="A39" t="str">
        <f>'Raw Data'!A39</f>
        <v>Newark RM-01</v>
      </c>
      <c r="B39" t="str">
        <f>'Raw Data'!B39</f>
        <v>Northeast</v>
      </c>
      <c r="C39" t="str">
        <f>'Raw Data'!C39</f>
        <v>Home Goods</v>
      </c>
      <c r="D39" s="3">
        <f>'Raw Data'!D39</f>
        <v>45839</v>
      </c>
      <c r="E39" t="str">
        <f t="shared" si="0"/>
        <v>Jul</v>
      </c>
      <c r="F39" s="5">
        <f>'Raw Data'!E39</f>
        <v>119</v>
      </c>
      <c r="G39" s="4">
        <f>'Raw Data'!F39</f>
        <v>8697.36</v>
      </c>
      <c r="H39" s="4">
        <f>'Raw Data'!G39</f>
        <v>5807.7</v>
      </c>
      <c r="I39" s="4">
        <f t="shared" si="1"/>
        <v>2889.6600000000008</v>
      </c>
      <c r="J39" s="8">
        <f t="shared" si="2"/>
        <v>0.33224564695493813</v>
      </c>
      <c r="K39" s="6">
        <f>'Raw Data'!I39</f>
        <v>4.1399999999999997</v>
      </c>
      <c r="L39" s="5">
        <f>'Raw Data'!J39</f>
        <v>23</v>
      </c>
      <c r="M39" s="5">
        <f>IF(COUNTIFS($A$2:A39,A39,$D$2:D39,D39)=1,L39,0)</f>
        <v>0</v>
      </c>
      <c r="N39" s="4">
        <f t="shared" si="3"/>
        <v>378.14608695652174</v>
      </c>
      <c r="O39" t="str">
        <f t="shared" si="4"/>
        <v>OK</v>
      </c>
    </row>
    <row r="40" spans="1:15">
      <c r="A40" t="str">
        <f>'Raw Data'!A40</f>
        <v>Newark RM-01</v>
      </c>
      <c r="B40" t="str">
        <f>'Raw Data'!B40</f>
        <v>Northeast</v>
      </c>
      <c r="C40" t="str">
        <f>'Raw Data'!C40</f>
        <v>Apparel</v>
      </c>
      <c r="D40" s="3">
        <f>'Raw Data'!D40</f>
        <v>45839</v>
      </c>
      <c r="E40" t="str">
        <f t="shared" si="0"/>
        <v>Jul</v>
      </c>
      <c r="F40" s="5">
        <f>'Raw Data'!E40</f>
        <v>126</v>
      </c>
      <c r="G40" s="4">
        <f>'Raw Data'!F40</f>
        <v>6318.45</v>
      </c>
      <c r="H40" s="4">
        <f>'Raw Data'!G40</f>
        <v>3788.75</v>
      </c>
      <c r="I40" s="4">
        <f t="shared" si="1"/>
        <v>2529.6999999999998</v>
      </c>
      <c r="J40" s="8">
        <f t="shared" si="2"/>
        <v>0.40036717865932309</v>
      </c>
      <c r="K40" s="6">
        <f>'Raw Data'!I40</f>
        <v>4</v>
      </c>
      <c r="L40" s="5">
        <f>'Raw Data'!J40</f>
        <v>23</v>
      </c>
      <c r="M40" s="5">
        <f>IF(COUNTIFS($A$2:A40,A40,$D$2:D40,D40)=1,L40,0)</f>
        <v>0</v>
      </c>
      <c r="N40" s="4">
        <f t="shared" si="3"/>
        <v>274.71521739130435</v>
      </c>
      <c r="O40" t="str">
        <f t="shared" si="4"/>
        <v>OK</v>
      </c>
    </row>
    <row r="41" spans="1:15">
      <c r="A41" t="str">
        <f>'Raw Data'!A41</f>
        <v>Newark RM-01</v>
      </c>
      <c r="B41" t="str">
        <f>'Raw Data'!B41</f>
        <v>Northeast</v>
      </c>
      <c r="C41" t="str">
        <f>'Raw Data'!C41</f>
        <v>Beauty</v>
      </c>
      <c r="D41" s="3">
        <f>'Raw Data'!D41</f>
        <v>45839</v>
      </c>
      <c r="E41" t="str">
        <f t="shared" si="0"/>
        <v>Jul</v>
      </c>
      <c r="F41" s="5">
        <f>'Raw Data'!E41</f>
        <v>109</v>
      </c>
      <c r="G41" s="4">
        <f>'Raw Data'!F41</f>
        <v>3964.81</v>
      </c>
      <c r="H41" s="4">
        <f>'Raw Data'!G41</f>
        <v>2008.16</v>
      </c>
      <c r="I41" s="4">
        <f t="shared" si="1"/>
        <v>1956.6499999999999</v>
      </c>
      <c r="J41" s="8">
        <f t="shared" si="2"/>
        <v>0.49350410234033909</v>
      </c>
      <c r="K41" s="6">
        <f>'Raw Data'!I41</f>
        <v>3.85</v>
      </c>
      <c r="L41" s="5">
        <f>'Raw Data'!J41</f>
        <v>23</v>
      </c>
      <c r="M41" s="5">
        <f>IF(COUNTIFS($A$2:A41,A41,$D$2:D41,D41)=1,L41,0)</f>
        <v>0</v>
      </c>
      <c r="N41" s="4">
        <f t="shared" si="3"/>
        <v>172.38304347826087</v>
      </c>
      <c r="O41" t="str">
        <f t="shared" si="4"/>
        <v>OK</v>
      </c>
    </row>
    <row r="42" spans="1:15">
      <c r="A42" t="str">
        <f>'Raw Data'!A42</f>
        <v>Newark RM-01</v>
      </c>
      <c r="B42" t="str">
        <f>'Raw Data'!B42</f>
        <v>Northeast</v>
      </c>
      <c r="C42" t="str">
        <f>'Raw Data'!C42</f>
        <v>Grocery</v>
      </c>
      <c r="D42" s="3">
        <f>'Raw Data'!D42</f>
        <v>45839</v>
      </c>
      <c r="E42" t="str">
        <f t="shared" si="0"/>
        <v>Jul</v>
      </c>
      <c r="F42" s="5">
        <f>'Raw Data'!E42</f>
        <v>196</v>
      </c>
      <c r="G42" s="4">
        <f>'Raw Data'!F42</f>
        <v>3408.1</v>
      </c>
      <c r="H42" s="4">
        <f>'Raw Data'!G42</f>
        <v>3139.62</v>
      </c>
      <c r="I42" s="4">
        <f t="shared" si="1"/>
        <v>268.48</v>
      </c>
      <c r="J42" s="8">
        <f t="shared" si="2"/>
        <v>7.8777031190399346E-2</v>
      </c>
      <c r="K42" s="6">
        <f>'Raw Data'!I42</f>
        <v>4</v>
      </c>
      <c r="L42" s="5">
        <f>'Raw Data'!J42</f>
        <v>23</v>
      </c>
      <c r="M42" s="5">
        <f>IF(COUNTIFS($A$2:A42,A42,$D$2:D42,D42)=1,L42,0)</f>
        <v>0</v>
      </c>
      <c r="N42" s="4">
        <f t="shared" si="3"/>
        <v>148.17826086956521</v>
      </c>
      <c r="O42" t="str">
        <f t="shared" si="4"/>
        <v>OK</v>
      </c>
    </row>
    <row r="43" spans="1:15">
      <c r="A43" t="str">
        <f>'Raw Data'!A43</f>
        <v>Newark RM-01</v>
      </c>
      <c r="B43" t="str">
        <f>'Raw Data'!B43</f>
        <v>Northeast</v>
      </c>
      <c r="C43" t="str">
        <f>'Raw Data'!C43</f>
        <v>Sports</v>
      </c>
      <c r="D43" s="3">
        <f>'Raw Data'!D43</f>
        <v>45839</v>
      </c>
      <c r="E43" t="str">
        <f t="shared" si="0"/>
        <v>Jul</v>
      </c>
      <c r="F43" s="5">
        <f>'Raw Data'!E43</f>
        <v>109</v>
      </c>
      <c r="G43" s="4">
        <f>'Raw Data'!F43</f>
        <v>6575.05</v>
      </c>
      <c r="H43" s="4">
        <f>'Raw Data'!G43</f>
        <v>4214.8599999999997</v>
      </c>
      <c r="I43" s="4">
        <f t="shared" si="1"/>
        <v>2360.1900000000005</v>
      </c>
      <c r="J43" s="8">
        <f t="shared" si="2"/>
        <v>0.35896152880966692</v>
      </c>
      <c r="K43" s="6">
        <f>'Raw Data'!I43</f>
        <v>4.1100000000000003</v>
      </c>
      <c r="L43" s="5">
        <f>'Raw Data'!J43</f>
        <v>23</v>
      </c>
      <c r="M43" s="5">
        <f>IF(COUNTIFS($A$2:A43,A43,$D$2:D43,D43)=1,L43,0)</f>
        <v>0</v>
      </c>
      <c r="N43" s="4">
        <f t="shared" si="3"/>
        <v>285.87173913043478</v>
      </c>
      <c r="O43" t="str">
        <f t="shared" si="4"/>
        <v>OK</v>
      </c>
    </row>
    <row r="44" spans="1:15">
      <c r="A44" t="str">
        <f>'Raw Data'!A44</f>
        <v>Newark RM-01</v>
      </c>
      <c r="B44" t="str">
        <f>'Raw Data'!B44</f>
        <v>Northeast</v>
      </c>
      <c r="C44" t="str">
        <f>'Raw Data'!C44</f>
        <v>Electronics</v>
      </c>
      <c r="D44" s="3">
        <f>'Raw Data'!D44</f>
        <v>45870</v>
      </c>
      <c r="E44" t="str">
        <f t="shared" si="0"/>
        <v>Aug</v>
      </c>
      <c r="F44" s="5">
        <f>'Raw Data'!E44</f>
        <v>112</v>
      </c>
      <c r="G44" s="4">
        <f>'Raw Data'!F44</f>
        <v>15452</v>
      </c>
      <c r="H44" s="4">
        <f>'Raw Data'!G44</f>
        <v>12353.54</v>
      </c>
      <c r="I44" s="4">
        <f t="shared" si="1"/>
        <v>3098.4599999999991</v>
      </c>
      <c r="J44" s="8">
        <f t="shared" si="2"/>
        <v>0.20052161532487697</v>
      </c>
      <c r="K44" s="6">
        <f>'Raw Data'!I44</f>
        <v>4</v>
      </c>
      <c r="L44" s="5">
        <f>'Raw Data'!J44</f>
        <v>23</v>
      </c>
      <c r="M44" s="5">
        <f>IF(COUNTIFS($A$2:A44,A44,$D$2:D44,D44)=1,L44,0)</f>
        <v>23</v>
      </c>
      <c r="N44" s="4">
        <f t="shared" si="3"/>
        <v>671.82608695652175</v>
      </c>
      <c r="O44" t="str">
        <f t="shared" si="4"/>
        <v>OK</v>
      </c>
    </row>
    <row r="45" spans="1:15">
      <c r="A45" t="str">
        <f>'Raw Data'!A45</f>
        <v>Newark RM-01</v>
      </c>
      <c r="B45" t="str">
        <f>'Raw Data'!B45</f>
        <v>Northeast</v>
      </c>
      <c r="C45" t="str">
        <f>'Raw Data'!C45</f>
        <v>Home Goods</v>
      </c>
      <c r="D45" s="3">
        <f>'Raw Data'!D45</f>
        <v>45870</v>
      </c>
      <c r="E45" t="str">
        <f t="shared" si="0"/>
        <v>Aug</v>
      </c>
      <c r="F45" s="5">
        <f>'Raw Data'!E45</f>
        <v>103</v>
      </c>
      <c r="G45" s="4">
        <f>'Raw Data'!F45</f>
        <v>7705.04</v>
      </c>
      <c r="H45" s="4">
        <f>'Raw Data'!G45</f>
        <v>5179.41</v>
      </c>
      <c r="I45" s="4">
        <f t="shared" si="1"/>
        <v>2525.63</v>
      </c>
      <c r="J45" s="8">
        <f t="shared" si="2"/>
        <v>0.3277893430793351</v>
      </c>
      <c r="K45" s="6">
        <f>'Raw Data'!I45</f>
        <v>4.03</v>
      </c>
      <c r="L45" s="5">
        <f>'Raw Data'!J45</f>
        <v>23</v>
      </c>
      <c r="M45" s="5">
        <f>IF(COUNTIFS($A$2:A45,A45,$D$2:D45,D45)=1,L45,0)</f>
        <v>0</v>
      </c>
      <c r="N45" s="4">
        <f t="shared" si="3"/>
        <v>335.00173913043477</v>
      </c>
      <c r="O45" t="str">
        <f t="shared" si="4"/>
        <v>OK</v>
      </c>
    </row>
    <row r="46" spans="1:15">
      <c r="A46" t="str">
        <f>'Raw Data'!A46</f>
        <v>Newark RM-01</v>
      </c>
      <c r="B46" t="str">
        <f>'Raw Data'!B46</f>
        <v>Northeast</v>
      </c>
      <c r="C46" t="str">
        <f>'Raw Data'!C46</f>
        <v>Apparel</v>
      </c>
      <c r="D46" s="3">
        <f>'Raw Data'!D46</f>
        <v>45870</v>
      </c>
      <c r="E46" t="str">
        <f t="shared" si="0"/>
        <v>Aug</v>
      </c>
      <c r="F46" s="5">
        <f>'Raw Data'!E46</f>
        <v>151</v>
      </c>
      <c r="G46" s="4">
        <f>'Raw Data'!F46</f>
        <v>6945.92</v>
      </c>
      <c r="H46" s="4">
        <f>'Raw Data'!G46</f>
        <v>4358.08</v>
      </c>
      <c r="I46" s="4">
        <f t="shared" si="1"/>
        <v>2587.84</v>
      </c>
      <c r="J46" s="8">
        <f t="shared" si="2"/>
        <v>0.37256979636966742</v>
      </c>
      <c r="K46" s="6">
        <f>'Raw Data'!I46</f>
        <v>3.96</v>
      </c>
      <c r="L46" s="5">
        <f>'Raw Data'!J46</f>
        <v>23</v>
      </c>
      <c r="M46" s="5">
        <f>IF(COUNTIFS($A$2:A46,A46,$D$2:D46,D46)=1,L46,0)</f>
        <v>0</v>
      </c>
      <c r="N46" s="4">
        <f t="shared" si="3"/>
        <v>301.99652173913046</v>
      </c>
      <c r="O46" t="str">
        <f t="shared" si="4"/>
        <v>OK</v>
      </c>
    </row>
    <row r="47" spans="1:15">
      <c r="A47" t="str">
        <f>'Raw Data'!A47</f>
        <v>Newark RM-01</v>
      </c>
      <c r="B47" t="str">
        <f>'Raw Data'!B47</f>
        <v>Northeast</v>
      </c>
      <c r="C47" t="str">
        <f>'Raw Data'!C47</f>
        <v>Beauty</v>
      </c>
      <c r="D47" s="3">
        <f>'Raw Data'!D47</f>
        <v>45870</v>
      </c>
      <c r="E47" t="str">
        <f t="shared" si="0"/>
        <v>Aug</v>
      </c>
      <c r="F47" s="5">
        <f>'Raw Data'!E47</f>
        <v>116</v>
      </c>
      <c r="G47" s="4">
        <f>'Raw Data'!F47</f>
        <v>4468.58</v>
      </c>
      <c r="H47" s="4">
        <f>'Raw Data'!G47</f>
        <v>2301.87</v>
      </c>
      <c r="I47" s="4">
        <f t="shared" si="1"/>
        <v>2166.71</v>
      </c>
      <c r="J47" s="8">
        <f t="shared" si="2"/>
        <v>0.48487662747449972</v>
      </c>
      <c r="K47" s="6">
        <f>'Raw Data'!I47</f>
        <v>3.8</v>
      </c>
      <c r="L47" s="5">
        <f>'Raw Data'!J47</f>
        <v>23</v>
      </c>
      <c r="M47" s="5">
        <f>IF(COUNTIFS($A$2:A47,A47,$D$2:D47,D47)=1,L47,0)</f>
        <v>0</v>
      </c>
      <c r="N47" s="4">
        <f t="shared" si="3"/>
        <v>194.28608695652173</v>
      </c>
      <c r="O47" t="str">
        <f t="shared" si="4"/>
        <v>OK</v>
      </c>
    </row>
    <row r="48" spans="1:15">
      <c r="A48" t="str">
        <f>'Raw Data'!A48</f>
        <v>Newark RM-01</v>
      </c>
      <c r="B48" t="str">
        <f>'Raw Data'!B48</f>
        <v>Northeast</v>
      </c>
      <c r="C48" t="str">
        <f>'Raw Data'!C48</f>
        <v>Grocery</v>
      </c>
      <c r="D48" s="3">
        <f>'Raw Data'!D48</f>
        <v>45870</v>
      </c>
      <c r="E48" t="str">
        <f t="shared" si="0"/>
        <v>Aug</v>
      </c>
      <c r="F48" s="5">
        <f>'Raw Data'!E48</f>
        <v>167</v>
      </c>
      <c r="G48" s="4">
        <f>'Raw Data'!F48</f>
        <v>2867.72</v>
      </c>
      <c r="H48" s="4">
        <f>'Raw Data'!G48</f>
        <v>2650</v>
      </c>
      <c r="I48" s="4">
        <f t="shared" si="1"/>
        <v>217.7199999999998</v>
      </c>
      <c r="J48" s="8">
        <f t="shared" si="2"/>
        <v>7.5920940677611418E-2</v>
      </c>
      <c r="K48" s="6">
        <f>'Raw Data'!I48</f>
        <v>3.94</v>
      </c>
      <c r="L48" s="5">
        <f>'Raw Data'!J48</f>
        <v>23</v>
      </c>
      <c r="M48" s="5">
        <f>IF(COUNTIFS($A$2:A48,A48,$D$2:D48,D48)=1,L48,0)</f>
        <v>0</v>
      </c>
      <c r="N48" s="4">
        <f t="shared" si="3"/>
        <v>124.68347826086956</v>
      </c>
      <c r="O48" t="str">
        <f t="shared" si="4"/>
        <v>OK</v>
      </c>
    </row>
    <row r="49" spans="1:15">
      <c r="A49" t="str">
        <f>'Raw Data'!A49</f>
        <v>Newark RM-01</v>
      </c>
      <c r="B49" t="str">
        <f>'Raw Data'!B49</f>
        <v>Northeast</v>
      </c>
      <c r="C49" t="str">
        <f>'Raw Data'!C49</f>
        <v>Sports</v>
      </c>
      <c r="D49" s="3">
        <f>'Raw Data'!D49</f>
        <v>45870</v>
      </c>
      <c r="E49" t="str">
        <f t="shared" si="0"/>
        <v>Aug</v>
      </c>
      <c r="F49" s="5">
        <f>'Raw Data'!E49</f>
        <v>97</v>
      </c>
      <c r="G49" s="4">
        <f>'Raw Data'!F49</f>
        <v>5764.68</v>
      </c>
      <c r="H49" s="4">
        <f>'Raw Data'!G49</f>
        <v>3781.65</v>
      </c>
      <c r="I49" s="4">
        <f t="shared" si="1"/>
        <v>1983.0300000000002</v>
      </c>
      <c r="J49" s="8">
        <f t="shared" si="2"/>
        <v>0.34399654447428135</v>
      </c>
      <c r="K49" s="6">
        <f>'Raw Data'!I49</f>
        <v>3.82</v>
      </c>
      <c r="L49" s="5">
        <f>'Raw Data'!J49</f>
        <v>23</v>
      </c>
      <c r="M49" s="5">
        <f>IF(COUNTIFS($A$2:A49,A49,$D$2:D49,D49)=1,L49,0)</f>
        <v>0</v>
      </c>
      <c r="N49" s="4">
        <f t="shared" si="3"/>
        <v>250.63826086956524</v>
      </c>
      <c r="O49" t="str">
        <f t="shared" si="4"/>
        <v>OK</v>
      </c>
    </row>
    <row r="50" spans="1:15">
      <c r="A50" t="str">
        <f>'Raw Data'!A50</f>
        <v>Newark RM-01</v>
      </c>
      <c r="B50" t="str">
        <f>'Raw Data'!B50</f>
        <v>Northeast</v>
      </c>
      <c r="C50" t="str">
        <f>'Raw Data'!C50</f>
        <v>Electronics</v>
      </c>
      <c r="D50" s="3">
        <f>'Raw Data'!D50</f>
        <v>45901</v>
      </c>
      <c r="E50" t="str">
        <f t="shared" si="0"/>
        <v>Sep</v>
      </c>
      <c r="F50" s="5">
        <f>'Raw Data'!E50</f>
        <v>106</v>
      </c>
      <c r="G50" s="4">
        <f>'Raw Data'!F50</f>
        <v>16241.85</v>
      </c>
      <c r="H50" s="4">
        <f>'Raw Data'!G50</f>
        <v>13119.28</v>
      </c>
      <c r="I50" s="4">
        <f t="shared" si="1"/>
        <v>3122.5699999999997</v>
      </c>
      <c r="J50" s="8">
        <f t="shared" si="2"/>
        <v>0.19225457691088144</v>
      </c>
      <c r="K50" s="6">
        <f>'Raw Data'!I50</f>
        <v>4.01</v>
      </c>
      <c r="L50" s="5">
        <f>'Raw Data'!J50</f>
        <v>22</v>
      </c>
      <c r="M50" s="5">
        <f>IF(COUNTIFS($A$2:A50,A50,$D$2:D50,D50)=1,L50,0)</f>
        <v>22</v>
      </c>
      <c r="N50" s="4">
        <f t="shared" si="3"/>
        <v>738.26590909090908</v>
      </c>
      <c r="O50" t="str">
        <f t="shared" si="4"/>
        <v>OK</v>
      </c>
    </row>
    <row r="51" spans="1:15">
      <c r="A51" t="str">
        <f>'Raw Data'!A51</f>
        <v>Newark RM-01</v>
      </c>
      <c r="B51" t="str">
        <f>'Raw Data'!B51</f>
        <v>Northeast</v>
      </c>
      <c r="C51" t="str">
        <f>'Raw Data'!C51</f>
        <v>Home Goods</v>
      </c>
      <c r="D51" s="3">
        <f>'Raw Data'!D51</f>
        <v>45901</v>
      </c>
      <c r="E51" t="str">
        <f t="shared" si="0"/>
        <v>Sep</v>
      </c>
      <c r="F51" s="5">
        <f>'Raw Data'!E51</f>
        <v>103</v>
      </c>
      <c r="G51" s="4">
        <f>'Raw Data'!F51</f>
        <v>8440.25</v>
      </c>
      <c r="H51" s="4">
        <f>'Raw Data'!G51</f>
        <v>5860.54</v>
      </c>
      <c r="I51" s="4">
        <f t="shared" si="1"/>
        <v>2579.71</v>
      </c>
      <c r="J51" s="8">
        <f t="shared" si="2"/>
        <v>0.30564379017209209</v>
      </c>
      <c r="K51" s="6">
        <f>'Raw Data'!I51</f>
        <v>3.79</v>
      </c>
      <c r="L51" s="5">
        <f>'Raw Data'!J51</f>
        <v>22</v>
      </c>
      <c r="M51" s="5">
        <f>IF(COUNTIFS($A$2:A51,A51,$D$2:D51,D51)=1,L51,0)</f>
        <v>0</v>
      </c>
      <c r="N51" s="4">
        <f t="shared" si="3"/>
        <v>383.64772727272725</v>
      </c>
      <c r="O51" t="str">
        <f t="shared" si="4"/>
        <v>OK</v>
      </c>
    </row>
    <row r="52" spans="1:15">
      <c r="A52" t="str">
        <f>'Raw Data'!A52</f>
        <v>Newark RM-01</v>
      </c>
      <c r="B52" t="str">
        <f>'Raw Data'!B52</f>
        <v>Northeast</v>
      </c>
      <c r="C52" t="str">
        <f>'Raw Data'!C52</f>
        <v>Apparel</v>
      </c>
      <c r="D52" s="3">
        <f>'Raw Data'!D52</f>
        <v>45901</v>
      </c>
      <c r="E52" t="str">
        <f t="shared" si="0"/>
        <v>Sep</v>
      </c>
      <c r="F52" s="5">
        <f>'Raw Data'!E52</f>
        <v>129</v>
      </c>
      <c r="G52" s="4">
        <f>'Raw Data'!F52</f>
        <v>6395.56</v>
      </c>
      <c r="H52" s="4">
        <f>'Raw Data'!G52</f>
        <v>4122.1899999999996</v>
      </c>
      <c r="I52" s="4">
        <f t="shared" si="1"/>
        <v>2273.3700000000008</v>
      </c>
      <c r="J52" s="8">
        <f t="shared" si="2"/>
        <v>0.35546066333518889</v>
      </c>
      <c r="K52" s="6">
        <f>'Raw Data'!I52</f>
        <v>3.84</v>
      </c>
      <c r="L52" s="5">
        <f>'Raw Data'!J52</f>
        <v>22</v>
      </c>
      <c r="M52" s="5">
        <f>IF(COUNTIFS($A$2:A52,A52,$D$2:D52,D52)=1,L52,0)</f>
        <v>0</v>
      </c>
      <c r="N52" s="4">
        <f t="shared" si="3"/>
        <v>290.70727272727277</v>
      </c>
      <c r="O52" t="str">
        <f t="shared" si="4"/>
        <v>OK</v>
      </c>
    </row>
    <row r="53" spans="1:15">
      <c r="A53" t="str">
        <f>'Raw Data'!A53</f>
        <v>Newark RM-01</v>
      </c>
      <c r="B53" t="str">
        <f>'Raw Data'!B53</f>
        <v>Northeast</v>
      </c>
      <c r="C53" t="str">
        <f>'Raw Data'!C53</f>
        <v>Beauty</v>
      </c>
      <c r="D53" s="3">
        <f>'Raw Data'!D53</f>
        <v>45901</v>
      </c>
      <c r="E53" t="str">
        <f t="shared" si="0"/>
        <v>Sep</v>
      </c>
      <c r="F53" s="5">
        <f>'Raw Data'!E53</f>
        <v>98</v>
      </c>
      <c r="G53" s="4">
        <f>'Raw Data'!F53</f>
        <v>3373.33</v>
      </c>
      <c r="H53" s="4">
        <f>'Raw Data'!G53</f>
        <v>1673.25</v>
      </c>
      <c r="I53" s="4">
        <f t="shared" si="1"/>
        <v>1700.08</v>
      </c>
      <c r="J53" s="8">
        <f t="shared" si="2"/>
        <v>0.50397678258575351</v>
      </c>
      <c r="K53" s="6">
        <f>'Raw Data'!I53</f>
        <v>3.99</v>
      </c>
      <c r="L53" s="5">
        <f>'Raw Data'!J53</f>
        <v>22</v>
      </c>
      <c r="M53" s="5">
        <f>IF(COUNTIFS($A$2:A53,A53,$D$2:D53,D53)=1,L53,0)</f>
        <v>0</v>
      </c>
      <c r="N53" s="4">
        <f t="shared" si="3"/>
        <v>153.33318181818183</v>
      </c>
      <c r="O53" t="str">
        <f t="shared" si="4"/>
        <v>OK</v>
      </c>
    </row>
    <row r="54" spans="1:15">
      <c r="A54" t="str">
        <f>'Raw Data'!A54</f>
        <v>Newark RM-01</v>
      </c>
      <c r="B54" t="str">
        <f>'Raw Data'!B54</f>
        <v>Northeast</v>
      </c>
      <c r="C54" t="str">
        <f>'Raw Data'!C54</f>
        <v>Grocery</v>
      </c>
      <c r="D54" s="3">
        <f>'Raw Data'!D54</f>
        <v>45901</v>
      </c>
      <c r="E54" t="str">
        <f t="shared" si="0"/>
        <v>Sep</v>
      </c>
      <c r="F54" s="5">
        <f>'Raw Data'!E54</f>
        <v>170</v>
      </c>
      <c r="G54" s="4">
        <f>'Raw Data'!F54</f>
        <v>3183.83</v>
      </c>
      <c r="H54" s="4">
        <f>'Raw Data'!G54</f>
        <v>2902.04</v>
      </c>
      <c r="I54" s="4">
        <f t="shared" si="1"/>
        <v>281.78999999999996</v>
      </c>
      <c r="J54" s="8">
        <f t="shared" si="2"/>
        <v>8.8506609963471664E-2</v>
      </c>
      <c r="K54" s="6">
        <f>'Raw Data'!I54</f>
        <v>3.99</v>
      </c>
      <c r="L54" s="5">
        <f>'Raw Data'!J54</f>
        <v>22</v>
      </c>
      <c r="M54" s="5">
        <f>IF(COUNTIFS($A$2:A54,A54,$D$2:D54,D54)=1,L54,0)</f>
        <v>0</v>
      </c>
      <c r="N54" s="4">
        <f t="shared" si="3"/>
        <v>144.71954545454545</v>
      </c>
      <c r="O54" t="str">
        <f t="shared" si="4"/>
        <v>OK</v>
      </c>
    </row>
    <row r="55" spans="1:15">
      <c r="A55" t="str">
        <f>'Raw Data'!A55</f>
        <v>Newark RM-01</v>
      </c>
      <c r="B55" t="str">
        <f>'Raw Data'!B55</f>
        <v>Northeast</v>
      </c>
      <c r="C55" t="str">
        <f>'Raw Data'!C55</f>
        <v>Sports</v>
      </c>
      <c r="D55" s="3">
        <f>'Raw Data'!D55</f>
        <v>45901</v>
      </c>
      <c r="E55" t="str">
        <f t="shared" si="0"/>
        <v>Sep</v>
      </c>
      <c r="F55" s="5">
        <f>'Raw Data'!E55</f>
        <v>87</v>
      </c>
      <c r="G55" s="4">
        <f>'Raw Data'!F55</f>
        <v>5269.71</v>
      </c>
      <c r="H55" s="4">
        <f>'Raw Data'!G55</f>
        <v>3517.74</v>
      </c>
      <c r="I55" s="4">
        <f t="shared" si="1"/>
        <v>1751.9700000000003</v>
      </c>
      <c r="J55" s="8">
        <f t="shared" si="2"/>
        <v>0.33246042002311327</v>
      </c>
      <c r="K55" s="6">
        <f>'Raw Data'!I55</f>
        <v>4.12</v>
      </c>
      <c r="L55" s="5">
        <f>'Raw Data'!J55</f>
        <v>22</v>
      </c>
      <c r="M55" s="5">
        <f>IF(COUNTIFS($A$2:A55,A55,$D$2:D55,D55)=1,L55,0)</f>
        <v>0</v>
      </c>
      <c r="N55" s="4">
        <f t="shared" si="3"/>
        <v>239.53227272727273</v>
      </c>
      <c r="O55" t="str">
        <f t="shared" si="4"/>
        <v>OK</v>
      </c>
    </row>
    <row r="56" spans="1:15">
      <c r="A56" t="str">
        <f>'Raw Data'!A56</f>
        <v>Newark RM-01</v>
      </c>
      <c r="B56" t="str">
        <f>'Raw Data'!B56</f>
        <v>Northeast</v>
      </c>
      <c r="C56" t="str">
        <f>'Raw Data'!C56</f>
        <v>Electronics</v>
      </c>
      <c r="D56" s="3">
        <f>'Raw Data'!D56</f>
        <v>45931</v>
      </c>
      <c r="E56" t="str">
        <f t="shared" si="0"/>
        <v>Oct</v>
      </c>
      <c r="F56" s="5">
        <f>'Raw Data'!E56</f>
        <v>124</v>
      </c>
      <c r="G56" s="4">
        <f>'Raw Data'!F56</f>
        <v>17597.66</v>
      </c>
      <c r="H56" s="4">
        <f>'Raw Data'!G56</f>
        <v>13727.07</v>
      </c>
      <c r="I56" s="4">
        <f t="shared" si="1"/>
        <v>3870.59</v>
      </c>
      <c r="J56" s="8">
        <f t="shared" si="2"/>
        <v>0.21994912960018548</v>
      </c>
      <c r="K56" s="6">
        <f>'Raw Data'!I56</f>
        <v>4.07</v>
      </c>
      <c r="L56" s="5">
        <f>'Raw Data'!J56</f>
        <v>21</v>
      </c>
      <c r="M56" s="5">
        <f>IF(COUNTIFS($A$2:A56,A56,$D$2:D56,D56)=1,L56,0)</f>
        <v>21</v>
      </c>
      <c r="N56" s="4">
        <f t="shared" si="3"/>
        <v>837.98380952380955</v>
      </c>
      <c r="O56" t="str">
        <f t="shared" si="4"/>
        <v>OK</v>
      </c>
    </row>
    <row r="57" spans="1:15">
      <c r="A57" t="str">
        <f>'Raw Data'!A57</f>
        <v>Newark RM-01</v>
      </c>
      <c r="B57" t="str">
        <f>'Raw Data'!B57</f>
        <v>Northeast</v>
      </c>
      <c r="C57" t="str">
        <f>'Raw Data'!C57</f>
        <v>Home Goods</v>
      </c>
      <c r="D57" s="3">
        <f>'Raw Data'!D57</f>
        <v>45931</v>
      </c>
      <c r="E57" t="str">
        <f t="shared" si="0"/>
        <v>Oct</v>
      </c>
      <c r="F57" s="5">
        <f>'Raw Data'!E57</f>
        <v>110</v>
      </c>
      <c r="G57" s="4">
        <f>'Raw Data'!F57</f>
        <v>8604.08</v>
      </c>
      <c r="H57" s="4">
        <f>'Raw Data'!G57</f>
        <v>5885.94</v>
      </c>
      <c r="I57" s="4">
        <f t="shared" si="1"/>
        <v>2718.1400000000003</v>
      </c>
      <c r="J57" s="8">
        <f t="shared" si="2"/>
        <v>0.31591291573300112</v>
      </c>
      <c r="K57" s="6">
        <f>'Raw Data'!I57</f>
        <v>4.0599999999999996</v>
      </c>
      <c r="L57" s="5">
        <f>'Raw Data'!J57</f>
        <v>21</v>
      </c>
      <c r="M57" s="5">
        <f>IF(COUNTIFS($A$2:A57,A57,$D$2:D57,D57)=1,L57,0)</f>
        <v>0</v>
      </c>
      <c r="N57" s="4">
        <f t="shared" si="3"/>
        <v>409.71809523809526</v>
      </c>
      <c r="O57" t="str">
        <f t="shared" si="4"/>
        <v>OK</v>
      </c>
    </row>
    <row r="58" spans="1:15">
      <c r="A58" t="str">
        <f>'Raw Data'!A58</f>
        <v>Newark RM-01</v>
      </c>
      <c r="B58" t="str">
        <f>'Raw Data'!B58</f>
        <v>Northeast</v>
      </c>
      <c r="C58" t="str">
        <f>'Raw Data'!C58</f>
        <v>Apparel</v>
      </c>
      <c r="D58" s="3">
        <f>'Raw Data'!D58</f>
        <v>45931</v>
      </c>
      <c r="E58" t="str">
        <f t="shared" si="0"/>
        <v>Oct</v>
      </c>
      <c r="F58" s="5">
        <f>'Raw Data'!E58</f>
        <v>123</v>
      </c>
      <c r="G58" s="4">
        <f>'Raw Data'!F58</f>
        <v>5557.75</v>
      </c>
      <c r="H58" s="4">
        <f>'Raw Data'!G58</f>
        <v>3433.81</v>
      </c>
      <c r="I58" s="4">
        <f t="shared" si="1"/>
        <v>2123.94</v>
      </c>
      <c r="J58" s="8">
        <f t="shared" si="2"/>
        <v>0.38215824749224059</v>
      </c>
      <c r="K58" s="6">
        <f>'Raw Data'!I58</f>
        <v>4.1100000000000003</v>
      </c>
      <c r="L58" s="5">
        <f>'Raw Data'!J58</f>
        <v>21</v>
      </c>
      <c r="M58" s="5">
        <f>IF(COUNTIFS($A$2:A58,A58,$D$2:D58,D58)=1,L58,0)</f>
        <v>0</v>
      </c>
      <c r="N58" s="4">
        <f t="shared" si="3"/>
        <v>264.65476190476193</v>
      </c>
      <c r="O58" t="str">
        <f t="shared" si="4"/>
        <v>OK</v>
      </c>
    </row>
    <row r="59" spans="1:15">
      <c r="A59" t="str">
        <f>'Raw Data'!A59</f>
        <v>Newark RM-01</v>
      </c>
      <c r="B59" t="str">
        <f>'Raw Data'!B59</f>
        <v>Northeast</v>
      </c>
      <c r="C59" t="str">
        <f>'Raw Data'!C59</f>
        <v>Beauty</v>
      </c>
      <c r="D59" s="3">
        <f>'Raw Data'!D59</f>
        <v>45931</v>
      </c>
      <c r="E59" t="str">
        <f t="shared" si="0"/>
        <v>Oct</v>
      </c>
      <c r="F59" s="5">
        <f>'Raw Data'!E59</f>
        <v>108</v>
      </c>
      <c r="G59" s="4">
        <f>'Raw Data'!F59</f>
        <v>4146.75</v>
      </c>
      <c r="H59" s="4">
        <f>'Raw Data'!G59</f>
        <v>2137.2600000000002</v>
      </c>
      <c r="I59" s="4">
        <f t="shared" si="1"/>
        <v>2009.4899999999998</v>
      </c>
      <c r="J59" s="8">
        <f t="shared" si="2"/>
        <v>0.48459395912461561</v>
      </c>
      <c r="K59" s="6">
        <f>'Raw Data'!I59</f>
        <v>4.09</v>
      </c>
      <c r="L59" s="5">
        <f>'Raw Data'!J59</f>
        <v>21</v>
      </c>
      <c r="M59" s="5">
        <f>IF(COUNTIFS($A$2:A59,A59,$D$2:D59,D59)=1,L59,0)</f>
        <v>0</v>
      </c>
      <c r="N59" s="4">
        <f t="shared" si="3"/>
        <v>197.46428571428572</v>
      </c>
      <c r="O59" t="str">
        <f t="shared" si="4"/>
        <v>OK</v>
      </c>
    </row>
    <row r="60" spans="1:15">
      <c r="A60" t="str">
        <f>'Raw Data'!A60</f>
        <v>Newark RM-01</v>
      </c>
      <c r="B60" t="str">
        <f>'Raw Data'!B60</f>
        <v>Northeast</v>
      </c>
      <c r="C60" t="str">
        <f>'Raw Data'!C60</f>
        <v>Grocery</v>
      </c>
      <c r="D60" s="3">
        <f>'Raw Data'!D60</f>
        <v>45931</v>
      </c>
      <c r="E60" t="str">
        <f t="shared" si="0"/>
        <v>Oct</v>
      </c>
      <c r="F60" s="5">
        <f>'Raw Data'!E60</f>
        <v>176</v>
      </c>
      <c r="G60" s="4">
        <f>'Raw Data'!F60</f>
        <v>3034.44</v>
      </c>
      <c r="H60" s="4">
        <f>'Raw Data'!G60</f>
        <v>2801.57</v>
      </c>
      <c r="I60" s="4">
        <f t="shared" si="1"/>
        <v>232.86999999999989</v>
      </c>
      <c r="J60" s="8">
        <f t="shared" si="2"/>
        <v>7.6742331369214711E-2</v>
      </c>
      <c r="K60" s="6">
        <f>'Raw Data'!I60</f>
        <v>4.09</v>
      </c>
      <c r="L60" s="5">
        <f>'Raw Data'!J60</f>
        <v>21</v>
      </c>
      <c r="M60" s="5">
        <f>IF(COUNTIFS($A$2:A60,A60,$D$2:D60,D60)=1,L60,0)</f>
        <v>0</v>
      </c>
      <c r="N60" s="4">
        <f t="shared" si="3"/>
        <v>144.49714285714285</v>
      </c>
      <c r="O60" t="str">
        <f t="shared" si="4"/>
        <v>OK</v>
      </c>
    </row>
    <row r="61" spans="1:15">
      <c r="A61" t="str">
        <f>'Raw Data'!A61</f>
        <v>Newark RM-01</v>
      </c>
      <c r="B61" t="str">
        <f>'Raw Data'!B61</f>
        <v>Northeast</v>
      </c>
      <c r="C61" t="str">
        <f>'Raw Data'!C61</f>
        <v>Sports</v>
      </c>
      <c r="D61" s="3">
        <f>'Raw Data'!D61</f>
        <v>45931</v>
      </c>
      <c r="E61" t="str">
        <f t="shared" si="0"/>
        <v>Oct</v>
      </c>
      <c r="F61" s="5">
        <f>'Raw Data'!E61</f>
        <v>81</v>
      </c>
      <c r="G61" s="4">
        <f>'Raw Data'!F61</f>
        <v>5280.42</v>
      </c>
      <c r="H61" s="4">
        <f>'Raw Data'!G61</f>
        <v>3636.03</v>
      </c>
      <c r="I61" s="4">
        <f t="shared" si="1"/>
        <v>1644.3899999999999</v>
      </c>
      <c r="J61" s="8">
        <f t="shared" si="2"/>
        <v>0.31141272853295759</v>
      </c>
      <c r="K61" s="6">
        <f>'Raw Data'!I61</f>
        <v>4.12</v>
      </c>
      <c r="L61" s="5">
        <f>'Raw Data'!J61</f>
        <v>21</v>
      </c>
      <c r="M61" s="5">
        <f>IF(COUNTIFS($A$2:A61,A61,$D$2:D61,D61)=1,L61,0)</f>
        <v>0</v>
      </c>
      <c r="N61" s="4">
        <f t="shared" si="3"/>
        <v>251.44857142857143</v>
      </c>
      <c r="O61" t="str">
        <f t="shared" si="4"/>
        <v>OK</v>
      </c>
    </row>
    <row r="62" spans="1:15">
      <c r="A62" t="str">
        <f>'Raw Data'!A62</f>
        <v>Newark RM-01</v>
      </c>
      <c r="B62" t="str">
        <f>'Raw Data'!B62</f>
        <v>Northeast</v>
      </c>
      <c r="C62" t="str">
        <f>'Raw Data'!C62</f>
        <v>Electronics</v>
      </c>
      <c r="D62" s="3">
        <f>'Raw Data'!D62</f>
        <v>45962</v>
      </c>
      <c r="E62" t="str">
        <f t="shared" si="0"/>
        <v>Nov</v>
      </c>
      <c r="F62" s="5">
        <f>'Raw Data'!E62</f>
        <v>179</v>
      </c>
      <c r="G62" s="4">
        <f>'Raw Data'!F62</f>
        <v>25682.86</v>
      </c>
      <c r="H62" s="4">
        <f>'Raw Data'!G62</f>
        <v>20877.86</v>
      </c>
      <c r="I62" s="4">
        <f t="shared" si="1"/>
        <v>4805</v>
      </c>
      <c r="J62" s="8">
        <f t="shared" si="2"/>
        <v>0.18708975558018071</v>
      </c>
      <c r="K62" s="6">
        <f>'Raw Data'!I62</f>
        <v>4.1100000000000003</v>
      </c>
      <c r="L62" s="5">
        <f>'Raw Data'!J62</f>
        <v>24</v>
      </c>
      <c r="M62" s="5">
        <f>IF(COUNTIFS($A$2:A62,A62,$D$2:D62,D62)=1,L62,0)</f>
        <v>24</v>
      </c>
      <c r="N62" s="4">
        <f t="shared" si="3"/>
        <v>1070.1191666666666</v>
      </c>
      <c r="O62" t="str">
        <f t="shared" si="4"/>
        <v>OK</v>
      </c>
    </row>
    <row r="63" spans="1:15">
      <c r="A63" t="str">
        <f>'Raw Data'!A63</f>
        <v>Newark RM-01</v>
      </c>
      <c r="B63" t="str">
        <f>'Raw Data'!B63</f>
        <v>Northeast</v>
      </c>
      <c r="C63" t="str">
        <f>'Raw Data'!C63</f>
        <v>Home Goods</v>
      </c>
      <c r="D63" s="3">
        <f>'Raw Data'!D63</f>
        <v>45962</v>
      </c>
      <c r="E63" t="str">
        <f t="shared" si="0"/>
        <v>Nov</v>
      </c>
      <c r="F63" s="5">
        <f>'Raw Data'!E63</f>
        <v>113</v>
      </c>
      <c r="G63" s="4">
        <f>'Raw Data'!F63</f>
        <v>9243.58</v>
      </c>
      <c r="H63" s="4">
        <f>'Raw Data'!G63</f>
        <v>6567.36</v>
      </c>
      <c r="I63" s="4">
        <f t="shared" si="1"/>
        <v>2676.2200000000003</v>
      </c>
      <c r="J63" s="8">
        <f t="shared" si="2"/>
        <v>0.2895220250162816</v>
      </c>
      <c r="K63" s="6">
        <f>'Raw Data'!I63</f>
        <v>4.12</v>
      </c>
      <c r="L63" s="5">
        <f>'Raw Data'!J63</f>
        <v>24</v>
      </c>
      <c r="M63" s="5">
        <f>IF(COUNTIFS($A$2:A63,A63,$D$2:D63,D63)=1,L63,0)</f>
        <v>0</v>
      </c>
      <c r="N63" s="4">
        <f t="shared" si="3"/>
        <v>385.14916666666664</v>
      </c>
      <c r="O63" t="str">
        <f t="shared" si="4"/>
        <v>OK</v>
      </c>
    </row>
    <row r="64" spans="1:15">
      <c r="A64" t="str">
        <f>'Raw Data'!A64</f>
        <v>Newark RM-01</v>
      </c>
      <c r="B64" t="str">
        <f>'Raw Data'!B64</f>
        <v>Northeast</v>
      </c>
      <c r="C64" t="str">
        <f>'Raw Data'!C64</f>
        <v>Apparel</v>
      </c>
      <c r="D64" s="3">
        <f>'Raw Data'!D64</f>
        <v>45962</v>
      </c>
      <c r="E64" t="str">
        <f t="shared" si="0"/>
        <v>Nov</v>
      </c>
      <c r="F64" s="5">
        <f>'Raw Data'!E64</f>
        <v>188</v>
      </c>
      <c r="G64" s="4">
        <f>'Raw Data'!F64</f>
        <v>9493.11</v>
      </c>
      <c r="H64" s="4">
        <f>'Raw Data'!G64</f>
        <v>5957.86</v>
      </c>
      <c r="I64" s="4">
        <f t="shared" si="1"/>
        <v>3535.2500000000009</v>
      </c>
      <c r="J64" s="8">
        <f t="shared" si="2"/>
        <v>0.37240166815722148</v>
      </c>
      <c r="K64" s="6">
        <f>'Raw Data'!I64</f>
        <v>3.94</v>
      </c>
      <c r="L64" s="5">
        <f>'Raw Data'!J64</f>
        <v>24</v>
      </c>
      <c r="M64" s="5">
        <f>IF(COUNTIFS($A$2:A64,A64,$D$2:D64,D64)=1,L64,0)</f>
        <v>0</v>
      </c>
      <c r="N64" s="4">
        <f t="shared" si="3"/>
        <v>395.54625000000004</v>
      </c>
      <c r="O64" t="str">
        <f t="shared" si="4"/>
        <v>OK</v>
      </c>
    </row>
    <row r="65" spans="1:15">
      <c r="A65" t="str">
        <f>'Raw Data'!A65</f>
        <v>Newark RM-01</v>
      </c>
      <c r="B65" t="str">
        <f>'Raw Data'!B65</f>
        <v>Northeast</v>
      </c>
      <c r="C65" t="str">
        <f>'Raw Data'!C65</f>
        <v>Beauty</v>
      </c>
      <c r="D65" s="3">
        <f>'Raw Data'!D65</f>
        <v>45962</v>
      </c>
      <c r="E65" t="str">
        <f t="shared" si="0"/>
        <v>Nov</v>
      </c>
      <c r="F65" s="5">
        <f>'Raw Data'!E65</f>
        <v>138</v>
      </c>
      <c r="G65" s="4">
        <f>'Raw Data'!F65</f>
        <v>4794.67</v>
      </c>
      <c r="H65" s="4">
        <f>'Raw Data'!G65</f>
        <v>2556.73</v>
      </c>
      <c r="I65" s="4">
        <f t="shared" si="1"/>
        <v>2237.94</v>
      </c>
      <c r="J65" s="8">
        <f t="shared" si="2"/>
        <v>0.46675579341226819</v>
      </c>
      <c r="K65" s="6">
        <f>'Raw Data'!I65</f>
        <v>4.07</v>
      </c>
      <c r="L65" s="5">
        <f>'Raw Data'!J65</f>
        <v>24</v>
      </c>
      <c r="M65" s="5">
        <f>IF(COUNTIFS($A$2:A65,A65,$D$2:D65,D65)=1,L65,0)</f>
        <v>0</v>
      </c>
      <c r="N65" s="4">
        <f t="shared" si="3"/>
        <v>199.77791666666667</v>
      </c>
      <c r="O65" t="str">
        <f t="shared" si="4"/>
        <v>OK</v>
      </c>
    </row>
    <row r="66" spans="1:15">
      <c r="A66" t="str">
        <f>'Raw Data'!A66</f>
        <v>Newark RM-01</v>
      </c>
      <c r="B66" t="str">
        <f>'Raw Data'!B66</f>
        <v>Northeast</v>
      </c>
      <c r="C66" t="str">
        <f>'Raw Data'!C66</f>
        <v>Grocery</v>
      </c>
      <c r="D66" s="3">
        <f>'Raw Data'!D66</f>
        <v>45962</v>
      </c>
      <c r="E66" t="str">
        <f t="shared" ref="E66:E129" si="5">TEXT(D66,"mmm")</f>
        <v>Nov</v>
      </c>
      <c r="F66" s="5">
        <f>'Raw Data'!E66</f>
        <v>205</v>
      </c>
      <c r="G66" s="4">
        <f>'Raw Data'!F66</f>
        <v>3848.33</v>
      </c>
      <c r="H66" s="4">
        <f>'Raw Data'!G66</f>
        <v>3562.77</v>
      </c>
      <c r="I66" s="4">
        <f t="shared" ref="I66:I129" si="6">G66-H66</f>
        <v>285.55999999999995</v>
      </c>
      <c r="J66" s="8">
        <f t="shared" ref="J66:J129" si="7">IFERROR(I66/G66,0)</f>
        <v>7.4203615594296737E-2</v>
      </c>
      <c r="K66" s="6">
        <f>'Raw Data'!I66</f>
        <v>3.82</v>
      </c>
      <c r="L66" s="5">
        <f>'Raw Data'!J66</f>
        <v>24</v>
      </c>
      <c r="M66" s="5">
        <f>IF(COUNTIFS($A$2:A66,A66,$D$2:D66,D66)=1,L66,0)</f>
        <v>0</v>
      </c>
      <c r="N66" s="4">
        <f t="shared" ref="N66:N129" si="8">IFERROR(G66/L66,0)</f>
        <v>160.34708333333333</v>
      </c>
      <c r="O66" t="str">
        <f t="shared" ref="O66:O129" si="9">IF(OR(A66="",B66="",C66="",F66&lt;0,G66&lt;0,H66&lt;0,K66&lt;1,K66&gt;5),"Review","OK")</f>
        <v>OK</v>
      </c>
    </row>
    <row r="67" spans="1:15">
      <c r="A67" t="str">
        <f>'Raw Data'!A67</f>
        <v>Newark RM-01</v>
      </c>
      <c r="B67" t="str">
        <f>'Raw Data'!B67</f>
        <v>Northeast</v>
      </c>
      <c r="C67" t="str">
        <f>'Raw Data'!C67</f>
        <v>Sports</v>
      </c>
      <c r="D67" s="3">
        <f>'Raw Data'!D67</f>
        <v>45962</v>
      </c>
      <c r="E67" t="str">
        <f t="shared" si="5"/>
        <v>Nov</v>
      </c>
      <c r="F67" s="5">
        <f>'Raw Data'!E67</f>
        <v>105</v>
      </c>
      <c r="G67" s="4">
        <f>'Raw Data'!F67</f>
        <v>6758.54</v>
      </c>
      <c r="H67" s="4">
        <f>'Raw Data'!G67</f>
        <v>4563.42</v>
      </c>
      <c r="I67" s="4">
        <f t="shared" si="6"/>
        <v>2195.12</v>
      </c>
      <c r="J67" s="8">
        <f t="shared" si="7"/>
        <v>0.32479204088456975</v>
      </c>
      <c r="K67" s="6">
        <f>'Raw Data'!I67</f>
        <v>3.81</v>
      </c>
      <c r="L67" s="5">
        <f>'Raw Data'!J67</f>
        <v>24</v>
      </c>
      <c r="M67" s="5">
        <f>IF(COUNTIFS($A$2:A67,A67,$D$2:D67,D67)=1,L67,0)</f>
        <v>0</v>
      </c>
      <c r="N67" s="4">
        <f t="shared" si="8"/>
        <v>281.60583333333335</v>
      </c>
      <c r="O67" t="str">
        <f t="shared" si="9"/>
        <v>OK</v>
      </c>
    </row>
    <row r="68" spans="1:15">
      <c r="A68" t="str">
        <f>'Raw Data'!A68</f>
        <v>Newark RM-01</v>
      </c>
      <c r="B68" t="str">
        <f>'Raw Data'!B68</f>
        <v>Northeast</v>
      </c>
      <c r="C68" t="str">
        <f>'Raw Data'!C68</f>
        <v>Electronics</v>
      </c>
      <c r="D68" s="3">
        <f>'Raw Data'!D68</f>
        <v>45992</v>
      </c>
      <c r="E68" t="str">
        <f t="shared" si="5"/>
        <v>Dec</v>
      </c>
      <c r="F68" s="5">
        <f>'Raw Data'!E68</f>
        <v>215</v>
      </c>
      <c r="G68" s="4">
        <f>'Raw Data'!F68</f>
        <v>31313.49</v>
      </c>
      <c r="H68" s="4">
        <f>'Raw Data'!G68</f>
        <v>25872.1</v>
      </c>
      <c r="I68" s="4">
        <f t="shared" si="6"/>
        <v>5441.3900000000031</v>
      </c>
      <c r="J68" s="8">
        <f t="shared" si="7"/>
        <v>0.1737714320569187</v>
      </c>
      <c r="K68" s="6">
        <f>'Raw Data'!I68</f>
        <v>4.08</v>
      </c>
      <c r="L68" s="5">
        <f>'Raw Data'!J68</f>
        <v>25</v>
      </c>
      <c r="M68" s="5">
        <f>IF(COUNTIFS($A$2:A68,A68,$D$2:D68,D68)=1,L68,0)</f>
        <v>25</v>
      </c>
      <c r="N68" s="4">
        <f t="shared" si="8"/>
        <v>1252.5396000000001</v>
      </c>
      <c r="O68" t="str">
        <f t="shared" si="9"/>
        <v>OK</v>
      </c>
    </row>
    <row r="69" spans="1:15">
      <c r="A69" t="str">
        <f>'Raw Data'!A69</f>
        <v>Newark RM-01</v>
      </c>
      <c r="B69" t="str">
        <f>'Raw Data'!B69</f>
        <v>Northeast</v>
      </c>
      <c r="C69" t="str">
        <f>'Raw Data'!C69</f>
        <v>Home Goods</v>
      </c>
      <c r="D69" s="3">
        <f>'Raw Data'!D69</f>
        <v>45992</v>
      </c>
      <c r="E69" t="str">
        <f t="shared" si="5"/>
        <v>Dec</v>
      </c>
      <c r="F69" s="5">
        <f>'Raw Data'!E69</f>
        <v>160</v>
      </c>
      <c r="G69" s="4">
        <f>'Raw Data'!F69</f>
        <v>11817.86</v>
      </c>
      <c r="H69" s="4">
        <f>'Raw Data'!G69</f>
        <v>8334.5499999999993</v>
      </c>
      <c r="I69" s="4">
        <f t="shared" si="6"/>
        <v>3483.3100000000013</v>
      </c>
      <c r="J69" s="8">
        <f t="shared" si="7"/>
        <v>0.29474964164408796</v>
      </c>
      <c r="K69" s="6">
        <f>'Raw Data'!I69</f>
        <v>3.86</v>
      </c>
      <c r="L69" s="5">
        <f>'Raw Data'!J69</f>
        <v>25</v>
      </c>
      <c r="M69" s="5">
        <f>IF(COUNTIFS($A$2:A69,A69,$D$2:D69,D69)=1,L69,0)</f>
        <v>0</v>
      </c>
      <c r="N69" s="4">
        <f t="shared" si="8"/>
        <v>472.71440000000001</v>
      </c>
      <c r="O69" t="str">
        <f t="shared" si="9"/>
        <v>OK</v>
      </c>
    </row>
    <row r="70" spans="1:15">
      <c r="A70" t="str">
        <f>'Raw Data'!A70</f>
        <v>Newark RM-01</v>
      </c>
      <c r="B70" t="str">
        <f>'Raw Data'!B70</f>
        <v>Northeast</v>
      </c>
      <c r="C70" t="str">
        <f>'Raw Data'!C70</f>
        <v>Apparel</v>
      </c>
      <c r="D70" s="3">
        <f>'Raw Data'!D70</f>
        <v>45992</v>
      </c>
      <c r="E70" t="str">
        <f t="shared" si="5"/>
        <v>Dec</v>
      </c>
      <c r="F70" s="5">
        <f>'Raw Data'!E70</f>
        <v>195</v>
      </c>
      <c r="G70" s="4">
        <f>'Raw Data'!F70</f>
        <v>10065.41</v>
      </c>
      <c r="H70" s="4">
        <f>'Raw Data'!G70</f>
        <v>6614.73</v>
      </c>
      <c r="I70" s="4">
        <f t="shared" si="6"/>
        <v>3450.6800000000003</v>
      </c>
      <c r="J70" s="8">
        <f t="shared" si="7"/>
        <v>0.34282557789498891</v>
      </c>
      <c r="K70" s="6">
        <f>'Raw Data'!I70</f>
        <v>4.0199999999999996</v>
      </c>
      <c r="L70" s="5">
        <f>'Raw Data'!J70</f>
        <v>25</v>
      </c>
      <c r="M70" s="5">
        <f>IF(COUNTIFS($A$2:A70,A70,$D$2:D70,D70)=1,L70,0)</f>
        <v>0</v>
      </c>
      <c r="N70" s="4">
        <f t="shared" si="8"/>
        <v>402.6164</v>
      </c>
      <c r="O70" t="str">
        <f t="shared" si="9"/>
        <v>OK</v>
      </c>
    </row>
    <row r="71" spans="1:15">
      <c r="A71" t="str">
        <f>'Raw Data'!A71</f>
        <v>Newark RM-01</v>
      </c>
      <c r="B71" t="str">
        <f>'Raw Data'!B71</f>
        <v>Northeast</v>
      </c>
      <c r="C71" t="str">
        <f>'Raw Data'!C71</f>
        <v>Beauty</v>
      </c>
      <c r="D71" s="3">
        <f>'Raw Data'!D71</f>
        <v>45992</v>
      </c>
      <c r="E71" t="str">
        <f t="shared" si="5"/>
        <v>Dec</v>
      </c>
      <c r="F71" s="5">
        <f>'Raw Data'!E71</f>
        <v>167</v>
      </c>
      <c r="G71" s="4">
        <f>'Raw Data'!F71</f>
        <v>5987.68</v>
      </c>
      <c r="H71" s="4">
        <f>'Raw Data'!G71</f>
        <v>3363.65</v>
      </c>
      <c r="I71" s="4">
        <f t="shared" si="6"/>
        <v>2624.03</v>
      </c>
      <c r="J71" s="8">
        <f t="shared" si="7"/>
        <v>0.43823818240119716</v>
      </c>
      <c r="K71" s="6">
        <f>'Raw Data'!I71</f>
        <v>3.98</v>
      </c>
      <c r="L71" s="5">
        <f>'Raw Data'!J71</f>
        <v>25</v>
      </c>
      <c r="M71" s="5">
        <f>IF(COUNTIFS($A$2:A71,A71,$D$2:D71,D71)=1,L71,0)</f>
        <v>0</v>
      </c>
      <c r="N71" s="4">
        <f t="shared" si="8"/>
        <v>239.50720000000001</v>
      </c>
      <c r="O71" t="str">
        <f t="shared" si="9"/>
        <v>OK</v>
      </c>
    </row>
    <row r="72" spans="1:15">
      <c r="A72" t="str">
        <f>'Raw Data'!A72</f>
        <v>Newark RM-01</v>
      </c>
      <c r="B72" t="str">
        <f>'Raw Data'!B72</f>
        <v>Northeast</v>
      </c>
      <c r="C72" t="str">
        <f>'Raw Data'!C72</f>
        <v>Grocery</v>
      </c>
      <c r="D72" s="3">
        <f>'Raw Data'!D72</f>
        <v>45992</v>
      </c>
      <c r="E72" t="str">
        <f t="shared" si="5"/>
        <v>Dec</v>
      </c>
      <c r="F72" s="5">
        <f>'Raw Data'!E72</f>
        <v>263</v>
      </c>
      <c r="G72" s="4">
        <f>'Raw Data'!F72</f>
        <v>5093.1000000000004</v>
      </c>
      <c r="H72" s="4">
        <f>'Raw Data'!G72</f>
        <v>4795.08</v>
      </c>
      <c r="I72" s="4">
        <f t="shared" si="6"/>
        <v>298.02000000000044</v>
      </c>
      <c r="J72" s="8">
        <f t="shared" si="7"/>
        <v>5.8514460741002618E-2</v>
      </c>
      <c r="K72" s="6">
        <f>'Raw Data'!I72</f>
        <v>4.1100000000000003</v>
      </c>
      <c r="L72" s="5">
        <f>'Raw Data'!J72</f>
        <v>25</v>
      </c>
      <c r="M72" s="5">
        <f>IF(COUNTIFS($A$2:A72,A72,$D$2:D72,D72)=1,L72,0)</f>
        <v>0</v>
      </c>
      <c r="N72" s="4">
        <f t="shared" si="8"/>
        <v>203.72400000000002</v>
      </c>
      <c r="O72" t="str">
        <f t="shared" si="9"/>
        <v>OK</v>
      </c>
    </row>
    <row r="73" spans="1:15">
      <c r="A73" t="str">
        <f>'Raw Data'!A73</f>
        <v>Newark RM-01</v>
      </c>
      <c r="B73" t="str">
        <f>'Raw Data'!B73</f>
        <v>Northeast</v>
      </c>
      <c r="C73" t="str">
        <f>'Raw Data'!C73</f>
        <v>Sports</v>
      </c>
      <c r="D73" s="3">
        <f>'Raw Data'!D73</f>
        <v>45992</v>
      </c>
      <c r="E73" t="str">
        <f t="shared" si="5"/>
        <v>Dec</v>
      </c>
      <c r="F73" s="5">
        <f>'Raw Data'!E73</f>
        <v>109</v>
      </c>
      <c r="G73" s="4">
        <f>'Raw Data'!F73</f>
        <v>6603.68</v>
      </c>
      <c r="H73" s="4">
        <f>'Raw Data'!G73</f>
        <v>4552.66</v>
      </c>
      <c r="I73" s="4">
        <f t="shared" si="6"/>
        <v>2051.0200000000004</v>
      </c>
      <c r="J73" s="8">
        <f t="shared" si="7"/>
        <v>0.31058743003900863</v>
      </c>
      <c r="K73" s="6">
        <f>'Raw Data'!I73</f>
        <v>3.95</v>
      </c>
      <c r="L73" s="5">
        <f>'Raw Data'!J73</f>
        <v>25</v>
      </c>
      <c r="M73" s="5">
        <f>IF(COUNTIFS($A$2:A73,A73,$D$2:D73,D73)=1,L73,0)</f>
        <v>0</v>
      </c>
      <c r="N73" s="4">
        <f t="shared" si="8"/>
        <v>264.1472</v>
      </c>
      <c r="O73" t="str">
        <f t="shared" si="9"/>
        <v>OK</v>
      </c>
    </row>
    <row r="74" spans="1:15">
      <c r="A74" t="str">
        <f>'Raw Data'!A74</f>
        <v>Boston RM-02</v>
      </c>
      <c r="B74" t="str">
        <f>'Raw Data'!B74</f>
        <v>Northeast</v>
      </c>
      <c r="C74" t="str">
        <f>'Raw Data'!C74</f>
        <v>Electronics</v>
      </c>
      <c r="D74" s="3">
        <f>'Raw Data'!D74</f>
        <v>45658</v>
      </c>
      <c r="E74" t="str">
        <f t="shared" si="5"/>
        <v>Jan</v>
      </c>
      <c r="F74" s="5">
        <f>'Raw Data'!E74</f>
        <v>58</v>
      </c>
      <c r="G74" s="4">
        <f>'Raw Data'!F74</f>
        <v>8041.56</v>
      </c>
      <c r="H74" s="4">
        <f>'Raw Data'!G74</f>
        <v>6175.74</v>
      </c>
      <c r="I74" s="4">
        <f t="shared" si="6"/>
        <v>1865.8200000000006</v>
      </c>
      <c r="J74" s="8">
        <f t="shared" si="7"/>
        <v>0.23202214495694873</v>
      </c>
      <c r="K74" s="6">
        <f>'Raw Data'!I74</f>
        <v>3.77</v>
      </c>
      <c r="L74" s="5">
        <f>'Raw Data'!J74</f>
        <v>20</v>
      </c>
      <c r="M74" s="5">
        <f>IF(COUNTIFS($A$2:A74,A74,$D$2:D74,D74)=1,L74,0)</f>
        <v>20</v>
      </c>
      <c r="N74" s="4">
        <f t="shared" si="8"/>
        <v>402.07800000000003</v>
      </c>
      <c r="O74" t="str">
        <f t="shared" si="9"/>
        <v>OK</v>
      </c>
    </row>
    <row r="75" spans="1:15">
      <c r="A75" t="str">
        <f>'Raw Data'!A75</f>
        <v>Boston RM-02</v>
      </c>
      <c r="B75" t="str">
        <f>'Raw Data'!B75</f>
        <v>Northeast</v>
      </c>
      <c r="C75" t="str">
        <f>'Raw Data'!C75</f>
        <v>Home Goods</v>
      </c>
      <c r="D75" s="3">
        <f>'Raw Data'!D75</f>
        <v>45658</v>
      </c>
      <c r="E75" t="str">
        <f t="shared" si="5"/>
        <v>Jan</v>
      </c>
      <c r="F75" s="5">
        <f>'Raw Data'!E75</f>
        <v>77</v>
      </c>
      <c r="G75" s="4">
        <f>'Raw Data'!F75</f>
        <v>5537.24</v>
      </c>
      <c r="H75" s="4">
        <f>'Raw Data'!G75</f>
        <v>3530.24</v>
      </c>
      <c r="I75" s="4">
        <f t="shared" si="6"/>
        <v>2007</v>
      </c>
      <c r="J75" s="8">
        <f t="shared" si="7"/>
        <v>0.36245494145097557</v>
      </c>
      <c r="K75" s="6">
        <f>'Raw Data'!I75</f>
        <v>3.89</v>
      </c>
      <c r="L75" s="5">
        <f>'Raw Data'!J75</f>
        <v>20</v>
      </c>
      <c r="M75" s="5">
        <f>IF(COUNTIFS($A$2:A75,A75,$D$2:D75,D75)=1,L75,0)</f>
        <v>0</v>
      </c>
      <c r="N75" s="4">
        <f t="shared" si="8"/>
        <v>276.86199999999997</v>
      </c>
      <c r="O75" t="str">
        <f t="shared" si="9"/>
        <v>OK</v>
      </c>
    </row>
    <row r="76" spans="1:15">
      <c r="A76" t="str">
        <f>'Raw Data'!A76</f>
        <v>Boston RM-02</v>
      </c>
      <c r="B76" t="str">
        <f>'Raw Data'!B76</f>
        <v>Northeast</v>
      </c>
      <c r="C76" t="str">
        <f>'Raw Data'!C76</f>
        <v>Apparel</v>
      </c>
      <c r="D76" s="3">
        <f>'Raw Data'!D76</f>
        <v>45658</v>
      </c>
      <c r="E76" t="str">
        <f t="shared" si="5"/>
        <v>Jan</v>
      </c>
      <c r="F76" s="5">
        <f>'Raw Data'!E76</f>
        <v>92</v>
      </c>
      <c r="G76" s="4">
        <f>'Raw Data'!F76</f>
        <v>4732.3500000000004</v>
      </c>
      <c r="H76" s="4">
        <f>'Raw Data'!G76</f>
        <v>2783.8</v>
      </c>
      <c r="I76" s="4">
        <f t="shared" si="6"/>
        <v>1948.5500000000002</v>
      </c>
      <c r="J76" s="8">
        <f t="shared" si="7"/>
        <v>0.41175103278497999</v>
      </c>
      <c r="K76" s="6">
        <f>'Raw Data'!I76</f>
        <v>3.78</v>
      </c>
      <c r="L76" s="5">
        <f>'Raw Data'!J76</f>
        <v>20</v>
      </c>
      <c r="M76" s="5">
        <f>IF(COUNTIFS($A$2:A76,A76,$D$2:D76,D76)=1,L76,0)</f>
        <v>0</v>
      </c>
      <c r="N76" s="4">
        <f t="shared" si="8"/>
        <v>236.61750000000001</v>
      </c>
      <c r="O76" t="str">
        <f t="shared" si="9"/>
        <v>OK</v>
      </c>
    </row>
    <row r="77" spans="1:15">
      <c r="A77" t="str">
        <f>'Raw Data'!A77</f>
        <v>Boston RM-02</v>
      </c>
      <c r="B77" t="str">
        <f>'Raw Data'!B77</f>
        <v>Northeast</v>
      </c>
      <c r="C77" t="str">
        <f>'Raw Data'!C77</f>
        <v>Beauty</v>
      </c>
      <c r="D77" s="3">
        <f>'Raw Data'!D77</f>
        <v>45658</v>
      </c>
      <c r="E77" t="str">
        <f t="shared" si="5"/>
        <v>Jan</v>
      </c>
      <c r="F77" s="5">
        <f>'Raw Data'!E77</f>
        <v>64</v>
      </c>
      <c r="G77" s="4">
        <f>'Raw Data'!F77</f>
        <v>2304.88</v>
      </c>
      <c r="H77" s="4">
        <f>'Raw Data'!G77</f>
        <v>1088.8</v>
      </c>
      <c r="I77" s="4">
        <f t="shared" si="6"/>
        <v>1216.0800000000002</v>
      </c>
      <c r="J77" s="8">
        <f t="shared" si="7"/>
        <v>0.52761098191662914</v>
      </c>
      <c r="K77" s="6">
        <f>'Raw Data'!I77</f>
        <v>4.04</v>
      </c>
      <c r="L77" s="5">
        <f>'Raw Data'!J77</f>
        <v>20</v>
      </c>
      <c r="M77" s="5">
        <f>IF(COUNTIFS($A$2:A77,A77,$D$2:D77,D77)=1,L77,0)</f>
        <v>0</v>
      </c>
      <c r="N77" s="4">
        <f t="shared" si="8"/>
        <v>115.244</v>
      </c>
      <c r="O77" t="str">
        <f t="shared" si="9"/>
        <v>OK</v>
      </c>
    </row>
    <row r="78" spans="1:15">
      <c r="A78" t="str">
        <f>'Raw Data'!A78</f>
        <v>Boston RM-02</v>
      </c>
      <c r="B78" t="str">
        <f>'Raw Data'!B78</f>
        <v>Northeast</v>
      </c>
      <c r="C78" t="str">
        <f>'Raw Data'!C78</f>
        <v>Grocery</v>
      </c>
      <c r="D78" s="3">
        <f>'Raw Data'!D78</f>
        <v>45658</v>
      </c>
      <c r="E78" t="str">
        <f t="shared" si="5"/>
        <v>Jan</v>
      </c>
      <c r="F78" s="5">
        <f>'Raw Data'!E78</f>
        <v>110</v>
      </c>
      <c r="G78" s="4">
        <f>'Raw Data'!F78</f>
        <v>1895.75</v>
      </c>
      <c r="H78" s="4">
        <f>'Raw Data'!G78</f>
        <v>1708.3</v>
      </c>
      <c r="I78" s="4">
        <f t="shared" si="6"/>
        <v>187.45000000000005</v>
      </c>
      <c r="J78" s="8">
        <f t="shared" si="7"/>
        <v>9.8879071607543209E-2</v>
      </c>
      <c r="K78" s="6">
        <f>'Raw Data'!I78</f>
        <v>3.86</v>
      </c>
      <c r="L78" s="5">
        <f>'Raw Data'!J78</f>
        <v>20</v>
      </c>
      <c r="M78" s="5">
        <f>IF(COUNTIFS($A$2:A78,A78,$D$2:D78,D78)=1,L78,0)</f>
        <v>0</v>
      </c>
      <c r="N78" s="4">
        <f t="shared" si="8"/>
        <v>94.787499999999994</v>
      </c>
      <c r="O78" t="str">
        <f t="shared" si="9"/>
        <v>OK</v>
      </c>
    </row>
    <row r="79" spans="1:15">
      <c r="A79" t="str">
        <f>'Raw Data'!A79</f>
        <v>Boston RM-02</v>
      </c>
      <c r="B79" t="str">
        <f>'Raw Data'!B79</f>
        <v>Northeast</v>
      </c>
      <c r="C79" t="str">
        <f>'Raw Data'!C79</f>
        <v>Sports</v>
      </c>
      <c r="D79" s="3">
        <f>'Raw Data'!D79</f>
        <v>45658</v>
      </c>
      <c r="E79" t="str">
        <f t="shared" si="5"/>
        <v>Jan</v>
      </c>
      <c r="F79" s="5">
        <f>'Raw Data'!E79</f>
        <v>50</v>
      </c>
      <c r="G79" s="4">
        <f>'Raw Data'!F79</f>
        <v>3203.43</v>
      </c>
      <c r="H79" s="4">
        <f>'Raw Data'!G79</f>
        <v>1965.41</v>
      </c>
      <c r="I79" s="4">
        <f t="shared" si="6"/>
        <v>1238.0199999999998</v>
      </c>
      <c r="J79" s="8">
        <f t="shared" si="7"/>
        <v>0.38646700567828851</v>
      </c>
      <c r="K79" s="6">
        <f>'Raw Data'!I79</f>
        <v>3.96</v>
      </c>
      <c r="L79" s="5">
        <f>'Raw Data'!J79</f>
        <v>20</v>
      </c>
      <c r="M79" s="5">
        <f>IF(COUNTIFS($A$2:A79,A79,$D$2:D79,D79)=1,L79,0)</f>
        <v>0</v>
      </c>
      <c r="N79" s="4">
        <f t="shared" si="8"/>
        <v>160.17149999999998</v>
      </c>
      <c r="O79" t="str">
        <f t="shared" si="9"/>
        <v>OK</v>
      </c>
    </row>
    <row r="80" spans="1:15">
      <c r="A80" t="str">
        <f>'Raw Data'!A80</f>
        <v>Boston RM-02</v>
      </c>
      <c r="B80" t="str">
        <f>'Raw Data'!B80</f>
        <v>Northeast</v>
      </c>
      <c r="C80" t="str">
        <f>'Raw Data'!C80</f>
        <v>Electronics</v>
      </c>
      <c r="D80" s="3">
        <f>'Raw Data'!D80</f>
        <v>45689</v>
      </c>
      <c r="E80" t="str">
        <f t="shared" si="5"/>
        <v>Feb</v>
      </c>
      <c r="F80" s="5">
        <f>'Raw Data'!E80</f>
        <v>80</v>
      </c>
      <c r="G80" s="4">
        <f>'Raw Data'!F80</f>
        <v>11519.73</v>
      </c>
      <c r="H80" s="4">
        <f>'Raw Data'!G80</f>
        <v>8838.58</v>
      </c>
      <c r="I80" s="4">
        <f t="shared" si="6"/>
        <v>2681.1499999999996</v>
      </c>
      <c r="J80" s="8">
        <f t="shared" si="7"/>
        <v>0.23274417021926727</v>
      </c>
      <c r="K80" s="6">
        <f>'Raw Data'!I80</f>
        <v>3.77</v>
      </c>
      <c r="L80" s="5">
        <f>'Raw Data'!J80</f>
        <v>20</v>
      </c>
      <c r="M80" s="5">
        <f>IF(COUNTIFS($A$2:A80,A80,$D$2:D80,D80)=1,L80,0)</f>
        <v>20</v>
      </c>
      <c r="N80" s="4">
        <f t="shared" si="8"/>
        <v>575.98649999999998</v>
      </c>
      <c r="O80" t="str">
        <f t="shared" si="9"/>
        <v>OK</v>
      </c>
    </row>
    <row r="81" spans="1:15">
      <c r="A81" t="str">
        <f>'Raw Data'!A81</f>
        <v>Boston RM-02</v>
      </c>
      <c r="B81" t="str">
        <f>'Raw Data'!B81</f>
        <v>Northeast</v>
      </c>
      <c r="C81" t="str">
        <f>'Raw Data'!C81</f>
        <v>Home Goods</v>
      </c>
      <c r="D81" s="3">
        <f>'Raw Data'!D81</f>
        <v>45689</v>
      </c>
      <c r="E81" t="str">
        <f t="shared" si="5"/>
        <v>Feb</v>
      </c>
      <c r="F81" s="5">
        <f>'Raw Data'!E81</f>
        <v>78</v>
      </c>
      <c r="G81" s="4">
        <f>'Raw Data'!F81</f>
        <v>6044.63</v>
      </c>
      <c r="H81" s="4">
        <f>'Raw Data'!G81</f>
        <v>3882.83</v>
      </c>
      <c r="I81" s="4">
        <f t="shared" si="6"/>
        <v>2161.8000000000002</v>
      </c>
      <c r="J81" s="8">
        <f t="shared" si="7"/>
        <v>0.3576397562795407</v>
      </c>
      <c r="K81" s="6">
        <f>'Raw Data'!I81</f>
        <v>4</v>
      </c>
      <c r="L81" s="5">
        <f>'Raw Data'!J81</f>
        <v>20</v>
      </c>
      <c r="M81" s="5">
        <f>IF(COUNTIFS($A$2:A81,A81,$D$2:D81,D81)=1,L81,0)</f>
        <v>0</v>
      </c>
      <c r="N81" s="4">
        <f t="shared" si="8"/>
        <v>302.23149999999998</v>
      </c>
      <c r="O81" t="str">
        <f t="shared" si="9"/>
        <v>OK</v>
      </c>
    </row>
    <row r="82" spans="1:15">
      <c r="A82" t="str">
        <f>'Raw Data'!A82</f>
        <v>Boston RM-02</v>
      </c>
      <c r="B82" t="str">
        <f>'Raw Data'!B82</f>
        <v>Northeast</v>
      </c>
      <c r="C82" t="str">
        <f>'Raw Data'!C82</f>
        <v>Apparel</v>
      </c>
      <c r="D82" s="3">
        <f>'Raw Data'!D82</f>
        <v>45689</v>
      </c>
      <c r="E82" t="str">
        <f t="shared" si="5"/>
        <v>Feb</v>
      </c>
      <c r="F82" s="5">
        <f>'Raw Data'!E82</f>
        <v>86</v>
      </c>
      <c r="G82" s="4">
        <f>'Raw Data'!F82</f>
        <v>4334.43</v>
      </c>
      <c r="H82" s="4">
        <f>'Raw Data'!G82</f>
        <v>2556.23</v>
      </c>
      <c r="I82" s="4">
        <f t="shared" si="6"/>
        <v>1778.2000000000003</v>
      </c>
      <c r="J82" s="8">
        <f t="shared" si="7"/>
        <v>0.41025002134075306</v>
      </c>
      <c r="K82" s="6">
        <f>'Raw Data'!I82</f>
        <v>3.82</v>
      </c>
      <c r="L82" s="5">
        <f>'Raw Data'!J82</f>
        <v>20</v>
      </c>
      <c r="M82" s="5">
        <f>IF(COUNTIFS($A$2:A82,A82,$D$2:D82,D82)=1,L82,0)</f>
        <v>0</v>
      </c>
      <c r="N82" s="4">
        <f t="shared" si="8"/>
        <v>216.72150000000002</v>
      </c>
      <c r="O82" t="str">
        <f t="shared" si="9"/>
        <v>OK</v>
      </c>
    </row>
    <row r="83" spans="1:15">
      <c r="A83" t="str">
        <f>'Raw Data'!A83</f>
        <v>Boston RM-02</v>
      </c>
      <c r="B83" t="str">
        <f>'Raw Data'!B83</f>
        <v>Northeast</v>
      </c>
      <c r="C83" t="str">
        <f>'Raw Data'!C83</f>
        <v>Beauty</v>
      </c>
      <c r="D83" s="3">
        <f>'Raw Data'!D83</f>
        <v>45689</v>
      </c>
      <c r="E83" t="str">
        <f t="shared" si="5"/>
        <v>Feb</v>
      </c>
      <c r="F83" s="5">
        <f>'Raw Data'!E83</f>
        <v>77</v>
      </c>
      <c r="G83" s="4">
        <f>'Raw Data'!F83</f>
        <v>2777.13</v>
      </c>
      <c r="H83" s="4">
        <f>'Raw Data'!G83</f>
        <v>1307.78</v>
      </c>
      <c r="I83" s="4">
        <f t="shared" si="6"/>
        <v>1469.3500000000001</v>
      </c>
      <c r="J83" s="8">
        <f t="shared" si="7"/>
        <v>0.52908938364426583</v>
      </c>
      <c r="K83" s="6">
        <f>'Raw Data'!I83</f>
        <v>3.89</v>
      </c>
      <c r="L83" s="5">
        <f>'Raw Data'!J83</f>
        <v>20</v>
      </c>
      <c r="M83" s="5">
        <f>IF(COUNTIFS($A$2:A83,A83,$D$2:D83,D83)=1,L83,0)</f>
        <v>0</v>
      </c>
      <c r="N83" s="4">
        <f t="shared" si="8"/>
        <v>138.85650000000001</v>
      </c>
      <c r="O83" t="str">
        <f t="shared" si="9"/>
        <v>OK</v>
      </c>
    </row>
    <row r="84" spans="1:15">
      <c r="A84" t="str">
        <f>'Raw Data'!A84</f>
        <v>Boston RM-02</v>
      </c>
      <c r="B84" t="str">
        <f>'Raw Data'!B84</f>
        <v>Northeast</v>
      </c>
      <c r="C84" t="str">
        <f>'Raw Data'!C84</f>
        <v>Grocery</v>
      </c>
      <c r="D84" s="3">
        <f>'Raw Data'!D84</f>
        <v>45689</v>
      </c>
      <c r="E84" t="str">
        <f t="shared" si="5"/>
        <v>Feb</v>
      </c>
      <c r="F84" s="5">
        <f>'Raw Data'!E84</f>
        <v>128</v>
      </c>
      <c r="G84" s="4">
        <f>'Raw Data'!F84</f>
        <v>2403.15</v>
      </c>
      <c r="H84" s="4">
        <f>'Raw Data'!G84</f>
        <v>2149.4899999999998</v>
      </c>
      <c r="I84" s="4">
        <f t="shared" si="6"/>
        <v>253.66000000000031</v>
      </c>
      <c r="J84" s="8">
        <f t="shared" si="7"/>
        <v>0.10555312818592277</v>
      </c>
      <c r="K84" s="6">
        <f>'Raw Data'!I84</f>
        <v>3.78</v>
      </c>
      <c r="L84" s="5">
        <f>'Raw Data'!J84</f>
        <v>20</v>
      </c>
      <c r="M84" s="5">
        <f>IF(COUNTIFS($A$2:A84,A84,$D$2:D84,D84)=1,L84,0)</f>
        <v>0</v>
      </c>
      <c r="N84" s="4">
        <f t="shared" si="8"/>
        <v>120.1575</v>
      </c>
      <c r="O84" t="str">
        <f t="shared" si="9"/>
        <v>OK</v>
      </c>
    </row>
    <row r="85" spans="1:15">
      <c r="A85" t="str">
        <f>'Raw Data'!A85</f>
        <v>Boston RM-02</v>
      </c>
      <c r="B85" t="str">
        <f>'Raw Data'!B85</f>
        <v>Northeast</v>
      </c>
      <c r="C85" t="str">
        <f>'Raw Data'!C85</f>
        <v>Sports</v>
      </c>
      <c r="D85" s="3">
        <f>'Raw Data'!D85</f>
        <v>45689</v>
      </c>
      <c r="E85" t="str">
        <f t="shared" si="5"/>
        <v>Feb</v>
      </c>
      <c r="F85" s="5">
        <f>'Raw Data'!E85</f>
        <v>43</v>
      </c>
      <c r="G85" s="4">
        <f>'Raw Data'!F85</f>
        <v>2753.82</v>
      </c>
      <c r="H85" s="4">
        <f>'Raw Data'!G85</f>
        <v>1736.22</v>
      </c>
      <c r="I85" s="4">
        <f t="shared" si="6"/>
        <v>1017.6000000000001</v>
      </c>
      <c r="J85" s="8">
        <f t="shared" si="7"/>
        <v>0.36952306250953226</v>
      </c>
      <c r="K85" s="6">
        <f>'Raw Data'!I85</f>
        <v>3.74</v>
      </c>
      <c r="L85" s="5">
        <f>'Raw Data'!J85</f>
        <v>20</v>
      </c>
      <c r="M85" s="5">
        <f>IF(COUNTIFS($A$2:A85,A85,$D$2:D85,D85)=1,L85,0)</f>
        <v>0</v>
      </c>
      <c r="N85" s="4">
        <f t="shared" si="8"/>
        <v>137.691</v>
      </c>
      <c r="O85" t="str">
        <f t="shared" si="9"/>
        <v>OK</v>
      </c>
    </row>
    <row r="86" spans="1:15">
      <c r="A86" t="str">
        <f>'Raw Data'!A86</f>
        <v>Boston RM-02</v>
      </c>
      <c r="B86" t="str">
        <f>'Raw Data'!B86</f>
        <v>Northeast</v>
      </c>
      <c r="C86" t="str">
        <f>'Raw Data'!C86</f>
        <v>Electronics</v>
      </c>
      <c r="D86" s="3">
        <f>'Raw Data'!D86</f>
        <v>45717</v>
      </c>
      <c r="E86" t="str">
        <f t="shared" si="5"/>
        <v>Mar</v>
      </c>
      <c r="F86" s="5">
        <f>'Raw Data'!E86</f>
        <v>83</v>
      </c>
      <c r="G86" s="4">
        <f>'Raw Data'!F86</f>
        <v>11648.41</v>
      </c>
      <c r="H86" s="4">
        <f>'Raw Data'!G86</f>
        <v>8622.82</v>
      </c>
      <c r="I86" s="4">
        <f t="shared" si="6"/>
        <v>3025.59</v>
      </c>
      <c r="J86" s="8">
        <f t="shared" si="7"/>
        <v>0.25974274600567804</v>
      </c>
      <c r="K86" s="6">
        <f>'Raw Data'!I86</f>
        <v>3.79</v>
      </c>
      <c r="L86" s="5">
        <f>'Raw Data'!J86</f>
        <v>20</v>
      </c>
      <c r="M86" s="5">
        <f>IF(COUNTIFS($A$2:A86,A86,$D$2:D86,D86)=1,L86,0)</f>
        <v>20</v>
      </c>
      <c r="N86" s="4">
        <f t="shared" si="8"/>
        <v>582.42049999999995</v>
      </c>
      <c r="O86" t="str">
        <f t="shared" si="9"/>
        <v>OK</v>
      </c>
    </row>
    <row r="87" spans="1:15">
      <c r="A87" t="str">
        <f>'Raw Data'!A87</f>
        <v>Boston RM-02</v>
      </c>
      <c r="B87" t="str">
        <f>'Raw Data'!B87</f>
        <v>Northeast</v>
      </c>
      <c r="C87" t="str">
        <f>'Raw Data'!C87</f>
        <v>Home Goods</v>
      </c>
      <c r="D87" s="3">
        <f>'Raw Data'!D87</f>
        <v>45717</v>
      </c>
      <c r="E87" t="str">
        <f t="shared" si="5"/>
        <v>Mar</v>
      </c>
      <c r="F87" s="5">
        <f>'Raw Data'!E87</f>
        <v>73</v>
      </c>
      <c r="G87" s="4">
        <f>'Raw Data'!F87</f>
        <v>5584.17</v>
      </c>
      <c r="H87" s="4">
        <f>'Raw Data'!G87</f>
        <v>3717.28</v>
      </c>
      <c r="I87" s="4">
        <f t="shared" si="6"/>
        <v>1866.8899999999999</v>
      </c>
      <c r="J87" s="8">
        <f t="shared" si="7"/>
        <v>0.33431826036814777</v>
      </c>
      <c r="K87" s="6">
        <f>'Raw Data'!I87</f>
        <v>3.73</v>
      </c>
      <c r="L87" s="5">
        <f>'Raw Data'!J87</f>
        <v>20</v>
      </c>
      <c r="M87" s="5">
        <f>IF(COUNTIFS($A$2:A87,A87,$D$2:D87,D87)=1,L87,0)</f>
        <v>0</v>
      </c>
      <c r="N87" s="4">
        <f t="shared" si="8"/>
        <v>279.20850000000002</v>
      </c>
      <c r="O87" t="str">
        <f t="shared" si="9"/>
        <v>OK</v>
      </c>
    </row>
    <row r="88" spans="1:15">
      <c r="A88" t="str">
        <f>'Raw Data'!A88</f>
        <v>Boston RM-02</v>
      </c>
      <c r="B88" t="str">
        <f>'Raw Data'!B88</f>
        <v>Northeast</v>
      </c>
      <c r="C88" t="str">
        <f>'Raw Data'!C88</f>
        <v>Apparel</v>
      </c>
      <c r="D88" s="3">
        <f>'Raw Data'!D88</f>
        <v>45717</v>
      </c>
      <c r="E88" t="str">
        <f t="shared" si="5"/>
        <v>Mar</v>
      </c>
      <c r="F88" s="5">
        <f>'Raw Data'!E88</f>
        <v>103</v>
      </c>
      <c r="G88" s="4">
        <f>'Raw Data'!F88</f>
        <v>4781.9399999999996</v>
      </c>
      <c r="H88" s="4">
        <f>'Raw Data'!G88</f>
        <v>2864.26</v>
      </c>
      <c r="I88" s="4">
        <f t="shared" si="6"/>
        <v>1917.6799999999994</v>
      </c>
      <c r="J88" s="8">
        <f t="shared" si="7"/>
        <v>0.40102552520525131</v>
      </c>
      <c r="K88" s="6">
        <f>'Raw Data'!I88</f>
        <v>3.88</v>
      </c>
      <c r="L88" s="5">
        <f>'Raw Data'!J88</f>
        <v>20</v>
      </c>
      <c r="M88" s="5">
        <f>IF(COUNTIFS($A$2:A88,A88,$D$2:D88,D88)=1,L88,0)</f>
        <v>0</v>
      </c>
      <c r="N88" s="4">
        <f t="shared" si="8"/>
        <v>239.09699999999998</v>
      </c>
      <c r="O88" t="str">
        <f t="shared" si="9"/>
        <v>OK</v>
      </c>
    </row>
    <row r="89" spans="1:15">
      <c r="A89" t="str">
        <f>'Raw Data'!A89</f>
        <v>Boston RM-02</v>
      </c>
      <c r="B89" t="str">
        <f>'Raw Data'!B89</f>
        <v>Northeast</v>
      </c>
      <c r="C89" t="str">
        <f>'Raw Data'!C89</f>
        <v>Beauty</v>
      </c>
      <c r="D89" s="3">
        <f>'Raw Data'!D89</f>
        <v>45717</v>
      </c>
      <c r="E89" t="str">
        <f t="shared" si="5"/>
        <v>Mar</v>
      </c>
      <c r="F89" s="5">
        <f>'Raw Data'!E89</f>
        <v>86</v>
      </c>
      <c r="G89" s="4">
        <f>'Raw Data'!F89</f>
        <v>3015.99</v>
      </c>
      <c r="H89" s="4">
        <f>'Raw Data'!G89</f>
        <v>1436.88</v>
      </c>
      <c r="I89" s="4">
        <f t="shared" si="6"/>
        <v>1579.1099999999997</v>
      </c>
      <c r="J89" s="8">
        <f t="shared" si="7"/>
        <v>0.52357932221260672</v>
      </c>
      <c r="K89" s="6">
        <f>'Raw Data'!I89</f>
        <v>3.71</v>
      </c>
      <c r="L89" s="5">
        <f>'Raw Data'!J89</f>
        <v>20</v>
      </c>
      <c r="M89" s="5">
        <f>IF(COUNTIFS($A$2:A89,A89,$D$2:D89,D89)=1,L89,0)</f>
        <v>0</v>
      </c>
      <c r="N89" s="4">
        <f t="shared" si="8"/>
        <v>150.79949999999999</v>
      </c>
      <c r="O89" t="str">
        <f t="shared" si="9"/>
        <v>OK</v>
      </c>
    </row>
    <row r="90" spans="1:15">
      <c r="A90" t="str">
        <f>'Raw Data'!A90</f>
        <v>Boston RM-02</v>
      </c>
      <c r="B90" t="str">
        <f>'Raw Data'!B90</f>
        <v>Northeast</v>
      </c>
      <c r="C90" t="str">
        <f>'Raw Data'!C90</f>
        <v>Grocery</v>
      </c>
      <c r="D90" s="3">
        <f>'Raw Data'!D90</f>
        <v>45717</v>
      </c>
      <c r="E90" t="str">
        <f t="shared" si="5"/>
        <v>Mar</v>
      </c>
      <c r="F90" s="5">
        <f>'Raw Data'!E90</f>
        <v>134</v>
      </c>
      <c r="G90" s="4">
        <f>'Raw Data'!F90</f>
        <v>2303.27</v>
      </c>
      <c r="H90" s="4">
        <f>'Raw Data'!G90</f>
        <v>2045.29</v>
      </c>
      <c r="I90" s="4">
        <f t="shared" si="6"/>
        <v>257.98</v>
      </c>
      <c r="J90" s="8">
        <f t="shared" si="7"/>
        <v>0.11200597411506251</v>
      </c>
      <c r="K90" s="6">
        <f>'Raw Data'!I90</f>
        <v>3.74</v>
      </c>
      <c r="L90" s="5">
        <f>'Raw Data'!J90</f>
        <v>20</v>
      </c>
      <c r="M90" s="5">
        <f>IF(COUNTIFS($A$2:A90,A90,$D$2:D90,D90)=1,L90,0)</f>
        <v>0</v>
      </c>
      <c r="N90" s="4">
        <f t="shared" si="8"/>
        <v>115.1635</v>
      </c>
      <c r="O90" t="str">
        <f t="shared" si="9"/>
        <v>OK</v>
      </c>
    </row>
    <row r="91" spans="1:15">
      <c r="A91" t="str">
        <f>'Raw Data'!A91</f>
        <v>Boston RM-02</v>
      </c>
      <c r="B91" t="str">
        <f>'Raw Data'!B91</f>
        <v>Northeast</v>
      </c>
      <c r="C91" t="str">
        <f>'Raw Data'!C91</f>
        <v>Sports</v>
      </c>
      <c r="D91" s="3">
        <f>'Raw Data'!D91</f>
        <v>45717</v>
      </c>
      <c r="E91" t="str">
        <f t="shared" si="5"/>
        <v>Mar</v>
      </c>
      <c r="F91" s="5">
        <f>'Raw Data'!E91</f>
        <v>52</v>
      </c>
      <c r="G91" s="4">
        <f>'Raw Data'!F91</f>
        <v>3462.95</v>
      </c>
      <c r="H91" s="4">
        <f>'Raw Data'!G91</f>
        <v>2190.94</v>
      </c>
      <c r="I91" s="4">
        <f t="shared" si="6"/>
        <v>1272.0099999999998</v>
      </c>
      <c r="J91" s="8">
        <f t="shared" si="7"/>
        <v>0.3673197707157192</v>
      </c>
      <c r="K91" s="6">
        <f>'Raw Data'!I91</f>
        <v>3.72</v>
      </c>
      <c r="L91" s="5">
        <f>'Raw Data'!J91</f>
        <v>20</v>
      </c>
      <c r="M91" s="5">
        <f>IF(COUNTIFS($A$2:A91,A91,$D$2:D91,D91)=1,L91,0)</f>
        <v>0</v>
      </c>
      <c r="N91" s="4">
        <f t="shared" si="8"/>
        <v>173.14749999999998</v>
      </c>
      <c r="O91" t="str">
        <f t="shared" si="9"/>
        <v>OK</v>
      </c>
    </row>
    <row r="92" spans="1:15">
      <c r="A92" t="str">
        <f>'Raw Data'!A92</f>
        <v>Boston RM-02</v>
      </c>
      <c r="B92" t="str">
        <f>'Raw Data'!B92</f>
        <v>Northeast</v>
      </c>
      <c r="C92" t="str">
        <f>'Raw Data'!C92</f>
        <v>Electronics</v>
      </c>
      <c r="D92" s="3">
        <f>'Raw Data'!D92</f>
        <v>45748</v>
      </c>
      <c r="E92" t="str">
        <f t="shared" si="5"/>
        <v>Apr</v>
      </c>
      <c r="F92" s="5">
        <f>'Raw Data'!E92</f>
        <v>96</v>
      </c>
      <c r="G92" s="4">
        <f>'Raw Data'!F92</f>
        <v>13344.65</v>
      </c>
      <c r="H92" s="4">
        <f>'Raw Data'!G92</f>
        <v>10226.950000000001</v>
      </c>
      <c r="I92" s="4">
        <f t="shared" si="6"/>
        <v>3117.6999999999989</v>
      </c>
      <c r="J92" s="8">
        <f t="shared" si="7"/>
        <v>0.23362920721038011</v>
      </c>
      <c r="K92" s="6">
        <f>'Raw Data'!I92</f>
        <v>3.9</v>
      </c>
      <c r="L92" s="5">
        <f>'Raw Data'!J92</f>
        <v>20</v>
      </c>
      <c r="M92" s="5">
        <f>IF(COUNTIFS($A$2:A92,A92,$D$2:D92,D92)=1,L92,0)</f>
        <v>20</v>
      </c>
      <c r="N92" s="4">
        <f t="shared" si="8"/>
        <v>667.23249999999996</v>
      </c>
      <c r="O92" t="str">
        <f t="shared" si="9"/>
        <v>OK</v>
      </c>
    </row>
    <row r="93" spans="1:15">
      <c r="A93" t="str">
        <f>'Raw Data'!A93</f>
        <v>Boston RM-02</v>
      </c>
      <c r="B93" t="str">
        <f>'Raw Data'!B93</f>
        <v>Northeast</v>
      </c>
      <c r="C93" t="str">
        <f>'Raw Data'!C93</f>
        <v>Home Goods</v>
      </c>
      <c r="D93" s="3">
        <f>'Raw Data'!D93</f>
        <v>45748</v>
      </c>
      <c r="E93" t="str">
        <f t="shared" si="5"/>
        <v>Apr</v>
      </c>
      <c r="F93" s="5">
        <f>'Raw Data'!E93</f>
        <v>82</v>
      </c>
      <c r="G93" s="4">
        <f>'Raw Data'!F93</f>
        <v>6345.73</v>
      </c>
      <c r="H93" s="4">
        <f>'Raw Data'!G93</f>
        <v>4129.72</v>
      </c>
      <c r="I93" s="4">
        <f t="shared" si="6"/>
        <v>2216.0099999999993</v>
      </c>
      <c r="J93" s="8">
        <f t="shared" si="7"/>
        <v>0.34921277772612441</v>
      </c>
      <c r="K93" s="6">
        <f>'Raw Data'!I93</f>
        <v>3.98</v>
      </c>
      <c r="L93" s="5">
        <f>'Raw Data'!J93</f>
        <v>20</v>
      </c>
      <c r="M93" s="5">
        <f>IF(COUNTIFS($A$2:A93,A93,$D$2:D93,D93)=1,L93,0)</f>
        <v>0</v>
      </c>
      <c r="N93" s="4">
        <f t="shared" si="8"/>
        <v>317.28649999999999</v>
      </c>
      <c r="O93" t="str">
        <f t="shared" si="9"/>
        <v>OK</v>
      </c>
    </row>
    <row r="94" spans="1:15">
      <c r="A94" t="str">
        <f>'Raw Data'!A94</f>
        <v>Boston RM-02</v>
      </c>
      <c r="B94" t="str">
        <f>'Raw Data'!B94</f>
        <v>Northeast</v>
      </c>
      <c r="C94" t="str">
        <f>'Raw Data'!C94</f>
        <v>Apparel</v>
      </c>
      <c r="D94" s="3">
        <f>'Raw Data'!D94</f>
        <v>45748</v>
      </c>
      <c r="E94" t="str">
        <f t="shared" si="5"/>
        <v>Apr</v>
      </c>
      <c r="F94" s="5">
        <f>'Raw Data'!E94</f>
        <v>106</v>
      </c>
      <c r="G94" s="4">
        <f>'Raw Data'!F94</f>
        <v>5418.12</v>
      </c>
      <c r="H94" s="4">
        <f>'Raw Data'!G94</f>
        <v>3225.8</v>
      </c>
      <c r="I94" s="4">
        <f t="shared" si="6"/>
        <v>2192.3199999999997</v>
      </c>
      <c r="J94" s="8">
        <f t="shared" si="7"/>
        <v>0.40462743534657775</v>
      </c>
      <c r="K94" s="6">
        <f>'Raw Data'!I94</f>
        <v>4.03</v>
      </c>
      <c r="L94" s="5">
        <f>'Raw Data'!J94</f>
        <v>20</v>
      </c>
      <c r="M94" s="5">
        <f>IF(COUNTIFS($A$2:A94,A94,$D$2:D94,D94)=1,L94,0)</f>
        <v>0</v>
      </c>
      <c r="N94" s="4">
        <f t="shared" si="8"/>
        <v>270.90600000000001</v>
      </c>
      <c r="O94" t="str">
        <f t="shared" si="9"/>
        <v>OK</v>
      </c>
    </row>
    <row r="95" spans="1:15">
      <c r="A95" t="str">
        <f>'Raw Data'!A95</f>
        <v>Boston RM-02</v>
      </c>
      <c r="B95" t="str">
        <f>'Raw Data'!B95</f>
        <v>Northeast</v>
      </c>
      <c r="C95" t="str">
        <f>'Raw Data'!C95</f>
        <v>Beauty</v>
      </c>
      <c r="D95" s="3">
        <f>'Raw Data'!D95</f>
        <v>45748</v>
      </c>
      <c r="E95" t="str">
        <f t="shared" si="5"/>
        <v>Apr</v>
      </c>
      <c r="F95" s="5">
        <f>'Raw Data'!E95</f>
        <v>93</v>
      </c>
      <c r="G95" s="4">
        <f>'Raw Data'!F95</f>
        <v>3356.13</v>
      </c>
      <c r="H95" s="4">
        <f>'Raw Data'!G95</f>
        <v>1571.42</v>
      </c>
      <c r="I95" s="4">
        <f t="shared" si="6"/>
        <v>1784.71</v>
      </c>
      <c r="J95" s="8">
        <f t="shared" si="7"/>
        <v>0.53177618268660631</v>
      </c>
      <c r="K95" s="6">
        <f>'Raw Data'!I95</f>
        <v>4.01</v>
      </c>
      <c r="L95" s="5">
        <f>'Raw Data'!J95</f>
        <v>20</v>
      </c>
      <c r="M95" s="5">
        <f>IF(COUNTIFS($A$2:A95,A95,$D$2:D95,D95)=1,L95,0)</f>
        <v>0</v>
      </c>
      <c r="N95" s="4">
        <f t="shared" si="8"/>
        <v>167.8065</v>
      </c>
      <c r="O95" t="str">
        <f t="shared" si="9"/>
        <v>OK</v>
      </c>
    </row>
    <row r="96" spans="1:15">
      <c r="A96" t="str">
        <f>'Raw Data'!A96</f>
        <v>Boston RM-02</v>
      </c>
      <c r="B96" t="str">
        <f>'Raw Data'!B96</f>
        <v>Northeast</v>
      </c>
      <c r="C96" t="str">
        <f>'Raw Data'!C96</f>
        <v>Grocery</v>
      </c>
      <c r="D96" s="3">
        <f>'Raw Data'!D96</f>
        <v>45748</v>
      </c>
      <c r="E96" t="str">
        <f t="shared" si="5"/>
        <v>Apr</v>
      </c>
      <c r="F96" s="5">
        <f>'Raw Data'!E96</f>
        <v>125</v>
      </c>
      <c r="G96" s="4">
        <f>'Raw Data'!F96</f>
        <v>2379.56</v>
      </c>
      <c r="H96" s="4">
        <f>'Raw Data'!G96</f>
        <v>2108.29</v>
      </c>
      <c r="I96" s="4">
        <f t="shared" si="6"/>
        <v>271.27</v>
      </c>
      <c r="J96" s="8">
        <f t="shared" si="7"/>
        <v>0.11400006723932155</v>
      </c>
      <c r="K96" s="6">
        <f>'Raw Data'!I96</f>
        <v>3.95</v>
      </c>
      <c r="L96" s="5">
        <f>'Raw Data'!J96</f>
        <v>20</v>
      </c>
      <c r="M96" s="5">
        <f>IF(COUNTIFS($A$2:A96,A96,$D$2:D96,D96)=1,L96,0)</f>
        <v>0</v>
      </c>
      <c r="N96" s="4">
        <f t="shared" si="8"/>
        <v>118.97799999999999</v>
      </c>
      <c r="O96" t="str">
        <f t="shared" si="9"/>
        <v>OK</v>
      </c>
    </row>
    <row r="97" spans="1:15">
      <c r="A97" t="str">
        <f>'Raw Data'!A97</f>
        <v>Boston RM-02</v>
      </c>
      <c r="B97" t="str">
        <f>'Raw Data'!B97</f>
        <v>Northeast</v>
      </c>
      <c r="C97" t="str">
        <f>'Raw Data'!C97</f>
        <v>Sports</v>
      </c>
      <c r="D97" s="3">
        <f>'Raw Data'!D97</f>
        <v>45748</v>
      </c>
      <c r="E97" t="str">
        <f t="shared" si="5"/>
        <v>Apr</v>
      </c>
      <c r="F97" s="5">
        <f>'Raw Data'!E97</f>
        <v>69</v>
      </c>
      <c r="G97" s="4">
        <f>'Raw Data'!F97</f>
        <v>4311.55</v>
      </c>
      <c r="H97" s="4">
        <f>'Raw Data'!G97</f>
        <v>2707.74</v>
      </c>
      <c r="I97" s="4">
        <f t="shared" si="6"/>
        <v>1603.8100000000004</v>
      </c>
      <c r="J97" s="8">
        <f t="shared" si="7"/>
        <v>0.37197991441592937</v>
      </c>
      <c r="K97" s="6">
        <f>'Raw Data'!I97</f>
        <v>3.86</v>
      </c>
      <c r="L97" s="5">
        <f>'Raw Data'!J97</f>
        <v>20</v>
      </c>
      <c r="M97" s="5">
        <f>IF(COUNTIFS($A$2:A97,A97,$D$2:D97,D97)=1,L97,0)</f>
        <v>0</v>
      </c>
      <c r="N97" s="4">
        <f t="shared" si="8"/>
        <v>215.57750000000001</v>
      </c>
      <c r="O97" t="str">
        <f t="shared" si="9"/>
        <v>OK</v>
      </c>
    </row>
    <row r="98" spans="1:15">
      <c r="A98" t="str">
        <f>'Raw Data'!A98</f>
        <v>Boston RM-02</v>
      </c>
      <c r="B98" t="str">
        <f>'Raw Data'!B98</f>
        <v>Northeast</v>
      </c>
      <c r="C98" t="str">
        <f>'Raw Data'!C98</f>
        <v>Electronics</v>
      </c>
      <c r="D98" s="3">
        <f>'Raw Data'!D98</f>
        <v>45778</v>
      </c>
      <c r="E98" t="str">
        <f t="shared" si="5"/>
        <v>May</v>
      </c>
      <c r="F98" s="5">
        <f>'Raw Data'!E98</f>
        <v>99</v>
      </c>
      <c r="G98" s="4">
        <f>'Raw Data'!F98</f>
        <v>15288.42</v>
      </c>
      <c r="H98" s="4">
        <f>'Raw Data'!G98</f>
        <v>11535.45</v>
      </c>
      <c r="I98" s="4">
        <f t="shared" si="6"/>
        <v>3752.9699999999993</v>
      </c>
      <c r="J98" s="8">
        <f t="shared" si="7"/>
        <v>0.24547794997782632</v>
      </c>
      <c r="K98" s="6">
        <f>'Raw Data'!I98</f>
        <v>3.76</v>
      </c>
      <c r="L98" s="5">
        <f>'Raw Data'!J98</f>
        <v>20</v>
      </c>
      <c r="M98" s="5">
        <f>IF(COUNTIFS($A$2:A98,A98,$D$2:D98,D98)=1,L98,0)</f>
        <v>20</v>
      </c>
      <c r="N98" s="4">
        <f t="shared" si="8"/>
        <v>764.42100000000005</v>
      </c>
      <c r="O98" t="str">
        <f t="shared" si="9"/>
        <v>OK</v>
      </c>
    </row>
    <row r="99" spans="1:15">
      <c r="A99" t="str">
        <f>'Raw Data'!A99</f>
        <v>Boston RM-02</v>
      </c>
      <c r="B99" t="str">
        <f>'Raw Data'!B99</f>
        <v>Northeast</v>
      </c>
      <c r="C99" t="str">
        <f>'Raw Data'!C99</f>
        <v>Home Goods</v>
      </c>
      <c r="D99" s="3">
        <f>'Raw Data'!D99</f>
        <v>45778</v>
      </c>
      <c r="E99" t="str">
        <f t="shared" si="5"/>
        <v>May</v>
      </c>
      <c r="F99" s="5">
        <f>'Raw Data'!E99</f>
        <v>96</v>
      </c>
      <c r="G99" s="4">
        <f>'Raw Data'!F99</f>
        <v>7249.49</v>
      </c>
      <c r="H99" s="4">
        <f>'Raw Data'!G99</f>
        <v>4713.38</v>
      </c>
      <c r="I99" s="4">
        <f t="shared" si="6"/>
        <v>2536.1099999999997</v>
      </c>
      <c r="J99" s="8">
        <f t="shared" si="7"/>
        <v>0.34983288479603392</v>
      </c>
      <c r="K99" s="6">
        <f>'Raw Data'!I99</f>
        <v>3.78</v>
      </c>
      <c r="L99" s="5">
        <f>'Raw Data'!J99</f>
        <v>20</v>
      </c>
      <c r="M99" s="5">
        <f>IF(COUNTIFS($A$2:A99,A99,$D$2:D99,D99)=1,L99,0)</f>
        <v>0</v>
      </c>
      <c r="N99" s="4">
        <f t="shared" si="8"/>
        <v>362.47449999999998</v>
      </c>
      <c r="O99" t="str">
        <f t="shared" si="9"/>
        <v>OK</v>
      </c>
    </row>
    <row r="100" spans="1:15">
      <c r="A100" t="str">
        <f>'Raw Data'!A100</f>
        <v>Boston RM-02</v>
      </c>
      <c r="B100" t="str">
        <f>'Raw Data'!B100</f>
        <v>Northeast</v>
      </c>
      <c r="C100" t="str">
        <f>'Raw Data'!C100</f>
        <v>Apparel</v>
      </c>
      <c r="D100" s="3">
        <f>'Raw Data'!D100</f>
        <v>45778</v>
      </c>
      <c r="E100" t="str">
        <f t="shared" si="5"/>
        <v>May</v>
      </c>
      <c r="F100" s="5">
        <f>'Raw Data'!E100</f>
        <v>105</v>
      </c>
      <c r="G100" s="4">
        <f>'Raw Data'!F100</f>
        <v>5066.3599999999997</v>
      </c>
      <c r="H100" s="4">
        <f>'Raw Data'!G100</f>
        <v>2979.71</v>
      </c>
      <c r="I100" s="4">
        <f t="shared" si="6"/>
        <v>2086.6499999999996</v>
      </c>
      <c r="J100" s="8">
        <f t="shared" si="7"/>
        <v>0.4118637443845285</v>
      </c>
      <c r="K100" s="6">
        <f>'Raw Data'!I100</f>
        <v>4</v>
      </c>
      <c r="L100" s="5">
        <f>'Raw Data'!J100</f>
        <v>20</v>
      </c>
      <c r="M100" s="5">
        <f>IF(COUNTIFS($A$2:A100,A100,$D$2:D100,D100)=1,L100,0)</f>
        <v>0</v>
      </c>
      <c r="N100" s="4">
        <f t="shared" si="8"/>
        <v>253.31799999999998</v>
      </c>
      <c r="O100" t="str">
        <f t="shared" si="9"/>
        <v>OK</v>
      </c>
    </row>
    <row r="101" spans="1:15">
      <c r="A101" t="str">
        <f>'Raw Data'!A101</f>
        <v>Boston RM-02</v>
      </c>
      <c r="B101" t="str">
        <f>'Raw Data'!B101</f>
        <v>Northeast</v>
      </c>
      <c r="C101" t="str">
        <f>'Raw Data'!C101</f>
        <v>Beauty</v>
      </c>
      <c r="D101" s="3">
        <f>'Raw Data'!D101</f>
        <v>45778</v>
      </c>
      <c r="E101" t="str">
        <f t="shared" si="5"/>
        <v>May</v>
      </c>
      <c r="F101" s="5">
        <f>'Raw Data'!E101</f>
        <v>97</v>
      </c>
      <c r="G101" s="4">
        <f>'Raw Data'!F101</f>
        <v>3472.89</v>
      </c>
      <c r="H101" s="4">
        <f>'Raw Data'!G101</f>
        <v>1708.09</v>
      </c>
      <c r="I101" s="4">
        <f t="shared" si="6"/>
        <v>1764.8</v>
      </c>
      <c r="J101" s="8">
        <f t="shared" si="7"/>
        <v>0.50816466977070973</v>
      </c>
      <c r="K101" s="6">
        <f>'Raw Data'!I101</f>
        <v>4.05</v>
      </c>
      <c r="L101" s="5">
        <f>'Raw Data'!J101</f>
        <v>20</v>
      </c>
      <c r="M101" s="5">
        <f>IF(COUNTIFS($A$2:A101,A101,$D$2:D101,D101)=1,L101,0)</f>
        <v>0</v>
      </c>
      <c r="N101" s="4">
        <f t="shared" si="8"/>
        <v>173.64449999999999</v>
      </c>
      <c r="O101" t="str">
        <f t="shared" si="9"/>
        <v>OK</v>
      </c>
    </row>
    <row r="102" spans="1:15">
      <c r="A102" t="str">
        <f>'Raw Data'!A102</f>
        <v>Boston RM-02</v>
      </c>
      <c r="B102" t="str">
        <f>'Raw Data'!B102</f>
        <v>Northeast</v>
      </c>
      <c r="C102" t="str">
        <f>'Raw Data'!C102</f>
        <v>Grocery</v>
      </c>
      <c r="D102" s="3">
        <f>'Raw Data'!D102</f>
        <v>45778</v>
      </c>
      <c r="E102" t="str">
        <f t="shared" si="5"/>
        <v>May</v>
      </c>
      <c r="F102" s="5">
        <f>'Raw Data'!E102</f>
        <v>182</v>
      </c>
      <c r="G102" s="4">
        <f>'Raw Data'!F102</f>
        <v>3343.47</v>
      </c>
      <c r="H102" s="4">
        <f>'Raw Data'!G102</f>
        <v>3018.33</v>
      </c>
      <c r="I102" s="4">
        <f t="shared" si="6"/>
        <v>325.13999999999987</v>
      </c>
      <c r="J102" s="8">
        <f t="shared" si="7"/>
        <v>9.7246274080521097E-2</v>
      </c>
      <c r="K102" s="6">
        <f>'Raw Data'!I102</f>
        <v>4.01</v>
      </c>
      <c r="L102" s="5">
        <f>'Raw Data'!J102</f>
        <v>20</v>
      </c>
      <c r="M102" s="5">
        <f>IF(COUNTIFS($A$2:A102,A102,$D$2:D102,D102)=1,L102,0)</f>
        <v>0</v>
      </c>
      <c r="N102" s="4">
        <f t="shared" si="8"/>
        <v>167.17349999999999</v>
      </c>
      <c r="O102" t="str">
        <f t="shared" si="9"/>
        <v>OK</v>
      </c>
    </row>
    <row r="103" spans="1:15">
      <c r="A103" t="str">
        <f>'Raw Data'!A103</f>
        <v>Boston RM-02</v>
      </c>
      <c r="B103" t="str">
        <f>'Raw Data'!B103</f>
        <v>Northeast</v>
      </c>
      <c r="C103" t="str">
        <f>'Raw Data'!C103</f>
        <v>Sports</v>
      </c>
      <c r="D103" s="3">
        <f>'Raw Data'!D103</f>
        <v>45778</v>
      </c>
      <c r="E103" t="str">
        <f t="shared" si="5"/>
        <v>May</v>
      </c>
      <c r="F103" s="5">
        <f>'Raw Data'!E103</f>
        <v>92</v>
      </c>
      <c r="G103" s="4">
        <f>'Raw Data'!F103</f>
        <v>5600.22</v>
      </c>
      <c r="H103" s="4">
        <f>'Raw Data'!G103</f>
        <v>3582.74</v>
      </c>
      <c r="I103" s="4">
        <f t="shared" si="6"/>
        <v>2017.4800000000005</v>
      </c>
      <c r="J103" s="8">
        <f t="shared" si="7"/>
        <v>0.36025013303048814</v>
      </c>
      <c r="K103" s="6">
        <f>'Raw Data'!I103</f>
        <v>4.03</v>
      </c>
      <c r="L103" s="5">
        <f>'Raw Data'!J103</f>
        <v>20</v>
      </c>
      <c r="M103" s="5">
        <f>IF(COUNTIFS($A$2:A103,A103,$D$2:D103,D103)=1,L103,0)</f>
        <v>0</v>
      </c>
      <c r="N103" s="4">
        <f t="shared" si="8"/>
        <v>280.01100000000002</v>
      </c>
      <c r="O103" t="str">
        <f t="shared" si="9"/>
        <v>OK</v>
      </c>
    </row>
    <row r="104" spans="1:15">
      <c r="A104" t="str">
        <f>'Raw Data'!A104</f>
        <v>Boston RM-02</v>
      </c>
      <c r="B104" t="str">
        <f>'Raw Data'!B104</f>
        <v>Northeast</v>
      </c>
      <c r="C104" t="str">
        <f>'Raw Data'!C104</f>
        <v>Electronics</v>
      </c>
      <c r="D104" s="3">
        <f>'Raw Data'!D104</f>
        <v>45809</v>
      </c>
      <c r="E104" t="str">
        <f t="shared" si="5"/>
        <v>Jun</v>
      </c>
      <c r="F104" s="5">
        <f>'Raw Data'!E104</f>
        <v>90</v>
      </c>
      <c r="G104" s="4">
        <f>'Raw Data'!F104</f>
        <v>13728.36</v>
      </c>
      <c r="H104" s="4">
        <f>'Raw Data'!G104</f>
        <v>10963.71</v>
      </c>
      <c r="I104" s="4">
        <f t="shared" si="6"/>
        <v>2764.6500000000015</v>
      </c>
      <c r="J104" s="8">
        <f t="shared" si="7"/>
        <v>0.20138239381834402</v>
      </c>
      <c r="K104" s="6">
        <f>'Raw Data'!I104</f>
        <v>3.88</v>
      </c>
      <c r="L104" s="5">
        <f>'Raw Data'!J104</f>
        <v>22</v>
      </c>
      <c r="M104" s="5">
        <f>IF(COUNTIFS($A$2:A104,A104,$D$2:D104,D104)=1,L104,0)</f>
        <v>22</v>
      </c>
      <c r="N104" s="4">
        <f t="shared" si="8"/>
        <v>624.01636363636362</v>
      </c>
      <c r="O104" t="str">
        <f t="shared" si="9"/>
        <v>OK</v>
      </c>
    </row>
    <row r="105" spans="1:15">
      <c r="A105" t="str">
        <f>'Raw Data'!A105</f>
        <v>Boston RM-02</v>
      </c>
      <c r="B105" t="str">
        <f>'Raw Data'!B105</f>
        <v>Northeast</v>
      </c>
      <c r="C105" t="str">
        <f>'Raw Data'!C105</f>
        <v>Home Goods</v>
      </c>
      <c r="D105" s="3">
        <f>'Raw Data'!D105</f>
        <v>45809</v>
      </c>
      <c r="E105" t="str">
        <f t="shared" si="5"/>
        <v>Jun</v>
      </c>
      <c r="F105" s="5">
        <f>'Raw Data'!E105</f>
        <v>90</v>
      </c>
      <c r="G105" s="4">
        <f>'Raw Data'!F105</f>
        <v>6690.96</v>
      </c>
      <c r="H105" s="4">
        <f>'Raw Data'!G105</f>
        <v>4479.08</v>
      </c>
      <c r="I105" s="4">
        <f t="shared" si="6"/>
        <v>2211.88</v>
      </c>
      <c r="J105" s="8">
        <f t="shared" si="7"/>
        <v>0.33057737604170406</v>
      </c>
      <c r="K105" s="6">
        <f>'Raw Data'!I105</f>
        <v>3.84</v>
      </c>
      <c r="L105" s="5">
        <f>'Raw Data'!J105</f>
        <v>22</v>
      </c>
      <c r="M105" s="5">
        <f>IF(COUNTIFS($A$2:A105,A105,$D$2:D105,D105)=1,L105,0)</f>
        <v>0</v>
      </c>
      <c r="N105" s="4">
        <f t="shared" si="8"/>
        <v>304.13454545454545</v>
      </c>
      <c r="O105" t="str">
        <f t="shared" si="9"/>
        <v>OK</v>
      </c>
    </row>
    <row r="106" spans="1:15">
      <c r="A106" t="str">
        <f>'Raw Data'!A106</f>
        <v>Boston RM-02</v>
      </c>
      <c r="B106" t="str">
        <f>'Raw Data'!B106</f>
        <v>Northeast</v>
      </c>
      <c r="C106" t="str">
        <f>'Raw Data'!C106</f>
        <v>Apparel</v>
      </c>
      <c r="D106" s="3">
        <f>'Raw Data'!D106</f>
        <v>45809</v>
      </c>
      <c r="E106" t="str">
        <f t="shared" si="5"/>
        <v>Jun</v>
      </c>
      <c r="F106" s="5">
        <f>'Raw Data'!E106</f>
        <v>109</v>
      </c>
      <c r="G106" s="4">
        <f>'Raw Data'!F106</f>
        <v>5448.53</v>
      </c>
      <c r="H106" s="4">
        <f>'Raw Data'!G106</f>
        <v>3391.5</v>
      </c>
      <c r="I106" s="4">
        <f t="shared" si="6"/>
        <v>2057.0299999999997</v>
      </c>
      <c r="J106" s="8">
        <f t="shared" si="7"/>
        <v>0.37753852874077959</v>
      </c>
      <c r="K106" s="6">
        <f>'Raw Data'!I106</f>
        <v>4.04</v>
      </c>
      <c r="L106" s="5">
        <f>'Raw Data'!J106</f>
        <v>22</v>
      </c>
      <c r="M106" s="5">
        <f>IF(COUNTIFS($A$2:A106,A106,$D$2:D106,D106)=1,L106,0)</f>
        <v>0</v>
      </c>
      <c r="N106" s="4">
        <f t="shared" si="8"/>
        <v>247.66045454545454</v>
      </c>
      <c r="O106" t="str">
        <f t="shared" si="9"/>
        <v>OK</v>
      </c>
    </row>
    <row r="107" spans="1:15">
      <c r="A107" t="str">
        <f>'Raw Data'!A107</f>
        <v>Boston RM-02</v>
      </c>
      <c r="B107" t="str">
        <f>'Raw Data'!B107</f>
        <v>Northeast</v>
      </c>
      <c r="C107" t="str">
        <f>'Raw Data'!C107</f>
        <v>Beauty</v>
      </c>
      <c r="D107" s="3">
        <f>'Raw Data'!D107</f>
        <v>45809</v>
      </c>
      <c r="E107" t="str">
        <f t="shared" si="5"/>
        <v>Jun</v>
      </c>
      <c r="F107" s="5">
        <f>'Raw Data'!E107</f>
        <v>85</v>
      </c>
      <c r="G107" s="4">
        <f>'Raw Data'!F107</f>
        <v>3296.54</v>
      </c>
      <c r="H107" s="4">
        <f>'Raw Data'!G107</f>
        <v>1618.61</v>
      </c>
      <c r="I107" s="4">
        <f t="shared" si="6"/>
        <v>1677.93</v>
      </c>
      <c r="J107" s="8">
        <f t="shared" si="7"/>
        <v>0.50899731233353762</v>
      </c>
      <c r="K107" s="6">
        <f>'Raw Data'!I107</f>
        <v>4.03</v>
      </c>
      <c r="L107" s="5">
        <f>'Raw Data'!J107</f>
        <v>22</v>
      </c>
      <c r="M107" s="5">
        <f>IF(COUNTIFS($A$2:A107,A107,$D$2:D107,D107)=1,L107,0)</f>
        <v>0</v>
      </c>
      <c r="N107" s="4">
        <f t="shared" si="8"/>
        <v>149.84272727272727</v>
      </c>
      <c r="O107" t="str">
        <f t="shared" si="9"/>
        <v>OK</v>
      </c>
    </row>
    <row r="108" spans="1:15">
      <c r="A108" t="str">
        <f>'Raw Data'!A108</f>
        <v>Boston RM-02</v>
      </c>
      <c r="B108" t="str">
        <f>'Raw Data'!B108</f>
        <v>Northeast</v>
      </c>
      <c r="C108" t="str">
        <f>'Raw Data'!C108</f>
        <v>Grocery</v>
      </c>
      <c r="D108" s="3">
        <f>'Raw Data'!D108</f>
        <v>45809</v>
      </c>
      <c r="E108" t="str">
        <f t="shared" si="5"/>
        <v>Jun</v>
      </c>
      <c r="F108" s="5">
        <f>'Raw Data'!E108</f>
        <v>146</v>
      </c>
      <c r="G108" s="4">
        <f>'Raw Data'!F108</f>
        <v>2501.21</v>
      </c>
      <c r="H108" s="4">
        <f>'Raw Data'!G108</f>
        <v>2266.35</v>
      </c>
      <c r="I108" s="4">
        <f t="shared" si="6"/>
        <v>234.86000000000013</v>
      </c>
      <c r="J108" s="8">
        <f t="shared" si="7"/>
        <v>9.3898553100299501E-2</v>
      </c>
      <c r="K108" s="6">
        <f>'Raw Data'!I108</f>
        <v>3.99</v>
      </c>
      <c r="L108" s="5">
        <f>'Raw Data'!J108</f>
        <v>22</v>
      </c>
      <c r="M108" s="5">
        <f>IF(COUNTIFS($A$2:A108,A108,$D$2:D108,D108)=1,L108,0)</f>
        <v>0</v>
      </c>
      <c r="N108" s="4">
        <f t="shared" si="8"/>
        <v>113.69136363636363</v>
      </c>
      <c r="O108" t="str">
        <f t="shared" si="9"/>
        <v>OK</v>
      </c>
    </row>
    <row r="109" spans="1:15">
      <c r="A109" t="str">
        <f>'Raw Data'!A109</f>
        <v>Boston RM-02</v>
      </c>
      <c r="B109" t="str">
        <f>'Raw Data'!B109</f>
        <v>Northeast</v>
      </c>
      <c r="C109" t="str">
        <f>'Raw Data'!C109</f>
        <v>Sports</v>
      </c>
      <c r="D109" s="3">
        <f>'Raw Data'!D109</f>
        <v>45809</v>
      </c>
      <c r="E109" t="str">
        <f t="shared" si="5"/>
        <v>Jun</v>
      </c>
      <c r="F109" s="5">
        <f>'Raw Data'!E109</f>
        <v>88</v>
      </c>
      <c r="G109" s="4">
        <f>'Raw Data'!F109</f>
        <v>5267.45</v>
      </c>
      <c r="H109" s="4">
        <f>'Raw Data'!G109</f>
        <v>3374.57</v>
      </c>
      <c r="I109" s="4">
        <f t="shared" si="6"/>
        <v>1892.8799999999997</v>
      </c>
      <c r="J109" s="8">
        <f t="shared" si="7"/>
        <v>0.35935414669337151</v>
      </c>
      <c r="K109" s="6">
        <f>'Raw Data'!I109</f>
        <v>3.82</v>
      </c>
      <c r="L109" s="5">
        <f>'Raw Data'!J109</f>
        <v>22</v>
      </c>
      <c r="M109" s="5">
        <f>IF(COUNTIFS($A$2:A109,A109,$D$2:D109,D109)=1,L109,0)</f>
        <v>0</v>
      </c>
      <c r="N109" s="4">
        <f t="shared" si="8"/>
        <v>239.42954545454543</v>
      </c>
      <c r="O109" t="str">
        <f t="shared" si="9"/>
        <v>OK</v>
      </c>
    </row>
    <row r="110" spans="1:15">
      <c r="A110" t="str">
        <f>'Raw Data'!A110</f>
        <v>Boston RM-02</v>
      </c>
      <c r="B110" t="str">
        <f>'Raw Data'!B110</f>
        <v>Northeast</v>
      </c>
      <c r="C110" t="str">
        <f>'Raw Data'!C110</f>
        <v>Electronics</v>
      </c>
      <c r="D110" s="3">
        <f>'Raw Data'!D110</f>
        <v>45839</v>
      </c>
      <c r="E110" t="str">
        <f t="shared" si="5"/>
        <v>Jul</v>
      </c>
      <c r="F110" s="5">
        <f>'Raw Data'!E110</f>
        <v>101</v>
      </c>
      <c r="G110" s="4">
        <f>'Raw Data'!F110</f>
        <v>14543.62</v>
      </c>
      <c r="H110" s="4">
        <f>'Raw Data'!G110</f>
        <v>11604.14</v>
      </c>
      <c r="I110" s="4">
        <f t="shared" si="6"/>
        <v>2939.4800000000014</v>
      </c>
      <c r="J110" s="8">
        <f t="shared" si="7"/>
        <v>0.20211474172179975</v>
      </c>
      <c r="K110" s="6">
        <f>'Raw Data'!I110</f>
        <v>4</v>
      </c>
      <c r="L110" s="5">
        <f>'Raw Data'!J110</f>
        <v>22</v>
      </c>
      <c r="M110" s="5">
        <f>IF(COUNTIFS($A$2:A110,A110,$D$2:D110,D110)=1,L110,0)</f>
        <v>22</v>
      </c>
      <c r="N110" s="4">
        <f t="shared" si="8"/>
        <v>661.07363636363641</v>
      </c>
      <c r="O110" t="str">
        <f t="shared" si="9"/>
        <v>OK</v>
      </c>
    </row>
    <row r="111" spans="1:15">
      <c r="A111" t="str">
        <f>'Raw Data'!A111</f>
        <v>Boston RM-02</v>
      </c>
      <c r="B111" t="str">
        <f>'Raw Data'!B111</f>
        <v>Northeast</v>
      </c>
      <c r="C111" t="str">
        <f>'Raw Data'!C111</f>
        <v>Home Goods</v>
      </c>
      <c r="D111" s="3">
        <f>'Raw Data'!D111</f>
        <v>45839</v>
      </c>
      <c r="E111" t="str">
        <f t="shared" si="5"/>
        <v>Jul</v>
      </c>
      <c r="F111" s="5">
        <f>'Raw Data'!E111</f>
        <v>109</v>
      </c>
      <c r="G111" s="4">
        <f>'Raw Data'!F111</f>
        <v>8079.53</v>
      </c>
      <c r="H111" s="4">
        <f>'Raw Data'!G111</f>
        <v>5324.75</v>
      </c>
      <c r="I111" s="4">
        <f t="shared" si="6"/>
        <v>2754.7799999999997</v>
      </c>
      <c r="J111" s="8">
        <f t="shared" si="7"/>
        <v>0.34095795176204552</v>
      </c>
      <c r="K111" s="6">
        <f>'Raw Data'!I111</f>
        <v>3.71</v>
      </c>
      <c r="L111" s="5">
        <f>'Raw Data'!J111</f>
        <v>22</v>
      </c>
      <c r="M111" s="5">
        <f>IF(COUNTIFS($A$2:A111,A111,$D$2:D111,D111)=1,L111,0)</f>
        <v>0</v>
      </c>
      <c r="N111" s="4">
        <f t="shared" si="8"/>
        <v>367.25136363636364</v>
      </c>
      <c r="O111" t="str">
        <f t="shared" si="9"/>
        <v>OK</v>
      </c>
    </row>
    <row r="112" spans="1:15">
      <c r="A112" t="str">
        <f>'Raw Data'!A112</f>
        <v>Boston RM-02</v>
      </c>
      <c r="B112" t="str">
        <f>'Raw Data'!B112</f>
        <v>Northeast</v>
      </c>
      <c r="C112" t="str">
        <f>'Raw Data'!C112</f>
        <v>Apparel</v>
      </c>
      <c r="D112" s="3">
        <f>'Raw Data'!D112</f>
        <v>45839</v>
      </c>
      <c r="E112" t="str">
        <f t="shared" si="5"/>
        <v>Jul</v>
      </c>
      <c r="F112" s="5">
        <f>'Raw Data'!E112</f>
        <v>81</v>
      </c>
      <c r="G112" s="4">
        <f>'Raw Data'!F112</f>
        <v>3845.21</v>
      </c>
      <c r="H112" s="4">
        <f>'Raw Data'!G112</f>
        <v>2389.9899999999998</v>
      </c>
      <c r="I112" s="4">
        <f t="shared" si="6"/>
        <v>1455.2200000000003</v>
      </c>
      <c r="J112" s="8">
        <f t="shared" si="7"/>
        <v>0.37845007164758238</v>
      </c>
      <c r="K112" s="6">
        <f>'Raw Data'!I112</f>
        <v>3.99</v>
      </c>
      <c r="L112" s="5">
        <f>'Raw Data'!J112</f>
        <v>22</v>
      </c>
      <c r="M112" s="5">
        <f>IF(COUNTIFS($A$2:A112,A112,$D$2:D112,D112)=1,L112,0)</f>
        <v>0</v>
      </c>
      <c r="N112" s="4">
        <f t="shared" si="8"/>
        <v>174.78227272727273</v>
      </c>
      <c r="O112" t="str">
        <f t="shared" si="9"/>
        <v>OK</v>
      </c>
    </row>
    <row r="113" spans="1:15">
      <c r="A113" t="str">
        <f>'Raw Data'!A113</f>
        <v>Boston RM-02</v>
      </c>
      <c r="B113" t="str">
        <f>'Raw Data'!B113</f>
        <v>Northeast</v>
      </c>
      <c r="C113" t="str">
        <f>'Raw Data'!C113</f>
        <v>Beauty</v>
      </c>
      <c r="D113" s="3">
        <f>'Raw Data'!D113</f>
        <v>45839</v>
      </c>
      <c r="E113" t="str">
        <f t="shared" si="5"/>
        <v>Jul</v>
      </c>
      <c r="F113" s="5">
        <f>'Raw Data'!E113</f>
        <v>94</v>
      </c>
      <c r="G113" s="4">
        <f>'Raw Data'!F113</f>
        <v>3489.74</v>
      </c>
      <c r="H113" s="4">
        <f>'Raw Data'!G113</f>
        <v>1757.31</v>
      </c>
      <c r="I113" s="4">
        <f t="shared" si="6"/>
        <v>1732.4299999999998</v>
      </c>
      <c r="J113" s="8">
        <f t="shared" si="7"/>
        <v>0.49643526451827358</v>
      </c>
      <c r="K113" s="6">
        <f>'Raw Data'!I113</f>
        <v>4.05</v>
      </c>
      <c r="L113" s="5">
        <f>'Raw Data'!J113</f>
        <v>22</v>
      </c>
      <c r="M113" s="5">
        <f>IF(COUNTIFS($A$2:A113,A113,$D$2:D113,D113)=1,L113,0)</f>
        <v>0</v>
      </c>
      <c r="N113" s="4">
        <f t="shared" si="8"/>
        <v>158.62454545454545</v>
      </c>
      <c r="O113" t="str">
        <f t="shared" si="9"/>
        <v>OK</v>
      </c>
    </row>
    <row r="114" spans="1:15">
      <c r="A114" t="str">
        <f>'Raw Data'!A114</f>
        <v>Boston RM-02</v>
      </c>
      <c r="B114" t="str">
        <f>'Raw Data'!B114</f>
        <v>Northeast</v>
      </c>
      <c r="C114" t="str">
        <f>'Raw Data'!C114</f>
        <v>Grocery</v>
      </c>
      <c r="D114" s="3">
        <f>'Raw Data'!D114</f>
        <v>45839</v>
      </c>
      <c r="E114" t="str">
        <f t="shared" si="5"/>
        <v>Jul</v>
      </c>
      <c r="F114" s="5">
        <f>'Raw Data'!E114</f>
        <v>170</v>
      </c>
      <c r="G114" s="4">
        <f>'Raw Data'!F114</f>
        <v>2941.68</v>
      </c>
      <c r="H114" s="4">
        <f>'Raw Data'!G114</f>
        <v>2634.15</v>
      </c>
      <c r="I114" s="4">
        <f t="shared" si="6"/>
        <v>307.52999999999975</v>
      </c>
      <c r="J114" s="8">
        <f t="shared" si="7"/>
        <v>0.10454230235783626</v>
      </c>
      <c r="K114" s="6">
        <f>'Raw Data'!I114</f>
        <v>3.92</v>
      </c>
      <c r="L114" s="5">
        <f>'Raw Data'!J114</f>
        <v>22</v>
      </c>
      <c r="M114" s="5">
        <f>IF(COUNTIFS($A$2:A114,A114,$D$2:D114,D114)=1,L114,0)</f>
        <v>0</v>
      </c>
      <c r="N114" s="4">
        <f t="shared" si="8"/>
        <v>133.71272727272728</v>
      </c>
      <c r="O114" t="str">
        <f t="shared" si="9"/>
        <v>OK</v>
      </c>
    </row>
    <row r="115" spans="1:15">
      <c r="A115" t="str">
        <f>'Raw Data'!A115</f>
        <v>Boston RM-02</v>
      </c>
      <c r="B115" t="str">
        <f>'Raw Data'!B115</f>
        <v>Northeast</v>
      </c>
      <c r="C115" t="str">
        <f>'Raw Data'!C115</f>
        <v>Sports</v>
      </c>
      <c r="D115" s="3">
        <f>'Raw Data'!D115</f>
        <v>45839</v>
      </c>
      <c r="E115" t="str">
        <f t="shared" si="5"/>
        <v>Jul</v>
      </c>
      <c r="F115" s="5">
        <f>'Raw Data'!E115</f>
        <v>100</v>
      </c>
      <c r="G115" s="4">
        <f>'Raw Data'!F115</f>
        <v>6317.53</v>
      </c>
      <c r="H115" s="4">
        <f>'Raw Data'!G115</f>
        <v>4074.17</v>
      </c>
      <c r="I115" s="4">
        <f t="shared" si="6"/>
        <v>2243.3599999999997</v>
      </c>
      <c r="J115" s="8">
        <f t="shared" si="7"/>
        <v>0.3551008068026586</v>
      </c>
      <c r="K115" s="6">
        <f>'Raw Data'!I115</f>
        <v>3.96</v>
      </c>
      <c r="L115" s="5">
        <f>'Raw Data'!J115</f>
        <v>22</v>
      </c>
      <c r="M115" s="5">
        <f>IF(COUNTIFS($A$2:A115,A115,$D$2:D115,D115)=1,L115,0)</f>
        <v>0</v>
      </c>
      <c r="N115" s="4">
        <f t="shared" si="8"/>
        <v>287.16045454545451</v>
      </c>
      <c r="O115" t="str">
        <f t="shared" si="9"/>
        <v>OK</v>
      </c>
    </row>
    <row r="116" spans="1:15">
      <c r="A116" t="str">
        <f>'Raw Data'!A116</f>
        <v>Boston RM-02</v>
      </c>
      <c r="B116" t="str">
        <f>'Raw Data'!B116</f>
        <v>Northeast</v>
      </c>
      <c r="C116" t="str">
        <f>'Raw Data'!C116</f>
        <v>Electronics</v>
      </c>
      <c r="D116" s="3">
        <f>'Raw Data'!D116</f>
        <v>45870</v>
      </c>
      <c r="E116" t="str">
        <f t="shared" si="5"/>
        <v>Aug</v>
      </c>
      <c r="F116" s="5">
        <f>'Raw Data'!E116</f>
        <v>108</v>
      </c>
      <c r="G116" s="4">
        <f>'Raw Data'!F116</f>
        <v>16360.15</v>
      </c>
      <c r="H116" s="4">
        <f>'Raw Data'!G116</f>
        <v>12657.57</v>
      </c>
      <c r="I116" s="4">
        <f t="shared" si="6"/>
        <v>3702.58</v>
      </c>
      <c r="J116" s="8">
        <f t="shared" si="7"/>
        <v>0.22631699587106474</v>
      </c>
      <c r="K116" s="6">
        <f>'Raw Data'!I116</f>
        <v>4</v>
      </c>
      <c r="L116" s="5">
        <f>'Raw Data'!J116</f>
        <v>21</v>
      </c>
      <c r="M116" s="5">
        <f>IF(COUNTIFS($A$2:A116,A116,$D$2:D116,D116)=1,L116,0)</f>
        <v>21</v>
      </c>
      <c r="N116" s="4">
        <f t="shared" si="8"/>
        <v>779.0547619047619</v>
      </c>
      <c r="O116" t="str">
        <f t="shared" si="9"/>
        <v>OK</v>
      </c>
    </row>
    <row r="117" spans="1:15">
      <c r="A117" t="str">
        <f>'Raw Data'!A117</f>
        <v>Boston RM-02</v>
      </c>
      <c r="B117" t="str">
        <f>'Raw Data'!B117</f>
        <v>Northeast</v>
      </c>
      <c r="C117" t="str">
        <f>'Raw Data'!C117</f>
        <v>Home Goods</v>
      </c>
      <c r="D117" s="3">
        <f>'Raw Data'!D117</f>
        <v>45870</v>
      </c>
      <c r="E117" t="str">
        <f t="shared" si="5"/>
        <v>Aug</v>
      </c>
      <c r="F117" s="5">
        <f>'Raw Data'!E117</f>
        <v>102</v>
      </c>
      <c r="G117" s="4">
        <f>'Raw Data'!F117</f>
        <v>8333.8700000000008</v>
      </c>
      <c r="H117" s="4">
        <f>'Raw Data'!G117</f>
        <v>5550.05</v>
      </c>
      <c r="I117" s="4">
        <f t="shared" si="6"/>
        <v>2783.8200000000006</v>
      </c>
      <c r="J117" s="8">
        <f t="shared" si="7"/>
        <v>0.33403688802441128</v>
      </c>
      <c r="K117" s="6">
        <f>'Raw Data'!I117</f>
        <v>3.71</v>
      </c>
      <c r="L117" s="5">
        <f>'Raw Data'!J117</f>
        <v>21</v>
      </c>
      <c r="M117" s="5">
        <f>IF(COUNTIFS($A$2:A117,A117,$D$2:D117,D117)=1,L117,0)</f>
        <v>0</v>
      </c>
      <c r="N117" s="4">
        <f t="shared" si="8"/>
        <v>396.85095238095244</v>
      </c>
      <c r="O117" t="str">
        <f t="shared" si="9"/>
        <v>OK</v>
      </c>
    </row>
    <row r="118" spans="1:15">
      <c r="A118" t="str">
        <f>'Raw Data'!A118</f>
        <v>Boston RM-02</v>
      </c>
      <c r="B118" t="str">
        <f>'Raw Data'!B118</f>
        <v>Northeast</v>
      </c>
      <c r="C118" t="str">
        <f>'Raw Data'!C118</f>
        <v>Apparel</v>
      </c>
      <c r="D118" s="3">
        <f>'Raw Data'!D118</f>
        <v>45870</v>
      </c>
      <c r="E118" t="str">
        <f t="shared" si="5"/>
        <v>Aug</v>
      </c>
      <c r="F118" s="5">
        <f>'Raw Data'!E118</f>
        <v>132</v>
      </c>
      <c r="G118" s="4">
        <f>'Raw Data'!F118</f>
        <v>6805.78</v>
      </c>
      <c r="H118" s="4">
        <f>'Raw Data'!G118</f>
        <v>4206.9399999999996</v>
      </c>
      <c r="I118" s="4">
        <f t="shared" si="6"/>
        <v>2598.84</v>
      </c>
      <c r="J118" s="8">
        <f t="shared" si="7"/>
        <v>0.38185777383341812</v>
      </c>
      <c r="K118" s="6">
        <f>'Raw Data'!I118</f>
        <v>3.96</v>
      </c>
      <c r="L118" s="5">
        <f>'Raw Data'!J118</f>
        <v>21</v>
      </c>
      <c r="M118" s="5">
        <f>IF(COUNTIFS($A$2:A118,A118,$D$2:D118,D118)=1,L118,0)</f>
        <v>0</v>
      </c>
      <c r="N118" s="4">
        <f t="shared" si="8"/>
        <v>324.08476190476188</v>
      </c>
      <c r="O118" t="str">
        <f t="shared" si="9"/>
        <v>OK</v>
      </c>
    </row>
    <row r="119" spans="1:15">
      <c r="A119" t="str">
        <f>'Raw Data'!A119</f>
        <v>Boston RM-02</v>
      </c>
      <c r="B119" t="str">
        <f>'Raw Data'!B119</f>
        <v>Northeast</v>
      </c>
      <c r="C119" t="str">
        <f>'Raw Data'!C119</f>
        <v>Beauty</v>
      </c>
      <c r="D119" s="3">
        <f>'Raw Data'!D119</f>
        <v>45870</v>
      </c>
      <c r="E119" t="str">
        <f t="shared" si="5"/>
        <v>Aug</v>
      </c>
      <c r="F119" s="5">
        <f>'Raw Data'!E119</f>
        <v>109</v>
      </c>
      <c r="G119" s="4">
        <f>'Raw Data'!F119</f>
        <v>3730.31</v>
      </c>
      <c r="H119" s="4">
        <f>'Raw Data'!G119</f>
        <v>1894.03</v>
      </c>
      <c r="I119" s="4">
        <f t="shared" si="6"/>
        <v>1836.28</v>
      </c>
      <c r="J119" s="8">
        <f t="shared" si="7"/>
        <v>0.49225935646099117</v>
      </c>
      <c r="K119" s="6">
        <f>'Raw Data'!I119</f>
        <v>3.93</v>
      </c>
      <c r="L119" s="5">
        <f>'Raw Data'!J119</f>
        <v>21</v>
      </c>
      <c r="M119" s="5">
        <f>IF(COUNTIFS($A$2:A119,A119,$D$2:D119,D119)=1,L119,0)</f>
        <v>0</v>
      </c>
      <c r="N119" s="4">
        <f t="shared" si="8"/>
        <v>177.63380952380953</v>
      </c>
      <c r="O119" t="str">
        <f t="shared" si="9"/>
        <v>OK</v>
      </c>
    </row>
    <row r="120" spans="1:15">
      <c r="A120" t="str">
        <f>'Raw Data'!A120</f>
        <v>Boston RM-02</v>
      </c>
      <c r="B120" t="str">
        <f>'Raw Data'!B120</f>
        <v>Northeast</v>
      </c>
      <c r="C120" t="str">
        <f>'Raw Data'!C120</f>
        <v>Grocery</v>
      </c>
      <c r="D120" s="3">
        <f>'Raw Data'!D120</f>
        <v>45870</v>
      </c>
      <c r="E120" t="str">
        <f t="shared" si="5"/>
        <v>Aug</v>
      </c>
      <c r="F120" s="5">
        <f>'Raw Data'!E120</f>
        <v>179</v>
      </c>
      <c r="G120" s="4">
        <f>'Raw Data'!F120</f>
        <v>3412.23</v>
      </c>
      <c r="H120" s="4">
        <f>'Raw Data'!G120</f>
        <v>3165.03</v>
      </c>
      <c r="I120" s="4">
        <f t="shared" si="6"/>
        <v>247.19999999999982</v>
      </c>
      <c r="J120" s="8">
        <f t="shared" si="7"/>
        <v>7.2445292374781242E-2</v>
      </c>
      <c r="K120" s="6">
        <f>'Raw Data'!I120</f>
        <v>3.72</v>
      </c>
      <c r="L120" s="5">
        <f>'Raw Data'!J120</f>
        <v>21</v>
      </c>
      <c r="M120" s="5">
        <f>IF(COUNTIFS($A$2:A120,A120,$D$2:D120,D120)=1,L120,0)</f>
        <v>0</v>
      </c>
      <c r="N120" s="4">
        <f t="shared" si="8"/>
        <v>162.48714285714286</v>
      </c>
      <c r="O120" t="str">
        <f t="shared" si="9"/>
        <v>OK</v>
      </c>
    </row>
    <row r="121" spans="1:15">
      <c r="A121" t="str">
        <f>'Raw Data'!A121</f>
        <v>Boston RM-02</v>
      </c>
      <c r="B121" t="str">
        <f>'Raw Data'!B121</f>
        <v>Northeast</v>
      </c>
      <c r="C121" t="str">
        <f>'Raw Data'!C121</f>
        <v>Sports</v>
      </c>
      <c r="D121" s="3">
        <f>'Raw Data'!D121</f>
        <v>45870</v>
      </c>
      <c r="E121" t="str">
        <f t="shared" si="5"/>
        <v>Aug</v>
      </c>
      <c r="F121" s="5">
        <f>'Raw Data'!E121</f>
        <v>101</v>
      </c>
      <c r="G121" s="4">
        <f>'Raw Data'!F121</f>
        <v>6748.8</v>
      </c>
      <c r="H121" s="4">
        <f>'Raw Data'!G121</f>
        <v>4543.47</v>
      </c>
      <c r="I121" s="4">
        <f t="shared" si="6"/>
        <v>2205.33</v>
      </c>
      <c r="J121" s="8">
        <f t="shared" si="7"/>
        <v>0.32677364864864861</v>
      </c>
      <c r="K121" s="6">
        <f>'Raw Data'!I121</f>
        <v>3.83</v>
      </c>
      <c r="L121" s="5">
        <f>'Raw Data'!J121</f>
        <v>21</v>
      </c>
      <c r="M121" s="5">
        <f>IF(COUNTIFS($A$2:A121,A121,$D$2:D121,D121)=1,L121,0)</f>
        <v>0</v>
      </c>
      <c r="N121" s="4">
        <f t="shared" si="8"/>
        <v>321.37142857142857</v>
      </c>
      <c r="O121" t="str">
        <f t="shared" si="9"/>
        <v>OK</v>
      </c>
    </row>
    <row r="122" spans="1:15">
      <c r="A122" t="str">
        <f>'Raw Data'!A122</f>
        <v>Boston RM-02</v>
      </c>
      <c r="B122" t="str">
        <f>'Raw Data'!B122</f>
        <v>Northeast</v>
      </c>
      <c r="C122" t="str">
        <f>'Raw Data'!C122</f>
        <v>Electronics</v>
      </c>
      <c r="D122" s="3">
        <f>'Raw Data'!D122</f>
        <v>45901</v>
      </c>
      <c r="E122" t="str">
        <f t="shared" si="5"/>
        <v>Sep</v>
      </c>
      <c r="F122" s="5">
        <f>'Raw Data'!E122</f>
        <v>97</v>
      </c>
      <c r="G122" s="4">
        <f>'Raw Data'!F122</f>
        <v>14496.18</v>
      </c>
      <c r="H122" s="4">
        <f>'Raw Data'!G122</f>
        <v>11229.69</v>
      </c>
      <c r="I122" s="4">
        <f t="shared" si="6"/>
        <v>3266.49</v>
      </c>
      <c r="J122" s="8">
        <f t="shared" si="7"/>
        <v>0.22533453640890219</v>
      </c>
      <c r="K122" s="6">
        <f>'Raw Data'!I122</f>
        <v>3.86</v>
      </c>
      <c r="L122" s="5">
        <f>'Raw Data'!J122</f>
        <v>21</v>
      </c>
      <c r="M122" s="5">
        <f>IF(COUNTIFS($A$2:A122,A122,$D$2:D122,D122)=1,L122,0)</f>
        <v>21</v>
      </c>
      <c r="N122" s="4">
        <f t="shared" si="8"/>
        <v>690.29428571428571</v>
      </c>
      <c r="O122" t="str">
        <f t="shared" si="9"/>
        <v>OK</v>
      </c>
    </row>
    <row r="123" spans="1:15">
      <c r="A123" t="str">
        <f>'Raw Data'!A123</f>
        <v>Boston RM-02</v>
      </c>
      <c r="B123" t="str">
        <f>'Raw Data'!B123</f>
        <v>Northeast</v>
      </c>
      <c r="C123" t="str">
        <f>'Raw Data'!C123</f>
        <v>Home Goods</v>
      </c>
      <c r="D123" s="3">
        <f>'Raw Data'!D123</f>
        <v>45901</v>
      </c>
      <c r="E123" t="str">
        <f t="shared" si="5"/>
        <v>Sep</v>
      </c>
      <c r="F123" s="5">
        <f>'Raw Data'!E123</f>
        <v>87</v>
      </c>
      <c r="G123" s="4">
        <f>'Raw Data'!F123</f>
        <v>6669.05</v>
      </c>
      <c r="H123" s="4">
        <f>'Raw Data'!G123</f>
        <v>4570.01</v>
      </c>
      <c r="I123" s="4">
        <f t="shared" si="6"/>
        <v>2099.04</v>
      </c>
      <c r="J123" s="8">
        <f t="shared" si="7"/>
        <v>0.31474347920618378</v>
      </c>
      <c r="K123" s="6">
        <f>'Raw Data'!I123</f>
        <v>3.83</v>
      </c>
      <c r="L123" s="5">
        <f>'Raw Data'!J123</f>
        <v>21</v>
      </c>
      <c r="M123" s="5">
        <f>IF(COUNTIFS($A$2:A123,A123,$D$2:D123,D123)=1,L123,0)</f>
        <v>0</v>
      </c>
      <c r="N123" s="4">
        <f t="shared" si="8"/>
        <v>317.57380952380953</v>
      </c>
      <c r="O123" t="str">
        <f t="shared" si="9"/>
        <v>OK</v>
      </c>
    </row>
    <row r="124" spans="1:15">
      <c r="A124" t="str">
        <f>'Raw Data'!A124</f>
        <v>Boston RM-02</v>
      </c>
      <c r="B124" t="str">
        <f>'Raw Data'!B124</f>
        <v>Northeast</v>
      </c>
      <c r="C124" t="str">
        <f>'Raw Data'!C124</f>
        <v>Apparel</v>
      </c>
      <c r="D124" s="3">
        <f>'Raw Data'!D124</f>
        <v>45901</v>
      </c>
      <c r="E124" t="str">
        <f t="shared" si="5"/>
        <v>Sep</v>
      </c>
      <c r="F124" s="5">
        <f>'Raw Data'!E124</f>
        <v>120</v>
      </c>
      <c r="G124" s="4">
        <f>'Raw Data'!F124</f>
        <v>5537.77</v>
      </c>
      <c r="H124" s="4">
        <f>'Raw Data'!G124</f>
        <v>3410.14</v>
      </c>
      <c r="I124" s="4">
        <f t="shared" si="6"/>
        <v>2127.6300000000006</v>
      </c>
      <c r="J124" s="8">
        <f t="shared" si="7"/>
        <v>0.38420338872867604</v>
      </c>
      <c r="K124" s="6">
        <f>'Raw Data'!I124</f>
        <v>3.89</v>
      </c>
      <c r="L124" s="5">
        <f>'Raw Data'!J124</f>
        <v>21</v>
      </c>
      <c r="M124" s="5">
        <f>IF(COUNTIFS($A$2:A124,A124,$D$2:D124,D124)=1,L124,0)</f>
        <v>0</v>
      </c>
      <c r="N124" s="4">
        <f t="shared" si="8"/>
        <v>263.70333333333338</v>
      </c>
      <c r="O124" t="str">
        <f t="shared" si="9"/>
        <v>OK</v>
      </c>
    </row>
    <row r="125" spans="1:15">
      <c r="A125" t="str">
        <f>'Raw Data'!A125</f>
        <v>Boston RM-02</v>
      </c>
      <c r="B125" t="str">
        <f>'Raw Data'!B125</f>
        <v>Northeast</v>
      </c>
      <c r="C125" t="str">
        <f>'Raw Data'!C125</f>
        <v>Beauty</v>
      </c>
      <c r="D125" s="3">
        <f>'Raw Data'!D125</f>
        <v>45901</v>
      </c>
      <c r="E125" t="str">
        <f t="shared" si="5"/>
        <v>Sep</v>
      </c>
      <c r="F125" s="5">
        <f>'Raw Data'!E125</f>
        <v>88</v>
      </c>
      <c r="G125" s="4">
        <f>'Raw Data'!F125</f>
        <v>3266.41</v>
      </c>
      <c r="H125" s="4">
        <f>'Raw Data'!G125</f>
        <v>1670.88</v>
      </c>
      <c r="I125" s="4">
        <f t="shared" si="6"/>
        <v>1595.5299999999997</v>
      </c>
      <c r="J125" s="8">
        <f t="shared" si="7"/>
        <v>0.48846593048637488</v>
      </c>
      <c r="K125" s="6">
        <f>'Raw Data'!I125</f>
        <v>4.04</v>
      </c>
      <c r="L125" s="5">
        <f>'Raw Data'!J125</f>
        <v>21</v>
      </c>
      <c r="M125" s="5">
        <f>IF(COUNTIFS($A$2:A125,A125,$D$2:D125,D125)=1,L125,0)</f>
        <v>0</v>
      </c>
      <c r="N125" s="4">
        <f t="shared" si="8"/>
        <v>155.54333333333332</v>
      </c>
      <c r="O125" t="str">
        <f t="shared" si="9"/>
        <v>OK</v>
      </c>
    </row>
    <row r="126" spans="1:15">
      <c r="A126" t="str">
        <f>'Raw Data'!A126</f>
        <v>Boston RM-02</v>
      </c>
      <c r="B126" t="str">
        <f>'Raw Data'!B126</f>
        <v>Northeast</v>
      </c>
      <c r="C126" t="str">
        <f>'Raw Data'!C126</f>
        <v>Grocery</v>
      </c>
      <c r="D126" s="3">
        <f>'Raw Data'!D126</f>
        <v>45901</v>
      </c>
      <c r="E126" t="str">
        <f t="shared" si="5"/>
        <v>Sep</v>
      </c>
      <c r="F126" s="5">
        <f>'Raw Data'!E126</f>
        <v>157</v>
      </c>
      <c r="G126" s="4">
        <f>'Raw Data'!F126</f>
        <v>2983.13</v>
      </c>
      <c r="H126" s="4">
        <f>'Raw Data'!G126</f>
        <v>2783.71</v>
      </c>
      <c r="I126" s="4">
        <f t="shared" si="6"/>
        <v>199.42000000000007</v>
      </c>
      <c r="J126" s="8">
        <f t="shared" si="7"/>
        <v>6.6849248943224082E-2</v>
      </c>
      <c r="K126" s="6">
        <f>'Raw Data'!I126</f>
        <v>3.79</v>
      </c>
      <c r="L126" s="5">
        <f>'Raw Data'!J126</f>
        <v>21</v>
      </c>
      <c r="M126" s="5">
        <f>IF(COUNTIFS($A$2:A126,A126,$D$2:D126,D126)=1,L126,0)</f>
        <v>0</v>
      </c>
      <c r="N126" s="4">
        <f t="shared" si="8"/>
        <v>142.05380952380952</v>
      </c>
      <c r="O126" t="str">
        <f t="shared" si="9"/>
        <v>OK</v>
      </c>
    </row>
    <row r="127" spans="1:15">
      <c r="A127" t="str">
        <f>'Raw Data'!A127</f>
        <v>Boston RM-02</v>
      </c>
      <c r="B127" t="str">
        <f>'Raw Data'!B127</f>
        <v>Northeast</v>
      </c>
      <c r="C127" t="str">
        <f>'Raw Data'!C127</f>
        <v>Sports</v>
      </c>
      <c r="D127" s="3">
        <f>'Raw Data'!D127</f>
        <v>45901</v>
      </c>
      <c r="E127" t="str">
        <f t="shared" si="5"/>
        <v>Sep</v>
      </c>
      <c r="F127" s="5">
        <f>'Raw Data'!E127</f>
        <v>64</v>
      </c>
      <c r="G127" s="4">
        <f>'Raw Data'!F127</f>
        <v>3866.3</v>
      </c>
      <c r="H127" s="4">
        <f>'Raw Data'!G127</f>
        <v>2650.04</v>
      </c>
      <c r="I127" s="4">
        <f t="shared" si="6"/>
        <v>1216.2600000000002</v>
      </c>
      <c r="J127" s="8">
        <f t="shared" si="7"/>
        <v>0.31457983084602853</v>
      </c>
      <c r="K127" s="6">
        <f>'Raw Data'!I127</f>
        <v>3.8</v>
      </c>
      <c r="L127" s="5">
        <f>'Raw Data'!J127</f>
        <v>21</v>
      </c>
      <c r="M127" s="5">
        <f>IF(COUNTIFS($A$2:A127,A127,$D$2:D127,D127)=1,L127,0)</f>
        <v>0</v>
      </c>
      <c r="N127" s="4">
        <f t="shared" si="8"/>
        <v>184.10952380952381</v>
      </c>
      <c r="O127" t="str">
        <f t="shared" si="9"/>
        <v>OK</v>
      </c>
    </row>
    <row r="128" spans="1:15">
      <c r="A128" t="str">
        <f>'Raw Data'!A128</f>
        <v>Boston RM-02</v>
      </c>
      <c r="B128" t="str">
        <f>'Raw Data'!B128</f>
        <v>Northeast</v>
      </c>
      <c r="C128" t="str">
        <f>'Raw Data'!C128</f>
        <v>Electronics</v>
      </c>
      <c r="D128" s="3">
        <f>'Raw Data'!D128</f>
        <v>45931</v>
      </c>
      <c r="E128" t="str">
        <f t="shared" si="5"/>
        <v>Oct</v>
      </c>
      <c r="F128" s="5">
        <f>'Raw Data'!E128</f>
        <v>104</v>
      </c>
      <c r="G128" s="4">
        <f>'Raw Data'!F128</f>
        <v>15463.73</v>
      </c>
      <c r="H128" s="4">
        <f>'Raw Data'!G128</f>
        <v>12342.57</v>
      </c>
      <c r="I128" s="4">
        <f t="shared" si="6"/>
        <v>3121.16</v>
      </c>
      <c r="J128" s="8">
        <f t="shared" si="7"/>
        <v>0.20183746094894311</v>
      </c>
      <c r="K128" s="6">
        <f>'Raw Data'!I128</f>
        <v>3.71</v>
      </c>
      <c r="L128" s="5">
        <f>'Raw Data'!J128</f>
        <v>21</v>
      </c>
      <c r="M128" s="5">
        <f>IF(COUNTIFS($A$2:A128,A128,$D$2:D128,D128)=1,L128,0)</f>
        <v>21</v>
      </c>
      <c r="N128" s="4">
        <f t="shared" si="8"/>
        <v>736.36809523809518</v>
      </c>
      <c r="O128" t="str">
        <f t="shared" si="9"/>
        <v>OK</v>
      </c>
    </row>
    <row r="129" spans="1:15">
      <c r="A129" t="str">
        <f>'Raw Data'!A129</f>
        <v>Boston RM-02</v>
      </c>
      <c r="B129" t="str">
        <f>'Raw Data'!B129</f>
        <v>Northeast</v>
      </c>
      <c r="C129" t="str">
        <f>'Raw Data'!C129</f>
        <v>Home Goods</v>
      </c>
      <c r="D129" s="3">
        <f>'Raw Data'!D129</f>
        <v>45931</v>
      </c>
      <c r="E129" t="str">
        <f t="shared" si="5"/>
        <v>Oct</v>
      </c>
      <c r="F129" s="5">
        <f>'Raw Data'!E129</f>
        <v>102</v>
      </c>
      <c r="G129" s="4">
        <f>'Raw Data'!F129</f>
        <v>8210.4</v>
      </c>
      <c r="H129" s="4">
        <f>'Raw Data'!G129</f>
        <v>5589.25</v>
      </c>
      <c r="I129" s="4">
        <f t="shared" si="6"/>
        <v>2621.1499999999996</v>
      </c>
      <c r="J129" s="8">
        <f t="shared" si="7"/>
        <v>0.31924753970573905</v>
      </c>
      <c r="K129" s="6">
        <f>'Raw Data'!I129</f>
        <v>3.78</v>
      </c>
      <c r="L129" s="5">
        <f>'Raw Data'!J129</f>
        <v>21</v>
      </c>
      <c r="M129" s="5">
        <f>IF(COUNTIFS($A$2:A129,A129,$D$2:D129,D129)=1,L129,0)</f>
        <v>0</v>
      </c>
      <c r="N129" s="4">
        <f t="shared" si="8"/>
        <v>390.97142857142853</v>
      </c>
      <c r="O129" t="str">
        <f t="shared" si="9"/>
        <v>OK</v>
      </c>
    </row>
    <row r="130" spans="1:15">
      <c r="A130" t="str">
        <f>'Raw Data'!A130</f>
        <v>Boston RM-02</v>
      </c>
      <c r="B130" t="str">
        <f>'Raw Data'!B130</f>
        <v>Northeast</v>
      </c>
      <c r="C130" t="str">
        <f>'Raw Data'!C130</f>
        <v>Apparel</v>
      </c>
      <c r="D130" s="3">
        <f>'Raw Data'!D130</f>
        <v>45931</v>
      </c>
      <c r="E130" t="str">
        <f t="shared" ref="E130:E193" si="10">TEXT(D130,"mmm")</f>
        <v>Oct</v>
      </c>
      <c r="F130" s="5">
        <f>'Raw Data'!E130</f>
        <v>121</v>
      </c>
      <c r="G130" s="4">
        <f>'Raw Data'!F130</f>
        <v>6175.33</v>
      </c>
      <c r="H130" s="4">
        <f>'Raw Data'!G130</f>
        <v>3962.42</v>
      </c>
      <c r="I130" s="4">
        <f t="shared" ref="I130:I193" si="11">G130-H130</f>
        <v>2212.91</v>
      </c>
      <c r="J130" s="8">
        <f t="shared" ref="J130:J193" si="12">IFERROR(I130/G130,0)</f>
        <v>0.35834684138337547</v>
      </c>
      <c r="K130" s="6">
        <f>'Raw Data'!I130</f>
        <v>3.8</v>
      </c>
      <c r="L130" s="5">
        <f>'Raw Data'!J130</f>
        <v>21</v>
      </c>
      <c r="M130" s="5">
        <f>IF(COUNTIFS($A$2:A130,A130,$D$2:D130,D130)=1,L130,0)</f>
        <v>0</v>
      </c>
      <c r="N130" s="4">
        <f t="shared" ref="N130:N193" si="13">IFERROR(G130/L130,0)</f>
        <v>294.06333333333333</v>
      </c>
      <c r="O130" t="str">
        <f t="shared" ref="O130:O193" si="14">IF(OR(A130="",B130="",C130="",F130&lt;0,G130&lt;0,H130&lt;0,K130&lt;1,K130&gt;5),"Review","OK")</f>
        <v>OK</v>
      </c>
    </row>
    <row r="131" spans="1:15">
      <c r="A131" t="str">
        <f>'Raw Data'!A131</f>
        <v>Boston RM-02</v>
      </c>
      <c r="B131" t="str">
        <f>'Raw Data'!B131</f>
        <v>Northeast</v>
      </c>
      <c r="C131" t="str">
        <f>'Raw Data'!C131</f>
        <v>Beauty</v>
      </c>
      <c r="D131" s="3">
        <f>'Raw Data'!D131</f>
        <v>45931</v>
      </c>
      <c r="E131" t="str">
        <f t="shared" si="10"/>
        <v>Oct</v>
      </c>
      <c r="F131" s="5">
        <f>'Raw Data'!E131</f>
        <v>92</v>
      </c>
      <c r="G131" s="4">
        <f>'Raw Data'!F131</f>
        <v>3117.99</v>
      </c>
      <c r="H131" s="4">
        <f>'Raw Data'!G131</f>
        <v>1645.73</v>
      </c>
      <c r="I131" s="4">
        <f t="shared" si="11"/>
        <v>1472.2599999999998</v>
      </c>
      <c r="J131" s="8">
        <f t="shared" si="12"/>
        <v>0.47218239955869001</v>
      </c>
      <c r="K131" s="6">
        <f>'Raw Data'!I131</f>
        <v>3.74</v>
      </c>
      <c r="L131" s="5">
        <f>'Raw Data'!J131</f>
        <v>21</v>
      </c>
      <c r="M131" s="5">
        <f>IF(COUNTIFS($A$2:A131,A131,$D$2:D131,D131)=1,L131,0)</f>
        <v>0</v>
      </c>
      <c r="N131" s="4">
        <f t="shared" si="13"/>
        <v>148.47571428571428</v>
      </c>
      <c r="O131" t="str">
        <f t="shared" si="14"/>
        <v>OK</v>
      </c>
    </row>
    <row r="132" spans="1:15">
      <c r="A132" t="str">
        <f>'Raw Data'!A132</f>
        <v>Boston RM-02</v>
      </c>
      <c r="B132" t="str">
        <f>'Raw Data'!B132</f>
        <v>Northeast</v>
      </c>
      <c r="C132" t="str">
        <f>'Raw Data'!C132</f>
        <v>Grocery</v>
      </c>
      <c r="D132" s="3">
        <f>'Raw Data'!D132</f>
        <v>45931</v>
      </c>
      <c r="E132" t="str">
        <f t="shared" si="10"/>
        <v>Oct</v>
      </c>
      <c r="F132" s="5">
        <f>'Raw Data'!E132</f>
        <v>161</v>
      </c>
      <c r="G132" s="4">
        <f>'Raw Data'!F132</f>
        <v>3031.72</v>
      </c>
      <c r="H132" s="4">
        <f>'Raw Data'!G132</f>
        <v>2864.01</v>
      </c>
      <c r="I132" s="4">
        <f t="shared" si="11"/>
        <v>167.70999999999958</v>
      </c>
      <c r="J132" s="8">
        <f t="shared" si="12"/>
        <v>5.5318433100681984E-2</v>
      </c>
      <c r="K132" s="6">
        <f>'Raw Data'!I132</f>
        <v>3.91</v>
      </c>
      <c r="L132" s="5">
        <f>'Raw Data'!J132</f>
        <v>21</v>
      </c>
      <c r="M132" s="5">
        <f>IF(COUNTIFS($A$2:A132,A132,$D$2:D132,D132)=1,L132,0)</f>
        <v>0</v>
      </c>
      <c r="N132" s="4">
        <f t="shared" si="13"/>
        <v>144.36761904761903</v>
      </c>
      <c r="O132" t="str">
        <f t="shared" si="14"/>
        <v>OK</v>
      </c>
    </row>
    <row r="133" spans="1:15">
      <c r="A133" t="str">
        <f>'Raw Data'!A133</f>
        <v>Boston RM-02</v>
      </c>
      <c r="B133" t="str">
        <f>'Raw Data'!B133</f>
        <v>Northeast</v>
      </c>
      <c r="C133" t="str">
        <f>'Raw Data'!C133</f>
        <v>Sports</v>
      </c>
      <c r="D133" s="3">
        <f>'Raw Data'!D133</f>
        <v>45931</v>
      </c>
      <c r="E133" t="str">
        <f t="shared" si="10"/>
        <v>Oct</v>
      </c>
      <c r="F133" s="5">
        <f>'Raw Data'!E133</f>
        <v>67</v>
      </c>
      <c r="G133" s="4">
        <f>'Raw Data'!F133</f>
        <v>4190.2</v>
      </c>
      <c r="H133" s="4">
        <f>'Raw Data'!G133</f>
        <v>2873.83</v>
      </c>
      <c r="I133" s="4">
        <f t="shared" si="11"/>
        <v>1316.37</v>
      </c>
      <c r="J133" s="8">
        <f t="shared" si="12"/>
        <v>0.31415445563457589</v>
      </c>
      <c r="K133" s="6">
        <f>'Raw Data'!I133</f>
        <v>3.74</v>
      </c>
      <c r="L133" s="5">
        <f>'Raw Data'!J133</f>
        <v>21</v>
      </c>
      <c r="M133" s="5">
        <f>IF(COUNTIFS($A$2:A133,A133,$D$2:D133,D133)=1,L133,0)</f>
        <v>0</v>
      </c>
      <c r="N133" s="4">
        <f t="shared" si="13"/>
        <v>199.53333333333333</v>
      </c>
      <c r="O133" t="str">
        <f t="shared" si="14"/>
        <v>OK</v>
      </c>
    </row>
    <row r="134" spans="1:15">
      <c r="A134" t="str">
        <f>'Raw Data'!A134</f>
        <v>Boston RM-02</v>
      </c>
      <c r="B134" t="str">
        <f>'Raw Data'!B134</f>
        <v>Northeast</v>
      </c>
      <c r="C134" t="str">
        <f>'Raw Data'!C134</f>
        <v>Electronics</v>
      </c>
      <c r="D134" s="3">
        <f>'Raw Data'!D134</f>
        <v>45962</v>
      </c>
      <c r="E134" t="str">
        <f t="shared" si="10"/>
        <v>Nov</v>
      </c>
      <c r="F134" s="5">
        <f>'Raw Data'!E134</f>
        <v>160</v>
      </c>
      <c r="G134" s="4">
        <f>'Raw Data'!F134</f>
        <v>23964.54</v>
      </c>
      <c r="H134" s="4">
        <f>'Raw Data'!G134</f>
        <v>19258.73</v>
      </c>
      <c r="I134" s="4">
        <f t="shared" si="11"/>
        <v>4705.8100000000013</v>
      </c>
      <c r="J134" s="8">
        <f t="shared" si="12"/>
        <v>0.19636554676200757</v>
      </c>
      <c r="K134" s="6">
        <f>'Raw Data'!I134</f>
        <v>3.9</v>
      </c>
      <c r="L134" s="5">
        <f>'Raw Data'!J134</f>
        <v>22</v>
      </c>
      <c r="M134" s="5">
        <f>IF(COUNTIFS($A$2:A134,A134,$D$2:D134,D134)=1,L134,0)</f>
        <v>22</v>
      </c>
      <c r="N134" s="4">
        <f t="shared" si="13"/>
        <v>1089.2972727272727</v>
      </c>
      <c r="O134" t="str">
        <f t="shared" si="14"/>
        <v>OK</v>
      </c>
    </row>
    <row r="135" spans="1:15">
      <c r="A135" t="str">
        <f>'Raw Data'!A135</f>
        <v>Boston RM-02</v>
      </c>
      <c r="B135" t="str">
        <f>'Raw Data'!B135</f>
        <v>Northeast</v>
      </c>
      <c r="C135" t="str">
        <f>'Raw Data'!C135</f>
        <v>Home Goods</v>
      </c>
      <c r="D135" s="3">
        <f>'Raw Data'!D135</f>
        <v>45962</v>
      </c>
      <c r="E135" t="str">
        <f t="shared" si="10"/>
        <v>Nov</v>
      </c>
      <c r="F135" s="5">
        <f>'Raw Data'!E135</f>
        <v>116</v>
      </c>
      <c r="G135" s="4">
        <f>'Raw Data'!F135</f>
        <v>8711.32</v>
      </c>
      <c r="H135" s="4">
        <f>'Raw Data'!G135</f>
        <v>6279.63</v>
      </c>
      <c r="I135" s="4">
        <f t="shared" si="11"/>
        <v>2431.6899999999996</v>
      </c>
      <c r="J135" s="8">
        <f t="shared" si="12"/>
        <v>0.27914139303802404</v>
      </c>
      <c r="K135" s="6">
        <f>'Raw Data'!I135</f>
        <v>3.9</v>
      </c>
      <c r="L135" s="5">
        <f>'Raw Data'!J135</f>
        <v>22</v>
      </c>
      <c r="M135" s="5">
        <f>IF(COUNTIFS($A$2:A135,A135,$D$2:D135,D135)=1,L135,0)</f>
        <v>0</v>
      </c>
      <c r="N135" s="4">
        <f t="shared" si="13"/>
        <v>395.96909090909088</v>
      </c>
      <c r="O135" t="str">
        <f t="shared" si="14"/>
        <v>OK</v>
      </c>
    </row>
    <row r="136" spans="1:15">
      <c r="A136" t="str">
        <f>'Raw Data'!A136</f>
        <v>Boston RM-02</v>
      </c>
      <c r="B136" t="str">
        <f>'Raw Data'!B136</f>
        <v>Northeast</v>
      </c>
      <c r="C136" t="str">
        <f>'Raw Data'!C136</f>
        <v>Apparel</v>
      </c>
      <c r="D136" s="3">
        <f>'Raw Data'!D136</f>
        <v>45962</v>
      </c>
      <c r="E136" t="str">
        <f t="shared" si="10"/>
        <v>Nov</v>
      </c>
      <c r="F136" s="5">
        <f>'Raw Data'!E136</f>
        <v>159</v>
      </c>
      <c r="G136" s="4">
        <f>'Raw Data'!F136</f>
        <v>7501.7</v>
      </c>
      <c r="H136" s="4">
        <f>'Raw Data'!G136</f>
        <v>4723.47</v>
      </c>
      <c r="I136" s="4">
        <f t="shared" si="11"/>
        <v>2778.2299999999996</v>
      </c>
      <c r="J136" s="8">
        <f t="shared" si="12"/>
        <v>0.37034672140981373</v>
      </c>
      <c r="K136" s="6">
        <f>'Raw Data'!I136</f>
        <v>3.96</v>
      </c>
      <c r="L136" s="5">
        <f>'Raw Data'!J136</f>
        <v>22</v>
      </c>
      <c r="M136" s="5">
        <f>IF(COUNTIFS($A$2:A136,A136,$D$2:D136,D136)=1,L136,0)</f>
        <v>0</v>
      </c>
      <c r="N136" s="4">
        <f t="shared" si="13"/>
        <v>340.98636363636365</v>
      </c>
      <c r="O136" t="str">
        <f t="shared" si="14"/>
        <v>OK</v>
      </c>
    </row>
    <row r="137" spans="1:15">
      <c r="A137" t="str">
        <f>'Raw Data'!A137</f>
        <v>Boston RM-02</v>
      </c>
      <c r="B137" t="str">
        <f>'Raw Data'!B137</f>
        <v>Northeast</v>
      </c>
      <c r="C137" t="str">
        <f>'Raw Data'!C137</f>
        <v>Beauty</v>
      </c>
      <c r="D137" s="3">
        <f>'Raw Data'!D137</f>
        <v>45962</v>
      </c>
      <c r="E137" t="str">
        <f t="shared" si="10"/>
        <v>Nov</v>
      </c>
      <c r="F137" s="5">
        <f>'Raw Data'!E137</f>
        <v>126</v>
      </c>
      <c r="G137" s="4">
        <f>'Raw Data'!F137</f>
        <v>4464.2299999999996</v>
      </c>
      <c r="H137" s="4">
        <f>'Raw Data'!G137</f>
        <v>2355.23</v>
      </c>
      <c r="I137" s="4">
        <f t="shared" si="11"/>
        <v>2108.9999999999995</v>
      </c>
      <c r="J137" s="8">
        <f t="shared" si="12"/>
        <v>0.47242189582525984</v>
      </c>
      <c r="K137" s="6">
        <f>'Raw Data'!I137</f>
        <v>4.05</v>
      </c>
      <c r="L137" s="5">
        <f>'Raw Data'!J137</f>
        <v>22</v>
      </c>
      <c r="M137" s="5">
        <f>IF(COUNTIFS($A$2:A137,A137,$D$2:D137,D137)=1,L137,0)</f>
        <v>0</v>
      </c>
      <c r="N137" s="4">
        <f t="shared" si="13"/>
        <v>202.91954545454544</v>
      </c>
      <c r="O137" t="str">
        <f t="shared" si="14"/>
        <v>OK</v>
      </c>
    </row>
    <row r="138" spans="1:15">
      <c r="A138" t="str">
        <f>'Raw Data'!A138</f>
        <v>Boston RM-02</v>
      </c>
      <c r="B138" t="str">
        <f>'Raw Data'!B138</f>
        <v>Northeast</v>
      </c>
      <c r="C138" t="str">
        <f>'Raw Data'!C138</f>
        <v>Grocery</v>
      </c>
      <c r="D138" s="3">
        <f>'Raw Data'!D138</f>
        <v>45962</v>
      </c>
      <c r="E138" t="str">
        <f t="shared" si="10"/>
        <v>Nov</v>
      </c>
      <c r="F138" s="5">
        <f>'Raw Data'!E138</f>
        <v>199</v>
      </c>
      <c r="G138" s="4">
        <f>'Raw Data'!F138</f>
        <v>3737.48</v>
      </c>
      <c r="H138" s="4">
        <f>'Raw Data'!G138</f>
        <v>3466.11</v>
      </c>
      <c r="I138" s="4">
        <f t="shared" si="11"/>
        <v>271.36999999999989</v>
      </c>
      <c r="J138" s="8">
        <f t="shared" si="12"/>
        <v>7.2607746395967301E-2</v>
      </c>
      <c r="K138" s="6">
        <f>'Raw Data'!I138</f>
        <v>3.89</v>
      </c>
      <c r="L138" s="5">
        <f>'Raw Data'!J138</f>
        <v>22</v>
      </c>
      <c r="M138" s="5">
        <f>IF(COUNTIFS($A$2:A138,A138,$D$2:D138,D138)=1,L138,0)</f>
        <v>0</v>
      </c>
      <c r="N138" s="4">
        <f t="shared" si="13"/>
        <v>169.88545454545454</v>
      </c>
      <c r="O138" t="str">
        <f t="shared" si="14"/>
        <v>OK</v>
      </c>
    </row>
    <row r="139" spans="1:15">
      <c r="A139" t="str">
        <f>'Raw Data'!A139</f>
        <v>Boston RM-02</v>
      </c>
      <c r="B139" t="str">
        <f>'Raw Data'!B139</f>
        <v>Northeast</v>
      </c>
      <c r="C139" t="str">
        <f>'Raw Data'!C139</f>
        <v>Sports</v>
      </c>
      <c r="D139" s="3">
        <f>'Raw Data'!D139</f>
        <v>45962</v>
      </c>
      <c r="E139" t="str">
        <f t="shared" si="10"/>
        <v>Nov</v>
      </c>
      <c r="F139" s="5">
        <f>'Raw Data'!E139</f>
        <v>84</v>
      </c>
      <c r="G139" s="4">
        <f>'Raw Data'!F139</f>
        <v>5449.8</v>
      </c>
      <c r="H139" s="4">
        <f>'Raw Data'!G139</f>
        <v>3727.39</v>
      </c>
      <c r="I139" s="4">
        <f t="shared" si="11"/>
        <v>1722.4100000000003</v>
      </c>
      <c r="J139" s="8">
        <f t="shared" si="12"/>
        <v>0.31605013028001033</v>
      </c>
      <c r="K139" s="6">
        <f>'Raw Data'!I139</f>
        <v>4.0599999999999996</v>
      </c>
      <c r="L139" s="5">
        <f>'Raw Data'!J139</f>
        <v>22</v>
      </c>
      <c r="M139" s="5">
        <f>IF(COUNTIFS($A$2:A139,A139,$D$2:D139,D139)=1,L139,0)</f>
        <v>0</v>
      </c>
      <c r="N139" s="4">
        <f t="shared" si="13"/>
        <v>247.71818181818182</v>
      </c>
      <c r="O139" t="str">
        <f t="shared" si="14"/>
        <v>OK</v>
      </c>
    </row>
    <row r="140" spans="1:15">
      <c r="A140" t="str">
        <f>'Raw Data'!A140</f>
        <v>Boston RM-02</v>
      </c>
      <c r="B140" t="str">
        <f>'Raw Data'!B140</f>
        <v>Northeast</v>
      </c>
      <c r="C140" t="str">
        <f>'Raw Data'!C140</f>
        <v>Electronics</v>
      </c>
      <c r="D140" s="3">
        <f>'Raw Data'!D140</f>
        <v>45992</v>
      </c>
      <c r="E140" t="str">
        <f t="shared" si="10"/>
        <v>Dec</v>
      </c>
      <c r="F140" s="5">
        <f>'Raw Data'!E140</f>
        <v>184</v>
      </c>
      <c r="G140" s="4">
        <f>'Raw Data'!F140</f>
        <v>26208.23</v>
      </c>
      <c r="H140" s="4">
        <f>'Raw Data'!G140</f>
        <v>22183.54</v>
      </c>
      <c r="I140" s="4">
        <f t="shared" si="11"/>
        <v>4024.6899999999987</v>
      </c>
      <c r="J140" s="8">
        <f t="shared" si="12"/>
        <v>0.15356588369378621</v>
      </c>
      <c r="K140" s="6">
        <f>'Raw Data'!I140</f>
        <v>3.75</v>
      </c>
      <c r="L140" s="5">
        <f>'Raw Data'!J140</f>
        <v>22</v>
      </c>
      <c r="M140" s="5">
        <f>IF(COUNTIFS($A$2:A140,A140,$D$2:D140,D140)=1,L140,0)</f>
        <v>22</v>
      </c>
      <c r="N140" s="4">
        <f t="shared" si="13"/>
        <v>1191.2831818181819</v>
      </c>
      <c r="O140" t="str">
        <f t="shared" si="14"/>
        <v>OK</v>
      </c>
    </row>
    <row r="141" spans="1:15">
      <c r="A141" t="str">
        <f>'Raw Data'!A141</f>
        <v>Boston RM-02</v>
      </c>
      <c r="B141" t="str">
        <f>'Raw Data'!B141</f>
        <v>Northeast</v>
      </c>
      <c r="C141" t="str">
        <f>'Raw Data'!C141</f>
        <v>Home Goods</v>
      </c>
      <c r="D141" s="3">
        <f>'Raw Data'!D141</f>
        <v>45992</v>
      </c>
      <c r="E141" t="str">
        <f t="shared" si="10"/>
        <v>Dec</v>
      </c>
      <c r="F141" s="5">
        <f>'Raw Data'!E141</f>
        <v>134</v>
      </c>
      <c r="G141" s="4">
        <f>'Raw Data'!F141</f>
        <v>9637.85</v>
      </c>
      <c r="H141" s="4">
        <f>'Raw Data'!G141</f>
        <v>6810.06</v>
      </c>
      <c r="I141" s="4">
        <f t="shared" si="11"/>
        <v>2827.79</v>
      </c>
      <c r="J141" s="8">
        <f t="shared" si="12"/>
        <v>0.29340464937719513</v>
      </c>
      <c r="K141" s="6">
        <f>'Raw Data'!I141</f>
        <v>3.81</v>
      </c>
      <c r="L141" s="5">
        <f>'Raw Data'!J141</f>
        <v>22</v>
      </c>
      <c r="M141" s="5">
        <f>IF(COUNTIFS($A$2:A141,A141,$D$2:D141,D141)=1,L141,0)</f>
        <v>0</v>
      </c>
      <c r="N141" s="4">
        <f t="shared" si="13"/>
        <v>438.08409090909095</v>
      </c>
      <c r="O141" t="str">
        <f t="shared" si="14"/>
        <v>OK</v>
      </c>
    </row>
    <row r="142" spans="1:15">
      <c r="A142" t="str">
        <f>'Raw Data'!A142</f>
        <v>Boston RM-02</v>
      </c>
      <c r="B142" t="str">
        <f>'Raw Data'!B142</f>
        <v>Northeast</v>
      </c>
      <c r="C142" t="str">
        <f>'Raw Data'!C142</f>
        <v>Apparel</v>
      </c>
      <c r="D142" s="3">
        <f>'Raw Data'!D142</f>
        <v>45992</v>
      </c>
      <c r="E142" t="str">
        <f t="shared" si="10"/>
        <v>Dec</v>
      </c>
      <c r="F142" s="5">
        <f>'Raw Data'!E142</f>
        <v>206</v>
      </c>
      <c r="G142" s="4">
        <f>'Raw Data'!F142</f>
        <v>10336.83</v>
      </c>
      <c r="H142" s="4">
        <f>'Raw Data'!G142</f>
        <v>6720.17</v>
      </c>
      <c r="I142" s="4">
        <f t="shared" si="11"/>
        <v>3616.66</v>
      </c>
      <c r="J142" s="8">
        <f t="shared" si="12"/>
        <v>0.34988095963656168</v>
      </c>
      <c r="K142" s="6">
        <f>'Raw Data'!I142</f>
        <v>3.71</v>
      </c>
      <c r="L142" s="5">
        <f>'Raw Data'!J142</f>
        <v>22</v>
      </c>
      <c r="M142" s="5">
        <f>IF(COUNTIFS($A$2:A142,A142,$D$2:D142,D142)=1,L142,0)</f>
        <v>0</v>
      </c>
      <c r="N142" s="4">
        <f t="shared" si="13"/>
        <v>469.85590909090911</v>
      </c>
      <c r="O142" t="str">
        <f t="shared" si="14"/>
        <v>OK</v>
      </c>
    </row>
    <row r="143" spans="1:15">
      <c r="A143" t="str">
        <f>'Raw Data'!A143</f>
        <v>Boston RM-02</v>
      </c>
      <c r="B143" t="str">
        <f>'Raw Data'!B143</f>
        <v>Northeast</v>
      </c>
      <c r="C143" t="str">
        <f>'Raw Data'!C143</f>
        <v>Beauty</v>
      </c>
      <c r="D143" s="3">
        <f>'Raw Data'!D143</f>
        <v>45992</v>
      </c>
      <c r="E143" t="str">
        <f t="shared" si="10"/>
        <v>Dec</v>
      </c>
      <c r="F143" s="5">
        <f>'Raw Data'!E143</f>
        <v>127</v>
      </c>
      <c r="G143" s="4">
        <f>'Raw Data'!F143</f>
        <v>4479.68</v>
      </c>
      <c r="H143" s="4">
        <f>'Raw Data'!G143</f>
        <v>2442.7800000000002</v>
      </c>
      <c r="I143" s="4">
        <f t="shared" si="11"/>
        <v>2036.9</v>
      </c>
      <c r="J143" s="8">
        <f t="shared" si="12"/>
        <v>0.45469765697549824</v>
      </c>
      <c r="K143" s="6">
        <f>'Raw Data'!I143</f>
        <v>3.83</v>
      </c>
      <c r="L143" s="5">
        <f>'Raw Data'!J143</f>
        <v>22</v>
      </c>
      <c r="M143" s="5">
        <f>IF(COUNTIFS($A$2:A143,A143,$D$2:D143,D143)=1,L143,0)</f>
        <v>0</v>
      </c>
      <c r="N143" s="4">
        <f t="shared" si="13"/>
        <v>203.62181818181818</v>
      </c>
      <c r="O143" t="str">
        <f t="shared" si="14"/>
        <v>OK</v>
      </c>
    </row>
    <row r="144" spans="1:15">
      <c r="A144" t="str">
        <f>'Raw Data'!A144</f>
        <v>Boston RM-02</v>
      </c>
      <c r="B144" t="str">
        <f>'Raw Data'!B144</f>
        <v>Northeast</v>
      </c>
      <c r="C144" t="str">
        <f>'Raw Data'!C144</f>
        <v>Grocery</v>
      </c>
      <c r="D144" s="3">
        <f>'Raw Data'!D144</f>
        <v>45992</v>
      </c>
      <c r="E144" t="str">
        <f t="shared" si="10"/>
        <v>Dec</v>
      </c>
      <c r="F144" s="5">
        <f>'Raw Data'!E144</f>
        <v>240</v>
      </c>
      <c r="G144" s="4">
        <f>'Raw Data'!F144</f>
        <v>4581.97</v>
      </c>
      <c r="H144" s="4">
        <f>'Raw Data'!G144</f>
        <v>4296.84</v>
      </c>
      <c r="I144" s="4">
        <f t="shared" si="11"/>
        <v>285.13000000000011</v>
      </c>
      <c r="J144" s="8">
        <f t="shared" si="12"/>
        <v>6.2228692025482507E-2</v>
      </c>
      <c r="K144" s="6">
        <f>'Raw Data'!I144</f>
        <v>3.7</v>
      </c>
      <c r="L144" s="5">
        <f>'Raw Data'!J144</f>
        <v>22</v>
      </c>
      <c r="M144" s="5">
        <f>IF(COUNTIFS($A$2:A144,A144,$D$2:D144,D144)=1,L144,0)</f>
        <v>0</v>
      </c>
      <c r="N144" s="4">
        <f t="shared" si="13"/>
        <v>208.27136363636365</v>
      </c>
      <c r="O144" t="str">
        <f t="shared" si="14"/>
        <v>OK</v>
      </c>
    </row>
    <row r="145" spans="1:15">
      <c r="A145" t="str">
        <f>'Raw Data'!A145</f>
        <v>Boston RM-02</v>
      </c>
      <c r="B145" t="str">
        <f>'Raw Data'!B145</f>
        <v>Northeast</v>
      </c>
      <c r="C145" t="str">
        <f>'Raw Data'!C145</f>
        <v>Sports</v>
      </c>
      <c r="D145" s="3">
        <f>'Raw Data'!D145</f>
        <v>45992</v>
      </c>
      <c r="E145" t="str">
        <f t="shared" si="10"/>
        <v>Dec</v>
      </c>
      <c r="F145" s="5">
        <f>'Raw Data'!E145</f>
        <v>98</v>
      </c>
      <c r="G145" s="4">
        <f>'Raw Data'!F145</f>
        <v>6129.74</v>
      </c>
      <c r="H145" s="4">
        <f>'Raw Data'!G145</f>
        <v>4347.59</v>
      </c>
      <c r="I145" s="4">
        <f t="shared" si="11"/>
        <v>1782.1499999999996</v>
      </c>
      <c r="J145" s="8">
        <f t="shared" si="12"/>
        <v>0.29073826948614456</v>
      </c>
      <c r="K145" s="6">
        <f>'Raw Data'!I145</f>
        <v>3.95</v>
      </c>
      <c r="L145" s="5">
        <f>'Raw Data'!J145</f>
        <v>22</v>
      </c>
      <c r="M145" s="5">
        <f>IF(COUNTIFS($A$2:A145,A145,$D$2:D145,D145)=1,L145,0)</f>
        <v>0</v>
      </c>
      <c r="N145" s="4">
        <f t="shared" si="13"/>
        <v>278.62454545454545</v>
      </c>
      <c r="O145" t="str">
        <f t="shared" si="14"/>
        <v>OK</v>
      </c>
    </row>
    <row r="146" spans="1:15">
      <c r="A146" t="str">
        <f>'Raw Data'!A146</f>
        <v>Philadelphia RM-03</v>
      </c>
      <c r="B146" t="str">
        <f>'Raw Data'!B146</f>
        <v>Northeast</v>
      </c>
      <c r="C146" t="str">
        <f>'Raw Data'!C146</f>
        <v>Electronics</v>
      </c>
      <c r="D146" s="3">
        <f>'Raw Data'!D146</f>
        <v>45658</v>
      </c>
      <c r="E146" t="str">
        <f t="shared" si="10"/>
        <v>Jan</v>
      </c>
      <c r="F146" s="5">
        <f>'Raw Data'!E146</f>
        <v>93</v>
      </c>
      <c r="G146" s="4">
        <f>'Raw Data'!F146</f>
        <v>13249.51</v>
      </c>
      <c r="H146" s="4">
        <f>'Raw Data'!G146</f>
        <v>10231.620000000001</v>
      </c>
      <c r="I146" s="4">
        <f t="shared" si="11"/>
        <v>3017.8899999999994</v>
      </c>
      <c r="J146" s="8">
        <f t="shared" si="12"/>
        <v>0.22777370634838567</v>
      </c>
      <c r="K146" s="6">
        <f>'Raw Data'!I146</f>
        <v>3.42</v>
      </c>
      <c r="L146" s="5">
        <f>'Raw Data'!J146</f>
        <v>26</v>
      </c>
      <c r="M146" s="5">
        <f>IF(COUNTIFS($A$2:A146,A146,$D$2:D146,D146)=1,L146,0)</f>
        <v>26</v>
      </c>
      <c r="N146" s="4">
        <f t="shared" si="13"/>
        <v>509.59653846153844</v>
      </c>
      <c r="O146" t="str">
        <f t="shared" si="14"/>
        <v>OK</v>
      </c>
    </row>
    <row r="147" spans="1:15">
      <c r="A147" t="str">
        <f>'Raw Data'!A147</f>
        <v>Philadelphia RM-03</v>
      </c>
      <c r="B147" t="str">
        <f>'Raw Data'!B147</f>
        <v>Northeast</v>
      </c>
      <c r="C147" t="str">
        <f>'Raw Data'!C147</f>
        <v>Home Goods</v>
      </c>
      <c r="D147" s="3">
        <f>'Raw Data'!D147</f>
        <v>45658</v>
      </c>
      <c r="E147" t="str">
        <f t="shared" si="10"/>
        <v>Jan</v>
      </c>
      <c r="F147" s="5">
        <f>'Raw Data'!E147</f>
        <v>86</v>
      </c>
      <c r="G147" s="4">
        <f>'Raw Data'!F147</f>
        <v>6843.34</v>
      </c>
      <c r="H147" s="4">
        <f>'Raw Data'!G147</f>
        <v>4407.67</v>
      </c>
      <c r="I147" s="4">
        <f t="shared" si="11"/>
        <v>2435.67</v>
      </c>
      <c r="J147" s="8">
        <f t="shared" si="12"/>
        <v>0.3559183088959485</v>
      </c>
      <c r="K147" s="6">
        <f>'Raw Data'!I147</f>
        <v>3.66</v>
      </c>
      <c r="L147" s="5">
        <f>'Raw Data'!J147</f>
        <v>26</v>
      </c>
      <c r="M147" s="5">
        <f>IF(COUNTIFS($A$2:A147,A147,$D$2:D147,D147)=1,L147,0)</f>
        <v>0</v>
      </c>
      <c r="N147" s="4">
        <f t="shared" si="13"/>
        <v>263.20538461538462</v>
      </c>
      <c r="O147" t="str">
        <f t="shared" si="14"/>
        <v>OK</v>
      </c>
    </row>
    <row r="148" spans="1:15">
      <c r="A148" t="str">
        <f>'Raw Data'!A148</f>
        <v>Philadelphia RM-03</v>
      </c>
      <c r="B148" t="str">
        <f>'Raw Data'!B148</f>
        <v>Northeast</v>
      </c>
      <c r="C148" t="str">
        <f>'Raw Data'!C148</f>
        <v>Apparel</v>
      </c>
      <c r="D148" s="3">
        <f>'Raw Data'!D148</f>
        <v>45658</v>
      </c>
      <c r="E148" t="str">
        <f t="shared" si="10"/>
        <v>Jan</v>
      </c>
      <c r="F148" s="5">
        <f>'Raw Data'!E148</f>
        <v>101</v>
      </c>
      <c r="G148" s="4">
        <f>'Raw Data'!F148</f>
        <v>4862.8900000000003</v>
      </c>
      <c r="H148" s="4">
        <f>'Raw Data'!G148</f>
        <v>2810.78</v>
      </c>
      <c r="I148" s="4">
        <f t="shared" si="11"/>
        <v>2052.11</v>
      </c>
      <c r="J148" s="8">
        <f t="shared" si="12"/>
        <v>0.42199391719738671</v>
      </c>
      <c r="K148" s="6">
        <f>'Raw Data'!I148</f>
        <v>3.68</v>
      </c>
      <c r="L148" s="5">
        <f>'Raw Data'!J148</f>
        <v>26</v>
      </c>
      <c r="M148" s="5">
        <f>IF(COUNTIFS($A$2:A148,A148,$D$2:D148,D148)=1,L148,0)</f>
        <v>0</v>
      </c>
      <c r="N148" s="4">
        <f t="shared" si="13"/>
        <v>187.03423076923079</v>
      </c>
      <c r="O148" t="str">
        <f t="shared" si="14"/>
        <v>OK</v>
      </c>
    </row>
    <row r="149" spans="1:15">
      <c r="A149" t="str">
        <f>'Raw Data'!A149</f>
        <v>Philadelphia RM-03</v>
      </c>
      <c r="B149" t="str">
        <f>'Raw Data'!B149</f>
        <v>Northeast</v>
      </c>
      <c r="C149" t="str">
        <f>'Raw Data'!C149</f>
        <v>Beauty</v>
      </c>
      <c r="D149" s="3">
        <f>'Raw Data'!D149</f>
        <v>45658</v>
      </c>
      <c r="E149" t="str">
        <f t="shared" si="10"/>
        <v>Jan</v>
      </c>
      <c r="F149" s="5">
        <f>'Raw Data'!E149</f>
        <v>92</v>
      </c>
      <c r="G149" s="4">
        <f>'Raw Data'!F149</f>
        <v>3572.34</v>
      </c>
      <c r="H149" s="4">
        <f>'Raw Data'!G149</f>
        <v>1624.09</v>
      </c>
      <c r="I149" s="4">
        <f t="shared" si="11"/>
        <v>1948.2500000000002</v>
      </c>
      <c r="J149" s="8">
        <f t="shared" si="12"/>
        <v>0.54537082136638737</v>
      </c>
      <c r="K149" s="6">
        <f>'Raw Data'!I149</f>
        <v>3.6</v>
      </c>
      <c r="L149" s="5">
        <f>'Raw Data'!J149</f>
        <v>26</v>
      </c>
      <c r="M149" s="5">
        <f>IF(COUNTIFS($A$2:A149,A149,$D$2:D149,D149)=1,L149,0)</f>
        <v>0</v>
      </c>
      <c r="N149" s="4">
        <f t="shared" si="13"/>
        <v>137.39769230769232</v>
      </c>
      <c r="O149" t="str">
        <f t="shared" si="14"/>
        <v>OK</v>
      </c>
    </row>
    <row r="150" spans="1:15">
      <c r="A150" t="str">
        <f>'Raw Data'!A150</f>
        <v>Philadelphia RM-03</v>
      </c>
      <c r="B150" t="str">
        <f>'Raw Data'!B150</f>
        <v>Northeast</v>
      </c>
      <c r="C150" t="str">
        <f>'Raw Data'!C150</f>
        <v>Grocery</v>
      </c>
      <c r="D150" s="3">
        <f>'Raw Data'!D150</f>
        <v>45658</v>
      </c>
      <c r="E150" t="str">
        <f t="shared" si="10"/>
        <v>Jan</v>
      </c>
      <c r="F150" s="5">
        <f>'Raw Data'!E150</f>
        <v>121</v>
      </c>
      <c r="G150" s="4">
        <f>'Raw Data'!F150</f>
        <v>2336.2600000000002</v>
      </c>
      <c r="H150" s="4">
        <f>'Raw Data'!G150</f>
        <v>2019.86</v>
      </c>
      <c r="I150" s="4">
        <f t="shared" si="11"/>
        <v>316.40000000000032</v>
      </c>
      <c r="J150" s="8">
        <f t="shared" si="12"/>
        <v>0.13543013192024872</v>
      </c>
      <c r="K150" s="6">
        <f>'Raw Data'!I150</f>
        <v>3.42</v>
      </c>
      <c r="L150" s="5">
        <f>'Raw Data'!J150</f>
        <v>26</v>
      </c>
      <c r="M150" s="5">
        <f>IF(COUNTIFS($A$2:A150,A150,$D$2:D150,D150)=1,L150,0)</f>
        <v>0</v>
      </c>
      <c r="N150" s="4">
        <f t="shared" si="13"/>
        <v>89.856153846153859</v>
      </c>
      <c r="O150" t="str">
        <f t="shared" si="14"/>
        <v>OK</v>
      </c>
    </row>
    <row r="151" spans="1:15">
      <c r="A151" t="str">
        <f>'Raw Data'!A151</f>
        <v>Philadelphia RM-03</v>
      </c>
      <c r="B151" t="str">
        <f>'Raw Data'!B151</f>
        <v>Northeast</v>
      </c>
      <c r="C151" t="str">
        <f>'Raw Data'!C151</f>
        <v>Sports</v>
      </c>
      <c r="D151" s="3">
        <f>'Raw Data'!D151</f>
        <v>45658</v>
      </c>
      <c r="E151" t="str">
        <f t="shared" si="10"/>
        <v>Jan</v>
      </c>
      <c r="F151" s="5">
        <f>'Raw Data'!E151</f>
        <v>56</v>
      </c>
      <c r="G151" s="4">
        <f>'Raw Data'!F151</f>
        <v>3584.7</v>
      </c>
      <c r="H151" s="4">
        <f>'Raw Data'!G151</f>
        <v>2176.7800000000002</v>
      </c>
      <c r="I151" s="4">
        <f t="shared" si="11"/>
        <v>1407.9199999999996</v>
      </c>
      <c r="J151" s="8">
        <f t="shared" si="12"/>
        <v>0.39275811086004397</v>
      </c>
      <c r="K151" s="6">
        <f>'Raw Data'!I151</f>
        <v>3.44</v>
      </c>
      <c r="L151" s="5">
        <f>'Raw Data'!J151</f>
        <v>26</v>
      </c>
      <c r="M151" s="5">
        <f>IF(COUNTIFS($A$2:A151,A151,$D$2:D151,D151)=1,L151,0)</f>
        <v>0</v>
      </c>
      <c r="N151" s="4">
        <f t="shared" si="13"/>
        <v>137.87307692307692</v>
      </c>
      <c r="O151" t="str">
        <f t="shared" si="14"/>
        <v>OK</v>
      </c>
    </row>
    <row r="152" spans="1:15">
      <c r="A152" t="str">
        <f>'Raw Data'!A152</f>
        <v>Philadelphia RM-03</v>
      </c>
      <c r="B152" t="str">
        <f>'Raw Data'!B152</f>
        <v>Northeast</v>
      </c>
      <c r="C152" t="str">
        <f>'Raw Data'!C152</f>
        <v>Electronics</v>
      </c>
      <c r="D152" s="3">
        <f>'Raw Data'!D152</f>
        <v>45689</v>
      </c>
      <c r="E152" t="str">
        <f t="shared" si="10"/>
        <v>Feb</v>
      </c>
      <c r="F152" s="5">
        <f>'Raw Data'!E152</f>
        <v>91</v>
      </c>
      <c r="G152" s="4">
        <f>'Raw Data'!F152</f>
        <v>13676.78</v>
      </c>
      <c r="H152" s="4">
        <f>'Raw Data'!G152</f>
        <v>10320.98</v>
      </c>
      <c r="I152" s="4">
        <f t="shared" si="11"/>
        <v>3355.8000000000011</v>
      </c>
      <c r="J152" s="8">
        <f t="shared" si="12"/>
        <v>0.24536477153248068</v>
      </c>
      <c r="K152" s="6">
        <f>'Raw Data'!I152</f>
        <v>3.39</v>
      </c>
      <c r="L152" s="5">
        <f>'Raw Data'!J152</f>
        <v>25</v>
      </c>
      <c r="M152" s="5">
        <f>IF(COUNTIFS($A$2:A152,A152,$D$2:D152,D152)=1,L152,0)</f>
        <v>25</v>
      </c>
      <c r="N152" s="4">
        <f t="shared" si="13"/>
        <v>547.07119999999998</v>
      </c>
      <c r="O152" t="str">
        <f t="shared" si="14"/>
        <v>OK</v>
      </c>
    </row>
    <row r="153" spans="1:15">
      <c r="A153" t="str">
        <f>'Raw Data'!A153</f>
        <v>Philadelphia RM-03</v>
      </c>
      <c r="B153" t="str">
        <f>'Raw Data'!B153</f>
        <v>Northeast</v>
      </c>
      <c r="C153" t="str">
        <f>'Raw Data'!C153</f>
        <v>Home Goods</v>
      </c>
      <c r="D153" s="3">
        <f>'Raw Data'!D153</f>
        <v>45689</v>
      </c>
      <c r="E153" t="str">
        <f t="shared" si="10"/>
        <v>Feb</v>
      </c>
      <c r="F153" s="5">
        <f>'Raw Data'!E153</f>
        <v>84</v>
      </c>
      <c r="G153" s="4">
        <f>'Raw Data'!F153</f>
        <v>6258.46</v>
      </c>
      <c r="H153" s="4">
        <f>'Raw Data'!G153</f>
        <v>3990.26</v>
      </c>
      <c r="I153" s="4">
        <f t="shared" si="11"/>
        <v>2268.1999999999998</v>
      </c>
      <c r="J153" s="8">
        <f t="shared" si="12"/>
        <v>0.36242142635728275</v>
      </c>
      <c r="K153" s="6">
        <f>'Raw Data'!I153</f>
        <v>3.68</v>
      </c>
      <c r="L153" s="5">
        <f>'Raw Data'!J153</f>
        <v>25</v>
      </c>
      <c r="M153" s="5">
        <f>IF(COUNTIFS($A$2:A153,A153,$D$2:D153,D153)=1,L153,0)</f>
        <v>0</v>
      </c>
      <c r="N153" s="4">
        <f t="shared" si="13"/>
        <v>250.33840000000001</v>
      </c>
      <c r="O153" t="str">
        <f t="shared" si="14"/>
        <v>OK</v>
      </c>
    </row>
    <row r="154" spans="1:15">
      <c r="A154" t="str">
        <f>'Raw Data'!A154</f>
        <v>Philadelphia RM-03</v>
      </c>
      <c r="B154" t="str">
        <f>'Raw Data'!B154</f>
        <v>Northeast</v>
      </c>
      <c r="C154" t="str">
        <f>'Raw Data'!C154</f>
        <v>Apparel</v>
      </c>
      <c r="D154" s="3">
        <f>'Raw Data'!D154</f>
        <v>45689</v>
      </c>
      <c r="E154" t="str">
        <f t="shared" si="10"/>
        <v>Feb</v>
      </c>
      <c r="F154" s="5">
        <f>'Raw Data'!E154</f>
        <v>105</v>
      </c>
      <c r="G154" s="4">
        <f>'Raw Data'!F154</f>
        <v>4924.2700000000004</v>
      </c>
      <c r="H154" s="4">
        <f>'Raw Data'!G154</f>
        <v>2936.05</v>
      </c>
      <c r="I154" s="4">
        <f t="shared" si="11"/>
        <v>1988.2200000000003</v>
      </c>
      <c r="J154" s="8">
        <f t="shared" si="12"/>
        <v>0.40375933894770188</v>
      </c>
      <c r="K154" s="6">
        <f>'Raw Data'!I154</f>
        <v>3.59</v>
      </c>
      <c r="L154" s="5">
        <f>'Raw Data'!J154</f>
        <v>25</v>
      </c>
      <c r="M154" s="5">
        <f>IF(COUNTIFS($A$2:A154,A154,$D$2:D154,D154)=1,L154,0)</f>
        <v>0</v>
      </c>
      <c r="N154" s="4">
        <f t="shared" si="13"/>
        <v>196.97080000000003</v>
      </c>
      <c r="O154" t="str">
        <f t="shared" si="14"/>
        <v>OK</v>
      </c>
    </row>
    <row r="155" spans="1:15">
      <c r="A155" t="str">
        <f>'Raw Data'!A155</f>
        <v>Philadelphia RM-03</v>
      </c>
      <c r="B155" t="str">
        <f>'Raw Data'!B155</f>
        <v>Northeast</v>
      </c>
      <c r="C155" t="str">
        <f>'Raw Data'!C155</f>
        <v>Beauty</v>
      </c>
      <c r="D155" s="3">
        <f>'Raw Data'!D155</f>
        <v>45689</v>
      </c>
      <c r="E155" t="str">
        <f t="shared" si="10"/>
        <v>Feb</v>
      </c>
      <c r="F155" s="5">
        <f>'Raw Data'!E155</f>
        <v>85</v>
      </c>
      <c r="G155" s="4">
        <f>'Raw Data'!F155</f>
        <v>3220.79</v>
      </c>
      <c r="H155" s="4">
        <f>'Raw Data'!G155</f>
        <v>1473.68</v>
      </c>
      <c r="I155" s="4">
        <f t="shared" si="11"/>
        <v>1747.11</v>
      </c>
      <c r="J155" s="8">
        <f t="shared" si="12"/>
        <v>0.54244766035662051</v>
      </c>
      <c r="K155" s="6">
        <f>'Raw Data'!I155</f>
        <v>3.42</v>
      </c>
      <c r="L155" s="5">
        <f>'Raw Data'!J155</f>
        <v>25</v>
      </c>
      <c r="M155" s="5">
        <f>IF(COUNTIFS($A$2:A155,A155,$D$2:D155,D155)=1,L155,0)</f>
        <v>0</v>
      </c>
      <c r="N155" s="4">
        <f t="shared" si="13"/>
        <v>128.83160000000001</v>
      </c>
      <c r="O155" t="str">
        <f t="shared" si="14"/>
        <v>OK</v>
      </c>
    </row>
    <row r="156" spans="1:15">
      <c r="A156" t="str">
        <f>'Raw Data'!A156</f>
        <v>Philadelphia RM-03</v>
      </c>
      <c r="B156" t="str">
        <f>'Raw Data'!B156</f>
        <v>Northeast</v>
      </c>
      <c r="C156" t="str">
        <f>'Raw Data'!C156</f>
        <v>Grocery</v>
      </c>
      <c r="D156" s="3">
        <f>'Raw Data'!D156</f>
        <v>45689</v>
      </c>
      <c r="E156" t="str">
        <f t="shared" si="10"/>
        <v>Feb</v>
      </c>
      <c r="F156" s="5">
        <f>'Raw Data'!E156</f>
        <v>137</v>
      </c>
      <c r="G156" s="4">
        <f>'Raw Data'!F156</f>
        <v>2409.75</v>
      </c>
      <c r="H156" s="4">
        <f>'Raw Data'!G156</f>
        <v>2089.21</v>
      </c>
      <c r="I156" s="4">
        <f t="shared" si="11"/>
        <v>320.53999999999996</v>
      </c>
      <c r="J156" s="8">
        <f t="shared" si="12"/>
        <v>0.1330179479199087</v>
      </c>
      <c r="K156" s="6">
        <f>'Raw Data'!I156</f>
        <v>3.37</v>
      </c>
      <c r="L156" s="5">
        <f>'Raw Data'!J156</f>
        <v>25</v>
      </c>
      <c r="M156" s="5">
        <f>IF(COUNTIFS($A$2:A156,A156,$D$2:D156,D156)=1,L156,0)</f>
        <v>0</v>
      </c>
      <c r="N156" s="4">
        <f t="shared" si="13"/>
        <v>96.39</v>
      </c>
      <c r="O156" t="str">
        <f t="shared" si="14"/>
        <v>OK</v>
      </c>
    </row>
    <row r="157" spans="1:15">
      <c r="A157" t="str">
        <f>'Raw Data'!A157</f>
        <v>Philadelphia RM-03</v>
      </c>
      <c r="B157" t="str">
        <f>'Raw Data'!B157</f>
        <v>Northeast</v>
      </c>
      <c r="C157" t="str">
        <f>'Raw Data'!C157</f>
        <v>Sports</v>
      </c>
      <c r="D157" s="3">
        <f>'Raw Data'!D157</f>
        <v>45689</v>
      </c>
      <c r="E157" t="str">
        <f t="shared" si="10"/>
        <v>Feb</v>
      </c>
      <c r="F157" s="5">
        <f>'Raw Data'!E157</f>
        <v>65</v>
      </c>
      <c r="G157" s="4">
        <f>'Raw Data'!F157</f>
        <v>4235.3999999999996</v>
      </c>
      <c r="H157" s="4">
        <f>'Raw Data'!G157</f>
        <v>2666.48</v>
      </c>
      <c r="I157" s="4">
        <f t="shared" si="11"/>
        <v>1568.9199999999996</v>
      </c>
      <c r="J157" s="8">
        <f t="shared" si="12"/>
        <v>0.37043018368985214</v>
      </c>
      <c r="K157" s="6">
        <f>'Raw Data'!I157</f>
        <v>3.67</v>
      </c>
      <c r="L157" s="5">
        <f>'Raw Data'!J157</f>
        <v>25</v>
      </c>
      <c r="M157" s="5">
        <f>IF(COUNTIFS($A$2:A157,A157,$D$2:D157,D157)=1,L157,0)</f>
        <v>0</v>
      </c>
      <c r="N157" s="4">
        <f t="shared" si="13"/>
        <v>169.416</v>
      </c>
      <c r="O157" t="str">
        <f t="shared" si="14"/>
        <v>OK</v>
      </c>
    </row>
    <row r="158" spans="1:15">
      <c r="A158" t="str">
        <f>'Raw Data'!A158</f>
        <v>Philadelphia RM-03</v>
      </c>
      <c r="B158" t="str">
        <f>'Raw Data'!B158</f>
        <v>Northeast</v>
      </c>
      <c r="C158" t="str">
        <f>'Raw Data'!C158</f>
        <v>Electronics</v>
      </c>
      <c r="D158" s="3">
        <f>'Raw Data'!D158</f>
        <v>45717</v>
      </c>
      <c r="E158" t="str">
        <f t="shared" si="10"/>
        <v>Mar</v>
      </c>
      <c r="F158" s="5">
        <f>'Raw Data'!E158</f>
        <v>88</v>
      </c>
      <c r="G158" s="4">
        <f>'Raw Data'!F158</f>
        <v>12537.63</v>
      </c>
      <c r="H158" s="4">
        <f>'Raw Data'!G158</f>
        <v>9497.7900000000009</v>
      </c>
      <c r="I158" s="4">
        <f t="shared" si="11"/>
        <v>3039.8399999999983</v>
      </c>
      <c r="J158" s="8">
        <f t="shared" si="12"/>
        <v>0.2424573065244387</v>
      </c>
      <c r="K158" s="6">
        <f>'Raw Data'!I158</f>
        <v>3.47</v>
      </c>
      <c r="L158" s="5">
        <f>'Raw Data'!J158</f>
        <v>26</v>
      </c>
      <c r="M158" s="5">
        <f>IF(COUNTIFS($A$2:A158,A158,$D$2:D158,D158)=1,L158,0)</f>
        <v>26</v>
      </c>
      <c r="N158" s="4">
        <f t="shared" si="13"/>
        <v>482.21653846153845</v>
      </c>
      <c r="O158" t="str">
        <f t="shared" si="14"/>
        <v>OK</v>
      </c>
    </row>
    <row r="159" spans="1:15">
      <c r="A159" t="str">
        <f>'Raw Data'!A159</f>
        <v>Philadelphia RM-03</v>
      </c>
      <c r="B159" t="str">
        <f>'Raw Data'!B159</f>
        <v>Northeast</v>
      </c>
      <c r="C159" t="str">
        <f>'Raw Data'!C159</f>
        <v>Home Goods</v>
      </c>
      <c r="D159" s="3">
        <f>'Raw Data'!D159</f>
        <v>45717</v>
      </c>
      <c r="E159" t="str">
        <f t="shared" si="10"/>
        <v>Mar</v>
      </c>
      <c r="F159" s="5">
        <f>'Raw Data'!E159</f>
        <v>90</v>
      </c>
      <c r="G159" s="4">
        <f>'Raw Data'!F159</f>
        <v>6946.69</v>
      </c>
      <c r="H159" s="4">
        <f>'Raw Data'!G159</f>
        <v>4512.33</v>
      </c>
      <c r="I159" s="4">
        <f t="shared" si="11"/>
        <v>2434.3599999999997</v>
      </c>
      <c r="J159" s="8">
        <f t="shared" si="12"/>
        <v>0.35043452349248344</v>
      </c>
      <c r="K159" s="6">
        <f>'Raw Data'!I159</f>
        <v>3.59</v>
      </c>
      <c r="L159" s="5">
        <f>'Raw Data'!J159</f>
        <v>26</v>
      </c>
      <c r="M159" s="5">
        <f>IF(COUNTIFS($A$2:A159,A159,$D$2:D159,D159)=1,L159,0)</f>
        <v>0</v>
      </c>
      <c r="N159" s="4">
        <f t="shared" si="13"/>
        <v>267.18038461538458</v>
      </c>
      <c r="O159" t="str">
        <f t="shared" si="14"/>
        <v>OK</v>
      </c>
    </row>
    <row r="160" spans="1:15">
      <c r="A160" t="str">
        <f>'Raw Data'!A160</f>
        <v>Philadelphia RM-03</v>
      </c>
      <c r="B160" t="str">
        <f>'Raw Data'!B160</f>
        <v>Northeast</v>
      </c>
      <c r="C160" t="str">
        <f>'Raw Data'!C160</f>
        <v>Apparel</v>
      </c>
      <c r="D160" s="3">
        <f>'Raw Data'!D160</f>
        <v>45717</v>
      </c>
      <c r="E160" t="str">
        <f t="shared" si="10"/>
        <v>Mar</v>
      </c>
      <c r="F160" s="5">
        <f>'Raw Data'!E160</f>
        <v>144</v>
      </c>
      <c r="G160" s="4">
        <f>'Raw Data'!F160</f>
        <v>7081.48</v>
      </c>
      <c r="H160" s="4">
        <f>'Raw Data'!G160</f>
        <v>4072.98</v>
      </c>
      <c r="I160" s="4">
        <f t="shared" si="11"/>
        <v>3008.4999999999995</v>
      </c>
      <c r="J160" s="8">
        <f t="shared" si="12"/>
        <v>0.42484057005032844</v>
      </c>
      <c r="K160" s="6">
        <f>'Raw Data'!I160</f>
        <v>3.46</v>
      </c>
      <c r="L160" s="5">
        <f>'Raw Data'!J160</f>
        <v>26</v>
      </c>
      <c r="M160" s="5">
        <f>IF(COUNTIFS($A$2:A160,A160,$D$2:D160,D160)=1,L160,0)</f>
        <v>0</v>
      </c>
      <c r="N160" s="4">
        <f t="shared" si="13"/>
        <v>272.36461538461538</v>
      </c>
      <c r="O160" t="str">
        <f t="shared" si="14"/>
        <v>OK</v>
      </c>
    </row>
    <row r="161" spans="1:15">
      <c r="A161" t="str">
        <f>'Raw Data'!A161</f>
        <v>Philadelphia RM-03</v>
      </c>
      <c r="B161" t="str">
        <f>'Raw Data'!B161</f>
        <v>Northeast</v>
      </c>
      <c r="C161" t="str">
        <f>'Raw Data'!C161</f>
        <v>Beauty</v>
      </c>
      <c r="D161" s="3">
        <f>'Raw Data'!D161</f>
        <v>45717</v>
      </c>
      <c r="E161" t="str">
        <f t="shared" si="10"/>
        <v>Mar</v>
      </c>
      <c r="F161" s="5">
        <f>'Raw Data'!E161</f>
        <v>83</v>
      </c>
      <c r="G161" s="4">
        <f>'Raw Data'!F161</f>
        <v>3090.79</v>
      </c>
      <c r="H161" s="4">
        <f>'Raw Data'!G161</f>
        <v>1490.41</v>
      </c>
      <c r="I161" s="4">
        <f t="shared" si="11"/>
        <v>1600.3799999999999</v>
      </c>
      <c r="J161" s="8">
        <f t="shared" si="12"/>
        <v>0.51778995014219664</v>
      </c>
      <c r="K161" s="6">
        <f>'Raw Data'!I161</f>
        <v>3.59</v>
      </c>
      <c r="L161" s="5">
        <f>'Raw Data'!J161</f>
        <v>26</v>
      </c>
      <c r="M161" s="5">
        <f>IF(COUNTIFS($A$2:A161,A161,$D$2:D161,D161)=1,L161,0)</f>
        <v>0</v>
      </c>
      <c r="N161" s="4">
        <f t="shared" si="13"/>
        <v>118.87653846153846</v>
      </c>
      <c r="O161" t="str">
        <f t="shared" si="14"/>
        <v>OK</v>
      </c>
    </row>
    <row r="162" spans="1:15">
      <c r="A162" t="str">
        <f>'Raw Data'!A162</f>
        <v>Philadelphia RM-03</v>
      </c>
      <c r="B162" t="str">
        <f>'Raw Data'!B162</f>
        <v>Northeast</v>
      </c>
      <c r="C162" t="str">
        <f>'Raw Data'!C162</f>
        <v>Grocery</v>
      </c>
      <c r="D162" s="3">
        <f>'Raw Data'!D162</f>
        <v>45717</v>
      </c>
      <c r="E162" t="str">
        <f t="shared" si="10"/>
        <v>Mar</v>
      </c>
      <c r="F162" s="5">
        <f>'Raw Data'!E162</f>
        <v>174</v>
      </c>
      <c r="G162" s="4">
        <f>'Raw Data'!F162</f>
        <v>3304.26</v>
      </c>
      <c r="H162" s="4">
        <f>'Raw Data'!G162</f>
        <v>2960.88</v>
      </c>
      <c r="I162" s="4">
        <f t="shared" si="11"/>
        <v>343.38000000000011</v>
      </c>
      <c r="J162" s="8">
        <f t="shared" si="12"/>
        <v>0.10392039367362135</v>
      </c>
      <c r="K162" s="6">
        <f>'Raw Data'!I162</f>
        <v>3.62</v>
      </c>
      <c r="L162" s="5">
        <f>'Raw Data'!J162</f>
        <v>26</v>
      </c>
      <c r="M162" s="5">
        <f>IF(COUNTIFS($A$2:A162,A162,$D$2:D162,D162)=1,L162,0)</f>
        <v>0</v>
      </c>
      <c r="N162" s="4">
        <f t="shared" si="13"/>
        <v>127.08692307692309</v>
      </c>
      <c r="O162" t="str">
        <f t="shared" si="14"/>
        <v>OK</v>
      </c>
    </row>
    <row r="163" spans="1:15">
      <c r="A163" t="str">
        <f>'Raw Data'!A163</f>
        <v>Philadelphia RM-03</v>
      </c>
      <c r="B163" t="str">
        <f>'Raw Data'!B163</f>
        <v>Northeast</v>
      </c>
      <c r="C163" t="str">
        <f>'Raw Data'!C163</f>
        <v>Sports</v>
      </c>
      <c r="D163" s="3">
        <f>'Raw Data'!D163</f>
        <v>45717</v>
      </c>
      <c r="E163" t="str">
        <f t="shared" si="10"/>
        <v>Mar</v>
      </c>
      <c r="F163" s="5">
        <f>'Raw Data'!E163</f>
        <v>70</v>
      </c>
      <c r="G163" s="4">
        <f>'Raw Data'!F163</f>
        <v>4186.05</v>
      </c>
      <c r="H163" s="4">
        <f>'Raw Data'!G163</f>
        <v>2648.59</v>
      </c>
      <c r="I163" s="4">
        <f t="shared" si="11"/>
        <v>1537.46</v>
      </c>
      <c r="J163" s="8">
        <f t="shared" si="12"/>
        <v>0.36728180504294022</v>
      </c>
      <c r="K163" s="6">
        <f>'Raw Data'!I163</f>
        <v>3.53</v>
      </c>
      <c r="L163" s="5">
        <f>'Raw Data'!J163</f>
        <v>26</v>
      </c>
      <c r="M163" s="5">
        <f>IF(COUNTIFS($A$2:A163,A163,$D$2:D163,D163)=1,L163,0)</f>
        <v>0</v>
      </c>
      <c r="N163" s="4">
        <f t="shared" si="13"/>
        <v>161.00192307692308</v>
      </c>
      <c r="O163" t="str">
        <f t="shared" si="14"/>
        <v>OK</v>
      </c>
    </row>
    <row r="164" spans="1:15">
      <c r="A164" t="str">
        <f>'Raw Data'!A164</f>
        <v>Philadelphia RM-03</v>
      </c>
      <c r="B164" t="str">
        <f>'Raw Data'!B164</f>
        <v>Northeast</v>
      </c>
      <c r="C164" t="str">
        <f>'Raw Data'!C164</f>
        <v>Electronics</v>
      </c>
      <c r="D164" s="3">
        <f>'Raw Data'!D164</f>
        <v>45748</v>
      </c>
      <c r="E164" t="str">
        <f t="shared" si="10"/>
        <v>Apr</v>
      </c>
      <c r="F164" s="5">
        <f>'Raw Data'!E164</f>
        <v>109</v>
      </c>
      <c r="G164" s="4">
        <f>'Raw Data'!F164</f>
        <v>16261.29</v>
      </c>
      <c r="H164" s="4">
        <f>'Raw Data'!G164</f>
        <v>12482.47</v>
      </c>
      <c r="I164" s="4">
        <f t="shared" si="11"/>
        <v>3778.8200000000015</v>
      </c>
      <c r="J164" s="8">
        <f t="shared" si="12"/>
        <v>0.23238131784132754</v>
      </c>
      <c r="K164" s="6">
        <f>'Raw Data'!I164</f>
        <v>3.41</v>
      </c>
      <c r="L164" s="5">
        <f>'Raw Data'!J164</f>
        <v>26</v>
      </c>
      <c r="M164" s="5">
        <f>IF(COUNTIFS($A$2:A164,A164,$D$2:D164,D164)=1,L164,0)</f>
        <v>26</v>
      </c>
      <c r="N164" s="4">
        <f t="shared" si="13"/>
        <v>625.43423076923079</v>
      </c>
      <c r="O164" t="str">
        <f t="shared" si="14"/>
        <v>OK</v>
      </c>
    </row>
    <row r="165" spans="1:15">
      <c r="A165" t="str">
        <f>'Raw Data'!A165</f>
        <v>Philadelphia RM-03</v>
      </c>
      <c r="B165" t="str">
        <f>'Raw Data'!B165</f>
        <v>Northeast</v>
      </c>
      <c r="C165" t="str">
        <f>'Raw Data'!C165</f>
        <v>Home Goods</v>
      </c>
      <c r="D165" s="3">
        <f>'Raw Data'!D165</f>
        <v>45748</v>
      </c>
      <c r="E165" t="str">
        <f t="shared" si="10"/>
        <v>Apr</v>
      </c>
      <c r="F165" s="5">
        <f>'Raw Data'!E165</f>
        <v>104</v>
      </c>
      <c r="G165" s="4">
        <f>'Raw Data'!F165</f>
        <v>7814.8</v>
      </c>
      <c r="H165" s="4">
        <f>'Raw Data'!G165</f>
        <v>5090.71</v>
      </c>
      <c r="I165" s="4">
        <f t="shared" si="11"/>
        <v>2724.09</v>
      </c>
      <c r="J165" s="8">
        <f t="shared" si="12"/>
        <v>0.3485808977836925</v>
      </c>
      <c r="K165" s="6">
        <f>'Raw Data'!I165</f>
        <v>3.62</v>
      </c>
      <c r="L165" s="5">
        <f>'Raw Data'!J165</f>
        <v>26</v>
      </c>
      <c r="M165" s="5">
        <f>IF(COUNTIFS($A$2:A165,A165,$D$2:D165,D165)=1,L165,0)</f>
        <v>0</v>
      </c>
      <c r="N165" s="4">
        <f t="shared" si="13"/>
        <v>300.56923076923078</v>
      </c>
      <c r="O165" t="str">
        <f t="shared" si="14"/>
        <v>OK</v>
      </c>
    </row>
    <row r="166" spans="1:15">
      <c r="A166" t="str">
        <f>'Raw Data'!A166</f>
        <v>Philadelphia RM-03</v>
      </c>
      <c r="B166" t="str">
        <f>'Raw Data'!B166</f>
        <v>Northeast</v>
      </c>
      <c r="C166" t="str">
        <f>'Raw Data'!C166</f>
        <v>Apparel</v>
      </c>
      <c r="D166" s="3">
        <f>'Raw Data'!D166</f>
        <v>45748</v>
      </c>
      <c r="E166" t="str">
        <f t="shared" si="10"/>
        <v>Apr</v>
      </c>
      <c r="F166" s="5">
        <f>'Raw Data'!E166</f>
        <v>148</v>
      </c>
      <c r="G166" s="4">
        <f>'Raw Data'!F166</f>
        <v>7367.66</v>
      </c>
      <c r="H166" s="4">
        <f>'Raw Data'!G166</f>
        <v>4349.88</v>
      </c>
      <c r="I166" s="4">
        <f t="shared" si="11"/>
        <v>3017.7799999999997</v>
      </c>
      <c r="J166" s="8">
        <f t="shared" si="12"/>
        <v>0.40959816278167016</v>
      </c>
      <c r="K166" s="6">
        <f>'Raw Data'!I166</f>
        <v>3.71</v>
      </c>
      <c r="L166" s="5">
        <f>'Raw Data'!J166</f>
        <v>26</v>
      </c>
      <c r="M166" s="5">
        <f>IF(COUNTIFS($A$2:A166,A166,$D$2:D166,D166)=1,L166,0)</f>
        <v>0</v>
      </c>
      <c r="N166" s="4">
        <f t="shared" si="13"/>
        <v>283.37153846153848</v>
      </c>
      <c r="O166" t="str">
        <f t="shared" si="14"/>
        <v>OK</v>
      </c>
    </row>
    <row r="167" spans="1:15">
      <c r="A167" t="str">
        <f>'Raw Data'!A167</f>
        <v>Philadelphia RM-03</v>
      </c>
      <c r="B167" t="str">
        <f>'Raw Data'!B167</f>
        <v>Northeast</v>
      </c>
      <c r="C167" t="str">
        <f>'Raw Data'!C167</f>
        <v>Beauty</v>
      </c>
      <c r="D167" s="3">
        <f>'Raw Data'!D167</f>
        <v>45748</v>
      </c>
      <c r="E167" t="str">
        <f t="shared" si="10"/>
        <v>Apr</v>
      </c>
      <c r="F167" s="5">
        <f>'Raw Data'!E167</f>
        <v>93</v>
      </c>
      <c r="G167" s="4">
        <f>'Raw Data'!F167</f>
        <v>3528.45</v>
      </c>
      <c r="H167" s="4">
        <f>'Raw Data'!G167</f>
        <v>1691.67</v>
      </c>
      <c r="I167" s="4">
        <f t="shared" si="11"/>
        <v>1836.7799999999997</v>
      </c>
      <c r="J167" s="8">
        <f t="shared" si="12"/>
        <v>0.52056285337754538</v>
      </c>
      <c r="K167" s="6">
        <f>'Raw Data'!I167</f>
        <v>3.54</v>
      </c>
      <c r="L167" s="5">
        <f>'Raw Data'!J167</f>
        <v>26</v>
      </c>
      <c r="M167" s="5">
        <f>IF(COUNTIFS($A$2:A167,A167,$D$2:D167,D167)=1,L167,0)</f>
        <v>0</v>
      </c>
      <c r="N167" s="4">
        <f t="shared" si="13"/>
        <v>135.70961538461538</v>
      </c>
      <c r="O167" t="str">
        <f t="shared" si="14"/>
        <v>OK</v>
      </c>
    </row>
    <row r="168" spans="1:15">
      <c r="A168" t="str">
        <f>'Raw Data'!A168</f>
        <v>Philadelphia RM-03</v>
      </c>
      <c r="B168" t="str">
        <f>'Raw Data'!B168</f>
        <v>Northeast</v>
      </c>
      <c r="C168" t="str">
        <f>'Raw Data'!C168</f>
        <v>Grocery</v>
      </c>
      <c r="D168" s="3">
        <f>'Raw Data'!D168</f>
        <v>45748</v>
      </c>
      <c r="E168" t="str">
        <f t="shared" si="10"/>
        <v>Apr</v>
      </c>
      <c r="F168" s="5">
        <f>'Raw Data'!E168</f>
        <v>159</v>
      </c>
      <c r="G168" s="4">
        <f>'Raw Data'!F168</f>
        <v>3079.01</v>
      </c>
      <c r="H168" s="4">
        <f>'Raw Data'!G168</f>
        <v>2749.06</v>
      </c>
      <c r="I168" s="4">
        <f t="shared" si="11"/>
        <v>329.95000000000027</v>
      </c>
      <c r="J168" s="8">
        <f t="shared" si="12"/>
        <v>0.10716106800562526</v>
      </c>
      <c r="K168" s="6">
        <f>'Raw Data'!I168</f>
        <v>3.53</v>
      </c>
      <c r="L168" s="5">
        <f>'Raw Data'!J168</f>
        <v>26</v>
      </c>
      <c r="M168" s="5">
        <f>IF(COUNTIFS($A$2:A168,A168,$D$2:D168,D168)=1,L168,0)</f>
        <v>0</v>
      </c>
      <c r="N168" s="4">
        <f t="shared" si="13"/>
        <v>118.42346153846155</v>
      </c>
      <c r="O168" t="str">
        <f t="shared" si="14"/>
        <v>OK</v>
      </c>
    </row>
    <row r="169" spans="1:15">
      <c r="A169" t="str">
        <f>'Raw Data'!A169</f>
        <v>Philadelphia RM-03</v>
      </c>
      <c r="B169" t="str">
        <f>'Raw Data'!B169</f>
        <v>Northeast</v>
      </c>
      <c r="C169" t="str">
        <f>'Raw Data'!C169</f>
        <v>Sports</v>
      </c>
      <c r="D169" s="3">
        <f>'Raw Data'!D169</f>
        <v>45748</v>
      </c>
      <c r="E169" t="str">
        <f t="shared" si="10"/>
        <v>Apr</v>
      </c>
      <c r="F169" s="5">
        <f>'Raw Data'!E169</f>
        <v>80</v>
      </c>
      <c r="G169" s="4">
        <f>'Raw Data'!F169</f>
        <v>5348.55</v>
      </c>
      <c r="H169" s="4">
        <f>'Raw Data'!G169</f>
        <v>3444.65</v>
      </c>
      <c r="I169" s="4">
        <f t="shared" si="11"/>
        <v>1903.9</v>
      </c>
      <c r="J169" s="8">
        <f t="shared" si="12"/>
        <v>0.35596563554608257</v>
      </c>
      <c r="K169" s="6">
        <f>'Raw Data'!I169</f>
        <v>3.57</v>
      </c>
      <c r="L169" s="5">
        <f>'Raw Data'!J169</f>
        <v>26</v>
      </c>
      <c r="M169" s="5">
        <f>IF(COUNTIFS($A$2:A169,A169,$D$2:D169,D169)=1,L169,0)</f>
        <v>0</v>
      </c>
      <c r="N169" s="4">
        <f t="shared" si="13"/>
        <v>205.71346153846156</v>
      </c>
      <c r="O169" t="str">
        <f t="shared" si="14"/>
        <v>OK</v>
      </c>
    </row>
    <row r="170" spans="1:15">
      <c r="A170" t="str">
        <f>'Raw Data'!A170</f>
        <v>Philadelphia RM-03</v>
      </c>
      <c r="B170" t="str">
        <f>'Raw Data'!B170</f>
        <v>Northeast</v>
      </c>
      <c r="C170" t="str">
        <f>'Raw Data'!C170</f>
        <v>Electronics</v>
      </c>
      <c r="D170" s="3">
        <f>'Raw Data'!D170</f>
        <v>45778</v>
      </c>
      <c r="E170" t="str">
        <f t="shared" si="10"/>
        <v>May</v>
      </c>
      <c r="F170" s="5">
        <f>'Raw Data'!E170</f>
        <v>122</v>
      </c>
      <c r="G170" s="4">
        <f>'Raw Data'!F170</f>
        <v>18170.62</v>
      </c>
      <c r="H170" s="4">
        <f>'Raw Data'!G170</f>
        <v>14062.78</v>
      </c>
      <c r="I170" s="4">
        <f t="shared" si="11"/>
        <v>4107.8399999999983</v>
      </c>
      <c r="J170" s="8">
        <f t="shared" si="12"/>
        <v>0.22607043678201397</v>
      </c>
      <c r="K170" s="6">
        <f>'Raw Data'!I170</f>
        <v>3.53</v>
      </c>
      <c r="L170" s="5">
        <f>'Raw Data'!J170</f>
        <v>27</v>
      </c>
      <c r="M170" s="5">
        <f>IF(COUNTIFS($A$2:A170,A170,$D$2:D170,D170)=1,L170,0)</f>
        <v>27</v>
      </c>
      <c r="N170" s="4">
        <f t="shared" si="13"/>
        <v>672.98592592592593</v>
      </c>
      <c r="O170" t="str">
        <f t="shared" si="14"/>
        <v>OK</v>
      </c>
    </row>
    <row r="171" spans="1:15">
      <c r="A171" t="str">
        <f>'Raw Data'!A171</f>
        <v>Philadelphia RM-03</v>
      </c>
      <c r="B171" t="str">
        <f>'Raw Data'!B171</f>
        <v>Northeast</v>
      </c>
      <c r="C171" t="str">
        <f>'Raw Data'!C171</f>
        <v>Home Goods</v>
      </c>
      <c r="D171" s="3">
        <f>'Raw Data'!D171</f>
        <v>45778</v>
      </c>
      <c r="E171" t="str">
        <f t="shared" si="10"/>
        <v>May</v>
      </c>
      <c r="F171" s="5">
        <f>'Raw Data'!E171</f>
        <v>104</v>
      </c>
      <c r="G171" s="4">
        <f>'Raw Data'!F171</f>
        <v>7486.87</v>
      </c>
      <c r="H171" s="4">
        <f>'Raw Data'!G171</f>
        <v>4901.8</v>
      </c>
      <c r="I171" s="4">
        <f t="shared" si="11"/>
        <v>2585.0699999999997</v>
      </c>
      <c r="J171" s="8">
        <f t="shared" si="12"/>
        <v>0.34528047101125031</v>
      </c>
      <c r="K171" s="6">
        <f>'Raw Data'!I171</f>
        <v>3.42</v>
      </c>
      <c r="L171" s="5">
        <f>'Raw Data'!J171</f>
        <v>27</v>
      </c>
      <c r="M171" s="5">
        <f>IF(COUNTIFS($A$2:A171,A171,$D$2:D171,D171)=1,L171,0)</f>
        <v>0</v>
      </c>
      <c r="N171" s="4">
        <f t="shared" si="13"/>
        <v>277.29148148148147</v>
      </c>
      <c r="O171" t="str">
        <f t="shared" si="14"/>
        <v>OK</v>
      </c>
    </row>
    <row r="172" spans="1:15">
      <c r="A172" t="str">
        <f>'Raw Data'!A172</f>
        <v>Philadelphia RM-03</v>
      </c>
      <c r="B172" t="str">
        <f>'Raw Data'!B172</f>
        <v>Northeast</v>
      </c>
      <c r="C172" t="str">
        <f>'Raw Data'!C172</f>
        <v>Apparel</v>
      </c>
      <c r="D172" s="3">
        <f>'Raw Data'!D172</f>
        <v>45778</v>
      </c>
      <c r="E172" t="str">
        <f t="shared" si="10"/>
        <v>May</v>
      </c>
      <c r="F172" s="5">
        <f>'Raw Data'!E172</f>
        <v>122</v>
      </c>
      <c r="G172" s="4">
        <f>'Raw Data'!F172</f>
        <v>5902.03</v>
      </c>
      <c r="H172" s="4">
        <f>'Raw Data'!G172</f>
        <v>3464.05</v>
      </c>
      <c r="I172" s="4">
        <f t="shared" si="11"/>
        <v>2437.9799999999996</v>
      </c>
      <c r="J172" s="8">
        <f t="shared" si="12"/>
        <v>0.41307482340821711</v>
      </c>
      <c r="K172" s="6">
        <f>'Raw Data'!I172</f>
        <v>3.6</v>
      </c>
      <c r="L172" s="5">
        <f>'Raw Data'!J172</f>
        <v>27</v>
      </c>
      <c r="M172" s="5">
        <f>IF(COUNTIFS($A$2:A172,A172,$D$2:D172,D172)=1,L172,0)</f>
        <v>0</v>
      </c>
      <c r="N172" s="4">
        <f t="shared" si="13"/>
        <v>218.59370370370368</v>
      </c>
      <c r="O172" t="str">
        <f t="shared" si="14"/>
        <v>OK</v>
      </c>
    </row>
    <row r="173" spans="1:15">
      <c r="A173" t="str">
        <f>'Raw Data'!A173</f>
        <v>Philadelphia RM-03</v>
      </c>
      <c r="B173" t="str">
        <f>'Raw Data'!B173</f>
        <v>Northeast</v>
      </c>
      <c r="C173" t="str">
        <f>'Raw Data'!C173</f>
        <v>Beauty</v>
      </c>
      <c r="D173" s="3">
        <f>'Raw Data'!D173</f>
        <v>45778</v>
      </c>
      <c r="E173" t="str">
        <f t="shared" si="10"/>
        <v>May</v>
      </c>
      <c r="F173" s="5">
        <f>'Raw Data'!E173</f>
        <v>124</v>
      </c>
      <c r="G173" s="4">
        <f>'Raw Data'!F173</f>
        <v>4695.7</v>
      </c>
      <c r="H173" s="4">
        <f>'Raw Data'!G173</f>
        <v>2301.33</v>
      </c>
      <c r="I173" s="4">
        <f t="shared" si="11"/>
        <v>2394.37</v>
      </c>
      <c r="J173" s="8">
        <f t="shared" si="12"/>
        <v>0.50990693613305793</v>
      </c>
      <c r="K173" s="6">
        <f>'Raw Data'!I173</f>
        <v>3.49</v>
      </c>
      <c r="L173" s="5">
        <f>'Raw Data'!J173</f>
        <v>27</v>
      </c>
      <c r="M173" s="5">
        <f>IF(COUNTIFS($A$2:A173,A173,$D$2:D173,D173)=1,L173,0)</f>
        <v>0</v>
      </c>
      <c r="N173" s="4">
        <f t="shared" si="13"/>
        <v>173.9148148148148</v>
      </c>
      <c r="O173" t="str">
        <f t="shared" si="14"/>
        <v>OK</v>
      </c>
    </row>
    <row r="174" spans="1:15">
      <c r="A174" t="str">
        <f>'Raw Data'!A174</f>
        <v>Philadelphia RM-03</v>
      </c>
      <c r="B174" t="str">
        <f>'Raw Data'!B174</f>
        <v>Northeast</v>
      </c>
      <c r="C174" t="str">
        <f>'Raw Data'!C174</f>
        <v>Grocery</v>
      </c>
      <c r="D174" s="3">
        <f>'Raw Data'!D174</f>
        <v>45778</v>
      </c>
      <c r="E174" t="str">
        <f t="shared" si="10"/>
        <v>May</v>
      </c>
      <c r="F174" s="5">
        <f>'Raw Data'!E174</f>
        <v>190</v>
      </c>
      <c r="G174" s="4">
        <f>'Raw Data'!F174</f>
        <v>3322.39</v>
      </c>
      <c r="H174" s="4">
        <f>'Raw Data'!G174</f>
        <v>3064.96</v>
      </c>
      <c r="I174" s="4">
        <f t="shared" si="11"/>
        <v>257.42999999999984</v>
      </c>
      <c r="J174" s="8">
        <f t="shared" si="12"/>
        <v>7.7483377929743302E-2</v>
      </c>
      <c r="K174" s="6">
        <f>'Raw Data'!I174</f>
        <v>3.38</v>
      </c>
      <c r="L174" s="5">
        <f>'Raw Data'!J174</f>
        <v>27</v>
      </c>
      <c r="M174" s="5">
        <f>IF(COUNTIFS($A$2:A174,A174,$D$2:D174,D174)=1,L174,0)</f>
        <v>0</v>
      </c>
      <c r="N174" s="4">
        <f t="shared" si="13"/>
        <v>123.05148148148147</v>
      </c>
      <c r="O174" t="str">
        <f t="shared" si="14"/>
        <v>OK</v>
      </c>
    </row>
    <row r="175" spans="1:15">
      <c r="A175" t="str">
        <f>'Raw Data'!A175</f>
        <v>Philadelphia RM-03</v>
      </c>
      <c r="B175" t="str">
        <f>'Raw Data'!B175</f>
        <v>Northeast</v>
      </c>
      <c r="C175" t="str">
        <f>'Raw Data'!C175</f>
        <v>Sports</v>
      </c>
      <c r="D175" s="3">
        <f>'Raw Data'!D175</f>
        <v>45778</v>
      </c>
      <c r="E175" t="str">
        <f t="shared" si="10"/>
        <v>May</v>
      </c>
      <c r="F175" s="5">
        <f>'Raw Data'!E175</f>
        <v>103</v>
      </c>
      <c r="G175" s="4">
        <f>'Raw Data'!F175</f>
        <v>6849.55</v>
      </c>
      <c r="H175" s="4">
        <f>'Raw Data'!G175</f>
        <v>4450.2</v>
      </c>
      <c r="I175" s="4">
        <f t="shared" si="11"/>
        <v>2399.3500000000004</v>
      </c>
      <c r="J175" s="8">
        <f t="shared" si="12"/>
        <v>0.35029308494718636</v>
      </c>
      <c r="K175" s="6">
        <f>'Raw Data'!I175</f>
        <v>3.43</v>
      </c>
      <c r="L175" s="5">
        <f>'Raw Data'!J175</f>
        <v>27</v>
      </c>
      <c r="M175" s="5">
        <f>IF(COUNTIFS($A$2:A175,A175,$D$2:D175,D175)=1,L175,0)</f>
        <v>0</v>
      </c>
      <c r="N175" s="4">
        <f t="shared" si="13"/>
        <v>253.68703703703704</v>
      </c>
      <c r="O175" t="str">
        <f t="shared" si="14"/>
        <v>OK</v>
      </c>
    </row>
    <row r="176" spans="1:15">
      <c r="A176" t="str">
        <f>'Raw Data'!A176</f>
        <v>Philadelphia RM-03</v>
      </c>
      <c r="B176" t="str">
        <f>'Raw Data'!B176</f>
        <v>Northeast</v>
      </c>
      <c r="C176" t="str">
        <f>'Raw Data'!C176</f>
        <v>Electronics</v>
      </c>
      <c r="D176" s="3">
        <f>'Raw Data'!D176</f>
        <v>45809</v>
      </c>
      <c r="E176" t="str">
        <f t="shared" si="10"/>
        <v>Jun</v>
      </c>
      <c r="F176" s="5">
        <f>'Raw Data'!E176</f>
        <v>109</v>
      </c>
      <c r="G176" s="4">
        <f>'Raw Data'!F176</f>
        <v>16703.689999999999</v>
      </c>
      <c r="H176" s="4">
        <f>'Raw Data'!G176</f>
        <v>13404.3</v>
      </c>
      <c r="I176" s="4">
        <f t="shared" si="11"/>
        <v>3299.3899999999994</v>
      </c>
      <c r="J176" s="8">
        <f t="shared" si="12"/>
        <v>0.19752461881177152</v>
      </c>
      <c r="K176" s="6">
        <f>'Raw Data'!I176</f>
        <v>3.46</v>
      </c>
      <c r="L176" s="5">
        <f>'Raw Data'!J176</f>
        <v>27</v>
      </c>
      <c r="M176" s="5">
        <f>IF(COUNTIFS($A$2:A176,A176,$D$2:D176,D176)=1,L176,0)</f>
        <v>27</v>
      </c>
      <c r="N176" s="4">
        <f t="shared" si="13"/>
        <v>618.65518518518513</v>
      </c>
      <c r="O176" t="str">
        <f t="shared" si="14"/>
        <v>OK</v>
      </c>
    </row>
    <row r="177" spans="1:15">
      <c r="A177" t="str">
        <f>'Raw Data'!A177</f>
        <v>Philadelphia RM-03</v>
      </c>
      <c r="B177" t="str">
        <f>'Raw Data'!B177</f>
        <v>Northeast</v>
      </c>
      <c r="C177" t="str">
        <f>'Raw Data'!C177</f>
        <v>Home Goods</v>
      </c>
      <c r="D177" s="3">
        <f>'Raw Data'!D177</f>
        <v>45809</v>
      </c>
      <c r="E177" t="str">
        <f t="shared" si="10"/>
        <v>Jun</v>
      </c>
      <c r="F177" s="5">
        <f>'Raw Data'!E177</f>
        <v>105</v>
      </c>
      <c r="G177" s="4">
        <f>'Raw Data'!F177</f>
        <v>8117.07</v>
      </c>
      <c r="H177" s="4">
        <f>'Raw Data'!G177</f>
        <v>5400.45</v>
      </c>
      <c r="I177" s="4">
        <f t="shared" si="11"/>
        <v>2716.62</v>
      </c>
      <c r="J177" s="8">
        <f t="shared" si="12"/>
        <v>0.3346798783304813</v>
      </c>
      <c r="K177" s="6">
        <f>'Raw Data'!I177</f>
        <v>3.71</v>
      </c>
      <c r="L177" s="5">
        <f>'Raw Data'!J177</f>
        <v>27</v>
      </c>
      <c r="M177" s="5">
        <f>IF(COUNTIFS($A$2:A177,A177,$D$2:D177,D177)=1,L177,0)</f>
        <v>0</v>
      </c>
      <c r="N177" s="4">
        <f t="shared" si="13"/>
        <v>300.6322222222222</v>
      </c>
      <c r="O177" t="str">
        <f t="shared" si="14"/>
        <v>OK</v>
      </c>
    </row>
    <row r="178" spans="1:15">
      <c r="A178" t="str">
        <f>'Raw Data'!A178</f>
        <v>Philadelphia RM-03</v>
      </c>
      <c r="B178" t="str">
        <f>'Raw Data'!B178</f>
        <v>Northeast</v>
      </c>
      <c r="C178" t="str">
        <f>'Raw Data'!C178</f>
        <v>Apparel</v>
      </c>
      <c r="D178" s="3">
        <f>'Raw Data'!D178</f>
        <v>45809</v>
      </c>
      <c r="E178" t="str">
        <f t="shared" si="10"/>
        <v>Jun</v>
      </c>
      <c r="F178" s="5">
        <f>'Raw Data'!E178</f>
        <v>111</v>
      </c>
      <c r="G178" s="4">
        <f>'Raw Data'!F178</f>
        <v>5652.81</v>
      </c>
      <c r="H178" s="4">
        <f>'Raw Data'!G178</f>
        <v>3401.92</v>
      </c>
      <c r="I178" s="4">
        <f t="shared" si="11"/>
        <v>2250.8900000000003</v>
      </c>
      <c r="J178" s="8">
        <f t="shared" si="12"/>
        <v>0.39818957297344154</v>
      </c>
      <c r="K178" s="6">
        <f>'Raw Data'!I178</f>
        <v>3.66</v>
      </c>
      <c r="L178" s="5">
        <f>'Raw Data'!J178</f>
        <v>27</v>
      </c>
      <c r="M178" s="5">
        <f>IF(COUNTIFS($A$2:A178,A178,$D$2:D178,D178)=1,L178,0)</f>
        <v>0</v>
      </c>
      <c r="N178" s="4">
        <f t="shared" si="13"/>
        <v>209.36333333333334</v>
      </c>
      <c r="O178" t="str">
        <f t="shared" si="14"/>
        <v>OK</v>
      </c>
    </row>
    <row r="179" spans="1:15">
      <c r="A179" t="str">
        <f>'Raw Data'!A179</f>
        <v>Philadelphia RM-03</v>
      </c>
      <c r="B179" t="str">
        <f>'Raw Data'!B179</f>
        <v>Northeast</v>
      </c>
      <c r="C179" t="str">
        <f>'Raw Data'!C179</f>
        <v>Beauty</v>
      </c>
      <c r="D179" s="3">
        <f>'Raw Data'!D179</f>
        <v>45809</v>
      </c>
      <c r="E179" t="str">
        <f t="shared" si="10"/>
        <v>Jun</v>
      </c>
      <c r="F179" s="5">
        <f>'Raw Data'!E179</f>
        <v>110</v>
      </c>
      <c r="G179" s="4">
        <f>'Raw Data'!F179</f>
        <v>3952.44</v>
      </c>
      <c r="H179" s="4">
        <f>'Raw Data'!G179</f>
        <v>1987.16</v>
      </c>
      <c r="I179" s="4">
        <f t="shared" si="11"/>
        <v>1965.28</v>
      </c>
      <c r="J179" s="8">
        <f t="shared" si="12"/>
        <v>0.49723208954468628</v>
      </c>
      <c r="K179" s="6">
        <f>'Raw Data'!I179</f>
        <v>3.56</v>
      </c>
      <c r="L179" s="5">
        <f>'Raw Data'!J179</f>
        <v>27</v>
      </c>
      <c r="M179" s="5">
        <f>IF(COUNTIFS($A$2:A179,A179,$D$2:D179,D179)=1,L179,0)</f>
        <v>0</v>
      </c>
      <c r="N179" s="4">
        <f t="shared" si="13"/>
        <v>146.38666666666666</v>
      </c>
      <c r="O179" t="str">
        <f t="shared" si="14"/>
        <v>OK</v>
      </c>
    </row>
    <row r="180" spans="1:15">
      <c r="A180" t="str">
        <f>'Raw Data'!A180</f>
        <v>Philadelphia RM-03</v>
      </c>
      <c r="B180" t="str">
        <f>'Raw Data'!B180</f>
        <v>Northeast</v>
      </c>
      <c r="C180" t="str">
        <f>'Raw Data'!C180</f>
        <v>Grocery</v>
      </c>
      <c r="D180" s="3">
        <f>'Raw Data'!D180</f>
        <v>45809</v>
      </c>
      <c r="E180" t="str">
        <f t="shared" si="10"/>
        <v>Jun</v>
      </c>
      <c r="F180" s="5">
        <f>'Raw Data'!E180</f>
        <v>189</v>
      </c>
      <c r="G180" s="4">
        <f>'Raw Data'!F180</f>
        <v>3340.08</v>
      </c>
      <c r="H180" s="4">
        <f>'Raw Data'!G180</f>
        <v>3055.32</v>
      </c>
      <c r="I180" s="4">
        <f t="shared" si="11"/>
        <v>284.75999999999976</v>
      </c>
      <c r="J180" s="8">
        <f t="shared" si="12"/>
        <v>8.5255442983401528E-2</v>
      </c>
      <c r="K180" s="6">
        <f>'Raw Data'!I180</f>
        <v>3.7</v>
      </c>
      <c r="L180" s="5">
        <f>'Raw Data'!J180</f>
        <v>27</v>
      </c>
      <c r="M180" s="5">
        <f>IF(COUNTIFS($A$2:A180,A180,$D$2:D180,D180)=1,L180,0)</f>
        <v>0</v>
      </c>
      <c r="N180" s="4">
        <f t="shared" si="13"/>
        <v>123.70666666666666</v>
      </c>
      <c r="O180" t="str">
        <f t="shared" si="14"/>
        <v>OK</v>
      </c>
    </row>
    <row r="181" spans="1:15">
      <c r="A181" t="str">
        <f>'Raw Data'!A181</f>
        <v>Philadelphia RM-03</v>
      </c>
      <c r="B181" t="str">
        <f>'Raw Data'!B181</f>
        <v>Northeast</v>
      </c>
      <c r="C181" t="str">
        <f>'Raw Data'!C181</f>
        <v>Sports</v>
      </c>
      <c r="D181" s="3">
        <f>'Raw Data'!D181</f>
        <v>45809</v>
      </c>
      <c r="E181" t="str">
        <f t="shared" si="10"/>
        <v>Jun</v>
      </c>
      <c r="F181" s="5">
        <f>'Raw Data'!E181</f>
        <v>100</v>
      </c>
      <c r="G181" s="4">
        <f>'Raw Data'!F181</f>
        <v>6253.01</v>
      </c>
      <c r="H181" s="4">
        <f>'Raw Data'!G181</f>
        <v>3978.76</v>
      </c>
      <c r="I181" s="4">
        <f t="shared" si="11"/>
        <v>2274.25</v>
      </c>
      <c r="J181" s="8">
        <f t="shared" si="12"/>
        <v>0.36370483974917678</v>
      </c>
      <c r="K181" s="6">
        <f>'Raw Data'!I181</f>
        <v>3.57</v>
      </c>
      <c r="L181" s="5">
        <f>'Raw Data'!J181</f>
        <v>27</v>
      </c>
      <c r="M181" s="5">
        <f>IF(COUNTIFS($A$2:A181,A181,$D$2:D181,D181)=1,L181,0)</f>
        <v>0</v>
      </c>
      <c r="N181" s="4">
        <f t="shared" si="13"/>
        <v>231.59296296296296</v>
      </c>
      <c r="O181" t="str">
        <f t="shared" si="14"/>
        <v>OK</v>
      </c>
    </row>
    <row r="182" spans="1:15">
      <c r="A182" t="str">
        <f>'Raw Data'!A182</f>
        <v>Philadelphia RM-03</v>
      </c>
      <c r="B182" t="str">
        <f>'Raw Data'!B182</f>
        <v>Northeast</v>
      </c>
      <c r="C182" t="str">
        <f>'Raw Data'!C182</f>
        <v>Electronics</v>
      </c>
      <c r="D182" s="3">
        <f>'Raw Data'!D182</f>
        <v>45839</v>
      </c>
      <c r="E182" t="str">
        <f t="shared" si="10"/>
        <v>Jul</v>
      </c>
      <c r="F182" s="5">
        <f>'Raw Data'!E182</f>
        <v>113</v>
      </c>
      <c r="G182" s="4">
        <f>'Raw Data'!F182</f>
        <v>16267.18</v>
      </c>
      <c r="H182" s="4">
        <f>'Raw Data'!G182</f>
        <v>13118.07</v>
      </c>
      <c r="I182" s="4">
        <f t="shared" si="11"/>
        <v>3149.1100000000006</v>
      </c>
      <c r="J182" s="8">
        <f t="shared" si="12"/>
        <v>0.19358671877977623</v>
      </c>
      <c r="K182" s="6">
        <f>'Raw Data'!I182</f>
        <v>3.69</v>
      </c>
      <c r="L182" s="5">
        <f>'Raw Data'!J182</f>
        <v>27</v>
      </c>
      <c r="M182" s="5">
        <f>IF(COUNTIFS($A$2:A182,A182,$D$2:D182,D182)=1,L182,0)</f>
        <v>27</v>
      </c>
      <c r="N182" s="4">
        <f t="shared" si="13"/>
        <v>602.48814814814818</v>
      </c>
      <c r="O182" t="str">
        <f t="shared" si="14"/>
        <v>OK</v>
      </c>
    </row>
    <row r="183" spans="1:15">
      <c r="A183" t="str">
        <f>'Raw Data'!A183</f>
        <v>Philadelphia RM-03</v>
      </c>
      <c r="B183" t="str">
        <f>'Raw Data'!B183</f>
        <v>Northeast</v>
      </c>
      <c r="C183" t="str">
        <f>'Raw Data'!C183</f>
        <v>Home Goods</v>
      </c>
      <c r="D183" s="3">
        <f>'Raw Data'!D183</f>
        <v>45839</v>
      </c>
      <c r="E183" t="str">
        <f t="shared" si="10"/>
        <v>Jul</v>
      </c>
      <c r="F183" s="5">
        <f>'Raw Data'!E183</f>
        <v>123</v>
      </c>
      <c r="G183" s="4">
        <f>'Raw Data'!F183</f>
        <v>10070.68</v>
      </c>
      <c r="H183" s="4">
        <f>'Raw Data'!G183</f>
        <v>6701.09</v>
      </c>
      <c r="I183" s="4">
        <f t="shared" si="11"/>
        <v>3369.59</v>
      </c>
      <c r="J183" s="8">
        <f t="shared" si="12"/>
        <v>0.33459408897909576</v>
      </c>
      <c r="K183" s="6">
        <f>'Raw Data'!I183</f>
        <v>3.51</v>
      </c>
      <c r="L183" s="5">
        <f>'Raw Data'!J183</f>
        <v>27</v>
      </c>
      <c r="M183" s="5">
        <f>IF(COUNTIFS($A$2:A183,A183,$D$2:D183,D183)=1,L183,0)</f>
        <v>0</v>
      </c>
      <c r="N183" s="4">
        <f t="shared" si="13"/>
        <v>372.98814814814818</v>
      </c>
      <c r="O183" t="str">
        <f t="shared" si="14"/>
        <v>OK</v>
      </c>
    </row>
    <row r="184" spans="1:15">
      <c r="A184" t="str">
        <f>'Raw Data'!A184</f>
        <v>Philadelphia RM-03</v>
      </c>
      <c r="B184" t="str">
        <f>'Raw Data'!B184</f>
        <v>Northeast</v>
      </c>
      <c r="C184" t="str">
        <f>'Raw Data'!C184</f>
        <v>Apparel</v>
      </c>
      <c r="D184" s="3">
        <f>'Raw Data'!D184</f>
        <v>45839</v>
      </c>
      <c r="E184" t="str">
        <f t="shared" si="10"/>
        <v>Jul</v>
      </c>
      <c r="F184" s="5">
        <f>'Raw Data'!E184</f>
        <v>147</v>
      </c>
      <c r="G184" s="4">
        <f>'Raw Data'!F184</f>
        <v>6946.95</v>
      </c>
      <c r="H184" s="4">
        <f>'Raw Data'!G184</f>
        <v>4272.38</v>
      </c>
      <c r="I184" s="4">
        <f t="shared" si="11"/>
        <v>2674.5699999999997</v>
      </c>
      <c r="J184" s="8">
        <f t="shared" si="12"/>
        <v>0.38499917229863462</v>
      </c>
      <c r="K184" s="6">
        <f>'Raw Data'!I184</f>
        <v>3.7</v>
      </c>
      <c r="L184" s="5">
        <f>'Raw Data'!J184</f>
        <v>27</v>
      </c>
      <c r="M184" s="5">
        <f>IF(COUNTIFS($A$2:A184,A184,$D$2:D184,D184)=1,L184,0)</f>
        <v>0</v>
      </c>
      <c r="N184" s="4">
        <f t="shared" si="13"/>
        <v>257.29444444444442</v>
      </c>
      <c r="O184" t="str">
        <f t="shared" si="14"/>
        <v>OK</v>
      </c>
    </row>
    <row r="185" spans="1:15">
      <c r="A185" t="str">
        <f>'Raw Data'!A185</f>
        <v>Philadelphia RM-03</v>
      </c>
      <c r="B185" t="str">
        <f>'Raw Data'!B185</f>
        <v>Northeast</v>
      </c>
      <c r="C185" t="str">
        <f>'Raw Data'!C185</f>
        <v>Beauty</v>
      </c>
      <c r="D185" s="3">
        <f>'Raw Data'!D185</f>
        <v>45839</v>
      </c>
      <c r="E185" t="str">
        <f t="shared" si="10"/>
        <v>Jul</v>
      </c>
      <c r="F185" s="5">
        <f>'Raw Data'!E185</f>
        <v>108</v>
      </c>
      <c r="G185" s="4">
        <f>'Raw Data'!F185</f>
        <v>3862.23</v>
      </c>
      <c r="H185" s="4">
        <f>'Raw Data'!G185</f>
        <v>1971.81</v>
      </c>
      <c r="I185" s="4">
        <f t="shared" si="11"/>
        <v>1890.42</v>
      </c>
      <c r="J185" s="8">
        <f t="shared" si="12"/>
        <v>0.48946334112675838</v>
      </c>
      <c r="K185" s="6">
        <f>'Raw Data'!I185</f>
        <v>3.66</v>
      </c>
      <c r="L185" s="5">
        <f>'Raw Data'!J185</f>
        <v>27</v>
      </c>
      <c r="M185" s="5">
        <f>IF(COUNTIFS($A$2:A185,A185,$D$2:D185,D185)=1,L185,0)</f>
        <v>0</v>
      </c>
      <c r="N185" s="4">
        <f t="shared" si="13"/>
        <v>143.04555555555555</v>
      </c>
      <c r="O185" t="str">
        <f t="shared" si="14"/>
        <v>OK</v>
      </c>
    </row>
    <row r="186" spans="1:15">
      <c r="A186" t="str">
        <f>'Raw Data'!A186</f>
        <v>Philadelphia RM-03</v>
      </c>
      <c r="B186" t="str">
        <f>'Raw Data'!B186</f>
        <v>Northeast</v>
      </c>
      <c r="C186" t="str">
        <f>'Raw Data'!C186</f>
        <v>Grocery</v>
      </c>
      <c r="D186" s="3">
        <f>'Raw Data'!D186</f>
        <v>45839</v>
      </c>
      <c r="E186" t="str">
        <f t="shared" si="10"/>
        <v>Jul</v>
      </c>
      <c r="F186" s="5">
        <f>'Raw Data'!E186</f>
        <v>187</v>
      </c>
      <c r="G186" s="4">
        <f>'Raw Data'!F186</f>
        <v>3618.7</v>
      </c>
      <c r="H186" s="4">
        <f>'Raw Data'!G186</f>
        <v>3240.4</v>
      </c>
      <c r="I186" s="4">
        <f t="shared" si="11"/>
        <v>378.29999999999973</v>
      </c>
      <c r="J186" s="8">
        <f t="shared" si="12"/>
        <v>0.10454030452925077</v>
      </c>
      <c r="K186" s="6">
        <f>'Raw Data'!I186</f>
        <v>3.69</v>
      </c>
      <c r="L186" s="5">
        <f>'Raw Data'!J186</f>
        <v>27</v>
      </c>
      <c r="M186" s="5">
        <f>IF(COUNTIFS($A$2:A186,A186,$D$2:D186,D186)=1,L186,0)</f>
        <v>0</v>
      </c>
      <c r="N186" s="4">
        <f t="shared" si="13"/>
        <v>134.02592592592592</v>
      </c>
      <c r="O186" t="str">
        <f t="shared" si="14"/>
        <v>OK</v>
      </c>
    </row>
    <row r="187" spans="1:15">
      <c r="A187" t="str">
        <f>'Raw Data'!A187</f>
        <v>Philadelphia RM-03</v>
      </c>
      <c r="B187" t="str">
        <f>'Raw Data'!B187</f>
        <v>Northeast</v>
      </c>
      <c r="C187" t="str">
        <f>'Raw Data'!C187</f>
        <v>Sports</v>
      </c>
      <c r="D187" s="3">
        <f>'Raw Data'!D187</f>
        <v>45839</v>
      </c>
      <c r="E187" t="str">
        <f t="shared" si="10"/>
        <v>Jul</v>
      </c>
      <c r="F187" s="5">
        <f>'Raw Data'!E187</f>
        <v>107</v>
      </c>
      <c r="G187" s="4">
        <f>'Raw Data'!F187</f>
        <v>6544.3</v>
      </c>
      <c r="H187" s="4">
        <f>'Raw Data'!G187</f>
        <v>4190.12</v>
      </c>
      <c r="I187" s="4">
        <f t="shared" si="11"/>
        <v>2354.1800000000003</v>
      </c>
      <c r="J187" s="8">
        <f t="shared" si="12"/>
        <v>0.3597298412358847</v>
      </c>
      <c r="K187" s="6">
        <f>'Raw Data'!I187</f>
        <v>3.68</v>
      </c>
      <c r="L187" s="5">
        <f>'Raw Data'!J187</f>
        <v>27</v>
      </c>
      <c r="M187" s="5">
        <f>IF(COUNTIFS($A$2:A187,A187,$D$2:D187,D187)=1,L187,0)</f>
        <v>0</v>
      </c>
      <c r="N187" s="4">
        <f t="shared" si="13"/>
        <v>242.3814814814815</v>
      </c>
      <c r="O187" t="str">
        <f t="shared" si="14"/>
        <v>OK</v>
      </c>
    </row>
    <row r="188" spans="1:15">
      <c r="A188" t="str">
        <f>'Raw Data'!A188</f>
        <v>Philadelphia RM-03</v>
      </c>
      <c r="B188" t="str">
        <f>'Raw Data'!B188</f>
        <v>Northeast</v>
      </c>
      <c r="C188" t="str">
        <f>'Raw Data'!C188</f>
        <v>Electronics</v>
      </c>
      <c r="D188" s="3">
        <f>'Raw Data'!D188</f>
        <v>45870</v>
      </c>
      <c r="E188" t="str">
        <f t="shared" si="10"/>
        <v>Aug</v>
      </c>
      <c r="F188" s="5">
        <f>'Raw Data'!E188</f>
        <v>106</v>
      </c>
      <c r="G188" s="4">
        <f>'Raw Data'!F188</f>
        <v>16002.35</v>
      </c>
      <c r="H188" s="4">
        <f>'Raw Data'!G188</f>
        <v>12605.41</v>
      </c>
      <c r="I188" s="4">
        <f t="shared" si="11"/>
        <v>3396.9400000000005</v>
      </c>
      <c r="J188" s="8">
        <f t="shared" si="12"/>
        <v>0.21227757173165193</v>
      </c>
      <c r="K188" s="6">
        <f>'Raw Data'!I188</f>
        <v>3.61</v>
      </c>
      <c r="L188" s="5">
        <f>'Raw Data'!J188</f>
        <v>26</v>
      </c>
      <c r="M188" s="5">
        <f>IF(COUNTIFS($A$2:A188,A188,$D$2:D188,D188)=1,L188,0)</f>
        <v>26</v>
      </c>
      <c r="N188" s="4">
        <f t="shared" si="13"/>
        <v>615.47500000000002</v>
      </c>
      <c r="O188" t="str">
        <f t="shared" si="14"/>
        <v>OK</v>
      </c>
    </row>
    <row r="189" spans="1:15">
      <c r="A189" t="str">
        <f>'Raw Data'!A189</f>
        <v>Philadelphia RM-03</v>
      </c>
      <c r="B189" t="str">
        <f>'Raw Data'!B189</f>
        <v>Northeast</v>
      </c>
      <c r="C189" t="str">
        <f>'Raw Data'!C189</f>
        <v>Home Goods</v>
      </c>
      <c r="D189" s="3">
        <f>'Raw Data'!D189</f>
        <v>45870</v>
      </c>
      <c r="E189" t="str">
        <f t="shared" si="10"/>
        <v>Aug</v>
      </c>
      <c r="F189" s="5">
        <f>'Raw Data'!E189</f>
        <v>103</v>
      </c>
      <c r="G189" s="4">
        <f>'Raw Data'!F189</f>
        <v>7527.49</v>
      </c>
      <c r="H189" s="4">
        <f>'Raw Data'!G189</f>
        <v>5124.3500000000004</v>
      </c>
      <c r="I189" s="4">
        <f t="shared" si="11"/>
        <v>2403.1399999999994</v>
      </c>
      <c r="J189" s="8">
        <f t="shared" si="12"/>
        <v>0.31924851444505398</v>
      </c>
      <c r="K189" s="6">
        <f>'Raw Data'!I189</f>
        <v>3.72</v>
      </c>
      <c r="L189" s="5">
        <f>'Raw Data'!J189</f>
        <v>26</v>
      </c>
      <c r="M189" s="5">
        <f>IF(COUNTIFS($A$2:A189,A189,$D$2:D189,D189)=1,L189,0)</f>
        <v>0</v>
      </c>
      <c r="N189" s="4">
        <f t="shared" si="13"/>
        <v>289.51884615384614</v>
      </c>
      <c r="O189" t="str">
        <f t="shared" si="14"/>
        <v>OK</v>
      </c>
    </row>
    <row r="190" spans="1:15">
      <c r="A190" t="str">
        <f>'Raw Data'!A190</f>
        <v>Philadelphia RM-03</v>
      </c>
      <c r="B190" t="str">
        <f>'Raw Data'!B190</f>
        <v>Northeast</v>
      </c>
      <c r="C190" t="str">
        <f>'Raw Data'!C190</f>
        <v>Apparel</v>
      </c>
      <c r="D190" s="3">
        <f>'Raw Data'!D190</f>
        <v>45870</v>
      </c>
      <c r="E190" t="str">
        <f t="shared" si="10"/>
        <v>Aug</v>
      </c>
      <c r="F190" s="5">
        <f>'Raw Data'!E190</f>
        <v>146</v>
      </c>
      <c r="G190" s="4">
        <f>'Raw Data'!F190</f>
        <v>7225.09</v>
      </c>
      <c r="H190" s="4">
        <f>'Raw Data'!G190</f>
        <v>4588.8500000000004</v>
      </c>
      <c r="I190" s="4">
        <f t="shared" si="11"/>
        <v>2636.24</v>
      </c>
      <c r="J190" s="8">
        <f t="shared" si="12"/>
        <v>0.36487296352017756</v>
      </c>
      <c r="K190" s="6">
        <f>'Raw Data'!I190</f>
        <v>3.68</v>
      </c>
      <c r="L190" s="5">
        <f>'Raw Data'!J190</f>
        <v>26</v>
      </c>
      <c r="M190" s="5">
        <f>IF(COUNTIFS($A$2:A190,A190,$D$2:D190,D190)=1,L190,0)</f>
        <v>0</v>
      </c>
      <c r="N190" s="4">
        <f t="shared" si="13"/>
        <v>277.88807692307694</v>
      </c>
      <c r="O190" t="str">
        <f t="shared" si="14"/>
        <v>OK</v>
      </c>
    </row>
    <row r="191" spans="1:15">
      <c r="A191" t="str">
        <f>'Raw Data'!A191</f>
        <v>Philadelphia RM-03</v>
      </c>
      <c r="B191" t="str">
        <f>'Raw Data'!B191</f>
        <v>Northeast</v>
      </c>
      <c r="C191" t="str">
        <f>'Raw Data'!C191</f>
        <v>Beauty</v>
      </c>
      <c r="D191" s="3">
        <f>'Raw Data'!D191</f>
        <v>45870</v>
      </c>
      <c r="E191" t="str">
        <f t="shared" si="10"/>
        <v>Aug</v>
      </c>
      <c r="F191" s="5">
        <f>'Raw Data'!E191</f>
        <v>122</v>
      </c>
      <c r="G191" s="4">
        <f>'Raw Data'!F191</f>
        <v>4656.87</v>
      </c>
      <c r="H191" s="4">
        <f>'Raw Data'!G191</f>
        <v>2320.92</v>
      </c>
      <c r="I191" s="4">
        <f t="shared" si="11"/>
        <v>2335.9499999999998</v>
      </c>
      <c r="J191" s="8">
        <f t="shared" si="12"/>
        <v>0.50161374485437638</v>
      </c>
      <c r="K191" s="6">
        <f>'Raw Data'!I191</f>
        <v>3.49</v>
      </c>
      <c r="L191" s="5">
        <f>'Raw Data'!J191</f>
        <v>26</v>
      </c>
      <c r="M191" s="5">
        <f>IF(COUNTIFS($A$2:A191,A191,$D$2:D191,D191)=1,L191,0)</f>
        <v>0</v>
      </c>
      <c r="N191" s="4">
        <f t="shared" si="13"/>
        <v>179.11038461538462</v>
      </c>
      <c r="O191" t="str">
        <f t="shared" si="14"/>
        <v>OK</v>
      </c>
    </row>
    <row r="192" spans="1:15">
      <c r="A192" t="str">
        <f>'Raw Data'!A192</f>
        <v>Philadelphia RM-03</v>
      </c>
      <c r="B192" t="str">
        <f>'Raw Data'!B192</f>
        <v>Northeast</v>
      </c>
      <c r="C192" t="str">
        <f>'Raw Data'!C192</f>
        <v>Grocery</v>
      </c>
      <c r="D192" s="3">
        <f>'Raw Data'!D192</f>
        <v>45870</v>
      </c>
      <c r="E192" t="str">
        <f t="shared" si="10"/>
        <v>Aug</v>
      </c>
      <c r="F192" s="5">
        <f>'Raw Data'!E192</f>
        <v>178</v>
      </c>
      <c r="G192" s="4">
        <f>'Raw Data'!F192</f>
        <v>3403.08</v>
      </c>
      <c r="H192" s="4">
        <f>'Raw Data'!G192</f>
        <v>3050.27</v>
      </c>
      <c r="I192" s="4">
        <f t="shared" si="11"/>
        <v>352.80999999999995</v>
      </c>
      <c r="J192" s="8">
        <f t="shared" si="12"/>
        <v>0.10367373085557788</v>
      </c>
      <c r="K192" s="6">
        <f>'Raw Data'!I192</f>
        <v>3.37</v>
      </c>
      <c r="L192" s="5">
        <f>'Raw Data'!J192</f>
        <v>26</v>
      </c>
      <c r="M192" s="5">
        <f>IF(COUNTIFS($A$2:A192,A192,$D$2:D192,D192)=1,L192,0)</f>
        <v>0</v>
      </c>
      <c r="N192" s="4">
        <f t="shared" si="13"/>
        <v>130.8876923076923</v>
      </c>
      <c r="O192" t="str">
        <f t="shared" si="14"/>
        <v>OK</v>
      </c>
    </row>
    <row r="193" spans="1:15">
      <c r="A193" t="str">
        <f>'Raw Data'!A193</f>
        <v>Philadelphia RM-03</v>
      </c>
      <c r="B193" t="str">
        <f>'Raw Data'!B193</f>
        <v>Northeast</v>
      </c>
      <c r="C193" t="str">
        <f>'Raw Data'!C193</f>
        <v>Sports</v>
      </c>
      <c r="D193" s="3">
        <f>'Raw Data'!D193</f>
        <v>45870</v>
      </c>
      <c r="E193" t="str">
        <f t="shared" si="10"/>
        <v>Aug</v>
      </c>
      <c r="F193" s="5">
        <f>'Raw Data'!E193</f>
        <v>92</v>
      </c>
      <c r="G193" s="4">
        <f>'Raw Data'!F193</f>
        <v>5865.78</v>
      </c>
      <c r="H193" s="4">
        <f>'Raw Data'!G193</f>
        <v>3981.22</v>
      </c>
      <c r="I193" s="4">
        <f t="shared" si="11"/>
        <v>1884.56</v>
      </c>
      <c r="J193" s="8">
        <f t="shared" si="12"/>
        <v>0.32128037532945319</v>
      </c>
      <c r="K193" s="6">
        <f>'Raw Data'!I193</f>
        <v>3.73</v>
      </c>
      <c r="L193" s="5">
        <f>'Raw Data'!J193</f>
        <v>26</v>
      </c>
      <c r="M193" s="5">
        <f>IF(COUNTIFS($A$2:A193,A193,$D$2:D193,D193)=1,L193,0)</f>
        <v>0</v>
      </c>
      <c r="N193" s="4">
        <f t="shared" si="13"/>
        <v>225.60692307692307</v>
      </c>
      <c r="O193" t="str">
        <f t="shared" si="14"/>
        <v>OK</v>
      </c>
    </row>
    <row r="194" spans="1:15">
      <c r="A194" t="str">
        <f>'Raw Data'!A194</f>
        <v>Philadelphia RM-03</v>
      </c>
      <c r="B194" t="str">
        <f>'Raw Data'!B194</f>
        <v>Northeast</v>
      </c>
      <c r="C194" t="str">
        <f>'Raw Data'!C194</f>
        <v>Electronics</v>
      </c>
      <c r="D194" s="3">
        <f>'Raw Data'!D194</f>
        <v>45901</v>
      </c>
      <c r="E194" t="str">
        <f t="shared" ref="E194:E257" si="15">TEXT(D194,"mmm")</f>
        <v>Sep</v>
      </c>
      <c r="F194" s="5">
        <f>'Raw Data'!E194</f>
        <v>107</v>
      </c>
      <c r="G194" s="4">
        <f>'Raw Data'!F194</f>
        <v>15960.66</v>
      </c>
      <c r="H194" s="4">
        <f>'Raw Data'!G194</f>
        <v>13021.33</v>
      </c>
      <c r="I194" s="4">
        <f t="shared" ref="I194:I257" si="16">G194-H194</f>
        <v>2939.33</v>
      </c>
      <c r="J194" s="8">
        <f t="shared" ref="J194:J257" si="17">IFERROR(I194/G194,0)</f>
        <v>0.18416093068832992</v>
      </c>
      <c r="K194" s="6">
        <f>'Raw Data'!I194</f>
        <v>3.53</v>
      </c>
      <c r="L194" s="5">
        <f>'Raw Data'!J194</f>
        <v>25</v>
      </c>
      <c r="M194" s="5">
        <f>IF(COUNTIFS($A$2:A194,A194,$D$2:D194,D194)=1,L194,0)</f>
        <v>25</v>
      </c>
      <c r="N194" s="4">
        <f t="shared" ref="N194:N257" si="18">IFERROR(G194/L194,0)</f>
        <v>638.42639999999994</v>
      </c>
      <c r="O194" t="str">
        <f t="shared" ref="O194:O257" si="19">IF(OR(A194="",B194="",C194="",F194&lt;0,G194&lt;0,H194&lt;0,K194&lt;1,K194&gt;5),"Review","OK")</f>
        <v>OK</v>
      </c>
    </row>
    <row r="195" spans="1:15">
      <c r="A195" t="str">
        <f>'Raw Data'!A195</f>
        <v>Philadelphia RM-03</v>
      </c>
      <c r="B195" t="str">
        <f>'Raw Data'!B195</f>
        <v>Northeast</v>
      </c>
      <c r="C195" t="str">
        <f>'Raw Data'!C195</f>
        <v>Home Goods</v>
      </c>
      <c r="D195" s="3">
        <f>'Raw Data'!D195</f>
        <v>45901</v>
      </c>
      <c r="E195" t="str">
        <f t="shared" si="15"/>
        <v>Sep</v>
      </c>
      <c r="F195" s="5">
        <f>'Raw Data'!E195</f>
        <v>102</v>
      </c>
      <c r="G195" s="4">
        <f>'Raw Data'!F195</f>
        <v>8040.07</v>
      </c>
      <c r="H195" s="4">
        <f>'Raw Data'!G195</f>
        <v>5665.46</v>
      </c>
      <c r="I195" s="4">
        <f t="shared" si="16"/>
        <v>2374.6099999999997</v>
      </c>
      <c r="J195" s="8">
        <f t="shared" si="17"/>
        <v>0.2953469310590579</v>
      </c>
      <c r="K195" s="6">
        <f>'Raw Data'!I195</f>
        <v>3.39</v>
      </c>
      <c r="L195" s="5">
        <f>'Raw Data'!J195</f>
        <v>25</v>
      </c>
      <c r="M195" s="5">
        <f>IF(COUNTIFS($A$2:A195,A195,$D$2:D195,D195)=1,L195,0)</f>
        <v>0</v>
      </c>
      <c r="N195" s="4">
        <f t="shared" si="18"/>
        <v>321.6028</v>
      </c>
      <c r="O195" t="str">
        <f t="shared" si="19"/>
        <v>OK</v>
      </c>
    </row>
    <row r="196" spans="1:15">
      <c r="A196" t="str">
        <f>'Raw Data'!A196</f>
        <v>Philadelphia RM-03</v>
      </c>
      <c r="B196" t="str">
        <f>'Raw Data'!B196</f>
        <v>Northeast</v>
      </c>
      <c r="C196" t="str">
        <f>'Raw Data'!C196</f>
        <v>Apparel</v>
      </c>
      <c r="D196" s="3">
        <f>'Raw Data'!D196</f>
        <v>45901</v>
      </c>
      <c r="E196" t="str">
        <f t="shared" si="15"/>
        <v>Sep</v>
      </c>
      <c r="F196" s="5">
        <f>'Raw Data'!E196</f>
        <v>129</v>
      </c>
      <c r="G196" s="4">
        <f>'Raw Data'!F196</f>
        <v>6145.42</v>
      </c>
      <c r="H196" s="4">
        <f>'Raw Data'!G196</f>
        <v>3777.25</v>
      </c>
      <c r="I196" s="4">
        <f t="shared" si="16"/>
        <v>2368.17</v>
      </c>
      <c r="J196" s="8">
        <f t="shared" si="17"/>
        <v>0.38535527270715425</v>
      </c>
      <c r="K196" s="6">
        <f>'Raw Data'!I196</f>
        <v>3.57</v>
      </c>
      <c r="L196" s="5">
        <f>'Raw Data'!J196</f>
        <v>25</v>
      </c>
      <c r="M196" s="5">
        <f>IF(COUNTIFS($A$2:A196,A196,$D$2:D196,D196)=1,L196,0)</f>
        <v>0</v>
      </c>
      <c r="N196" s="4">
        <f t="shared" si="18"/>
        <v>245.8168</v>
      </c>
      <c r="O196" t="str">
        <f t="shared" si="19"/>
        <v>OK</v>
      </c>
    </row>
    <row r="197" spans="1:15">
      <c r="A197" t="str">
        <f>'Raw Data'!A197</f>
        <v>Philadelphia RM-03</v>
      </c>
      <c r="B197" t="str">
        <f>'Raw Data'!B197</f>
        <v>Northeast</v>
      </c>
      <c r="C197" t="str">
        <f>'Raw Data'!C197</f>
        <v>Beauty</v>
      </c>
      <c r="D197" s="3">
        <f>'Raw Data'!D197</f>
        <v>45901</v>
      </c>
      <c r="E197" t="str">
        <f t="shared" si="15"/>
        <v>Sep</v>
      </c>
      <c r="F197" s="5">
        <f>'Raw Data'!E197</f>
        <v>99</v>
      </c>
      <c r="G197" s="4">
        <f>'Raw Data'!F197</f>
        <v>3632.54</v>
      </c>
      <c r="H197" s="4">
        <f>'Raw Data'!G197</f>
        <v>1877.72</v>
      </c>
      <c r="I197" s="4">
        <f t="shared" si="16"/>
        <v>1754.82</v>
      </c>
      <c r="J197" s="8">
        <f t="shared" si="17"/>
        <v>0.48308346226056698</v>
      </c>
      <c r="K197" s="6">
        <f>'Raw Data'!I197</f>
        <v>3.44</v>
      </c>
      <c r="L197" s="5">
        <f>'Raw Data'!J197</f>
        <v>25</v>
      </c>
      <c r="M197" s="5">
        <f>IF(COUNTIFS($A$2:A197,A197,$D$2:D197,D197)=1,L197,0)</f>
        <v>0</v>
      </c>
      <c r="N197" s="4">
        <f t="shared" si="18"/>
        <v>145.30160000000001</v>
      </c>
      <c r="O197" t="str">
        <f t="shared" si="19"/>
        <v>OK</v>
      </c>
    </row>
    <row r="198" spans="1:15">
      <c r="A198" t="str">
        <f>'Raw Data'!A198</f>
        <v>Philadelphia RM-03</v>
      </c>
      <c r="B198" t="str">
        <f>'Raw Data'!B198</f>
        <v>Northeast</v>
      </c>
      <c r="C198" t="str">
        <f>'Raw Data'!C198</f>
        <v>Grocery</v>
      </c>
      <c r="D198" s="3">
        <f>'Raw Data'!D198</f>
        <v>45901</v>
      </c>
      <c r="E198" t="str">
        <f t="shared" si="15"/>
        <v>Sep</v>
      </c>
      <c r="F198" s="5">
        <f>'Raw Data'!E198</f>
        <v>199</v>
      </c>
      <c r="G198" s="4">
        <f>'Raw Data'!F198</f>
        <v>3677.85</v>
      </c>
      <c r="H198" s="4">
        <f>'Raw Data'!G198</f>
        <v>3359.97</v>
      </c>
      <c r="I198" s="4">
        <f t="shared" si="16"/>
        <v>317.88000000000011</v>
      </c>
      <c r="J198" s="8">
        <f t="shared" si="17"/>
        <v>8.6430931114645823E-2</v>
      </c>
      <c r="K198" s="6">
        <f>'Raw Data'!I198</f>
        <v>3.67</v>
      </c>
      <c r="L198" s="5">
        <f>'Raw Data'!J198</f>
        <v>25</v>
      </c>
      <c r="M198" s="5">
        <f>IF(COUNTIFS($A$2:A198,A198,$D$2:D198,D198)=1,L198,0)</f>
        <v>0</v>
      </c>
      <c r="N198" s="4">
        <f t="shared" si="18"/>
        <v>147.114</v>
      </c>
      <c r="O198" t="str">
        <f t="shared" si="19"/>
        <v>OK</v>
      </c>
    </row>
    <row r="199" spans="1:15">
      <c r="A199" t="str">
        <f>'Raw Data'!A199</f>
        <v>Philadelphia RM-03</v>
      </c>
      <c r="B199" t="str">
        <f>'Raw Data'!B199</f>
        <v>Northeast</v>
      </c>
      <c r="C199" t="str">
        <f>'Raw Data'!C199</f>
        <v>Sports</v>
      </c>
      <c r="D199" s="3">
        <f>'Raw Data'!D199</f>
        <v>45901</v>
      </c>
      <c r="E199" t="str">
        <f t="shared" si="15"/>
        <v>Sep</v>
      </c>
      <c r="F199" s="5">
        <f>'Raw Data'!E199</f>
        <v>85</v>
      </c>
      <c r="G199" s="4">
        <f>'Raw Data'!F199</f>
        <v>5059.3900000000003</v>
      </c>
      <c r="H199" s="4">
        <f>'Raw Data'!G199</f>
        <v>3371.8</v>
      </c>
      <c r="I199" s="4">
        <f t="shared" si="16"/>
        <v>1687.5900000000001</v>
      </c>
      <c r="J199" s="8">
        <f t="shared" si="17"/>
        <v>0.33355602157572356</v>
      </c>
      <c r="K199" s="6">
        <f>'Raw Data'!I199</f>
        <v>3.47</v>
      </c>
      <c r="L199" s="5">
        <f>'Raw Data'!J199</f>
        <v>25</v>
      </c>
      <c r="M199" s="5">
        <f>IF(COUNTIFS($A$2:A199,A199,$D$2:D199,D199)=1,L199,0)</f>
        <v>0</v>
      </c>
      <c r="N199" s="4">
        <f t="shared" si="18"/>
        <v>202.37560000000002</v>
      </c>
      <c r="O199" t="str">
        <f t="shared" si="19"/>
        <v>OK</v>
      </c>
    </row>
    <row r="200" spans="1:15">
      <c r="A200" t="str">
        <f>'Raw Data'!A200</f>
        <v>Philadelphia RM-03</v>
      </c>
      <c r="B200" t="str">
        <f>'Raw Data'!B200</f>
        <v>Northeast</v>
      </c>
      <c r="C200" t="str">
        <f>'Raw Data'!C200</f>
        <v>Electronics</v>
      </c>
      <c r="D200" s="3">
        <f>'Raw Data'!D200</f>
        <v>45931</v>
      </c>
      <c r="E200" t="str">
        <f t="shared" si="15"/>
        <v>Oct</v>
      </c>
      <c r="F200" s="5">
        <f>'Raw Data'!E200</f>
        <v>108</v>
      </c>
      <c r="G200" s="4">
        <f>'Raw Data'!F200</f>
        <v>15740.42</v>
      </c>
      <c r="H200" s="4">
        <f>'Raw Data'!G200</f>
        <v>12494.04</v>
      </c>
      <c r="I200" s="4">
        <f t="shared" si="16"/>
        <v>3246.3799999999992</v>
      </c>
      <c r="J200" s="8">
        <f t="shared" si="17"/>
        <v>0.20624481430609851</v>
      </c>
      <c r="K200" s="6">
        <f>'Raw Data'!I200</f>
        <v>3.57</v>
      </c>
      <c r="L200" s="5">
        <f>'Raw Data'!J200</f>
        <v>26</v>
      </c>
      <c r="M200" s="5">
        <f>IF(COUNTIFS($A$2:A200,A200,$D$2:D200,D200)=1,L200,0)</f>
        <v>26</v>
      </c>
      <c r="N200" s="4">
        <f t="shared" si="18"/>
        <v>605.40076923076924</v>
      </c>
      <c r="O200" t="str">
        <f t="shared" si="19"/>
        <v>OK</v>
      </c>
    </row>
    <row r="201" spans="1:15">
      <c r="A201" t="str">
        <f>'Raw Data'!A201</f>
        <v>Philadelphia RM-03</v>
      </c>
      <c r="B201" t="str">
        <f>'Raw Data'!B201</f>
        <v>Northeast</v>
      </c>
      <c r="C201" t="str">
        <f>'Raw Data'!C201</f>
        <v>Home Goods</v>
      </c>
      <c r="D201" s="3">
        <f>'Raw Data'!D201</f>
        <v>45931</v>
      </c>
      <c r="E201" t="str">
        <f t="shared" si="15"/>
        <v>Oct</v>
      </c>
      <c r="F201" s="5">
        <f>'Raw Data'!E201</f>
        <v>91</v>
      </c>
      <c r="G201" s="4">
        <f>'Raw Data'!F201</f>
        <v>6572.56</v>
      </c>
      <c r="H201" s="4">
        <f>'Raw Data'!G201</f>
        <v>4683.21</v>
      </c>
      <c r="I201" s="4">
        <f t="shared" si="16"/>
        <v>1889.3500000000004</v>
      </c>
      <c r="J201" s="8">
        <f t="shared" si="17"/>
        <v>0.2874602894458172</v>
      </c>
      <c r="K201" s="6">
        <f>'Raw Data'!I201</f>
        <v>3.73</v>
      </c>
      <c r="L201" s="5">
        <f>'Raw Data'!J201</f>
        <v>26</v>
      </c>
      <c r="M201" s="5">
        <f>IF(COUNTIFS($A$2:A201,A201,$D$2:D201,D201)=1,L201,0)</f>
        <v>0</v>
      </c>
      <c r="N201" s="4">
        <f t="shared" si="18"/>
        <v>252.79076923076926</v>
      </c>
      <c r="O201" t="str">
        <f t="shared" si="19"/>
        <v>OK</v>
      </c>
    </row>
    <row r="202" spans="1:15">
      <c r="A202" t="str">
        <f>'Raw Data'!A202</f>
        <v>Philadelphia RM-03</v>
      </c>
      <c r="B202" t="str">
        <f>'Raw Data'!B202</f>
        <v>Northeast</v>
      </c>
      <c r="C202" t="str">
        <f>'Raw Data'!C202</f>
        <v>Apparel</v>
      </c>
      <c r="D202" s="3">
        <f>'Raw Data'!D202</f>
        <v>45931</v>
      </c>
      <c r="E202" t="str">
        <f t="shared" si="15"/>
        <v>Oct</v>
      </c>
      <c r="F202" s="5">
        <f>'Raw Data'!E202</f>
        <v>126</v>
      </c>
      <c r="G202" s="4">
        <f>'Raw Data'!F202</f>
        <v>6269.62</v>
      </c>
      <c r="H202" s="4">
        <f>'Raw Data'!G202</f>
        <v>3964.65</v>
      </c>
      <c r="I202" s="4">
        <f t="shared" si="16"/>
        <v>2304.9699999999998</v>
      </c>
      <c r="J202" s="8">
        <f t="shared" si="17"/>
        <v>0.36764110105556635</v>
      </c>
      <c r="K202" s="6">
        <f>'Raw Data'!I202</f>
        <v>3.48</v>
      </c>
      <c r="L202" s="5">
        <f>'Raw Data'!J202</f>
        <v>26</v>
      </c>
      <c r="M202" s="5">
        <f>IF(COUNTIFS($A$2:A202,A202,$D$2:D202,D202)=1,L202,0)</f>
        <v>0</v>
      </c>
      <c r="N202" s="4">
        <f t="shared" si="18"/>
        <v>241.13923076923078</v>
      </c>
      <c r="O202" t="str">
        <f t="shared" si="19"/>
        <v>OK</v>
      </c>
    </row>
    <row r="203" spans="1:15">
      <c r="A203" t="str">
        <f>'Raw Data'!A203</f>
        <v>Philadelphia RM-03</v>
      </c>
      <c r="B203" t="str">
        <f>'Raw Data'!B203</f>
        <v>Northeast</v>
      </c>
      <c r="C203" t="str">
        <f>'Raw Data'!C203</f>
        <v>Beauty</v>
      </c>
      <c r="D203" s="3">
        <f>'Raw Data'!D203</f>
        <v>45931</v>
      </c>
      <c r="E203" t="str">
        <f t="shared" si="15"/>
        <v>Oct</v>
      </c>
      <c r="F203" s="5">
        <f>'Raw Data'!E203</f>
        <v>133</v>
      </c>
      <c r="G203" s="4">
        <f>'Raw Data'!F203</f>
        <v>5170.62</v>
      </c>
      <c r="H203" s="4">
        <f>'Raw Data'!G203</f>
        <v>2714.04</v>
      </c>
      <c r="I203" s="4">
        <f t="shared" si="16"/>
        <v>2456.58</v>
      </c>
      <c r="J203" s="8">
        <f t="shared" si="17"/>
        <v>0.47510356591665992</v>
      </c>
      <c r="K203" s="6">
        <f>'Raw Data'!I203</f>
        <v>3.41</v>
      </c>
      <c r="L203" s="5">
        <f>'Raw Data'!J203</f>
        <v>26</v>
      </c>
      <c r="M203" s="5">
        <f>IF(COUNTIFS($A$2:A203,A203,$D$2:D203,D203)=1,L203,0)</f>
        <v>0</v>
      </c>
      <c r="N203" s="4">
        <f t="shared" si="18"/>
        <v>198.87</v>
      </c>
      <c r="O203" t="str">
        <f t="shared" si="19"/>
        <v>OK</v>
      </c>
    </row>
    <row r="204" spans="1:15">
      <c r="A204" t="str">
        <f>'Raw Data'!A204</f>
        <v>Philadelphia RM-03</v>
      </c>
      <c r="B204" t="str">
        <f>'Raw Data'!B204</f>
        <v>Northeast</v>
      </c>
      <c r="C204" t="str">
        <f>'Raw Data'!C204</f>
        <v>Grocery</v>
      </c>
      <c r="D204" s="3">
        <f>'Raw Data'!D204</f>
        <v>45931</v>
      </c>
      <c r="E204" t="str">
        <f t="shared" si="15"/>
        <v>Oct</v>
      </c>
      <c r="F204" s="5">
        <f>'Raw Data'!E204</f>
        <v>175</v>
      </c>
      <c r="G204" s="4">
        <f>'Raw Data'!F204</f>
        <v>3091.48</v>
      </c>
      <c r="H204" s="4">
        <f>'Raw Data'!G204</f>
        <v>2921.97</v>
      </c>
      <c r="I204" s="4">
        <f t="shared" si="16"/>
        <v>169.51000000000022</v>
      </c>
      <c r="J204" s="8">
        <f t="shared" si="17"/>
        <v>5.4831342916661349E-2</v>
      </c>
      <c r="K204" s="6">
        <f>'Raw Data'!I204</f>
        <v>3.35</v>
      </c>
      <c r="L204" s="5">
        <f>'Raw Data'!J204</f>
        <v>26</v>
      </c>
      <c r="M204" s="5">
        <f>IF(COUNTIFS($A$2:A204,A204,$D$2:D204,D204)=1,L204,0)</f>
        <v>0</v>
      </c>
      <c r="N204" s="4">
        <f t="shared" si="18"/>
        <v>118.90307692307692</v>
      </c>
      <c r="O204" t="str">
        <f t="shared" si="19"/>
        <v>OK</v>
      </c>
    </row>
    <row r="205" spans="1:15">
      <c r="A205" t="str">
        <f>'Raw Data'!A205</f>
        <v>Philadelphia RM-03</v>
      </c>
      <c r="B205" t="str">
        <f>'Raw Data'!B205</f>
        <v>Northeast</v>
      </c>
      <c r="C205" t="str">
        <f>'Raw Data'!C205</f>
        <v>Sports</v>
      </c>
      <c r="D205" s="3">
        <f>'Raw Data'!D205</f>
        <v>45931</v>
      </c>
      <c r="E205" t="str">
        <f t="shared" si="15"/>
        <v>Oct</v>
      </c>
      <c r="F205" s="5">
        <f>'Raw Data'!E205</f>
        <v>88</v>
      </c>
      <c r="G205" s="4">
        <f>'Raw Data'!F205</f>
        <v>5762.66</v>
      </c>
      <c r="H205" s="4">
        <f>'Raw Data'!G205</f>
        <v>3859.75</v>
      </c>
      <c r="I205" s="4">
        <f t="shared" si="16"/>
        <v>1902.9099999999999</v>
      </c>
      <c r="J205" s="8">
        <f t="shared" si="17"/>
        <v>0.33021382486560025</v>
      </c>
      <c r="K205" s="6">
        <f>'Raw Data'!I205</f>
        <v>3.38</v>
      </c>
      <c r="L205" s="5">
        <f>'Raw Data'!J205</f>
        <v>26</v>
      </c>
      <c r="M205" s="5">
        <f>IF(COUNTIFS($A$2:A205,A205,$D$2:D205,D205)=1,L205,0)</f>
        <v>0</v>
      </c>
      <c r="N205" s="4">
        <f t="shared" si="18"/>
        <v>221.64076923076922</v>
      </c>
      <c r="O205" t="str">
        <f t="shared" si="19"/>
        <v>OK</v>
      </c>
    </row>
    <row r="206" spans="1:15">
      <c r="A206" t="str">
        <f>'Raw Data'!A206</f>
        <v>Philadelphia RM-03</v>
      </c>
      <c r="B206" t="str">
        <f>'Raw Data'!B206</f>
        <v>Northeast</v>
      </c>
      <c r="C206" t="str">
        <f>'Raw Data'!C206</f>
        <v>Electronics</v>
      </c>
      <c r="D206" s="3">
        <f>'Raw Data'!D206</f>
        <v>45962</v>
      </c>
      <c r="E206" t="str">
        <f t="shared" si="15"/>
        <v>Nov</v>
      </c>
      <c r="F206" s="5">
        <f>'Raw Data'!E206</f>
        <v>210</v>
      </c>
      <c r="G206" s="4">
        <f>'Raw Data'!F206</f>
        <v>32173.39</v>
      </c>
      <c r="H206" s="4">
        <f>'Raw Data'!G206</f>
        <v>26690.49</v>
      </c>
      <c r="I206" s="4">
        <f t="shared" si="16"/>
        <v>5482.8999999999978</v>
      </c>
      <c r="J206" s="8">
        <f t="shared" si="17"/>
        <v>0.1704172298909129</v>
      </c>
      <c r="K206" s="6">
        <f>'Raw Data'!I206</f>
        <v>3.65</v>
      </c>
      <c r="L206" s="5">
        <f>'Raw Data'!J206</f>
        <v>27</v>
      </c>
      <c r="M206" s="5">
        <f>IF(COUNTIFS($A$2:A206,A206,$D$2:D206,D206)=1,L206,0)</f>
        <v>27</v>
      </c>
      <c r="N206" s="4">
        <f t="shared" si="18"/>
        <v>1191.6070370370371</v>
      </c>
      <c r="O206" t="str">
        <f t="shared" si="19"/>
        <v>OK</v>
      </c>
    </row>
    <row r="207" spans="1:15">
      <c r="A207" t="str">
        <f>'Raw Data'!A207</f>
        <v>Philadelphia RM-03</v>
      </c>
      <c r="B207" t="str">
        <f>'Raw Data'!B207</f>
        <v>Northeast</v>
      </c>
      <c r="C207" t="str">
        <f>'Raw Data'!C207</f>
        <v>Home Goods</v>
      </c>
      <c r="D207" s="3">
        <f>'Raw Data'!D207</f>
        <v>45962</v>
      </c>
      <c r="E207" t="str">
        <f t="shared" si="15"/>
        <v>Nov</v>
      </c>
      <c r="F207" s="5">
        <f>'Raw Data'!E207</f>
        <v>118</v>
      </c>
      <c r="G207" s="4">
        <f>'Raw Data'!F207</f>
        <v>8718.84</v>
      </c>
      <c r="H207" s="4">
        <f>'Raw Data'!G207</f>
        <v>6213.75</v>
      </c>
      <c r="I207" s="4">
        <f t="shared" si="16"/>
        <v>2505.09</v>
      </c>
      <c r="J207" s="8">
        <f t="shared" si="17"/>
        <v>0.28731918466217982</v>
      </c>
      <c r="K207" s="6">
        <f>'Raw Data'!I207</f>
        <v>3.45</v>
      </c>
      <c r="L207" s="5">
        <f>'Raw Data'!J207</f>
        <v>27</v>
      </c>
      <c r="M207" s="5">
        <f>IF(COUNTIFS($A$2:A207,A207,$D$2:D207,D207)=1,L207,0)</f>
        <v>0</v>
      </c>
      <c r="N207" s="4">
        <f t="shared" si="18"/>
        <v>322.92</v>
      </c>
      <c r="O207" t="str">
        <f t="shared" si="19"/>
        <v>OK</v>
      </c>
    </row>
    <row r="208" spans="1:15">
      <c r="A208" t="str">
        <f>'Raw Data'!A208</f>
        <v>Philadelphia RM-03</v>
      </c>
      <c r="B208" t="str">
        <f>'Raw Data'!B208</f>
        <v>Northeast</v>
      </c>
      <c r="C208" t="str">
        <f>'Raw Data'!C208</f>
        <v>Apparel</v>
      </c>
      <c r="D208" s="3">
        <f>'Raw Data'!D208</f>
        <v>45962</v>
      </c>
      <c r="E208" t="str">
        <f t="shared" si="15"/>
        <v>Nov</v>
      </c>
      <c r="F208" s="5">
        <f>'Raw Data'!E208</f>
        <v>193</v>
      </c>
      <c r="G208" s="4">
        <f>'Raw Data'!F208</f>
        <v>9688.11</v>
      </c>
      <c r="H208" s="4">
        <f>'Raw Data'!G208</f>
        <v>6299.9</v>
      </c>
      <c r="I208" s="4">
        <f t="shared" si="16"/>
        <v>3388.2100000000009</v>
      </c>
      <c r="J208" s="8">
        <f t="shared" si="17"/>
        <v>0.34972868805164276</v>
      </c>
      <c r="K208" s="6">
        <f>'Raw Data'!I208</f>
        <v>3.62</v>
      </c>
      <c r="L208" s="5">
        <f>'Raw Data'!J208</f>
        <v>27</v>
      </c>
      <c r="M208" s="5">
        <f>IF(COUNTIFS($A$2:A208,A208,$D$2:D208,D208)=1,L208,0)</f>
        <v>0</v>
      </c>
      <c r="N208" s="4">
        <f t="shared" si="18"/>
        <v>358.81888888888892</v>
      </c>
      <c r="O208" t="str">
        <f t="shared" si="19"/>
        <v>OK</v>
      </c>
    </row>
    <row r="209" spans="1:15">
      <c r="A209" t="str">
        <f>'Raw Data'!A209</f>
        <v>Philadelphia RM-03</v>
      </c>
      <c r="B209" t="str">
        <f>'Raw Data'!B209</f>
        <v>Northeast</v>
      </c>
      <c r="C209" t="str">
        <f>'Raw Data'!C209</f>
        <v>Beauty</v>
      </c>
      <c r="D209" s="3">
        <f>'Raw Data'!D209</f>
        <v>45962</v>
      </c>
      <c r="E209" t="str">
        <f t="shared" si="15"/>
        <v>Nov</v>
      </c>
      <c r="F209" s="5">
        <f>'Raw Data'!E209</f>
        <v>141</v>
      </c>
      <c r="G209" s="4">
        <f>'Raw Data'!F209</f>
        <v>4868.6400000000003</v>
      </c>
      <c r="H209" s="4">
        <f>'Raw Data'!G209</f>
        <v>2470.5</v>
      </c>
      <c r="I209" s="4">
        <f t="shared" si="16"/>
        <v>2398.1400000000003</v>
      </c>
      <c r="J209" s="8">
        <f t="shared" si="17"/>
        <v>0.49256876663708965</v>
      </c>
      <c r="K209" s="6">
        <f>'Raw Data'!I209</f>
        <v>3.6</v>
      </c>
      <c r="L209" s="5">
        <f>'Raw Data'!J209</f>
        <v>27</v>
      </c>
      <c r="M209" s="5">
        <f>IF(COUNTIFS($A$2:A209,A209,$D$2:D209,D209)=1,L209,0)</f>
        <v>0</v>
      </c>
      <c r="N209" s="4">
        <f t="shared" si="18"/>
        <v>180.32000000000002</v>
      </c>
      <c r="O209" t="str">
        <f t="shared" si="19"/>
        <v>OK</v>
      </c>
    </row>
    <row r="210" spans="1:15">
      <c r="A210" t="str">
        <f>'Raw Data'!A210</f>
        <v>Philadelphia RM-03</v>
      </c>
      <c r="B210" t="str">
        <f>'Raw Data'!B210</f>
        <v>Northeast</v>
      </c>
      <c r="C210" t="str">
        <f>'Raw Data'!C210</f>
        <v>Grocery</v>
      </c>
      <c r="D210" s="3">
        <f>'Raw Data'!D210</f>
        <v>45962</v>
      </c>
      <c r="E210" t="str">
        <f t="shared" si="15"/>
        <v>Nov</v>
      </c>
      <c r="F210" s="5">
        <f>'Raw Data'!E210</f>
        <v>260</v>
      </c>
      <c r="G210" s="4">
        <f>'Raw Data'!F210</f>
        <v>4421.0600000000004</v>
      </c>
      <c r="H210" s="4">
        <f>'Raw Data'!G210</f>
        <v>4122.1000000000004</v>
      </c>
      <c r="I210" s="4">
        <f t="shared" si="16"/>
        <v>298.96000000000004</v>
      </c>
      <c r="J210" s="8">
        <f t="shared" si="17"/>
        <v>6.7621792058917995E-2</v>
      </c>
      <c r="K210" s="6">
        <f>'Raw Data'!I210</f>
        <v>3.39</v>
      </c>
      <c r="L210" s="5">
        <f>'Raw Data'!J210</f>
        <v>27</v>
      </c>
      <c r="M210" s="5">
        <f>IF(COUNTIFS($A$2:A210,A210,$D$2:D210,D210)=1,L210,0)</f>
        <v>0</v>
      </c>
      <c r="N210" s="4">
        <f t="shared" si="18"/>
        <v>163.74296296296299</v>
      </c>
      <c r="O210" t="str">
        <f t="shared" si="19"/>
        <v>OK</v>
      </c>
    </row>
    <row r="211" spans="1:15">
      <c r="A211" t="str">
        <f>'Raw Data'!A211</f>
        <v>Philadelphia RM-03</v>
      </c>
      <c r="B211" t="str">
        <f>'Raw Data'!B211</f>
        <v>Northeast</v>
      </c>
      <c r="C211" t="str">
        <f>'Raw Data'!C211</f>
        <v>Sports</v>
      </c>
      <c r="D211" s="3">
        <f>'Raw Data'!D211</f>
        <v>45962</v>
      </c>
      <c r="E211" t="str">
        <f t="shared" si="15"/>
        <v>Nov</v>
      </c>
      <c r="F211" s="5">
        <f>'Raw Data'!E211</f>
        <v>103</v>
      </c>
      <c r="G211" s="4">
        <f>'Raw Data'!F211</f>
        <v>6816.08</v>
      </c>
      <c r="H211" s="4">
        <f>'Raw Data'!G211</f>
        <v>4586.75</v>
      </c>
      <c r="I211" s="4">
        <f t="shared" si="16"/>
        <v>2229.33</v>
      </c>
      <c r="J211" s="8">
        <f t="shared" si="17"/>
        <v>0.32706922453961806</v>
      </c>
      <c r="K211" s="6">
        <f>'Raw Data'!I211</f>
        <v>3.52</v>
      </c>
      <c r="L211" s="5">
        <f>'Raw Data'!J211</f>
        <v>27</v>
      </c>
      <c r="M211" s="5">
        <f>IF(COUNTIFS($A$2:A211,A211,$D$2:D211,D211)=1,L211,0)</f>
        <v>0</v>
      </c>
      <c r="N211" s="4">
        <f t="shared" si="18"/>
        <v>252.44740740740741</v>
      </c>
      <c r="O211" t="str">
        <f t="shared" si="19"/>
        <v>OK</v>
      </c>
    </row>
    <row r="212" spans="1:15">
      <c r="A212" t="str">
        <f>'Raw Data'!A212</f>
        <v>Philadelphia RM-03</v>
      </c>
      <c r="B212" t="str">
        <f>'Raw Data'!B212</f>
        <v>Northeast</v>
      </c>
      <c r="C212" t="str">
        <f>'Raw Data'!C212</f>
        <v>Electronics</v>
      </c>
      <c r="D212" s="3">
        <f>'Raw Data'!D212</f>
        <v>45992</v>
      </c>
      <c r="E212" t="str">
        <f t="shared" si="15"/>
        <v>Dec</v>
      </c>
      <c r="F212" s="5">
        <f>'Raw Data'!E212</f>
        <v>225</v>
      </c>
      <c r="G212" s="4">
        <f>'Raw Data'!F212</f>
        <v>35104.78</v>
      </c>
      <c r="H212" s="4">
        <f>'Raw Data'!G212</f>
        <v>29401.919999999998</v>
      </c>
      <c r="I212" s="4">
        <f t="shared" si="16"/>
        <v>5702.8600000000006</v>
      </c>
      <c r="J212" s="8">
        <f t="shared" si="17"/>
        <v>0.16245252071085478</v>
      </c>
      <c r="K212" s="6">
        <f>'Raw Data'!I212</f>
        <v>3.7</v>
      </c>
      <c r="L212" s="5">
        <f>'Raw Data'!J212</f>
        <v>28</v>
      </c>
      <c r="M212" s="5">
        <f>IF(COUNTIFS($A$2:A212,A212,$D$2:D212,D212)=1,L212,0)</f>
        <v>28</v>
      </c>
      <c r="N212" s="4">
        <f t="shared" si="18"/>
        <v>1253.7421428571429</v>
      </c>
      <c r="O212" t="str">
        <f t="shared" si="19"/>
        <v>OK</v>
      </c>
    </row>
    <row r="213" spans="1:15">
      <c r="A213" t="str">
        <f>'Raw Data'!A213</f>
        <v>Philadelphia RM-03</v>
      </c>
      <c r="B213" t="str">
        <f>'Raw Data'!B213</f>
        <v>Northeast</v>
      </c>
      <c r="C213" t="str">
        <f>'Raw Data'!C213</f>
        <v>Home Goods</v>
      </c>
      <c r="D213" s="3">
        <f>'Raw Data'!D213</f>
        <v>45992</v>
      </c>
      <c r="E213" t="str">
        <f t="shared" si="15"/>
        <v>Dec</v>
      </c>
      <c r="F213" s="5">
        <f>'Raw Data'!E213</f>
        <v>152</v>
      </c>
      <c r="G213" s="4">
        <f>'Raw Data'!F213</f>
        <v>12201.99</v>
      </c>
      <c r="H213" s="4">
        <f>'Raw Data'!G213</f>
        <v>8729.4699999999993</v>
      </c>
      <c r="I213" s="4">
        <f t="shared" si="16"/>
        <v>3472.5200000000004</v>
      </c>
      <c r="J213" s="8">
        <f t="shared" si="17"/>
        <v>0.28458636665003006</v>
      </c>
      <c r="K213" s="6">
        <f>'Raw Data'!I213</f>
        <v>3.67</v>
      </c>
      <c r="L213" s="5">
        <f>'Raw Data'!J213</f>
        <v>28</v>
      </c>
      <c r="M213" s="5">
        <f>IF(COUNTIFS($A$2:A213,A213,$D$2:D213,D213)=1,L213,0)</f>
        <v>0</v>
      </c>
      <c r="N213" s="4">
        <f t="shared" si="18"/>
        <v>435.78535714285715</v>
      </c>
      <c r="O213" t="str">
        <f t="shared" si="19"/>
        <v>OK</v>
      </c>
    </row>
    <row r="214" spans="1:15">
      <c r="A214" t="str">
        <f>'Raw Data'!A214</f>
        <v>Philadelphia RM-03</v>
      </c>
      <c r="B214" t="str">
        <f>'Raw Data'!B214</f>
        <v>Northeast</v>
      </c>
      <c r="C214" t="str">
        <f>'Raw Data'!C214</f>
        <v>Apparel</v>
      </c>
      <c r="D214" s="3">
        <f>'Raw Data'!D214</f>
        <v>45992</v>
      </c>
      <c r="E214" t="str">
        <f t="shared" si="15"/>
        <v>Dec</v>
      </c>
      <c r="F214" s="5">
        <f>'Raw Data'!E214</f>
        <v>183</v>
      </c>
      <c r="G214" s="4">
        <f>'Raw Data'!F214</f>
        <v>9175.0499999999993</v>
      </c>
      <c r="H214" s="4">
        <f>'Raw Data'!G214</f>
        <v>6051.45</v>
      </c>
      <c r="I214" s="4">
        <f t="shared" si="16"/>
        <v>3123.5999999999995</v>
      </c>
      <c r="J214" s="8">
        <f t="shared" si="17"/>
        <v>0.34044501119884901</v>
      </c>
      <c r="K214" s="6">
        <f>'Raw Data'!I214</f>
        <v>3.42</v>
      </c>
      <c r="L214" s="5">
        <f>'Raw Data'!J214</f>
        <v>28</v>
      </c>
      <c r="M214" s="5">
        <f>IF(COUNTIFS($A$2:A214,A214,$D$2:D214,D214)=1,L214,0)</f>
        <v>0</v>
      </c>
      <c r="N214" s="4">
        <f t="shared" si="18"/>
        <v>327.68035714285713</v>
      </c>
      <c r="O214" t="str">
        <f t="shared" si="19"/>
        <v>OK</v>
      </c>
    </row>
    <row r="215" spans="1:15">
      <c r="A215" t="str">
        <f>'Raw Data'!A215</f>
        <v>Philadelphia RM-03</v>
      </c>
      <c r="B215" t="str">
        <f>'Raw Data'!B215</f>
        <v>Northeast</v>
      </c>
      <c r="C215" t="str">
        <f>'Raw Data'!C215</f>
        <v>Beauty</v>
      </c>
      <c r="D215" s="3">
        <f>'Raw Data'!D215</f>
        <v>45992</v>
      </c>
      <c r="E215" t="str">
        <f t="shared" si="15"/>
        <v>Dec</v>
      </c>
      <c r="F215" s="5">
        <f>'Raw Data'!E215</f>
        <v>152</v>
      </c>
      <c r="G215" s="4">
        <f>'Raw Data'!F215</f>
        <v>5881.33</v>
      </c>
      <c r="H215" s="4">
        <f>'Raw Data'!G215</f>
        <v>3141.99</v>
      </c>
      <c r="I215" s="4">
        <f t="shared" si="16"/>
        <v>2739.34</v>
      </c>
      <c r="J215" s="8">
        <f t="shared" si="17"/>
        <v>0.46576879719383202</v>
      </c>
      <c r="K215" s="6">
        <f>'Raw Data'!I215</f>
        <v>3.72</v>
      </c>
      <c r="L215" s="5">
        <f>'Raw Data'!J215</f>
        <v>28</v>
      </c>
      <c r="M215" s="5">
        <f>IF(COUNTIFS($A$2:A215,A215,$D$2:D215,D215)=1,L215,0)</f>
        <v>0</v>
      </c>
      <c r="N215" s="4">
        <f t="shared" si="18"/>
        <v>210.04749999999999</v>
      </c>
      <c r="O215" t="str">
        <f t="shared" si="19"/>
        <v>OK</v>
      </c>
    </row>
    <row r="216" spans="1:15">
      <c r="A216" t="str">
        <f>'Raw Data'!A216</f>
        <v>Philadelphia RM-03</v>
      </c>
      <c r="B216" t="str">
        <f>'Raw Data'!B216</f>
        <v>Northeast</v>
      </c>
      <c r="C216" t="str">
        <f>'Raw Data'!C216</f>
        <v>Grocery</v>
      </c>
      <c r="D216" s="3">
        <f>'Raw Data'!D216</f>
        <v>45992</v>
      </c>
      <c r="E216" t="str">
        <f t="shared" si="15"/>
        <v>Dec</v>
      </c>
      <c r="F216" s="5">
        <f>'Raw Data'!E216</f>
        <v>276</v>
      </c>
      <c r="G216" s="4">
        <f>'Raw Data'!F216</f>
        <v>5351.49</v>
      </c>
      <c r="H216" s="4">
        <f>'Raw Data'!G216</f>
        <v>5281.46</v>
      </c>
      <c r="I216" s="4">
        <f t="shared" si="16"/>
        <v>70.029999999999745</v>
      </c>
      <c r="J216" s="8">
        <f t="shared" si="17"/>
        <v>1.3086075093104863E-2</v>
      </c>
      <c r="K216" s="6">
        <f>'Raw Data'!I216</f>
        <v>3.63</v>
      </c>
      <c r="L216" s="5">
        <f>'Raw Data'!J216</f>
        <v>28</v>
      </c>
      <c r="M216" s="5">
        <f>IF(COUNTIFS($A$2:A216,A216,$D$2:D216,D216)=1,L216,0)</f>
        <v>0</v>
      </c>
      <c r="N216" s="4">
        <f t="shared" si="18"/>
        <v>191.12464285714285</v>
      </c>
      <c r="O216" t="str">
        <f t="shared" si="19"/>
        <v>OK</v>
      </c>
    </row>
    <row r="217" spans="1:15">
      <c r="A217" t="str">
        <f>'Raw Data'!A217</f>
        <v>Philadelphia RM-03</v>
      </c>
      <c r="B217" t="str">
        <f>'Raw Data'!B217</f>
        <v>Northeast</v>
      </c>
      <c r="C217" t="str">
        <f>'Raw Data'!C217</f>
        <v>Sports</v>
      </c>
      <c r="D217" s="3">
        <f>'Raw Data'!D217</f>
        <v>45992</v>
      </c>
      <c r="E217" t="str">
        <f t="shared" si="15"/>
        <v>Dec</v>
      </c>
      <c r="F217" s="5">
        <f>'Raw Data'!E217</f>
        <v>101</v>
      </c>
      <c r="G217" s="4">
        <f>'Raw Data'!F217</f>
        <v>6206.95</v>
      </c>
      <c r="H217" s="4">
        <f>'Raw Data'!G217</f>
        <v>4458.53</v>
      </c>
      <c r="I217" s="4">
        <f t="shared" si="16"/>
        <v>1748.42</v>
      </c>
      <c r="J217" s="8">
        <f t="shared" si="17"/>
        <v>0.28168746324684429</v>
      </c>
      <c r="K217" s="6">
        <f>'Raw Data'!I217</f>
        <v>3.38</v>
      </c>
      <c r="L217" s="5">
        <f>'Raw Data'!J217</f>
        <v>28</v>
      </c>
      <c r="M217" s="5">
        <f>IF(COUNTIFS($A$2:A217,A217,$D$2:D217,D217)=1,L217,0)</f>
        <v>0</v>
      </c>
      <c r="N217" s="4">
        <f t="shared" si="18"/>
        <v>221.6767857142857</v>
      </c>
      <c r="O217" t="str">
        <f t="shared" si="19"/>
        <v>OK</v>
      </c>
    </row>
    <row r="218" spans="1:15">
      <c r="A218" t="str">
        <f>'Raw Data'!A218</f>
        <v>Buffalo RM-04</v>
      </c>
      <c r="B218" t="str">
        <f>'Raw Data'!B218</f>
        <v>Northeast</v>
      </c>
      <c r="C218" t="str">
        <f>'Raw Data'!C218</f>
        <v>Electronics</v>
      </c>
      <c r="D218" s="3">
        <f>'Raw Data'!D218</f>
        <v>45658</v>
      </c>
      <c r="E218" t="str">
        <f t="shared" si="15"/>
        <v>Jan</v>
      </c>
      <c r="F218" s="5">
        <f>'Raw Data'!E218</f>
        <v>58</v>
      </c>
      <c r="G218" s="4">
        <f>'Raw Data'!F218</f>
        <v>8697.01</v>
      </c>
      <c r="H218" s="4">
        <f>'Raw Data'!G218</f>
        <v>6861.79</v>
      </c>
      <c r="I218" s="4">
        <f t="shared" si="16"/>
        <v>1835.2200000000003</v>
      </c>
      <c r="J218" s="8">
        <f t="shared" si="17"/>
        <v>0.21101734964085361</v>
      </c>
      <c r="K218" s="6">
        <f>'Raw Data'!I218</f>
        <v>3.47</v>
      </c>
      <c r="L218" s="5">
        <f>'Raw Data'!J218</f>
        <v>15</v>
      </c>
      <c r="M218" s="5">
        <f>IF(COUNTIFS($A$2:A218,A218,$D$2:D218,D218)=1,L218,0)</f>
        <v>15</v>
      </c>
      <c r="N218" s="4">
        <f t="shared" si="18"/>
        <v>579.80066666666664</v>
      </c>
      <c r="O218" t="str">
        <f t="shared" si="19"/>
        <v>OK</v>
      </c>
    </row>
    <row r="219" spans="1:15">
      <c r="A219" t="str">
        <f>'Raw Data'!A219</f>
        <v>Buffalo RM-04</v>
      </c>
      <c r="B219" t="str">
        <f>'Raw Data'!B219</f>
        <v>Northeast</v>
      </c>
      <c r="C219" t="str">
        <f>'Raw Data'!C219</f>
        <v>Home Goods</v>
      </c>
      <c r="D219" s="3">
        <f>'Raw Data'!D219</f>
        <v>45658</v>
      </c>
      <c r="E219" t="str">
        <f t="shared" si="15"/>
        <v>Jan</v>
      </c>
      <c r="F219" s="5">
        <f>'Raw Data'!E219</f>
        <v>62</v>
      </c>
      <c r="G219" s="4">
        <f>'Raw Data'!F219</f>
        <v>5049.57</v>
      </c>
      <c r="H219" s="4">
        <f>'Raw Data'!G219</f>
        <v>3328.36</v>
      </c>
      <c r="I219" s="4">
        <f t="shared" si="16"/>
        <v>1721.2099999999996</v>
      </c>
      <c r="J219" s="8">
        <f t="shared" si="17"/>
        <v>0.34086268731792996</v>
      </c>
      <c r="K219" s="6">
        <f>'Raw Data'!I219</f>
        <v>3.25</v>
      </c>
      <c r="L219" s="5">
        <f>'Raw Data'!J219</f>
        <v>15</v>
      </c>
      <c r="M219" s="5">
        <f>IF(COUNTIFS($A$2:A219,A219,$D$2:D219,D219)=1,L219,0)</f>
        <v>0</v>
      </c>
      <c r="N219" s="4">
        <f t="shared" si="18"/>
        <v>336.63799999999998</v>
      </c>
      <c r="O219" t="str">
        <f t="shared" si="19"/>
        <v>OK</v>
      </c>
    </row>
    <row r="220" spans="1:15">
      <c r="A220" t="str">
        <f>'Raw Data'!A220</f>
        <v>Buffalo RM-04</v>
      </c>
      <c r="B220" t="str">
        <f>'Raw Data'!B220</f>
        <v>Northeast</v>
      </c>
      <c r="C220" t="str">
        <f>'Raw Data'!C220</f>
        <v>Apparel</v>
      </c>
      <c r="D220" s="3">
        <f>'Raw Data'!D220</f>
        <v>45658</v>
      </c>
      <c r="E220" t="str">
        <f t="shared" si="15"/>
        <v>Jan</v>
      </c>
      <c r="F220" s="5">
        <f>'Raw Data'!E220</f>
        <v>90</v>
      </c>
      <c r="G220" s="4">
        <f>'Raw Data'!F220</f>
        <v>4400.34</v>
      </c>
      <c r="H220" s="4">
        <f>'Raw Data'!G220</f>
        <v>2773.63</v>
      </c>
      <c r="I220" s="4">
        <f t="shared" si="16"/>
        <v>1626.71</v>
      </c>
      <c r="J220" s="8">
        <f t="shared" si="17"/>
        <v>0.36967825213506228</v>
      </c>
      <c r="K220" s="6">
        <f>'Raw Data'!I220</f>
        <v>3.25</v>
      </c>
      <c r="L220" s="5">
        <f>'Raw Data'!J220</f>
        <v>15</v>
      </c>
      <c r="M220" s="5">
        <f>IF(COUNTIFS($A$2:A220,A220,$D$2:D220,D220)=1,L220,0)</f>
        <v>0</v>
      </c>
      <c r="N220" s="4">
        <f t="shared" si="18"/>
        <v>293.35599999999999</v>
      </c>
      <c r="O220" t="str">
        <f t="shared" si="19"/>
        <v>OK</v>
      </c>
    </row>
    <row r="221" spans="1:15">
      <c r="A221" t="str">
        <f>'Raw Data'!A221</f>
        <v>Buffalo RM-04</v>
      </c>
      <c r="B221" t="str">
        <f>'Raw Data'!B221</f>
        <v>Northeast</v>
      </c>
      <c r="C221" t="str">
        <f>'Raw Data'!C221</f>
        <v>Beauty</v>
      </c>
      <c r="D221" s="3">
        <f>'Raw Data'!D221</f>
        <v>45658</v>
      </c>
      <c r="E221" t="str">
        <f t="shared" si="15"/>
        <v>Jan</v>
      </c>
      <c r="F221" s="5">
        <f>'Raw Data'!E221</f>
        <v>65</v>
      </c>
      <c r="G221" s="4">
        <f>'Raw Data'!F221</f>
        <v>2220.31</v>
      </c>
      <c r="H221" s="4">
        <f>'Raw Data'!G221</f>
        <v>1120.4100000000001</v>
      </c>
      <c r="I221" s="4">
        <f t="shared" si="16"/>
        <v>1099.8999999999999</v>
      </c>
      <c r="J221" s="8">
        <f t="shared" si="17"/>
        <v>0.49538127558764311</v>
      </c>
      <c r="K221" s="6">
        <f>'Raw Data'!I221</f>
        <v>3.5</v>
      </c>
      <c r="L221" s="5">
        <f>'Raw Data'!J221</f>
        <v>15</v>
      </c>
      <c r="M221" s="5">
        <f>IF(COUNTIFS($A$2:A221,A221,$D$2:D221,D221)=1,L221,0)</f>
        <v>0</v>
      </c>
      <c r="N221" s="4">
        <f t="shared" si="18"/>
        <v>148.02066666666667</v>
      </c>
      <c r="O221" t="str">
        <f t="shared" si="19"/>
        <v>OK</v>
      </c>
    </row>
    <row r="222" spans="1:15">
      <c r="A222" t="str">
        <f>'Raw Data'!A222</f>
        <v>Buffalo RM-04</v>
      </c>
      <c r="B222" t="str">
        <f>'Raw Data'!B222</f>
        <v>Northeast</v>
      </c>
      <c r="C222" t="str">
        <f>'Raw Data'!C222</f>
        <v>Grocery</v>
      </c>
      <c r="D222" s="3">
        <f>'Raw Data'!D222</f>
        <v>45658</v>
      </c>
      <c r="E222" t="str">
        <f t="shared" si="15"/>
        <v>Jan</v>
      </c>
      <c r="F222" s="5">
        <f>'Raw Data'!E222</f>
        <v>101</v>
      </c>
      <c r="G222" s="4">
        <f>'Raw Data'!F222</f>
        <v>1744.5</v>
      </c>
      <c r="H222" s="4">
        <f>'Raw Data'!G222</f>
        <v>1638.95</v>
      </c>
      <c r="I222" s="4">
        <f t="shared" si="16"/>
        <v>105.54999999999995</v>
      </c>
      <c r="J222" s="8">
        <f t="shared" si="17"/>
        <v>6.0504442533677247E-2</v>
      </c>
      <c r="K222" s="6">
        <f>'Raw Data'!I222</f>
        <v>3.25</v>
      </c>
      <c r="L222" s="5">
        <f>'Raw Data'!J222</f>
        <v>15</v>
      </c>
      <c r="M222" s="5">
        <f>IF(COUNTIFS($A$2:A222,A222,$D$2:D222,D222)=1,L222,0)</f>
        <v>0</v>
      </c>
      <c r="N222" s="4">
        <f t="shared" si="18"/>
        <v>116.3</v>
      </c>
      <c r="O222" t="str">
        <f t="shared" si="19"/>
        <v>OK</v>
      </c>
    </row>
    <row r="223" spans="1:15">
      <c r="A223" t="str">
        <f>'Raw Data'!A223</f>
        <v>Buffalo RM-04</v>
      </c>
      <c r="B223" t="str">
        <f>'Raw Data'!B223</f>
        <v>Northeast</v>
      </c>
      <c r="C223" t="str">
        <f>'Raw Data'!C223</f>
        <v>Sports</v>
      </c>
      <c r="D223" s="3">
        <f>'Raw Data'!D223</f>
        <v>45658</v>
      </c>
      <c r="E223" t="str">
        <f t="shared" si="15"/>
        <v>Jan</v>
      </c>
      <c r="F223" s="5">
        <f>'Raw Data'!E223</f>
        <v>51</v>
      </c>
      <c r="G223" s="4">
        <f>'Raw Data'!F223</f>
        <v>3190.36</v>
      </c>
      <c r="H223" s="4">
        <f>'Raw Data'!G223</f>
        <v>2039.18</v>
      </c>
      <c r="I223" s="4">
        <f t="shared" si="16"/>
        <v>1151.18</v>
      </c>
      <c r="J223" s="8">
        <f t="shared" si="17"/>
        <v>0.36083075264233505</v>
      </c>
      <c r="K223" s="6">
        <f>'Raw Data'!I223</f>
        <v>3.49</v>
      </c>
      <c r="L223" s="5">
        <f>'Raw Data'!J223</f>
        <v>15</v>
      </c>
      <c r="M223" s="5">
        <f>IF(COUNTIFS($A$2:A223,A223,$D$2:D223,D223)=1,L223,0)</f>
        <v>0</v>
      </c>
      <c r="N223" s="4">
        <f t="shared" si="18"/>
        <v>212.69066666666669</v>
      </c>
      <c r="O223" t="str">
        <f t="shared" si="19"/>
        <v>OK</v>
      </c>
    </row>
    <row r="224" spans="1:15">
      <c r="A224" t="str">
        <f>'Raw Data'!A224</f>
        <v>Buffalo RM-04</v>
      </c>
      <c r="B224" t="str">
        <f>'Raw Data'!B224</f>
        <v>Northeast</v>
      </c>
      <c r="C224" t="str">
        <f>'Raw Data'!C224</f>
        <v>Electronics</v>
      </c>
      <c r="D224" s="3">
        <f>'Raw Data'!D224</f>
        <v>45689</v>
      </c>
      <c r="E224" t="str">
        <f t="shared" si="15"/>
        <v>Feb</v>
      </c>
      <c r="F224" s="5">
        <f>'Raw Data'!E224</f>
        <v>62</v>
      </c>
      <c r="G224" s="4">
        <f>'Raw Data'!F224</f>
        <v>9645.49</v>
      </c>
      <c r="H224" s="4">
        <f>'Raw Data'!G224</f>
        <v>7719.53</v>
      </c>
      <c r="I224" s="4">
        <f t="shared" si="16"/>
        <v>1925.96</v>
      </c>
      <c r="J224" s="8">
        <f t="shared" si="17"/>
        <v>0.19967466660584376</v>
      </c>
      <c r="K224" s="6">
        <f>'Raw Data'!I224</f>
        <v>3.36</v>
      </c>
      <c r="L224" s="5">
        <f>'Raw Data'!J224</f>
        <v>16</v>
      </c>
      <c r="M224" s="5">
        <f>IF(COUNTIFS($A$2:A224,A224,$D$2:D224,D224)=1,L224,0)</f>
        <v>16</v>
      </c>
      <c r="N224" s="4">
        <f t="shared" si="18"/>
        <v>602.84312499999999</v>
      </c>
      <c r="O224" t="str">
        <f t="shared" si="19"/>
        <v>OK</v>
      </c>
    </row>
    <row r="225" spans="1:15">
      <c r="A225" t="str">
        <f>'Raw Data'!A225</f>
        <v>Buffalo RM-04</v>
      </c>
      <c r="B225" t="str">
        <f>'Raw Data'!B225</f>
        <v>Northeast</v>
      </c>
      <c r="C225" t="str">
        <f>'Raw Data'!C225</f>
        <v>Home Goods</v>
      </c>
      <c r="D225" s="3">
        <f>'Raw Data'!D225</f>
        <v>45689</v>
      </c>
      <c r="E225" t="str">
        <f t="shared" si="15"/>
        <v>Feb</v>
      </c>
      <c r="F225" s="5">
        <f>'Raw Data'!E225</f>
        <v>63</v>
      </c>
      <c r="G225" s="4">
        <f>'Raw Data'!F225</f>
        <v>4894.43</v>
      </c>
      <c r="H225" s="4">
        <f>'Raw Data'!G225</f>
        <v>3378.42</v>
      </c>
      <c r="I225" s="4">
        <f t="shared" si="16"/>
        <v>1516.0100000000002</v>
      </c>
      <c r="J225" s="8">
        <f t="shared" si="17"/>
        <v>0.30974189027118587</v>
      </c>
      <c r="K225" s="6">
        <f>'Raw Data'!I225</f>
        <v>3.49</v>
      </c>
      <c r="L225" s="5">
        <f>'Raw Data'!J225</f>
        <v>16</v>
      </c>
      <c r="M225" s="5">
        <f>IF(COUNTIFS($A$2:A225,A225,$D$2:D225,D225)=1,L225,0)</f>
        <v>0</v>
      </c>
      <c r="N225" s="4">
        <f t="shared" si="18"/>
        <v>305.90187500000002</v>
      </c>
      <c r="O225" t="str">
        <f t="shared" si="19"/>
        <v>OK</v>
      </c>
    </row>
    <row r="226" spans="1:15">
      <c r="A226" t="str">
        <f>'Raw Data'!A226</f>
        <v>Buffalo RM-04</v>
      </c>
      <c r="B226" t="str">
        <f>'Raw Data'!B226</f>
        <v>Northeast</v>
      </c>
      <c r="C226" t="str">
        <f>'Raw Data'!C226</f>
        <v>Apparel</v>
      </c>
      <c r="D226" s="3">
        <f>'Raw Data'!D226</f>
        <v>45689</v>
      </c>
      <c r="E226" t="str">
        <f t="shared" si="15"/>
        <v>Feb</v>
      </c>
      <c r="F226" s="5">
        <f>'Raw Data'!E226</f>
        <v>68</v>
      </c>
      <c r="G226" s="4">
        <f>'Raw Data'!F226</f>
        <v>3349.49</v>
      </c>
      <c r="H226" s="4">
        <f>'Raw Data'!G226</f>
        <v>2134.83</v>
      </c>
      <c r="I226" s="4">
        <f t="shared" si="16"/>
        <v>1214.6599999999999</v>
      </c>
      <c r="J226" s="8">
        <f t="shared" si="17"/>
        <v>0.36264028255047781</v>
      </c>
      <c r="K226" s="6">
        <f>'Raw Data'!I226</f>
        <v>3.27</v>
      </c>
      <c r="L226" s="5">
        <f>'Raw Data'!J226</f>
        <v>16</v>
      </c>
      <c r="M226" s="5">
        <f>IF(COUNTIFS($A$2:A226,A226,$D$2:D226,D226)=1,L226,0)</f>
        <v>0</v>
      </c>
      <c r="N226" s="4">
        <f t="shared" si="18"/>
        <v>209.34312499999999</v>
      </c>
      <c r="O226" t="str">
        <f t="shared" si="19"/>
        <v>OK</v>
      </c>
    </row>
    <row r="227" spans="1:15">
      <c r="A227" t="str">
        <f>'Raw Data'!A227</f>
        <v>Buffalo RM-04</v>
      </c>
      <c r="B227" t="str">
        <f>'Raw Data'!B227</f>
        <v>Northeast</v>
      </c>
      <c r="C227" t="str">
        <f>'Raw Data'!C227</f>
        <v>Beauty</v>
      </c>
      <c r="D227" s="3">
        <f>'Raw Data'!D227</f>
        <v>45689</v>
      </c>
      <c r="E227" t="str">
        <f t="shared" si="15"/>
        <v>Feb</v>
      </c>
      <c r="F227" s="5">
        <f>'Raw Data'!E227</f>
        <v>54</v>
      </c>
      <c r="G227" s="4">
        <f>'Raw Data'!F227</f>
        <v>2015.23</v>
      </c>
      <c r="H227" s="4">
        <f>'Raw Data'!G227</f>
        <v>992.5</v>
      </c>
      <c r="I227" s="4">
        <f t="shared" si="16"/>
        <v>1022.73</v>
      </c>
      <c r="J227" s="8">
        <f t="shared" si="17"/>
        <v>0.50750038457148816</v>
      </c>
      <c r="K227" s="6">
        <f>'Raw Data'!I227</f>
        <v>3.33</v>
      </c>
      <c r="L227" s="5">
        <f>'Raw Data'!J227</f>
        <v>16</v>
      </c>
      <c r="M227" s="5">
        <f>IF(COUNTIFS($A$2:A227,A227,$D$2:D227,D227)=1,L227,0)</f>
        <v>0</v>
      </c>
      <c r="N227" s="4">
        <f t="shared" si="18"/>
        <v>125.951875</v>
      </c>
      <c r="O227" t="str">
        <f t="shared" si="19"/>
        <v>OK</v>
      </c>
    </row>
    <row r="228" spans="1:15">
      <c r="A228" t="str">
        <f>'Raw Data'!A228</f>
        <v>Buffalo RM-04</v>
      </c>
      <c r="B228" t="str">
        <f>'Raw Data'!B228</f>
        <v>Northeast</v>
      </c>
      <c r="C228" t="str">
        <f>'Raw Data'!C228</f>
        <v>Grocery</v>
      </c>
      <c r="D228" s="3">
        <f>'Raw Data'!D228</f>
        <v>45689</v>
      </c>
      <c r="E228" t="str">
        <f t="shared" si="15"/>
        <v>Feb</v>
      </c>
      <c r="F228" s="5">
        <f>'Raw Data'!E228</f>
        <v>105</v>
      </c>
      <c r="G228" s="4">
        <f>'Raw Data'!F228</f>
        <v>2036.15</v>
      </c>
      <c r="H228" s="4">
        <f>'Raw Data'!G228</f>
        <v>1860.37</v>
      </c>
      <c r="I228" s="4">
        <f t="shared" si="16"/>
        <v>175.7800000000002</v>
      </c>
      <c r="J228" s="8">
        <f t="shared" si="17"/>
        <v>8.6329592613510892E-2</v>
      </c>
      <c r="K228" s="6">
        <f>'Raw Data'!I228</f>
        <v>3.46</v>
      </c>
      <c r="L228" s="5">
        <f>'Raw Data'!J228</f>
        <v>16</v>
      </c>
      <c r="M228" s="5">
        <f>IF(COUNTIFS($A$2:A228,A228,$D$2:D228,D228)=1,L228,0)</f>
        <v>0</v>
      </c>
      <c r="N228" s="4">
        <f t="shared" si="18"/>
        <v>127.25937500000001</v>
      </c>
      <c r="O228" t="str">
        <f t="shared" si="19"/>
        <v>OK</v>
      </c>
    </row>
    <row r="229" spans="1:15">
      <c r="A229" t="str">
        <f>'Raw Data'!A229</f>
        <v>Buffalo RM-04</v>
      </c>
      <c r="B229" t="str">
        <f>'Raw Data'!B229</f>
        <v>Northeast</v>
      </c>
      <c r="C229" t="str">
        <f>'Raw Data'!C229</f>
        <v>Sports</v>
      </c>
      <c r="D229" s="3">
        <f>'Raw Data'!D229</f>
        <v>45689</v>
      </c>
      <c r="E229" t="str">
        <f t="shared" si="15"/>
        <v>Feb</v>
      </c>
      <c r="F229" s="5">
        <f>'Raw Data'!E229</f>
        <v>51</v>
      </c>
      <c r="G229" s="4">
        <f>'Raw Data'!F229</f>
        <v>3257.73</v>
      </c>
      <c r="H229" s="4">
        <f>'Raw Data'!G229</f>
        <v>2096.58</v>
      </c>
      <c r="I229" s="4">
        <f t="shared" si="16"/>
        <v>1161.1500000000001</v>
      </c>
      <c r="J229" s="8">
        <f t="shared" si="17"/>
        <v>0.35642917000488072</v>
      </c>
      <c r="K229" s="6">
        <f>'Raw Data'!I229</f>
        <v>3.27</v>
      </c>
      <c r="L229" s="5">
        <f>'Raw Data'!J229</f>
        <v>16</v>
      </c>
      <c r="M229" s="5">
        <f>IF(COUNTIFS($A$2:A229,A229,$D$2:D229,D229)=1,L229,0)</f>
        <v>0</v>
      </c>
      <c r="N229" s="4">
        <f t="shared" si="18"/>
        <v>203.608125</v>
      </c>
      <c r="O229" t="str">
        <f t="shared" si="19"/>
        <v>OK</v>
      </c>
    </row>
    <row r="230" spans="1:15">
      <c r="A230" t="str">
        <f>'Raw Data'!A230</f>
        <v>Buffalo RM-04</v>
      </c>
      <c r="B230" t="str">
        <f>'Raw Data'!B230</f>
        <v>Northeast</v>
      </c>
      <c r="C230" t="str">
        <f>'Raw Data'!C230</f>
        <v>Electronics</v>
      </c>
      <c r="D230" s="3">
        <f>'Raw Data'!D230</f>
        <v>45717</v>
      </c>
      <c r="E230" t="str">
        <f t="shared" si="15"/>
        <v>Mar</v>
      </c>
      <c r="F230" s="5">
        <f>'Raw Data'!E230</f>
        <v>85</v>
      </c>
      <c r="G230" s="4">
        <f>'Raw Data'!F230</f>
        <v>11743.68</v>
      </c>
      <c r="H230" s="4">
        <f>'Raw Data'!G230</f>
        <v>9198.0400000000009</v>
      </c>
      <c r="I230" s="4">
        <f t="shared" si="16"/>
        <v>2545.6399999999994</v>
      </c>
      <c r="J230" s="8">
        <f t="shared" si="17"/>
        <v>0.21676680563503087</v>
      </c>
      <c r="K230" s="6">
        <f>'Raw Data'!I230</f>
        <v>3.4</v>
      </c>
      <c r="L230" s="5">
        <f>'Raw Data'!J230</f>
        <v>15</v>
      </c>
      <c r="M230" s="5">
        <f>IF(COUNTIFS($A$2:A230,A230,$D$2:D230,D230)=1,L230,0)</f>
        <v>15</v>
      </c>
      <c r="N230" s="4">
        <f t="shared" si="18"/>
        <v>782.91200000000003</v>
      </c>
      <c r="O230" t="str">
        <f t="shared" si="19"/>
        <v>OK</v>
      </c>
    </row>
    <row r="231" spans="1:15">
      <c r="A231" t="str">
        <f>'Raw Data'!A231</f>
        <v>Buffalo RM-04</v>
      </c>
      <c r="B231" t="str">
        <f>'Raw Data'!B231</f>
        <v>Northeast</v>
      </c>
      <c r="C231" t="str">
        <f>'Raw Data'!C231</f>
        <v>Home Goods</v>
      </c>
      <c r="D231" s="3">
        <f>'Raw Data'!D231</f>
        <v>45717</v>
      </c>
      <c r="E231" t="str">
        <f t="shared" si="15"/>
        <v>Mar</v>
      </c>
      <c r="F231" s="5">
        <f>'Raw Data'!E231</f>
        <v>63</v>
      </c>
      <c r="G231" s="4">
        <f>'Raw Data'!F231</f>
        <v>5151.66</v>
      </c>
      <c r="H231" s="4">
        <f>'Raw Data'!G231</f>
        <v>3443.76</v>
      </c>
      <c r="I231" s="4">
        <f t="shared" si="16"/>
        <v>1707.8999999999996</v>
      </c>
      <c r="J231" s="8">
        <f t="shared" si="17"/>
        <v>0.3315242077311002</v>
      </c>
      <c r="K231" s="6">
        <f>'Raw Data'!I231</f>
        <v>3.29</v>
      </c>
      <c r="L231" s="5">
        <f>'Raw Data'!J231</f>
        <v>15</v>
      </c>
      <c r="M231" s="5">
        <f>IF(COUNTIFS($A$2:A231,A231,$D$2:D231,D231)=1,L231,0)</f>
        <v>0</v>
      </c>
      <c r="N231" s="4">
        <f t="shared" si="18"/>
        <v>343.44400000000002</v>
      </c>
      <c r="O231" t="str">
        <f t="shared" si="19"/>
        <v>OK</v>
      </c>
    </row>
    <row r="232" spans="1:15">
      <c r="A232" t="str">
        <f>'Raw Data'!A232</f>
        <v>Buffalo RM-04</v>
      </c>
      <c r="B232" t="str">
        <f>'Raw Data'!B232</f>
        <v>Northeast</v>
      </c>
      <c r="C232" t="str">
        <f>'Raw Data'!C232</f>
        <v>Apparel</v>
      </c>
      <c r="D232" s="3">
        <f>'Raw Data'!D232</f>
        <v>45717</v>
      </c>
      <c r="E232" t="str">
        <f t="shared" si="15"/>
        <v>Mar</v>
      </c>
      <c r="F232" s="5">
        <f>'Raw Data'!E232</f>
        <v>115</v>
      </c>
      <c r="G232" s="4">
        <f>'Raw Data'!F232</f>
        <v>5347.38</v>
      </c>
      <c r="H232" s="4">
        <f>'Raw Data'!G232</f>
        <v>3419.16</v>
      </c>
      <c r="I232" s="4">
        <f t="shared" si="16"/>
        <v>1928.2200000000003</v>
      </c>
      <c r="J232" s="8">
        <f t="shared" si="17"/>
        <v>0.36059154202618859</v>
      </c>
      <c r="K232" s="6">
        <f>'Raw Data'!I232</f>
        <v>3.37</v>
      </c>
      <c r="L232" s="5">
        <f>'Raw Data'!J232</f>
        <v>15</v>
      </c>
      <c r="M232" s="5">
        <f>IF(COUNTIFS($A$2:A232,A232,$D$2:D232,D232)=1,L232,0)</f>
        <v>0</v>
      </c>
      <c r="N232" s="4">
        <f t="shared" si="18"/>
        <v>356.49200000000002</v>
      </c>
      <c r="O232" t="str">
        <f t="shared" si="19"/>
        <v>OK</v>
      </c>
    </row>
    <row r="233" spans="1:15">
      <c r="A233" t="str">
        <f>'Raw Data'!A233</f>
        <v>Buffalo RM-04</v>
      </c>
      <c r="B233" t="str">
        <f>'Raw Data'!B233</f>
        <v>Northeast</v>
      </c>
      <c r="C233" t="str">
        <f>'Raw Data'!C233</f>
        <v>Beauty</v>
      </c>
      <c r="D233" s="3">
        <f>'Raw Data'!D233</f>
        <v>45717</v>
      </c>
      <c r="E233" t="str">
        <f t="shared" si="15"/>
        <v>Mar</v>
      </c>
      <c r="F233" s="5">
        <f>'Raw Data'!E233</f>
        <v>69</v>
      </c>
      <c r="G233" s="4">
        <f>'Raw Data'!F233</f>
        <v>2538.88</v>
      </c>
      <c r="H233" s="4">
        <f>'Raw Data'!G233</f>
        <v>1311.39</v>
      </c>
      <c r="I233" s="4">
        <f t="shared" si="16"/>
        <v>1227.49</v>
      </c>
      <c r="J233" s="8">
        <f t="shared" si="17"/>
        <v>0.48347696622132591</v>
      </c>
      <c r="K233" s="6">
        <f>'Raw Data'!I233</f>
        <v>3.25</v>
      </c>
      <c r="L233" s="5">
        <f>'Raw Data'!J233</f>
        <v>15</v>
      </c>
      <c r="M233" s="5">
        <f>IF(COUNTIFS($A$2:A233,A233,$D$2:D233,D233)=1,L233,0)</f>
        <v>0</v>
      </c>
      <c r="N233" s="4">
        <f t="shared" si="18"/>
        <v>169.25866666666667</v>
      </c>
      <c r="O233" t="str">
        <f t="shared" si="19"/>
        <v>OK</v>
      </c>
    </row>
    <row r="234" spans="1:15">
      <c r="A234" t="str">
        <f>'Raw Data'!A234</f>
        <v>Buffalo RM-04</v>
      </c>
      <c r="B234" t="str">
        <f>'Raw Data'!B234</f>
        <v>Northeast</v>
      </c>
      <c r="C234" t="str">
        <f>'Raw Data'!C234</f>
        <v>Grocery</v>
      </c>
      <c r="D234" s="3">
        <f>'Raw Data'!D234</f>
        <v>45717</v>
      </c>
      <c r="E234" t="str">
        <f t="shared" si="15"/>
        <v>Mar</v>
      </c>
      <c r="F234" s="5">
        <f>'Raw Data'!E234</f>
        <v>119</v>
      </c>
      <c r="G234" s="4">
        <f>'Raw Data'!F234</f>
        <v>2192.1999999999998</v>
      </c>
      <c r="H234" s="4">
        <f>'Raw Data'!G234</f>
        <v>2005.02</v>
      </c>
      <c r="I234" s="4">
        <f t="shared" si="16"/>
        <v>187.17999999999984</v>
      </c>
      <c r="J234" s="8">
        <f t="shared" si="17"/>
        <v>8.5384545205729342E-2</v>
      </c>
      <c r="K234" s="6">
        <f>'Raw Data'!I234</f>
        <v>3.49</v>
      </c>
      <c r="L234" s="5">
        <f>'Raw Data'!J234</f>
        <v>15</v>
      </c>
      <c r="M234" s="5">
        <f>IF(COUNTIFS($A$2:A234,A234,$D$2:D234,D234)=1,L234,0)</f>
        <v>0</v>
      </c>
      <c r="N234" s="4">
        <f t="shared" si="18"/>
        <v>146.14666666666665</v>
      </c>
      <c r="O234" t="str">
        <f t="shared" si="19"/>
        <v>OK</v>
      </c>
    </row>
    <row r="235" spans="1:15">
      <c r="A235" t="str">
        <f>'Raw Data'!A235</f>
        <v>Buffalo RM-04</v>
      </c>
      <c r="B235" t="str">
        <f>'Raw Data'!B235</f>
        <v>Northeast</v>
      </c>
      <c r="C235" t="str">
        <f>'Raw Data'!C235</f>
        <v>Sports</v>
      </c>
      <c r="D235" s="3">
        <f>'Raw Data'!D235</f>
        <v>45717</v>
      </c>
      <c r="E235" t="str">
        <f t="shared" si="15"/>
        <v>Mar</v>
      </c>
      <c r="F235" s="5">
        <f>'Raw Data'!E235</f>
        <v>44</v>
      </c>
      <c r="G235" s="4">
        <f>'Raw Data'!F235</f>
        <v>2941.48</v>
      </c>
      <c r="H235" s="4">
        <f>'Raw Data'!G235</f>
        <v>1966.7</v>
      </c>
      <c r="I235" s="4">
        <f t="shared" si="16"/>
        <v>974.78</v>
      </c>
      <c r="J235" s="8">
        <f t="shared" si="17"/>
        <v>0.33139100044875369</v>
      </c>
      <c r="K235" s="6">
        <f>'Raw Data'!I235</f>
        <v>3.46</v>
      </c>
      <c r="L235" s="5">
        <f>'Raw Data'!J235</f>
        <v>15</v>
      </c>
      <c r="M235" s="5">
        <f>IF(COUNTIFS($A$2:A235,A235,$D$2:D235,D235)=1,L235,0)</f>
        <v>0</v>
      </c>
      <c r="N235" s="4">
        <f t="shared" si="18"/>
        <v>196.09866666666667</v>
      </c>
      <c r="O235" t="str">
        <f t="shared" si="19"/>
        <v>OK</v>
      </c>
    </row>
    <row r="236" spans="1:15">
      <c r="A236" t="str">
        <f>'Raw Data'!A236</f>
        <v>Buffalo RM-04</v>
      </c>
      <c r="B236" t="str">
        <f>'Raw Data'!B236</f>
        <v>Northeast</v>
      </c>
      <c r="C236" t="str">
        <f>'Raw Data'!C236</f>
        <v>Electronics</v>
      </c>
      <c r="D236" s="3">
        <f>'Raw Data'!D236</f>
        <v>45748</v>
      </c>
      <c r="E236" t="str">
        <f t="shared" si="15"/>
        <v>Apr</v>
      </c>
      <c r="F236" s="5">
        <f>'Raw Data'!E236</f>
        <v>79</v>
      </c>
      <c r="G236" s="4">
        <f>'Raw Data'!F236</f>
        <v>10791.53</v>
      </c>
      <c r="H236" s="4">
        <f>'Raw Data'!G236</f>
        <v>8816.3700000000008</v>
      </c>
      <c r="I236" s="4">
        <f t="shared" si="16"/>
        <v>1975.1599999999999</v>
      </c>
      <c r="J236" s="8">
        <f t="shared" si="17"/>
        <v>0.18302872715917018</v>
      </c>
      <c r="K236" s="6">
        <f>'Raw Data'!I236</f>
        <v>3.26</v>
      </c>
      <c r="L236" s="5">
        <f>'Raw Data'!J236</f>
        <v>15</v>
      </c>
      <c r="M236" s="5">
        <f>IF(COUNTIFS($A$2:A236,A236,$D$2:D236,D236)=1,L236,0)</f>
        <v>15</v>
      </c>
      <c r="N236" s="4">
        <f t="shared" si="18"/>
        <v>719.43533333333335</v>
      </c>
      <c r="O236" t="str">
        <f t="shared" si="19"/>
        <v>OK</v>
      </c>
    </row>
    <row r="237" spans="1:15">
      <c r="A237" t="str">
        <f>'Raw Data'!A237</f>
        <v>Buffalo RM-04</v>
      </c>
      <c r="B237" t="str">
        <f>'Raw Data'!B237</f>
        <v>Northeast</v>
      </c>
      <c r="C237" t="str">
        <f>'Raw Data'!C237</f>
        <v>Home Goods</v>
      </c>
      <c r="D237" s="3">
        <f>'Raw Data'!D237</f>
        <v>45748</v>
      </c>
      <c r="E237" t="str">
        <f t="shared" si="15"/>
        <v>Apr</v>
      </c>
      <c r="F237" s="5">
        <f>'Raw Data'!E237</f>
        <v>71</v>
      </c>
      <c r="G237" s="4">
        <f>'Raw Data'!F237</f>
        <v>5316.83</v>
      </c>
      <c r="H237" s="4">
        <f>'Raw Data'!G237</f>
        <v>3612.55</v>
      </c>
      <c r="I237" s="4">
        <f t="shared" si="16"/>
        <v>1704.2799999999997</v>
      </c>
      <c r="J237" s="8">
        <f t="shared" si="17"/>
        <v>0.3205443845298796</v>
      </c>
      <c r="K237" s="6">
        <f>'Raw Data'!I237</f>
        <v>3.19</v>
      </c>
      <c r="L237" s="5">
        <f>'Raw Data'!J237</f>
        <v>15</v>
      </c>
      <c r="M237" s="5">
        <f>IF(COUNTIFS($A$2:A237,A237,$D$2:D237,D237)=1,L237,0)</f>
        <v>0</v>
      </c>
      <c r="N237" s="4">
        <f t="shared" si="18"/>
        <v>354.45533333333333</v>
      </c>
      <c r="O237" t="str">
        <f t="shared" si="19"/>
        <v>OK</v>
      </c>
    </row>
    <row r="238" spans="1:15">
      <c r="A238" t="str">
        <f>'Raw Data'!A238</f>
        <v>Buffalo RM-04</v>
      </c>
      <c r="B238" t="str">
        <f>'Raw Data'!B238</f>
        <v>Northeast</v>
      </c>
      <c r="C238" t="str">
        <f>'Raw Data'!C238</f>
        <v>Apparel</v>
      </c>
      <c r="D238" s="3">
        <f>'Raw Data'!D238</f>
        <v>45748</v>
      </c>
      <c r="E238" t="str">
        <f t="shared" si="15"/>
        <v>Apr</v>
      </c>
      <c r="F238" s="5">
        <f>'Raw Data'!E238</f>
        <v>107</v>
      </c>
      <c r="G238" s="4">
        <f>'Raw Data'!F238</f>
        <v>5364</v>
      </c>
      <c r="H238" s="4">
        <f>'Raw Data'!G238</f>
        <v>3390.57</v>
      </c>
      <c r="I238" s="4">
        <f t="shared" si="16"/>
        <v>1973.4299999999998</v>
      </c>
      <c r="J238" s="8">
        <f t="shared" si="17"/>
        <v>0.36790268456375835</v>
      </c>
      <c r="K238" s="6">
        <f>'Raw Data'!I238</f>
        <v>3.45</v>
      </c>
      <c r="L238" s="5">
        <f>'Raw Data'!J238</f>
        <v>15</v>
      </c>
      <c r="M238" s="5">
        <f>IF(COUNTIFS($A$2:A238,A238,$D$2:D238,D238)=1,L238,0)</f>
        <v>0</v>
      </c>
      <c r="N238" s="4">
        <f t="shared" si="18"/>
        <v>357.6</v>
      </c>
      <c r="O238" t="str">
        <f t="shared" si="19"/>
        <v>OK</v>
      </c>
    </row>
    <row r="239" spans="1:15">
      <c r="A239" t="str">
        <f>'Raw Data'!A239</f>
        <v>Buffalo RM-04</v>
      </c>
      <c r="B239" t="str">
        <f>'Raw Data'!B239</f>
        <v>Northeast</v>
      </c>
      <c r="C239" t="str">
        <f>'Raw Data'!C239</f>
        <v>Beauty</v>
      </c>
      <c r="D239" s="3">
        <f>'Raw Data'!D239</f>
        <v>45748</v>
      </c>
      <c r="E239" t="str">
        <f t="shared" si="15"/>
        <v>Apr</v>
      </c>
      <c r="F239" s="5">
        <f>'Raw Data'!E239</f>
        <v>68</v>
      </c>
      <c r="G239" s="4">
        <f>'Raw Data'!F239</f>
        <v>2477.02</v>
      </c>
      <c r="H239" s="4">
        <f>'Raw Data'!G239</f>
        <v>1240.9000000000001</v>
      </c>
      <c r="I239" s="4">
        <f t="shared" si="16"/>
        <v>1236.1199999999999</v>
      </c>
      <c r="J239" s="8">
        <f t="shared" si="17"/>
        <v>0.49903513092344831</v>
      </c>
      <c r="K239" s="6">
        <f>'Raw Data'!I239</f>
        <v>3.35</v>
      </c>
      <c r="L239" s="5">
        <f>'Raw Data'!J239</f>
        <v>15</v>
      </c>
      <c r="M239" s="5">
        <f>IF(COUNTIFS($A$2:A239,A239,$D$2:D239,D239)=1,L239,0)</f>
        <v>0</v>
      </c>
      <c r="N239" s="4">
        <f t="shared" si="18"/>
        <v>165.13466666666667</v>
      </c>
      <c r="O239" t="str">
        <f t="shared" si="19"/>
        <v>OK</v>
      </c>
    </row>
    <row r="240" spans="1:15">
      <c r="A240" t="str">
        <f>'Raw Data'!A240</f>
        <v>Buffalo RM-04</v>
      </c>
      <c r="B240" t="str">
        <f>'Raw Data'!B240</f>
        <v>Northeast</v>
      </c>
      <c r="C240" t="str">
        <f>'Raw Data'!C240</f>
        <v>Grocery</v>
      </c>
      <c r="D240" s="3">
        <f>'Raw Data'!D240</f>
        <v>45748</v>
      </c>
      <c r="E240" t="str">
        <f t="shared" si="15"/>
        <v>Apr</v>
      </c>
      <c r="F240" s="5">
        <f>'Raw Data'!E240</f>
        <v>128</v>
      </c>
      <c r="G240" s="4">
        <f>'Raw Data'!F240</f>
        <v>2418.4</v>
      </c>
      <c r="H240" s="4">
        <f>'Raw Data'!G240</f>
        <v>2306.0500000000002</v>
      </c>
      <c r="I240" s="4">
        <f t="shared" si="16"/>
        <v>112.34999999999991</v>
      </c>
      <c r="J240" s="8">
        <f t="shared" si="17"/>
        <v>4.645633476678792E-2</v>
      </c>
      <c r="K240" s="6">
        <f>'Raw Data'!I240</f>
        <v>3.33</v>
      </c>
      <c r="L240" s="5">
        <f>'Raw Data'!J240</f>
        <v>15</v>
      </c>
      <c r="M240" s="5">
        <f>IF(COUNTIFS($A$2:A240,A240,$D$2:D240,D240)=1,L240,0)</f>
        <v>0</v>
      </c>
      <c r="N240" s="4">
        <f t="shared" si="18"/>
        <v>161.22666666666666</v>
      </c>
      <c r="O240" t="str">
        <f t="shared" si="19"/>
        <v>OK</v>
      </c>
    </row>
    <row r="241" spans="1:15">
      <c r="A241" t="str">
        <f>'Raw Data'!A241</f>
        <v>Buffalo RM-04</v>
      </c>
      <c r="B241" t="str">
        <f>'Raw Data'!B241</f>
        <v>Northeast</v>
      </c>
      <c r="C241" t="str">
        <f>'Raw Data'!C241</f>
        <v>Sports</v>
      </c>
      <c r="D241" s="3">
        <f>'Raw Data'!D241</f>
        <v>45748</v>
      </c>
      <c r="E241" t="str">
        <f t="shared" si="15"/>
        <v>Apr</v>
      </c>
      <c r="F241" s="5">
        <f>'Raw Data'!E241</f>
        <v>56</v>
      </c>
      <c r="G241" s="4">
        <f>'Raw Data'!F241</f>
        <v>3486.33</v>
      </c>
      <c r="H241" s="4">
        <f>'Raw Data'!G241</f>
        <v>2411.62</v>
      </c>
      <c r="I241" s="4">
        <f t="shared" si="16"/>
        <v>1074.71</v>
      </c>
      <c r="J241" s="8">
        <f t="shared" si="17"/>
        <v>0.30826399107370789</v>
      </c>
      <c r="K241" s="6">
        <f>'Raw Data'!I241</f>
        <v>3.19</v>
      </c>
      <c r="L241" s="5">
        <f>'Raw Data'!J241</f>
        <v>15</v>
      </c>
      <c r="M241" s="5">
        <f>IF(COUNTIFS($A$2:A241,A241,$D$2:D241,D241)=1,L241,0)</f>
        <v>0</v>
      </c>
      <c r="N241" s="4">
        <f t="shared" si="18"/>
        <v>232.422</v>
      </c>
      <c r="O241" t="str">
        <f t="shared" si="19"/>
        <v>OK</v>
      </c>
    </row>
    <row r="242" spans="1:15">
      <c r="A242" t="str">
        <f>'Raw Data'!A242</f>
        <v>Buffalo RM-04</v>
      </c>
      <c r="B242" t="str">
        <f>'Raw Data'!B242</f>
        <v>Northeast</v>
      </c>
      <c r="C242" t="str">
        <f>'Raw Data'!C242</f>
        <v>Electronics</v>
      </c>
      <c r="D242" s="3">
        <f>'Raw Data'!D242</f>
        <v>45778</v>
      </c>
      <c r="E242" t="str">
        <f t="shared" si="15"/>
        <v>May</v>
      </c>
      <c r="F242" s="5">
        <f>'Raw Data'!E242</f>
        <v>89</v>
      </c>
      <c r="G242" s="4">
        <f>'Raw Data'!F242</f>
        <v>12325.75</v>
      </c>
      <c r="H242" s="4">
        <f>'Raw Data'!G242</f>
        <v>10098.61</v>
      </c>
      <c r="I242" s="4">
        <f t="shared" si="16"/>
        <v>2227.1399999999994</v>
      </c>
      <c r="J242" s="8">
        <f t="shared" si="17"/>
        <v>0.18069001886294947</v>
      </c>
      <c r="K242" s="6">
        <f>'Raw Data'!I242</f>
        <v>3.33</v>
      </c>
      <c r="L242" s="5">
        <f>'Raw Data'!J242</f>
        <v>17</v>
      </c>
      <c r="M242" s="5">
        <f>IF(COUNTIFS($A$2:A242,A242,$D$2:D242,D242)=1,L242,0)</f>
        <v>17</v>
      </c>
      <c r="N242" s="4">
        <f t="shared" si="18"/>
        <v>725.04411764705878</v>
      </c>
      <c r="O242" t="str">
        <f t="shared" si="19"/>
        <v>OK</v>
      </c>
    </row>
    <row r="243" spans="1:15">
      <c r="A243" t="str">
        <f>'Raw Data'!A243</f>
        <v>Buffalo RM-04</v>
      </c>
      <c r="B243" t="str">
        <f>'Raw Data'!B243</f>
        <v>Northeast</v>
      </c>
      <c r="C243" t="str">
        <f>'Raw Data'!C243</f>
        <v>Home Goods</v>
      </c>
      <c r="D243" s="3">
        <f>'Raw Data'!D243</f>
        <v>45778</v>
      </c>
      <c r="E243" t="str">
        <f t="shared" si="15"/>
        <v>May</v>
      </c>
      <c r="F243" s="5">
        <f>'Raw Data'!E243</f>
        <v>71</v>
      </c>
      <c r="G243" s="4">
        <f>'Raw Data'!F243</f>
        <v>5751.58</v>
      </c>
      <c r="H243" s="4">
        <f>'Raw Data'!G243</f>
        <v>3977.45</v>
      </c>
      <c r="I243" s="4">
        <f t="shared" si="16"/>
        <v>1774.13</v>
      </c>
      <c r="J243" s="8">
        <f t="shared" si="17"/>
        <v>0.30845958849568295</v>
      </c>
      <c r="K243" s="6">
        <f>'Raw Data'!I243</f>
        <v>3.22</v>
      </c>
      <c r="L243" s="5">
        <f>'Raw Data'!J243</f>
        <v>17</v>
      </c>
      <c r="M243" s="5">
        <f>IF(COUNTIFS($A$2:A243,A243,$D$2:D243,D243)=1,L243,0)</f>
        <v>0</v>
      </c>
      <c r="N243" s="4">
        <f t="shared" si="18"/>
        <v>338.32823529411763</v>
      </c>
      <c r="O243" t="str">
        <f t="shared" si="19"/>
        <v>OK</v>
      </c>
    </row>
    <row r="244" spans="1:15">
      <c r="A244" t="str">
        <f>'Raw Data'!A244</f>
        <v>Buffalo RM-04</v>
      </c>
      <c r="B244" t="str">
        <f>'Raw Data'!B244</f>
        <v>Northeast</v>
      </c>
      <c r="C244" t="str">
        <f>'Raw Data'!C244</f>
        <v>Apparel</v>
      </c>
      <c r="D244" s="3">
        <f>'Raw Data'!D244</f>
        <v>45778</v>
      </c>
      <c r="E244" t="str">
        <f t="shared" si="15"/>
        <v>May</v>
      </c>
      <c r="F244" s="5">
        <f>'Raw Data'!E244</f>
        <v>105</v>
      </c>
      <c r="G244" s="4">
        <f>'Raw Data'!F244</f>
        <v>5150.63</v>
      </c>
      <c r="H244" s="4">
        <f>'Raw Data'!G244</f>
        <v>3333.15</v>
      </c>
      <c r="I244" s="4">
        <f t="shared" si="16"/>
        <v>1817.48</v>
      </c>
      <c r="J244" s="8">
        <f t="shared" si="17"/>
        <v>0.35286557178442246</v>
      </c>
      <c r="K244" s="6">
        <f>'Raw Data'!I244</f>
        <v>3.31</v>
      </c>
      <c r="L244" s="5">
        <f>'Raw Data'!J244</f>
        <v>17</v>
      </c>
      <c r="M244" s="5">
        <f>IF(COUNTIFS($A$2:A244,A244,$D$2:D244,D244)=1,L244,0)</f>
        <v>0</v>
      </c>
      <c r="N244" s="4">
        <f t="shared" si="18"/>
        <v>302.97823529411767</v>
      </c>
      <c r="O244" t="str">
        <f t="shared" si="19"/>
        <v>OK</v>
      </c>
    </row>
    <row r="245" spans="1:15">
      <c r="A245" t="str">
        <f>'Raw Data'!A245</f>
        <v>Buffalo RM-04</v>
      </c>
      <c r="B245" t="str">
        <f>'Raw Data'!B245</f>
        <v>Northeast</v>
      </c>
      <c r="C245" t="str">
        <f>'Raw Data'!C245</f>
        <v>Beauty</v>
      </c>
      <c r="D245" s="3">
        <f>'Raw Data'!D245</f>
        <v>45778</v>
      </c>
      <c r="E245" t="str">
        <f t="shared" si="15"/>
        <v>May</v>
      </c>
      <c r="F245" s="5">
        <f>'Raw Data'!E245</f>
        <v>88</v>
      </c>
      <c r="G245" s="4">
        <f>'Raw Data'!F245</f>
        <v>3242.88</v>
      </c>
      <c r="H245" s="4">
        <f>'Raw Data'!G245</f>
        <v>1662.34</v>
      </c>
      <c r="I245" s="4">
        <f t="shared" si="16"/>
        <v>1580.5400000000002</v>
      </c>
      <c r="J245" s="8">
        <f t="shared" si="17"/>
        <v>0.48738775409512536</v>
      </c>
      <c r="K245" s="6">
        <f>'Raw Data'!I245</f>
        <v>3.35</v>
      </c>
      <c r="L245" s="5">
        <f>'Raw Data'!J245</f>
        <v>17</v>
      </c>
      <c r="M245" s="5">
        <f>IF(COUNTIFS($A$2:A245,A245,$D$2:D245,D245)=1,L245,0)</f>
        <v>0</v>
      </c>
      <c r="N245" s="4">
        <f t="shared" si="18"/>
        <v>190.75764705882352</v>
      </c>
      <c r="O245" t="str">
        <f t="shared" si="19"/>
        <v>OK</v>
      </c>
    </row>
    <row r="246" spans="1:15">
      <c r="A246" t="str">
        <f>'Raw Data'!A246</f>
        <v>Buffalo RM-04</v>
      </c>
      <c r="B246" t="str">
        <f>'Raw Data'!B246</f>
        <v>Northeast</v>
      </c>
      <c r="C246" t="str">
        <f>'Raw Data'!C246</f>
        <v>Grocery</v>
      </c>
      <c r="D246" s="3">
        <f>'Raw Data'!D246</f>
        <v>45778</v>
      </c>
      <c r="E246" t="str">
        <f t="shared" si="15"/>
        <v>May</v>
      </c>
      <c r="F246" s="5">
        <f>'Raw Data'!E246</f>
        <v>116</v>
      </c>
      <c r="G246" s="4">
        <f>'Raw Data'!F246</f>
        <v>1996.17</v>
      </c>
      <c r="H246" s="4">
        <f>'Raw Data'!G246</f>
        <v>1891.8</v>
      </c>
      <c r="I246" s="4">
        <f t="shared" si="16"/>
        <v>104.37000000000012</v>
      </c>
      <c r="J246" s="8">
        <f t="shared" si="17"/>
        <v>5.2285126016321314E-2</v>
      </c>
      <c r="K246" s="6">
        <f>'Raw Data'!I246</f>
        <v>3.46</v>
      </c>
      <c r="L246" s="5">
        <f>'Raw Data'!J246</f>
        <v>17</v>
      </c>
      <c r="M246" s="5">
        <f>IF(COUNTIFS($A$2:A246,A246,$D$2:D246,D246)=1,L246,0)</f>
        <v>0</v>
      </c>
      <c r="N246" s="4">
        <f t="shared" si="18"/>
        <v>117.42176470588235</v>
      </c>
      <c r="O246" t="str">
        <f t="shared" si="19"/>
        <v>OK</v>
      </c>
    </row>
    <row r="247" spans="1:15">
      <c r="A247" t="str">
        <f>'Raw Data'!A247</f>
        <v>Buffalo RM-04</v>
      </c>
      <c r="B247" t="str">
        <f>'Raw Data'!B247</f>
        <v>Northeast</v>
      </c>
      <c r="C247" t="str">
        <f>'Raw Data'!C247</f>
        <v>Sports</v>
      </c>
      <c r="D247" s="3">
        <f>'Raw Data'!D247</f>
        <v>45778</v>
      </c>
      <c r="E247" t="str">
        <f t="shared" si="15"/>
        <v>May</v>
      </c>
      <c r="F247" s="5">
        <f>'Raw Data'!E247</f>
        <v>83</v>
      </c>
      <c r="G247" s="4">
        <f>'Raw Data'!F247</f>
        <v>5234.4399999999996</v>
      </c>
      <c r="H247" s="4">
        <f>'Raw Data'!G247</f>
        <v>3632.13</v>
      </c>
      <c r="I247" s="4">
        <f t="shared" si="16"/>
        <v>1602.3099999999995</v>
      </c>
      <c r="J247" s="8">
        <f t="shared" si="17"/>
        <v>0.30610915398781907</v>
      </c>
      <c r="K247" s="6">
        <f>'Raw Data'!I247</f>
        <v>3.32</v>
      </c>
      <c r="L247" s="5">
        <f>'Raw Data'!J247</f>
        <v>17</v>
      </c>
      <c r="M247" s="5">
        <f>IF(COUNTIFS($A$2:A247,A247,$D$2:D247,D247)=1,L247,0)</f>
        <v>0</v>
      </c>
      <c r="N247" s="4">
        <f t="shared" si="18"/>
        <v>307.90823529411762</v>
      </c>
      <c r="O247" t="str">
        <f t="shared" si="19"/>
        <v>OK</v>
      </c>
    </row>
    <row r="248" spans="1:15">
      <c r="A248" t="str">
        <f>'Raw Data'!A248</f>
        <v>Buffalo RM-04</v>
      </c>
      <c r="B248" t="str">
        <f>'Raw Data'!B248</f>
        <v>Northeast</v>
      </c>
      <c r="C248" t="str">
        <f>'Raw Data'!C248</f>
        <v>Electronics</v>
      </c>
      <c r="D248" s="3">
        <f>'Raw Data'!D248</f>
        <v>45809</v>
      </c>
      <c r="E248" t="str">
        <f t="shared" si="15"/>
        <v>Jun</v>
      </c>
      <c r="F248" s="5">
        <f>'Raw Data'!E248</f>
        <v>77</v>
      </c>
      <c r="G248" s="4">
        <f>'Raw Data'!F248</f>
        <v>11118.36</v>
      </c>
      <c r="H248" s="4">
        <f>'Raw Data'!G248</f>
        <v>9186.2999999999993</v>
      </c>
      <c r="I248" s="4">
        <f t="shared" si="16"/>
        <v>1932.0600000000013</v>
      </c>
      <c r="J248" s="8">
        <f t="shared" si="17"/>
        <v>0.17377203112689293</v>
      </c>
      <c r="K248" s="6">
        <f>'Raw Data'!I248</f>
        <v>3.28</v>
      </c>
      <c r="L248" s="5">
        <f>'Raw Data'!J248</f>
        <v>17</v>
      </c>
      <c r="M248" s="5">
        <f>IF(COUNTIFS($A$2:A248,A248,$D$2:D248,D248)=1,L248,0)</f>
        <v>17</v>
      </c>
      <c r="N248" s="4">
        <f t="shared" si="18"/>
        <v>654.02117647058822</v>
      </c>
      <c r="O248" t="str">
        <f t="shared" si="19"/>
        <v>OK</v>
      </c>
    </row>
    <row r="249" spans="1:15">
      <c r="A249" t="str">
        <f>'Raw Data'!A249</f>
        <v>Buffalo RM-04</v>
      </c>
      <c r="B249" t="str">
        <f>'Raw Data'!B249</f>
        <v>Northeast</v>
      </c>
      <c r="C249" t="str">
        <f>'Raw Data'!C249</f>
        <v>Home Goods</v>
      </c>
      <c r="D249" s="3">
        <f>'Raw Data'!D249</f>
        <v>45809</v>
      </c>
      <c r="E249" t="str">
        <f t="shared" si="15"/>
        <v>Jun</v>
      </c>
      <c r="F249" s="5">
        <f>'Raw Data'!E249</f>
        <v>87</v>
      </c>
      <c r="G249" s="4">
        <f>'Raw Data'!F249</f>
        <v>6504.58</v>
      </c>
      <c r="H249" s="4">
        <f>'Raw Data'!G249</f>
        <v>4518.29</v>
      </c>
      <c r="I249" s="4">
        <f t="shared" si="16"/>
        <v>1986.29</v>
      </c>
      <c r="J249" s="8">
        <f t="shared" si="17"/>
        <v>0.30536790999572611</v>
      </c>
      <c r="K249" s="6">
        <f>'Raw Data'!I249</f>
        <v>3.51</v>
      </c>
      <c r="L249" s="5">
        <f>'Raw Data'!J249</f>
        <v>17</v>
      </c>
      <c r="M249" s="5">
        <f>IF(COUNTIFS($A$2:A249,A249,$D$2:D249,D249)=1,L249,0)</f>
        <v>0</v>
      </c>
      <c r="N249" s="4">
        <f t="shared" si="18"/>
        <v>382.62235294117647</v>
      </c>
      <c r="O249" t="str">
        <f t="shared" si="19"/>
        <v>OK</v>
      </c>
    </row>
    <row r="250" spans="1:15">
      <c r="A250" t="str">
        <f>'Raw Data'!A250</f>
        <v>Buffalo RM-04</v>
      </c>
      <c r="B250" t="str">
        <f>'Raw Data'!B250</f>
        <v>Northeast</v>
      </c>
      <c r="C250" t="str">
        <f>'Raw Data'!C250</f>
        <v>Apparel</v>
      </c>
      <c r="D250" s="3">
        <f>'Raw Data'!D250</f>
        <v>45809</v>
      </c>
      <c r="E250" t="str">
        <f t="shared" si="15"/>
        <v>Jun</v>
      </c>
      <c r="F250" s="5">
        <f>'Raw Data'!E250</f>
        <v>98</v>
      </c>
      <c r="G250" s="4">
        <f>'Raw Data'!F250</f>
        <v>4481.84</v>
      </c>
      <c r="H250" s="4">
        <f>'Raw Data'!G250</f>
        <v>2818.87</v>
      </c>
      <c r="I250" s="4">
        <f t="shared" si="16"/>
        <v>1662.9700000000003</v>
      </c>
      <c r="J250" s="8">
        <f t="shared" si="17"/>
        <v>0.37104626671188623</v>
      </c>
      <c r="K250" s="6">
        <f>'Raw Data'!I250</f>
        <v>3.33</v>
      </c>
      <c r="L250" s="5">
        <f>'Raw Data'!J250</f>
        <v>17</v>
      </c>
      <c r="M250" s="5">
        <f>IF(COUNTIFS($A$2:A250,A250,$D$2:D250,D250)=1,L250,0)</f>
        <v>0</v>
      </c>
      <c r="N250" s="4">
        <f t="shared" si="18"/>
        <v>263.63764705882352</v>
      </c>
      <c r="O250" t="str">
        <f t="shared" si="19"/>
        <v>OK</v>
      </c>
    </row>
    <row r="251" spans="1:15">
      <c r="A251" t="str">
        <f>'Raw Data'!A251</f>
        <v>Buffalo RM-04</v>
      </c>
      <c r="B251" t="str">
        <f>'Raw Data'!B251</f>
        <v>Northeast</v>
      </c>
      <c r="C251" t="str">
        <f>'Raw Data'!C251</f>
        <v>Beauty</v>
      </c>
      <c r="D251" s="3">
        <f>'Raw Data'!D251</f>
        <v>45809</v>
      </c>
      <c r="E251" t="str">
        <f t="shared" si="15"/>
        <v>Jun</v>
      </c>
      <c r="F251" s="5">
        <f>'Raw Data'!E251</f>
        <v>77</v>
      </c>
      <c r="G251" s="4">
        <f>'Raw Data'!F251</f>
        <v>2894.64</v>
      </c>
      <c r="H251" s="4">
        <f>'Raw Data'!G251</f>
        <v>1508.07</v>
      </c>
      <c r="I251" s="4">
        <f t="shared" si="16"/>
        <v>1386.57</v>
      </c>
      <c r="J251" s="8">
        <f t="shared" si="17"/>
        <v>0.47901293425089131</v>
      </c>
      <c r="K251" s="6">
        <f>'Raw Data'!I251</f>
        <v>3.22</v>
      </c>
      <c r="L251" s="5">
        <f>'Raw Data'!J251</f>
        <v>17</v>
      </c>
      <c r="M251" s="5">
        <f>IF(COUNTIFS($A$2:A251,A251,$D$2:D251,D251)=1,L251,0)</f>
        <v>0</v>
      </c>
      <c r="N251" s="4">
        <f t="shared" si="18"/>
        <v>170.27294117647057</v>
      </c>
      <c r="O251" t="str">
        <f t="shared" si="19"/>
        <v>OK</v>
      </c>
    </row>
    <row r="252" spans="1:15">
      <c r="A252" t="str">
        <f>'Raw Data'!A252</f>
        <v>Buffalo RM-04</v>
      </c>
      <c r="B252" t="str">
        <f>'Raw Data'!B252</f>
        <v>Northeast</v>
      </c>
      <c r="C252" t="str">
        <f>'Raw Data'!C252</f>
        <v>Grocery</v>
      </c>
      <c r="D252" s="3">
        <f>'Raw Data'!D252</f>
        <v>45809</v>
      </c>
      <c r="E252" t="str">
        <f t="shared" si="15"/>
        <v>Jun</v>
      </c>
      <c r="F252" s="5">
        <f>'Raw Data'!E252</f>
        <v>167</v>
      </c>
      <c r="G252" s="4">
        <f>'Raw Data'!F252</f>
        <v>3062.02</v>
      </c>
      <c r="H252" s="4">
        <f>'Raw Data'!G252</f>
        <v>2923.12</v>
      </c>
      <c r="I252" s="4">
        <f t="shared" si="16"/>
        <v>138.90000000000009</v>
      </c>
      <c r="J252" s="8">
        <f t="shared" si="17"/>
        <v>4.5362211873207915E-2</v>
      </c>
      <c r="K252" s="6">
        <f>'Raw Data'!I252</f>
        <v>3.29</v>
      </c>
      <c r="L252" s="5">
        <f>'Raw Data'!J252</f>
        <v>17</v>
      </c>
      <c r="M252" s="5">
        <f>IF(COUNTIFS($A$2:A252,A252,$D$2:D252,D252)=1,L252,0)</f>
        <v>0</v>
      </c>
      <c r="N252" s="4">
        <f t="shared" si="18"/>
        <v>180.11882352941177</v>
      </c>
      <c r="O252" t="str">
        <f t="shared" si="19"/>
        <v>OK</v>
      </c>
    </row>
    <row r="253" spans="1:15">
      <c r="A253" t="str">
        <f>'Raw Data'!A253</f>
        <v>Buffalo RM-04</v>
      </c>
      <c r="B253" t="str">
        <f>'Raw Data'!B253</f>
        <v>Northeast</v>
      </c>
      <c r="C253" t="str">
        <f>'Raw Data'!C253</f>
        <v>Sports</v>
      </c>
      <c r="D253" s="3">
        <f>'Raw Data'!D253</f>
        <v>45809</v>
      </c>
      <c r="E253" t="str">
        <f t="shared" si="15"/>
        <v>Jun</v>
      </c>
      <c r="F253" s="5">
        <f>'Raw Data'!E253</f>
        <v>88</v>
      </c>
      <c r="G253" s="4">
        <f>'Raw Data'!F253</f>
        <v>5795.94</v>
      </c>
      <c r="H253" s="4">
        <f>'Raw Data'!G253</f>
        <v>4075.3</v>
      </c>
      <c r="I253" s="4">
        <f t="shared" si="16"/>
        <v>1720.6399999999994</v>
      </c>
      <c r="J253" s="8">
        <f t="shared" si="17"/>
        <v>0.29686987788003316</v>
      </c>
      <c r="K253" s="6">
        <f>'Raw Data'!I253</f>
        <v>3.32</v>
      </c>
      <c r="L253" s="5">
        <f>'Raw Data'!J253</f>
        <v>17</v>
      </c>
      <c r="M253" s="5">
        <f>IF(COUNTIFS($A$2:A253,A253,$D$2:D253,D253)=1,L253,0)</f>
        <v>0</v>
      </c>
      <c r="N253" s="4">
        <f t="shared" si="18"/>
        <v>340.93764705882353</v>
      </c>
      <c r="O253" t="str">
        <f t="shared" si="19"/>
        <v>OK</v>
      </c>
    </row>
    <row r="254" spans="1:15">
      <c r="A254" t="str">
        <f>'Raw Data'!A254</f>
        <v>Buffalo RM-04</v>
      </c>
      <c r="B254" t="str">
        <f>'Raw Data'!B254</f>
        <v>Northeast</v>
      </c>
      <c r="C254" t="str">
        <f>'Raw Data'!C254</f>
        <v>Electronics</v>
      </c>
      <c r="D254" s="3">
        <f>'Raw Data'!D254</f>
        <v>45839</v>
      </c>
      <c r="E254" t="str">
        <f t="shared" si="15"/>
        <v>Jul</v>
      </c>
      <c r="F254" s="5">
        <f>'Raw Data'!E254</f>
        <v>103</v>
      </c>
      <c r="G254" s="4">
        <f>'Raw Data'!F254</f>
        <v>14774.16</v>
      </c>
      <c r="H254" s="4">
        <f>'Raw Data'!G254</f>
        <v>12186.29</v>
      </c>
      <c r="I254" s="4">
        <f t="shared" si="16"/>
        <v>2587.869999999999</v>
      </c>
      <c r="J254" s="8">
        <f t="shared" si="17"/>
        <v>0.1751619042977739</v>
      </c>
      <c r="K254" s="6">
        <f>'Raw Data'!I254</f>
        <v>3.25</v>
      </c>
      <c r="L254" s="5">
        <f>'Raw Data'!J254</f>
        <v>16</v>
      </c>
      <c r="M254" s="5">
        <f>IF(COUNTIFS($A$2:A254,A254,$D$2:D254,D254)=1,L254,0)</f>
        <v>16</v>
      </c>
      <c r="N254" s="4">
        <f t="shared" si="18"/>
        <v>923.38499999999999</v>
      </c>
      <c r="O254" t="str">
        <f t="shared" si="19"/>
        <v>OK</v>
      </c>
    </row>
    <row r="255" spans="1:15">
      <c r="A255" t="str">
        <f>'Raw Data'!A255</f>
        <v>Buffalo RM-04</v>
      </c>
      <c r="B255" t="str">
        <f>'Raw Data'!B255</f>
        <v>Northeast</v>
      </c>
      <c r="C255" t="str">
        <f>'Raw Data'!C255</f>
        <v>Home Goods</v>
      </c>
      <c r="D255" s="3">
        <f>'Raw Data'!D255</f>
        <v>45839</v>
      </c>
      <c r="E255" t="str">
        <f t="shared" si="15"/>
        <v>Jul</v>
      </c>
      <c r="F255" s="5">
        <f>'Raw Data'!E255</f>
        <v>82</v>
      </c>
      <c r="G255" s="4">
        <f>'Raw Data'!F255</f>
        <v>6431.07</v>
      </c>
      <c r="H255" s="4">
        <f>'Raw Data'!G255</f>
        <v>4496.84</v>
      </c>
      <c r="I255" s="4">
        <f t="shared" si="16"/>
        <v>1934.2299999999996</v>
      </c>
      <c r="J255" s="8">
        <f t="shared" si="17"/>
        <v>0.30076332554302776</v>
      </c>
      <c r="K255" s="6">
        <f>'Raw Data'!I255</f>
        <v>3.21</v>
      </c>
      <c r="L255" s="5">
        <f>'Raw Data'!J255</f>
        <v>16</v>
      </c>
      <c r="M255" s="5">
        <f>IF(COUNTIFS($A$2:A255,A255,$D$2:D255,D255)=1,L255,0)</f>
        <v>0</v>
      </c>
      <c r="N255" s="4">
        <f t="shared" si="18"/>
        <v>401.94187499999998</v>
      </c>
      <c r="O255" t="str">
        <f t="shared" si="19"/>
        <v>OK</v>
      </c>
    </row>
    <row r="256" spans="1:15">
      <c r="A256" t="str">
        <f>'Raw Data'!A256</f>
        <v>Buffalo RM-04</v>
      </c>
      <c r="B256" t="str">
        <f>'Raw Data'!B256</f>
        <v>Northeast</v>
      </c>
      <c r="C256" t="str">
        <f>'Raw Data'!C256</f>
        <v>Apparel</v>
      </c>
      <c r="D256" s="3">
        <f>'Raw Data'!D256</f>
        <v>45839</v>
      </c>
      <c r="E256" t="str">
        <f t="shared" si="15"/>
        <v>Jul</v>
      </c>
      <c r="F256" s="5">
        <f>'Raw Data'!E256</f>
        <v>111</v>
      </c>
      <c r="G256" s="4">
        <f>'Raw Data'!F256</f>
        <v>5577.16</v>
      </c>
      <c r="H256" s="4">
        <f>'Raw Data'!G256</f>
        <v>3646.88</v>
      </c>
      <c r="I256" s="4">
        <f t="shared" si="16"/>
        <v>1930.2799999999997</v>
      </c>
      <c r="J256" s="8">
        <f t="shared" si="17"/>
        <v>0.34610446894118152</v>
      </c>
      <c r="K256" s="6">
        <f>'Raw Data'!I256</f>
        <v>3.46</v>
      </c>
      <c r="L256" s="5">
        <f>'Raw Data'!J256</f>
        <v>16</v>
      </c>
      <c r="M256" s="5">
        <f>IF(COUNTIFS($A$2:A256,A256,$D$2:D256,D256)=1,L256,0)</f>
        <v>0</v>
      </c>
      <c r="N256" s="4">
        <f t="shared" si="18"/>
        <v>348.57249999999999</v>
      </c>
      <c r="O256" t="str">
        <f t="shared" si="19"/>
        <v>OK</v>
      </c>
    </row>
    <row r="257" spans="1:15">
      <c r="A257" t="str">
        <f>'Raw Data'!A257</f>
        <v>Buffalo RM-04</v>
      </c>
      <c r="B257" t="str">
        <f>'Raw Data'!B257</f>
        <v>Northeast</v>
      </c>
      <c r="C257" t="str">
        <f>'Raw Data'!C257</f>
        <v>Beauty</v>
      </c>
      <c r="D257" s="3">
        <f>'Raw Data'!D257</f>
        <v>45839</v>
      </c>
      <c r="E257" t="str">
        <f t="shared" si="15"/>
        <v>Jul</v>
      </c>
      <c r="F257" s="5">
        <f>'Raw Data'!E257</f>
        <v>83</v>
      </c>
      <c r="G257" s="4">
        <f>'Raw Data'!F257</f>
        <v>3162.27</v>
      </c>
      <c r="H257" s="4">
        <f>'Raw Data'!G257</f>
        <v>1726.97</v>
      </c>
      <c r="I257" s="4">
        <f t="shared" si="16"/>
        <v>1435.3</v>
      </c>
      <c r="J257" s="8">
        <f t="shared" si="17"/>
        <v>0.45388281203059827</v>
      </c>
      <c r="K257" s="6">
        <f>'Raw Data'!I257</f>
        <v>3.46</v>
      </c>
      <c r="L257" s="5">
        <f>'Raw Data'!J257</f>
        <v>16</v>
      </c>
      <c r="M257" s="5">
        <f>IF(COUNTIFS($A$2:A257,A257,$D$2:D257,D257)=1,L257,0)</f>
        <v>0</v>
      </c>
      <c r="N257" s="4">
        <f t="shared" si="18"/>
        <v>197.641875</v>
      </c>
      <c r="O257" t="str">
        <f t="shared" si="19"/>
        <v>OK</v>
      </c>
    </row>
    <row r="258" spans="1:15">
      <c r="A258" t="str">
        <f>'Raw Data'!A258</f>
        <v>Buffalo RM-04</v>
      </c>
      <c r="B258" t="str">
        <f>'Raw Data'!B258</f>
        <v>Northeast</v>
      </c>
      <c r="C258" t="str">
        <f>'Raw Data'!C258</f>
        <v>Grocery</v>
      </c>
      <c r="D258" s="3">
        <f>'Raw Data'!D258</f>
        <v>45839</v>
      </c>
      <c r="E258" t="str">
        <f t="shared" ref="E258:E321" si="20">TEXT(D258,"mmm")</f>
        <v>Jul</v>
      </c>
      <c r="F258" s="5">
        <f>'Raw Data'!E258</f>
        <v>133</v>
      </c>
      <c r="G258" s="4">
        <f>'Raw Data'!F258</f>
        <v>2259.16</v>
      </c>
      <c r="H258" s="4">
        <f>'Raw Data'!G258</f>
        <v>2203.77</v>
      </c>
      <c r="I258" s="4">
        <f t="shared" ref="I258:I321" si="21">G258-H258</f>
        <v>55.389999999999873</v>
      </c>
      <c r="J258" s="8">
        <f t="shared" ref="J258:J321" si="22">IFERROR(I258/G258,0)</f>
        <v>2.4517962428513198E-2</v>
      </c>
      <c r="K258" s="6">
        <f>'Raw Data'!I258</f>
        <v>3.44</v>
      </c>
      <c r="L258" s="5">
        <f>'Raw Data'!J258</f>
        <v>16</v>
      </c>
      <c r="M258" s="5">
        <f>IF(COUNTIFS($A$2:A258,A258,$D$2:D258,D258)=1,L258,0)</f>
        <v>0</v>
      </c>
      <c r="N258" s="4">
        <f t="shared" ref="N258:N321" si="23">IFERROR(G258/L258,0)</f>
        <v>141.19749999999999</v>
      </c>
      <c r="O258" t="str">
        <f t="shared" ref="O258:O321" si="24">IF(OR(A258="",B258="",C258="",F258&lt;0,G258&lt;0,H258&lt;0,K258&lt;1,K258&gt;5),"Review","OK")</f>
        <v>OK</v>
      </c>
    </row>
    <row r="259" spans="1:15">
      <c r="A259" t="str">
        <f>'Raw Data'!A259</f>
        <v>Buffalo RM-04</v>
      </c>
      <c r="B259" t="str">
        <f>'Raw Data'!B259</f>
        <v>Northeast</v>
      </c>
      <c r="C259" t="str">
        <f>'Raw Data'!C259</f>
        <v>Sports</v>
      </c>
      <c r="D259" s="3">
        <f>'Raw Data'!D259</f>
        <v>45839</v>
      </c>
      <c r="E259" t="str">
        <f t="shared" si="20"/>
        <v>Jul</v>
      </c>
      <c r="F259" s="5">
        <f>'Raw Data'!E259</f>
        <v>78</v>
      </c>
      <c r="G259" s="4">
        <f>'Raw Data'!F259</f>
        <v>4726.91</v>
      </c>
      <c r="H259" s="4">
        <f>'Raw Data'!G259</f>
        <v>3203.67</v>
      </c>
      <c r="I259" s="4">
        <f t="shared" si="21"/>
        <v>1523.2399999999998</v>
      </c>
      <c r="J259" s="8">
        <f t="shared" si="22"/>
        <v>0.32224857253470024</v>
      </c>
      <c r="K259" s="6">
        <f>'Raw Data'!I259</f>
        <v>3.42</v>
      </c>
      <c r="L259" s="5">
        <f>'Raw Data'!J259</f>
        <v>16</v>
      </c>
      <c r="M259" s="5">
        <f>IF(COUNTIFS($A$2:A259,A259,$D$2:D259,D259)=1,L259,0)</f>
        <v>0</v>
      </c>
      <c r="N259" s="4">
        <f t="shared" si="23"/>
        <v>295.43187499999999</v>
      </c>
      <c r="O259" t="str">
        <f t="shared" si="24"/>
        <v>OK</v>
      </c>
    </row>
    <row r="260" spans="1:15">
      <c r="A260" t="str">
        <f>'Raw Data'!A260</f>
        <v>Buffalo RM-04</v>
      </c>
      <c r="B260" t="str">
        <f>'Raw Data'!B260</f>
        <v>Northeast</v>
      </c>
      <c r="C260" t="str">
        <f>'Raw Data'!C260</f>
        <v>Electronics</v>
      </c>
      <c r="D260" s="3">
        <f>'Raw Data'!D260</f>
        <v>45870</v>
      </c>
      <c r="E260" t="str">
        <f t="shared" si="20"/>
        <v>Aug</v>
      </c>
      <c r="F260" s="5">
        <f>'Raw Data'!E260</f>
        <v>94</v>
      </c>
      <c r="G260" s="4">
        <f>'Raw Data'!F260</f>
        <v>13158.36</v>
      </c>
      <c r="H260" s="4">
        <f>'Raw Data'!G260</f>
        <v>10649.03</v>
      </c>
      <c r="I260" s="4">
        <f t="shared" si="21"/>
        <v>2509.33</v>
      </c>
      <c r="J260" s="8">
        <f t="shared" si="22"/>
        <v>0.19070233676537196</v>
      </c>
      <c r="K260" s="6">
        <f>'Raw Data'!I260</f>
        <v>3.41</v>
      </c>
      <c r="L260" s="5">
        <f>'Raw Data'!J260</f>
        <v>17</v>
      </c>
      <c r="M260" s="5">
        <f>IF(COUNTIFS($A$2:A260,A260,$D$2:D260,D260)=1,L260,0)</f>
        <v>17</v>
      </c>
      <c r="N260" s="4">
        <f t="shared" si="23"/>
        <v>774.02117647058822</v>
      </c>
      <c r="O260" t="str">
        <f t="shared" si="24"/>
        <v>OK</v>
      </c>
    </row>
    <row r="261" spans="1:15">
      <c r="A261" t="str">
        <f>'Raw Data'!A261</f>
        <v>Buffalo RM-04</v>
      </c>
      <c r="B261" t="str">
        <f>'Raw Data'!B261</f>
        <v>Northeast</v>
      </c>
      <c r="C261" t="str">
        <f>'Raw Data'!C261</f>
        <v>Home Goods</v>
      </c>
      <c r="D261" s="3">
        <f>'Raw Data'!D261</f>
        <v>45870</v>
      </c>
      <c r="E261" t="str">
        <f t="shared" si="20"/>
        <v>Aug</v>
      </c>
      <c r="F261" s="5">
        <f>'Raw Data'!E261</f>
        <v>77</v>
      </c>
      <c r="G261" s="4">
        <f>'Raw Data'!F261</f>
        <v>5557.89</v>
      </c>
      <c r="H261" s="4">
        <f>'Raw Data'!G261</f>
        <v>4042.62</v>
      </c>
      <c r="I261" s="4">
        <f t="shared" si="21"/>
        <v>1515.2700000000004</v>
      </c>
      <c r="J261" s="8">
        <f t="shared" si="22"/>
        <v>0.27263403917673801</v>
      </c>
      <c r="K261" s="6">
        <f>'Raw Data'!I261</f>
        <v>3.52</v>
      </c>
      <c r="L261" s="5">
        <f>'Raw Data'!J261</f>
        <v>17</v>
      </c>
      <c r="M261" s="5">
        <f>IF(COUNTIFS($A$2:A261,A261,$D$2:D261,D261)=1,L261,0)</f>
        <v>0</v>
      </c>
      <c r="N261" s="4">
        <f t="shared" si="23"/>
        <v>326.93470588235294</v>
      </c>
      <c r="O261" t="str">
        <f t="shared" si="24"/>
        <v>OK</v>
      </c>
    </row>
    <row r="262" spans="1:15">
      <c r="A262" t="str">
        <f>'Raw Data'!A262</f>
        <v>Buffalo RM-04</v>
      </c>
      <c r="B262" t="str">
        <f>'Raw Data'!B262</f>
        <v>Northeast</v>
      </c>
      <c r="C262" t="str">
        <f>'Raw Data'!C262</f>
        <v>Apparel</v>
      </c>
      <c r="D262" s="3">
        <f>'Raw Data'!D262</f>
        <v>45870</v>
      </c>
      <c r="E262" t="str">
        <f t="shared" si="20"/>
        <v>Aug</v>
      </c>
      <c r="F262" s="5">
        <f>'Raw Data'!E262</f>
        <v>129</v>
      </c>
      <c r="G262" s="4">
        <f>'Raw Data'!F262</f>
        <v>6146.6</v>
      </c>
      <c r="H262" s="4">
        <f>'Raw Data'!G262</f>
        <v>4027.08</v>
      </c>
      <c r="I262" s="4">
        <f t="shared" si="21"/>
        <v>2119.5200000000004</v>
      </c>
      <c r="J262" s="8">
        <f t="shared" si="22"/>
        <v>0.34482803501122578</v>
      </c>
      <c r="K262" s="6">
        <f>'Raw Data'!I262</f>
        <v>3.23</v>
      </c>
      <c r="L262" s="5">
        <f>'Raw Data'!J262</f>
        <v>17</v>
      </c>
      <c r="M262" s="5">
        <f>IF(COUNTIFS($A$2:A262,A262,$D$2:D262,D262)=1,L262,0)</f>
        <v>0</v>
      </c>
      <c r="N262" s="4">
        <f t="shared" si="23"/>
        <v>361.56470588235294</v>
      </c>
      <c r="O262" t="str">
        <f t="shared" si="24"/>
        <v>OK</v>
      </c>
    </row>
    <row r="263" spans="1:15">
      <c r="A263" t="str">
        <f>'Raw Data'!A263</f>
        <v>Buffalo RM-04</v>
      </c>
      <c r="B263" t="str">
        <f>'Raw Data'!B263</f>
        <v>Northeast</v>
      </c>
      <c r="C263" t="str">
        <f>'Raw Data'!C263</f>
        <v>Beauty</v>
      </c>
      <c r="D263" s="3">
        <f>'Raw Data'!D263</f>
        <v>45870</v>
      </c>
      <c r="E263" t="str">
        <f t="shared" si="20"/>
        <v>Aug</v>
      </c>
      <c r="F263" s="5">
        <f>'Raw Data'!E263</f>
        <v>89</v>
      </c>
      <c r="G263" s="4">
        <f>'Raw Data'!F263</f>
        <v>3151.55</v>
      </c>
      <c r="H263" s="4">
        <f>'Raw Data'!G263</f>
        <v>1674.55</v>
      </c>
      <c r="I263" s="4">
        <f t="shared" si="21"/>
        <v>1477.0000000000002</v>
      </c>
      <c r="J263" s="8">
        <f t="shared" si="22"/>
        <v>0.46865827925941206</v>
      </c>
      <c r="K263" s="6">
        <f>'Raw Data'!I263</f>
        <v>3.51</v>
      </c>
      <c r="L263" s="5">
        <f>'Raw Data'!J263</f>
        <v>17</v>
      </c>
      <c r="M263" s="5">
        <f>IF(COUNTIFS($A$2:A263,A263,$D$2:D263,D263)=1,L263,0)</f>
        <v>0</v>
      </c>
      <c r="N263" s="4">
        <f t="shared" si="23"/>
        <v>185.38529411764708</v>
      </c>
      <c r="O263" t="str">
        <f t="shared" si="24"/>
        <v>OK</v>
      </c>
    </row>
    <row r="264" spans="1:15">
      <c r="A264" t="str">
        <f>'Raw Data'!A264</f>
        <v>Buffalo RM-04</v>
      </c>
      <c r="B264" t="str">
        <f>'Raw Data'!B264</f>
        <v>Northeast</v>
      </c>
      <c r="C264" t="str">
        <f>'Raw Data'!C264</f>
        <v>Grocery</v>
      </c>
      <c r="D264" s="3">
        <f>'Raw Data'!D264</f>
        <v>45870</v>
      </c>
      <c r="E264" t="str">
        <f t="shared" si="20"/>
        <v>Aug</v>
      </c>
      <c r="F264" s="5">
        <f>'Raw Data'!E264</f>
        <v>120</v>
      </c>
      <c r="G264" s="4">
        <f>'Raw Data'!F264</f>
        <v>2077.4499999999998</v>
      </c>
      <c r="H264" s="4">
        <f>'Raw Data'!G264</f>
        <v>2018.47</v>
      </c>
      <c r="I264" s="4">
        <f t="shared" si="21"/>
        <v>58.979999999999791</v>
      </c>
      <c r="J264" s="8">
        <f t="shared" si="22"/>
        <v>2.8390574983754024E-2</v>
      </c>
      <c r="K264" s="6">
        <f>'Raw Data'!I264</f>
        <v>3.16</v>
      </c>
      <c r="L264" s="5">
        <f>'Raw Data'!J264</f>
        <v>17</v>
      </c>
      <c r="M264" s="5">
        <f>IF(COUNTIFS($A$2:A264,A264,$D$2:D264,D264)=1,L264,0)</f>
        <v>0</v>
      </c>
      <c r="N264" s="4">
        <f t="shared" si="23"/>
        <v>122.20294117647057</v>
      </c>
      <c r="O264" t="str">
        <f t="shared" si="24"/>
        <v>OK</v>
      </c>
    </row>
    <row r="265" spans="1:15">
      <c r="A265" t="str">
        <f>'Raw Data'!A265</f>
        <v>Buffalo RM-04</v>
      </c>
      <c r="B265" t="str">
        <f>'Raw Data'!B265</f>
        <v>Northeast</v>
      </c>
      <c r="C265" t="str">
        <f>'Raw Data'!C265</f>
        <v>Sports</v>
      </c>
      <c r="D265" s="3">
        <f>'Raw Data'!D265</f>
        <v>45870</v>
      </c>
      <c r="E265" t="str">
        <f t="shared" si="20"/>
        <v>Aug</v>
      </c>
      <c r="F265" s="5">
        <f>'Raw Data'!E265</f>
        <v>73</v>
      </c>
      <c r="G265" s="4">
        <f>'Raw Data'!F265</f>
        <v>4306.13</v>
      </c>
      <c r="H265" s="4">
        <f>'Raw Data'!G265</f>
        <v>2991.13</v>
      </c>
      <c r="I265" s="4">
        <f t="shared" si="21"/>
        <v>1315</v>
      </c>
      <c r="J265" s="8">
        <f t="shared" si="22"/>
        <v>0.30537861142139228</v>
      </c>
      <c r="K265" s="6">
        <f>'Raw Data'!I265</f>
        <v>3.32</v>
      </c>
      <c r="L265" s="5">
        <f>'Raw Data'!J265</f>
        <v>17</v>
      </c>
      <c r="M265" s="5">
        <f>IF(COUNTIFS($A$2:A265,A265,$D$2:D265,D265)=1,L265,0)</f>
        <v>0</v>
      </c>
      <c r="N265" s="4">
        <f t="shared" si="23"/>
        <v>253.30176470588236</v>
      </c>
      <c r="O265" t="str">
        <f t="shared" si="24"/>
        <v>OK</v>
      </c>
    </row>
    <row r="266" spans="1:15">
      <c r="A266" t="str">
        <f>'Raw Data'!A266</f>
        <v>Buffalo RM-04</v>
      </c>
      <c r="B266" t="str">
        <f>'Raw Data'!B266</f>
        <v>Northeast</v>
      </c>
      <c r="C266" t="str">
        <f>'Raw Data'!C266</f>
        <v>Electronics</v>
      </c>
      <c r="D266" s="3">
        <f>'Raw Data'!D266</f>
        <v>45901</v>
      </c>
      <c r="E266" t="str">
        <f t="shared" si="20"/>
        <v>Sep</v>
      </c>
      <c r="F266" s="5">
        <f>'Raw Data'!E266</f>
        <v>81</v>
      </c>
      <c r="G266" s="4">
        <f>'Raw Data'!F266</f>
        <v>11882.75</v>
      </c>
      <c r="H266" s="4">
        <f>'Raw Data'!G266</f>
        <v>9806.3799999999992</v>
      </c>
      <c r="I266" s="4">
        <f t="shared" si="21"/>
        <v>2076.3700000000008</v>
      </c>
      <c r="J266" s="8">
        <f t="shared" si="22"/>
        <v>0.1747381708779534</v>
      </c>
      <c r="K266" s="6">
        <f>'Raw Data'!I266</f>
        <v>3.21</v>
      </c>
      <c r="L266" s="5">
        <f>'Raw Data'!J266</f>
        <v>17</v>
      </c>
      <c r="M266" s="5">
        <f>IF(COUNTIFS($A$2:A266,A266,$D$2:D266,D266)=1,L266,0)</f>
        <v>17</v>
      </c>
      <c r="N266" s="4">
        <f t="shared" si="23"/>
        <v>698.98529411764707</v>
      </c>
      <c r="O266" t="str">
        <f t="shared" si="24"/>
        <v>OK</v>
      </c>
    </row>
    <row r="267" spans="1:15">
      <c r="A267" t="str">
        <f>'Raw Data'!A267</f>
        <v>Buffalo RM-04</v>
      </c>
      <c r="B267" t="str">
        <f>'Raw Data'!B267</f>
        <v>Northeast</v>
      </c>
      <c r="C267" t="str">
        <f>'Raw Data'!C267</f>
        <v>Home Goods</v>
      </c>
      <c r="D267" s="3">
        <f>'Raw Data'!D267</f>
        <v>45901</v>
      </c>
      <c r="E267" t="str">
        <f t="shared" si="20"/>
        <v>Sep</v>
      </c>
      <c r="F267" s="5">
        <f>'Raw Data'!E267</f>
        <v>79</v>
      </c>
      <c r="G267" s="4">
        <f>'Raw Data'!F267</f>
        <v>6213.84</v>
      </c>
      <c r="H267" s="4">
        <f>'Raw Data'!G267</f>
        <v>4517.71</v>
      </c>
      <c r="I267" s="4">
        <f t="shared" si="21"/>
        <v>1696.13</v>
      </c>
      <c r="J267" s="8">
        <f t="shared" si="22"/>
        <v>0.27296003759350096</v>
      </c>
      <c r="K267" s="6">
        <f>'Raw Data'!I267</f>
        <v>3.36</v>
      </c>
      <c r="L267" s="5">
        <f>'Raw Data'!J267</f>
        <v>17</v>
      </c>
      <c r="M267" s="5">
        <f>IF(COUNTIFS($A$2:A267,A267,$D$2:D267,D267)=1,L267,0)</f>
        <v>0</v>
      </c>
      <c r="N267" s="4">
        <f t="shared" si="23"/>
        <v>365.52</v>
      </c>
      <c r="O267" t="str">
        <f t="shared" si="24"/>
        <v>OK</v>
      </c>
    </row>
    <row r="268" spans="1:15">
      <c r="A268" t="str">
        <f>'Raw Data'!A268</f>
        <v>Buffalo RM-04</v>
      </c>
      <c r="B268" t="str">
        <f>'Raw Data'!B268</f>
        <v>Northeast</v>
      </c>
      <c r="C268" t="str">
        <f>'Raw Data'!C268</f>
        <v>Apparel</v>
      </c>
      <c r="D268" s="3">
        <f>'Raw Data'!D268</f>
        <v>45901</v>
      </c>
      <c r="E268" t="str">
        <f t="shared" si="20"/>
        <v>Sep</v>
      </c>
      <c r="F268" s="5">
        <f>'Raw Data'!E268</f>
        <v>95</v>
      </c>
      <c r="G268" s="4">
        <f>'Raw Data'!F268</f>
        <v>4914.87</v>
      </c>
      <c r="H268" s="4">
        <f>'Raw Data'!G268</f>
        <v>3171.51</v>
      </c>
      <c r="I268" s="4">
        <f t="shared" si="21"/>
        <v>1743.3599999999997</v>
      </c>
      <c r="J268" s="8">
        <f t="shared" si="22"/>
        <v>0.35471131484657775</v>
      </c>
      <c r="K268" s="6">
        <f>'Raw Data'!I268</f>
        <v>3.24</v>
      </c>
      <c r="L268" s="5">
        <f>'Raw Data'!J268</f>
        <v>17</v>
      </c>
      <c r="M268" s="5">
        <f>IF(COUNTIFS($A$2:A268,A268,$D$2:D268,D268)=1,L268,0)</f>
        <v>0</v>
      </c>
      <c r="N268" s="4">
        <f t="shared" si="23"/>
        <v>289.11</v>
      </c>
      <c r="O268" t="str">
        <f t="shared" si="24"/>
        <v>OK</v>
      </c>
    </row>
    <row r="269" spans="1:15">
      <c r="A269" t="str">
        <f>'Raw Data'!A269</f>
        <v>Buffalo RM-04</v>
      </c>
      <c r="B269" t="str">
        <f>'Raw Data'!B269</f>
        <v>Northeast</v>
      </c>
      <c r="C269" t="str">
        <f>'Raw Data'!C269</f>
        <v>Beauty</v>
      </c>
      <c r="D269" s="3">
        <f>'Raw Data'!D269</f>
        <v>45901</v>
      </c>
      <c r="E269" t="str">
        <f t="shared" si="20"/>
        <v>Sep</v>
      </c>
      <c r="F269" s="5">
        <f>'Raw Data'!E269</f>
        <v>85</v>
      </c>
      <c r="G269" s="4">
        <f>'Raw Data'!F269</f>
        <v>3281.38</v>
      </c>
      <c r="H269" s="4">
        <f>'Raw Data'!G269</f>
        <v>1810.37</v>
      </c>
      <c r="I269" s="4">
        <f t="shared" si="21"/>
        <v>1471.0100000000002</v>
      </c>
      <c r="J269" s="8">
        <f t="shared" si="22"/>
        <v>0.448290048699023</v>
      </c>
      <c r="K269" s="6">
        <f>'Raw Data'!I269</f>
        <v>3.45</v>
      </c>
      <c r="L269" s="5">
        <f>'Raw Data'!J269</f>
        <v>17</v>
      </c>
      <c r="M269" s="5">
        <f>IF(COUNTIFS($A$2:A269,A269,$D$2:D269,D269)=1,L269,0)</f>
        <v>0</v>
      </c>
      <c r="N269" s="4">
        <f t="shared" si="23"/>
        <v>193.02235294117648</v>
      </c>
      <c r="O269" t="str">
        <f t="shared" si="24"/>
        <v>OK</v>
      </c>
    </row>
    <row r="270" spans="1:15">
      <c r="A270" t="str">
        <f>'Raw Data'!A270</f>
        <v>Buffalo RM-04</v>
      </c>
      <c r="B270" t="str">
        <f>'Raw Data'!B270</f>
        <v>Northeast</v>
      </c>
      <c r="C270" t="str">
        <f>'Raw Data'!C270</f>
        <v>Grocery</v>
      </c>
      <c r="D270" s="3">
        <f>'Raw Data'!D270</f>
        <v>45901</v>
      </c>
      <c r="E270" t="str">
        <f t="shared" si="20"/>
        <v>Sep</v>
      </c>
      <c r="F270" s="5">
        <f>'Raw Data'!E270</f>
        <v>132</v>
      </c>
      <c r="G270" s="4">
        <f>'Raw Data'!F270</f>
        <v>2398.89</v>
      </c>
      <c r="H270" s="4">
        <f>'Raw Data'!G270</f>
        <v>2293.35</v>
      </c>
      <c r="I270" s="4">
        <f t="shared" si="21"/>
        <v>105.53999999999996</v>
      </c>
      <c r="J270" s="8">
        <f t="shared" si="22"/>
        <v>4.3995347848379864E-2</v>
      </c>
      <c r="K270" s="6">
        <f>'Raw Data'!I270</f>
        <v>3.19</v>
      </c>
      <c r="L270" s="5">
        <f>'Raw Data'!J270</f>
        <v>17</v>
      </c>
      <c r="M270" s="5">
        <f>IF(COUNTIFS($A$2:A270,A270,$D$2:D270,D270)=1,L270,0)</f>
        <v>0</v>
      </c>
      <c r="N270" s="4">
        <f t="shared" si="23"/>
        <v>141.11117647058822</v>
      </c>
      <c r="O270" t="str">
        <f t="shared" si="24"/>
        <v>OK</v>
      </c>
    </row>
    <row r="271" spans="1:15">
      <c r="A271" t="str">
        <f>'Raw Data'!A271</f>
        <v>Buffalo RM-04</v>
      </c>
      <c r="B271" t="str">
        <f>'Raw Data'!B271</f>
        <v>Northeast</v>
      </c>
      <c r="C271" t="str">
        <f>'Raw Data'!C271</f>
        <v>Sports</v>
      </c>
      <c r="D271" s="3">
        <f>'Raw Data'!D271</f>
        <v>45901</v>
      </c>
      <c r="E271" t="str">
        <f t="shared" si="20"/>
        <v>Sep</v>
      </c>
      <c r="F271" s="5">
        <f>'Raw Data'!E271</f>
        <v>63</v>
      </c>
      <c r="G271" s="4">
        <f>'Raw Data'!F271</f>
        <v>3962.88</v>
      </c>
      <c r="H271" s="4">
        <f>'Raw Data'!G271</f>
        <v>2740.79</v>
      </c>
      <c r="I271" s="4">
        <f t="shared" si="21"/>
        <v>1222.0900000000001</v>
      </c>
      <c r="J271" s="8">
        <f t="shared" si="22"/>
        <v>0.30838430636304914</v>
      </c>
      <c r="K271" s="6">
        <f>'Raw Data'!I271</f>
        <v>3.37</v>
      </c>
      <c r="L271" s="5">
        <f>'Raw Data'!J271</f>
        <v>17</v>
      </c>
      <c r="M271" s="5">
        <f>IF(COUNTIFS($A$2:A271,A271,$D$2:D271,D271)=1,L271,0)</f>
        <v>0</v>
      </c>
      <c r="N271" s="4">
        <f t="shared" si="23"/>
        <v>233.11058823529413</v>
      </c>
      <c r="O271" t="str">
        <f t="shared" si="24"/>
        <v>OK</v>
      </c>
    </row>
    <row r="272" spans="1:15">
      <c r="A272" t="str">
        <f>'Raw Data'!A272</f>
        <v>Buffalo RM-04</v>
      </c>
      <c r="B272" t="str">
        <f>'Raw Data'!B272</f>
        <v>Northeast</v>
      </c>
      <c r="C272" t="str">
        <f>'Raw Data'!C272</f>
        <v>Electronics</v>
      </c>
      <c r="D272" s="3">
        <f>'Raw Data'!D272</f>
        <v>45931</v>
      </c>
      <c r="E272" t="str">
        <f t="shared" si="20"/>
        <v>Oct</v>
      </c>
      <c r="F272" s="5">
        <f>'Raw Data'!E272</f>
        <v>102</v>
      </c>
      <c r="G272" s="4">
        <f>'Raw Data'!F272</f>
        <v>13990.19</v>
      </c>
      <c r="H272" s="4">
        <f>'Raw Data'!G272</f>
        <v>11398.84</v>
      </c>
      <c r="I272" s="4">
        <f t="shared" si="21"/>
        <v>2591.3500000000004</v>
      </c>
      <c r="J272" s="8">
        <f t="shared" si="22"/>
        <v>0.18522621922933144</v>
      </c>
      <c r="K272" s="6">
        <f>'Raw Data'!I272</f>
        <v>3.5</v>
      </c>
      <c r="L272" s="5">
        <f>'Raw Data'!J272</f>
        <v>16</v>
      </c>
      <c r="M272" s="5">
        <f>IF(COUNTIFS($A$2:A272,A272,$D$2:D272,D272)=1,L272,0)</f>
        <v>16</v>
      </c>
      <c r="N272" s="4">
        <f t="shared" si="23"/>
        <v>874.38687500000003</v>
      </c>
      <c r="O272" t="str">
        <f t="shared" si="24"/>
        <v>OK</v>
      </c>
    </row>
    <row r="273" spans="1:15">
      <c r="A273" t="str">
        <f>'Raw Data'!A273</f>
        <v>Buffalo RM-04</v>
      </c>
      <c r="B273" t="str">
        <f>'Raw Data'!B273</f>
        <v>Northeast</v>
      </c>
      <c r="C273" t="str">
        <f>'Raw Data'!C273</f>
        <v>Home Goods</v>
      </c>
      <c r="D273" s="3">
        <f>'Raw Data'!D273</f>
        <v>45931</v>
      </c>
      <c r="E273" t="str">
        <f t="shared" si="20"/>
        <v>Oct</v>
      </c>
      <c r="F273" s="5">
        <f>'Raw Data'!E273</f>
        <v>87</v>
      </c>
      <c r="G273" s="4">
        <f>'Raw Data'!F273</f>
        <v>7013.32</v>
      </c>
      <c r="H273" s="4">
        <f>'Raw Data'!G273</f>
        <v>5135.95</v>
      </c>
      <c r="I273" s="4">
        <f t="shared" si="21"/>
        <v>1877.37</v>
      </c>
      <c r="J273" s="8">
        <f t="shared" si="22"/>
        <v>0.26768634541130304</v>
      </c>
      <c r="K273" s="6">
        <f>'Raw Data'!I273</f>
        <v>3.38</v>
      </c>
      <c r="L273" s="5">
        <f>'Raw Data'!J273</f>
        <v>16</v>
      </c>
      <c r="M273" s="5">
        <f>IF(COUNTIFS($A$2:A273,A273,$D$2:D273,D273)=1,L273,0)</f>
        <v>0</v>
      </c>
      <c r="N273" s="4">
        <f t="shared" si="23"/>
        <v>438.33249999999998</v>
      </c>
      <c r="O273" t="str">
        <f t="shared" si="24"/>
        <v>OK</v>
      </c>
    </row>
    <row r="274" spans="1:15">
      <c r="A274" t="str">
        <f>'Raw Data'!A274</f>
        <v>Buffalo RM-04</v>
      </c>
      <c r="B274" t="str">
        <f>'Raw Data'!B274</f>
        <v>Northeast</v>
      </c>
      <c r="C274" t="str">
        <f>'Raw Data'!C274</f>
        <v>Apparel</v>
      </c>
      <c r="D274" s="3">
        <f>'Raw Data'!D274</f>
        <v>45931</v>
      </c>
      <c r="E274" t="str">
        <f t="shared" si="20"/>
        <v>Oct</v>
      </c>
      <c r="F274" s="5">
        <f>'Raw Data'!E274</f>
        <v>100</v>
      </c>
      <c r="G274" s="4">
        <f>'Raw Data'!F274</f>
        <v>4589.3999999999996</v>
      </c>
      <c r="H274" s="4">
        <f>'Raw Data'!G274</f>
        <v>2982.04</v>
      </c>
      <c r="I274" s="4">
        <f t="shared" si="21"/>
        <v>1607.3599999999997</v>
      </c>
      <c r="J274" s="8">
        <f t="shared" si="22"/>
        <v>0.35023314594500365</v>
      </c>
      <c r="K274" s="6">
        <f>'Raw Data'!I274</f>
        <v>3.29</v>
      </c>
      <c r="L274" s="5">
        <f>'Raw Data'!J274</f>
        <v>16</v>
      </c>
      <c r="M274" s="5">
        <f>IF(COUNTIFS($A$2:A274,A274,$D$2:D274,D274)=1,L274,0)</f>
        <v>0</v>
      </c>
      <c r="N274" s="4">
        <f t="shared" si="23"/>
        <v>286.83749999999998</v>
      </c>
      <c r="O274" t="str">
        <f t="shared" si="24"/>
        <v>OK</v>
      </c>
    </row>
    <row r="275" spans="1:15">
      <c r="A275" t="str">
        <f>'Raw Data'!A275</f>
        <v>Buffalo RM-04</v>
      </c>
      <c r="B275" t="str">
        <f>'Raw Data'!B275</f>
        <v>Northeast</v>
      </c>
      <c r="C275" t="str">
        <f>'Raw Data'!C275</f>
        <v>Beauty</v>
      </c>
      <c r="D275" s="3">
        <f>'Raw Data'!D275</f>
        <v>45931</v>
      </c>
      <c r="E275" t="str">
        <f t="shared" si="20"/>
        <v>Oct</v>
      </c>
      <c r="F275" s="5">
        <f>'Raw Data'!E275</f>
        <v>79</v>
      </c>
      <c r="G275" s="4">
        <f>'Raw Data'!F275</f>
        <v>2992.41</v>
      </c>
      <c r="H275" s="4">
        <f>'Raw Data'!G275</f>
        <v>1654.48</v>
      </c>
      <c r="I275" s="4">
        <f t="shared" si="21"/>
        <v>1337.9299999999998</v>
      </c>
      <c r="J275" s="8">
        <f t="shared" si="22"/>
        <v>0.44710784952596733</v>
      </c>
      <c r="K275" s="6">
        <f>'Raw Data'!I275</f>
        <v>3.47</v>
      </c>
      <c r="L275" s="5">
        <f>'Raw Data'!J275</f>
        <v>16</v>
      </c>
      <c r="M275" s="5">
        <f>IF(COUNTIFS($A$2:A275,A275,$D$2:D275,D275)=1,L275,0)</f>
        <v>0</v>
      </c>
      <c r="N275" s="4">
        <f t="shared" si="23"/>
        <v>187.02562499999999</v>
      </c>
      <c r="O275" t="str">
        <f t="shared" si="24"/>
        <v>OK</v>
      </c>
    </row>
    <row r="276" spans="1:15">
      <c r="A276" t="str">
        <f>'Raw Data'!A276</f>
        <v>Buffalo RM-04</v>
      </c>
      <c r="B276" t="str">
        <f>'Raw Data'!B276</f>
        <v>Northeast</v>
      </c>
      <c r="C276" t="str">
        <f>'Raw Data'!C276</f>
        <v>Grocery</v>
      </c>
      <c r="D276" s="3">
        <f>'Raw Data'!D276</f>
        <v>45931</v>
      </c>
      <c r="E276" t="str">
        <f t="shared" si="20"/>
        <v>Oct</v>
      </c>
      <c r="F276" s="5">
        <f>'Raw Data'!E276</f>
        <v>145</v>
      </c>
      <c r="G276" s="4">
        <f>'Raw Data'!F276</f>
        <v>2761.97</v>
      </c>
      <c r="H276" s="4">
        <f>'Raw Data'!G276</f>
        <v>2610.66</v>
      </c>
      <c r="I276" s="4">
        <f t="shared" si="21"/>
        <v>151.30999999999995</v>
      </c>
      <c r="J276" s="8">
        <f t="shared" si="22"/>
        <v>5.478336115164175E-2</v>
      </c>
      <c r="K276" s="6">
        <f>'Raw Data'!I276</f>
        <v>3.35</v>
      </c>
      <c r="L276" s="5">
        <f>'Raw Data'!J276</f>
        <v>16</v>
      </c>
      <c r="M276" s="5">
        <f>IF(COUNTIFS($A$2:A276,A276,$D$2:D276,D276)=1,L276,0)</f>
        <v>0</v>
      </c>
      <c r="N276" s="4">
        <f t="shared" si="23"/>
        <v>172.62312499999999</v>
      </c>
      <c r="O276" t="str">
        <f t="shared" si="24"/>
        <v>OK</v>
      </c>
    </row>
    <row r="277" spans="1:15">
      <c r="A277" t="str">
        <f>'Raw Data'!A277</f>
        <v>Buffalo RM-04</v>
      </c>
      <c r="B277" t="str">
        <f>'Raw Data'!B277</f>
        <v>Northeast</v>
      </c>
      <c r="C277" t="str">
        <f>'Raw Data'!C277</f>
        <v>Sports</v>
      </c>
      <c r="D277" s="3">
        <f>'Raw Data'!D277</f>
        <v>45931</v>
      </c>
      <c r="E277" t="str">
        <f t="shared" si="20"/>
        <v>Oct</v>
      </c>
      <c r="F277" s="5">
        <f>'Raw Data'!E277</f>
        <v>63</v>
      </c>
      <c r="G277" s="4">
        <f>'Raw Data'!F277</f>
        <v>3958.16</v>
      </c>
      <c r="H277" s="4">
        <f>'Raw Data'!G277</f>
        <v>2788.79</v>
      </c>
      <c r="I277" s="4">
        <f t="shared" si="21"/>
        <v>1169.3699999999999</v>
      </c>
      <c r="J277" s="8">
        <f t="shared" si="22"/>
        <v>0.29543272631727874</v>
      </c>
      <c r="K277" s="6">
        <f>'Raw Data'!I277</f>
        <v>3.28</v>
      </c>
      <c r="L277" s="5">
        <f>'Raw Data'!J277</f>
        <v>16</v>
      </c>
      <c r="M277" s="5">
        <f>IF(COUNTIFS($A$2:A277,A277,$D$2:D277,D277)=1,L277,0)</f>
        <v>0</v>
      </c>
      <c r="N277" s="4">
        <f t="shared" si="23"/>
        <v>247.38499999999999</v>
      </c>
      <c r="O277" t="str">
        <f t="shared" si="24"/>
        <v>OK</v>
      </c>
    </row>
    <row r="278" spans="1:15">
      <c r="A278" t="str">
        <f>'Raw Data'!A278</f>
        <v>Buffalo RM-04</v>
      </c>
      <c r="B278" t="str">
        <f>'Raw Data'!B278</f>
        <v>Northeast</v>
      </c>
      <c r="C278" t="str">
        <f>'Raw Data'!C278</f>
        <v>Electronics</v>
      </c>
      <c r="D278" s="3">
        <f>'Raw Data'!D278</f>
        <v>45962</v>
      </c>
      <c r="E278" t="str">
        <f t="shared" si="20"/>
        <v>Nov</v>
      </c>
      <c r="F278" s="5">
        <f>'Raw Data'!E278</f>
        <v>148</v>
      </c>
      <c r="G278" s="4">
        <f>'Raw Data'!F278</f>
        <v>20401.87</v>
      </c>
      <c r="H278" s="4">
        <f>'Raw Data'!G278</f>
        <v>17377.39</v>
      </c>
      <c r="I278" s="4">
        <f t="shared" si="21"/>
        <v>3024.4799999999996</v>
      </c>
      <c r="J278" s="8">
        <f t="shared" si="22"/>
        <v>0.14824523438292664</v>
      </c>
      <c r="K278" s="6">
        <f>'Raw Data'!I278</f>
        <v>3.33</v>
      </c>
      <c r="L278" s="5">
        <f>'Raw Data'!J278</f>
        <v>18</v>
      </c>
      <c r="M278" s="5">
        <f>IF(COUNTIFS($A$2:A278,A278,$D$2:D278,D278)=1,L278,0)</f>
        <v>18</v>
      </c>
      <c r="N278" s="4">
        <f t="shared" si="23"/>
        <v>1133.4372222222221</v>
      </c>
      <c r="O278" t="str">
        <f t="shared" si="24"/>
        <v>OK</v>
      </c>
    </row>
    <row r="279" spans="1:15">
      <c r="A279" t="str">
        <f>'Raw Data'!A279</f>
        <v>Buffalo RM-04</v>
      </c>
      <c r="B279" t="str">
        <f>'Raw Data'!B279</f>
        <v>Northeast</v>
      </c>
      <c r="C279" t="str">
        <f>'Raw Data'!C279</f>
        <v>Home Goods</v>
      </c>
      <c r="D279" s="3">
        <f>'Raw Data'!D279</f>
        <v>45962</v>
      </c>
      <c r="E279" t="str">
        <f t="shared" si="20"/>
        <v>Nov</v>
      </c>
      <c r="F279" s="5">
        <f>'Raw Data'!E279</f>
        <v>110</v>
      </c>
      <c r="G279" s="4">
        <f>'Raw Data'!F279</f>
        <v>8085.34</v>
      </c>
      <c r="H279" s="4">
        <f>'Raw Data'!G279</f>
        <v>6041.22</v>
      </c>
      <c r="I279" s="4">
        <f t="shared" si="21"/>
        <v>2044.12</v>
      </c>
      <c r="J279" s="8">
        <f t="shared" si="22"/>
        <v>0.25281806330964435</v>
      </c>
      <c r="K279" s="6">
        <f>'Raw Data'!I279</f>
        <v>3.3</v>
      </c>
      <c r="L279" s="5">
        <f>'Raw Data'!J279</f>
        <v>18</v>
      </c>
      <c r="M279" s="5">
        <f>IF(COUNTIFS($A$2:A279,A279,$D$2:D279,D279)=1,L279,0)</f>
        <v>0</v>
      </c>
      <c r="N279" s="4">
        <f t="shared" si="23"/>
        <v>449.18555555555554</v>
      </c>
      <c r="O279" t="str">
        <f t="shared" si="24"/>
        <v>OK</v>
      </c>
    </row>
    <row r="280" spans="1:15">
      <c r="A280" t="str">
        <f>'Raw Data'!A280</f>
        <v>Buffalo RM-04</v>
      </c>
      <c r="B280" t="str">
        <f>'Raw Data'!B280</f>
        <v>Northeast</v>
      </c>
      <c r="C280" t="str">
        <f>'Raw Data'!C280</f>
        <v>Apparel</v>
      </c>
      <c r="D280" s="3">
        <f>'Raw Data'!D280</f>
        <v>45962</v>
      </c>
      <c r="E280" t="str">
        <f t="shared" si="20"/>
        <v>Nov</v>
      </c>
      <c r="F280" s="5">
        <f>'Raw Data'!E280</f>
        <v>160</v>
      </c>
      <c r="G280" s="4">
        <f>'Raw Data'!F280</f>
        <v>7378</v>
      </c>
      <c r="H280" s="4">
        <f>'Raw Data'!G280</f>
        <v>4861.46</v>
      </c>
      <c r="I280" s="4">
        <f t="shared" si="21"/>
        <v>2516.54</v>
      </c>
      <c r="J280" s="8">
        <f t="shared" si="22"/>
        <v>0.34108701545134185</v>
      </c>
      <c r="K280" s="6">
        <f>'Raw Data'!I280</f>
        <v>3.26</v>
      </c>
      <c r="L280" s="5">
        <f>'Raw Data'!J280</f>
        <v>18</v>
      </c>
      <c r="M280" s="5">
        <f>IF(COUNTIFS($A$2:A280,A280,$D$2:D280,D280)=1,L280,0)</f>
        <v>0</v>
      </c>
      <c r="N280" s="4">
        <f t="shared" si="23"/>
        <v>409.88888888888891</v>
      </c>
      <c r="O280" t="str">
        <f t="shared" si="24"/>
        <v>OK</v>
      </c>
    </row>
    <row r="281" spans="1:15">
      <c r="A281" t="str">
        <f>'Raw Data'!A281</f>
        <v>Buffalo RM-04</v>
      </c>
      <c r="B281" t="str">
        <f>'Raw Data'!B281</f>
        <v>Northeast</v>
      </c>
      <c r="C281" t="str">
        <f>'Raw Data'!C281</f>
        <v>Beauty</v>
      </c>
      <c r="D281" s="3">
        <f>'Raw Data'!D281</f>
        <v>45962</v>
      </c>
      <c r="E281" t="str">
        <f t="shared" si="20"/>
        <v>Nov</v>
      </c>
      <c r="F281" s="5">
        <f>'Raw Data'!E281</f>
        <v>99</v>
      </c>
      <c r="G281" s="4">
        <f>'Raw Data'!F281</f>
        <v>3436.73</v>
      </c>
      <c r="H281" s="4">
        <f>'Raw Data'!G281</f>
        <v>1867.66</v>
      </c>
      <c r="I281" s="4">
        <f t="shared" si="21"/>
        <v>1569.07</v>
      </c>
      <c r="J281" s="8">
        <f t="shared" si="22"/>
        <v>0.45655899648794057</v>
      </c>
      <c r="K281" s="6">
        <f>'Raw Data'!I281</f>
        <v>3.44</v>
      </c>
      <c r="L281" s="5">
        <f>'Raw Data'!J281</f>
        <v>18</v>
      </c>
      <c r="M281" s="5">
        <f>IF(COUNTIFS($A$2:A281,A281,$D$2:D281,D281)=1,L281,0)</f>
        <v>0</v>
      </c>
      <c r="N281" s="4">
        <f t="shared" si="23"/>
        <v>190.92944444444444</v>
      </c>
      <c r="O281" t="str">
        <f t="shared" si="24"/>
        <v>OK</v>
      </c>
    </row>
    <row r="282" spans="1:15">
      <c r="A282" t="str">
        <f>'Raw Data'!A282</f>
        <v>Buffalo RM-04</v>
      </c>
      <c r="B282" t="str">
        <f>'Raw Data'!B282</f>
        <v>Northeast</v>
      </c>
      <c r="C282" t="str">
        <f>'Raw Data'!C282</f>
        <v>Grocery</v>
      </c>
      <c r="D282" s="3">
        <f>'Raw Data'!D282</f>
        <v>45962</v>
      </c>
      <c r="E282" t="str">
        <f t="shared" si="20"/>
        <v>Nov</v>
      </c>
      <c r="F282" s="5">
        <f>'Raw Data'!E282</f>
        <v>205</v>
      </c>
      <c r="G282" s="4">
        <f>'Raw Data'!F282</f>
        <v>3793</v>
      </c>
      <c r="H282" s="4">
        <f>'Raw Data'!G282</f>
        <v>3633.4</v>
      </c>
      <c r="I282" s="4">
        <f t="shared" si="21"/>
        <v>159.59999999999991</v>
      </c>
      <c r="J282" s="8">
        <f t="shared" si="22"/>
        <v>4.2077511204851016E-2</v>
      </c>
      <c r="K282" s="6">
        <f>'Raw Data'!I282</f>
        <v>3.34</v>
      </c>
      <c r="L282" s="5">
        <f>'Raw Data'!J282</f>
        <v>18</v>
      </c>
      <c r="M282" s="5">
        <f>IF(COUNTIFS($A$2:A282,A282,$D$2:D282,D282)=1,L282,0)</f>
        <v>0</v>
      </c>
      <c r="N282" s="4">
        <f t="shared" si="23"/>
        <v>210.72222222222223</v>
      </c>
      <c r="O282" t="str">
        <f t="shared" si="24"/>
        <v>OK</v>
      </c>
    </row>
    <row r="283" spans="1:15">
      <c r="A283" t="str">
        <f>'Raw Data'!A283</f>
        <v>Buffalo RM-04</v>
      </c>
      <c r="B283" t="str">
        <f>'Raw Data'!B283</f>
        <v>Northeast</v>
      </c>
      <c r="C283" t="str">
        <f>'Raw Data'!C283</f>
        <v>Sports</v>
      </c>
      <c r="D283" s="3">
        <f>'Raw Data'!D283</f>
        <v>45962</v>
      </c>
      <c r="E283" t="str">
        <f t="shared" si="20"/>
        <v>Nov</v>
      </c>
      <c r="F283" s="5">
        <f>'Raw Data'!E283</f>
        <v>83</v>
      </c>
      <c r="G283" s="4">
        <f>'Raw Data'!F283</f>
        <v>5254.71</v>
      </c>
      <c r="H283" s="4">
        <f>'Raw Data'!G283</f>
        <v>3797.95</v>
      </c>
      <c r="I283" s="4">
        <f t="shared" si="21"/>
        <v>1456.7600000000002</v>
      </c>
      <c r="J283" s="8">
        <f t="shared" si="22"/>
        <v>0.27722938087924931</v>
      </c>
      <c r="K283" s="6">
        <f>'Raw Data'!I283</f>
        <v>3.49</v>
      </c>
      <c r="L283" s="5">
        <f>'Raw Data'!J283</f>
        <v>18</v>
      </c>
      <c r="M283" s="5">
        <f>IF(COUNTIFS($A$2:A283,A283,$D$2:D283,D283)=1,L283,0)</f>
        <v>0</v>
      </c>
      <c r="N283" s="4">
        <f t="shared" si="23"/>
        <v>291.92833333333334</v>
      </c>
      <c r="O283" t="str">
        <f t="shared" si="24"/>
        <v>OK</v>
      </c>
    </row>
    <row r="284" spans="1:15">
      <c r="A284" t="str">
        <f>'Raw Data'!A284</f>
        <v>Buffalo RM-04</v>
      </c>
      <c r="B284" t="str">
        <f>'Raw Data'!B284</f>
        <v>Northeast</v>
      </c>
      <c r="C284" t="str">
        <f>'Raw Data'!C284</f>
        <v>Electronics</v>
      </c>
      <c r="D284" s="3">
        <f>'Raw Data'!D284</f>
        <v>45992</v>
      </c>
      <c r="E284" t="str">
        <f t="shared" si="20"/>
        <v>Dec</v>
      </c>
      <c r="F284" s="5">
        <f>'Raw Data'!E284</f>
        <v>173</v>
      </c>
      <c r="G284" s="4">
        <f>'Raw Data'!F284</f>
        <v>24110.05</v>
      </c>
      <c r="H284" s="4">
        <f>'Raw Data'!G284</f>
        <v>20455.900000000001</v>
      </c>
      <c r="I284" s="4">
        <f t="shared" si="21"/>
        <v>3654.1499999999978</v>
      </c>
      <c r="J284" s="8">
        <f t="shared" si="22"/>
        <v>0.151561278388058</v>
      </c>
      <c r="K284" s="6">
        <f>'Raw Data'!I284</f>
        <v>3.33</v>
      </c>
      <c r="L284" s="5">
        <f>'Raw Data'!J284</f>
        <v>18</v>
      </c>
      <c r="M284" s="5">
        <f>IF(COUNTIFS($A$2:A284,A284,$D$2:D284,D284)=1,L284,0)</f>
        <v>18</v>
      </c>
      <c r="N284" s="4">
        <f t="shared" si="23"/>
        <v>1339.4472222222221</v>
      </c>
      <c r="O284" t="str">
        <f t="shared" si="24"/>
        <v>OK</v>
      </c>
    </row>
    <row r="285" spans="1:15">
      <c r="A285" t="str">
        <f>'Raw Data'!A285</f>
        <v>Buffalo RM-04</v>
      </c>
      <c r="B285" t="str">
        <f>'Raw Data'!B285</f>
        <v>Northeast</v>
      </c>
      <c r="C285" t="str">
        <f>'Raw Data'!C285</f>
        <v>Home Goods</v>
      </c>
      <c r="D285" s="3">
        <f>'Raw Data'!D285</f>
        <v>45992</v>
      </c>
      <c r="E285" t="str">
        <f t="shared" si="20"/>
        <v>Dec</v>
      </c>
      <c r="F285" s="5">
        <f>'Raw Data'!E285</f>
        <v>100</v>
      </c>
      <c r="G285" s="4">
        <f>'Raw Data'!F285</f>
        <v>7466.2</v>
      </c>
      <c r="H285" s="4">
        <f>'Raw Data'!G285</f>
        <v>5604.96</v>
      </c>
      <c r="I285" s="4">
        <f t="shared" si="21"/>
        <v>1861.2399999999998</v>
      </c>
      <c r="J285" s="8">
        <f t="shared" si="22"/>
        <v>0.24928879483539149</v>
      </c>
      <c r="K285" s="6">
        <f>'Raw Data'!I285</f>
        <v>3.19</v>
      </c>
      <c r="L285" s="5">
        <f>'Raw Data'!J285</f>
        <v>18</v>
      </c>
      <c r="M285" s="5">
        <f>IF(COUNTIFS($A$2:A285,A285,$D$2:D285,D285)=1,L285,0)</f>
        <v>0</v>
      </c>
      <c r="N285" s="4">
        <f t="shared" si="23"/>
        <v>414.78888888888889</v>
      </c>
      <c r="O285" t="str">
        <f t="shared" si="24"/>
        <v>OK</v>
      </c>
    </row>
    <row r="286" spans="1:15">
      <c r="A286" t="str">
        <f>'Raw Data'!A286</f>
        <v>Buffalo RM-04</v>
      </c>
      <c r="B286" t="str">
        <f>'Raw Data'!B286</f>
        <v>Northeast</v>
      </c>
      <c r="C286" t="str">
        <f>'Raw Data'!C286</f>
        <v>Apparel</v>
      </c>
      <c r="D286" s="3">
        <f>'Raw Data'!D286</f>
        <v>45992</v>
      </c>
      <c r="E286" t="str">
        <f t="shared" si="20"/>
        <v>Dec</v>
      </c>
      <c r="F286" s="5">
        <f>'Raw Data'!E286</f>
        <v>151</v>
      </c>
      <c r="G286" s="4">
        <f>'Raw Data'!F286</f>
        <v>7271.69</v>
      </c>
      <c r="H286" s="4">
        <f>'Raw Data'!G286</f>
        <v>4961.93</v>
      </c>
      <c r="I286" s="4">
        <f t="shared" si="21"/>
        <v>2309.7599999999993</v>
      </c>
      <c r="J286" s="8">
        <f t="shared" si="22"/>
        <v>0.31763730302034321</v>
      </c>
      <c r="K286" s="6">
        <f>'Raw Data'!I286</f>
        <v>3.47</v>
      </c>
      <c r="L286" s="5">
        <f>'Raw Data'!J286</f>
        <v>18</v>
      </c>
      <c r="M286" s="5">
        <f>IF(COUNTIFS($A$2:A286,A286,$D$2:D286,D286)=1,L286,0)</f>
        <v>0</v>
      </c>
      <c r="N286" s="4">
        <f t="shared" si="23"/>
        <v>403.98277777777776</v>
      </c>
      <c r="O286" t="str">
        <f t="shared" si="24"/>
        <v>OK</v>
      </c>
    </row>
    <row r="287" spans="1:15">
      <c r="A287" t="str">
        <f>'Raw Data'!A287</f>
        <v>Buffalo RM-04</v>
      </c>
      <c r="B287" t="str">
        <f>'Raw Data'!B287</f>
        <v>Northeast</v>
      </c>
      <c r="C287" t="str">
        <f>'Raw Data'!C287</f>
        <v>Beauty</v>
      </c>
      <c r="D287" s="3">
        <f>'Raw Data'!D287</f>
        <v>45992</v>
      </c>
      <c r="E287" t="str">
        <f t="shared" si="20"/>
        <v>Dec</v>
      </c>
      <c r="F287" s="5">
        <f>'Raw Data'!E287</f>
        <v>114</v>
      </c>
      <c r="G287" s="4">
        <f>'Raw Data'!F287</f>
        <v>3901.85</v>
      </c>
      <c r="H287" s="4">
        <f>'Raw Data'!G287</f>
        <v>2316.52</v>
      </c>
      <c r="I287" s="4">
        <f t="shared" si="21"/>
        <v>1585.33</v>
      </c>
      <c r="J287" s="8">
        <f t="shared" si="22"/>
        <v>0.4063021387290644</v>
      </c>
      <c r="K287" s="6">
        <f>'Raw Data'!I287</f>
        <v>3.48</v>
      </c>
      <c r="L287" s="5">
        <f>'Raw Data'!J287</f>
        <v>18</v>
      </c>
      <c r="M287" s="5">
        <f>IF(COUNTIFS($A$2:A287,A287,$D$2:D287,D287)=1,L287,0)</f>
        <v>0</v>
      </c>
      <c r="N287" s="4">
        <f t="shared" si="23"/>
        <v>216.76944444444445</v>
      </c>
      <c r="O287" t="str">
        <f t="shared" si="24"/>
        <v>OK</v>
      </c>
    </row>
    <row r="288" spans="1:15">
      <c r="A288" t="str">
        <f>'Raw Data'!A288</f>
        <v>Buffalo RM-04</v>
      </c>
      <c r="B288" t="str">
        <f>'Raw Data'!B288</f>
        <v>Northeast</v>
      </c>
      <c r="C288" t="str">
        <f>'Raw Data'!C288</f>
        <v>Grocery</v>
      </c>
      <c r="D288" s="3">
        <f>'Raw Data'!D288</f>
        <v>45992</v>
      </c>
      <c r="E288" t="str">
        <f t="shared" si="20"/>
        <v>Dec</v>
      </c>
      <c r="F288" s="5">
        <f>'Raw Data'!E288</f>
        <v>183</v>
      </c>
      <c r="G288" s="4">
        <f>'Raw Data'!F288</f>
        <v>3309.74</v>
      </c>
      <c r="H288" s="4">
        <f>'Raw Data'!G288</f>
        <v>3187.71</v>
      </c>
      <c r="I288" s="4">
        <f t="shared" si="21"/>
        <v>122.02999999999975</v>
      </c>
      <c r="J288" s="8">
        <f t="shared" si="22"/>
        <v>3.6869965616634463E-2</v>
      </c>
      <c r="K288" s="6">
        <f>'Raw Data'!I288</f>
        <v>3.43</v>
      </c>
      <c r="L288" s="5">
        <f>'Raw Data'!J288</f>
        <v>18</v>
      </c>
      <c r="M288" s="5">
        <f>IF(COUNTIFS($A$2:A288,A288,$D$2:D288,D288)=1,L288,0)</f>
        <v>0</v>
      </c>
      <c r="N288" s="4">
        <f t="shared" si="23"/>
        <v>183.87444444444444</v>
      </c>
      <c r="O288" t="str">
        <f t="shared" si="24"/>
        <v>OK</v>
      </c>
    </row>
    <row r="289" spans="1:15">
      <c r="A289" t="str">
        <f>'Raw Data'!A289</f>
        <v>Buffalo RM-04</v>
      </c>
      <c r="B289" t="str">
        <f>'Raw Data'!B289</f>
        <v>Northeast</v>
      </c>
      <c r="C289" t="str">
        <f>'Raw Data'!C289</f>
        <v>Sports</v>
      </c>
      <c r="D289" s="3">
        <f>'Raw Data'!D289</f>
        <v>45992</v>
      </c>
      <c r="E289" t="str">
        <f t="shared" si="20"/>
        <v>Dec</v>
      </c>
      <c r="F289" s="5">
        <f>'Raw Data'!E289</f>
        <v>80</v>
      </c>
      <c r="G289" s="4">
        <f>'Raw Data'!F289</f>
        <v>5284.5</v>
      </c>
      <c r="H289" s="4">
        <f>'Raw Data'!G289</f>
        <v>3904</v>
      </c>
      <c r="I289" s="4">
        <f t="shared" si="21"/>
        <v>1380.5</v>
      </c>
      <c r="J289" s="8">
        <f t="shared" si="22"/>
        <v>0.26123568927996971</v>
      </c>
      <c r="K289" s="6">
        <f>'Raw Data'!I289</f>
        <v>3.46</v>
      </c>
      <c r="L289" s="5">
        <f>'Raw Data'!J289</f>
        <v>18</v>
      </c>
      <c r="M289" s="5">
        <f>IF(COUNTIFS($A$2:A289,A289,$D$2:D289,D289)=1,L289,0)</f>
        <v>0</v>
      </c>
      <c r="N289" s="4">
        <f t="shared" si="23"/>
        <v>293.58333333333331</v>
      </c>
      <c r="O289" t="str">
        <f t="shared" si="24"/>
        <v>OK</v>
      </c>
    </row>
    <row r="290" spans="1:15">
      <c r="A290" t="str">
        <f>'Raw Data'!A290</f>
        <v>Providence RM-05</v>
      </c>
      <c r="B290" t="str">
        <f>'Raw Data'!B290</f>
        <v>Northeast</v>
      </c>
      <c r="C290" t="str">
        <f>'Raw Data'!C290</f>
        <v>Electronics</v>
      </c>
      <c r="D290" s="3">
        <f>'Raw Data'!D290</f>
        <v>45658</v>
      </c>
      <c r="E290" t="str">
        <f t="shared" si="20"/>
        <v>Jan</v>
      </c>
      <c r="F290" s="5">
        <f>'Raw Data'!E290</f>
        <v>73</v>
      </c>
      <c r="G290" s="4">
        <f>'Raw Data'!F290</f>
        <v>10173.459999999999</v>
      </c>
      <c r="H290" s="4">
        <f>'Raw Data'!G290</f>
        <v>7429.52</v>
      </c>
      <c r="I290" s="4">
        <f t="shared" si="21"/>
        <v>2743.9399999999987</v>
      </c>
      <c r="J290" s="8">
        <f t="shared" si="22"/>
        <v>0.26971551468232036</v>
      </c>
      <c r="K290" s="6">
        <f>'Raw Data'!I290</f>
        <v>3.28</v>
      </c>
      <c r="L290" s="5">
        <f>'Raw Data'!J290</f>
        <v>23</v>
      </c>
      <c r="M290" s="5">
        <f>IF(COUNTIFS($A$2:A290,A290,$D$2:D290,D290)=1,L290,0)</f>
        <v>23</v>
      </c>
      <c r="N290" s="4">
        <f t="shared" si="23"/>
        <v>442.32434782608692</v>
      </c>
      <c r="O290" t="str">
        <f t="shared" si="24"/>
        <v>OK</v>
      </c>
    </row>
    <row r="291" spans="1:15">
      <c r="A291" t="str">
        <f>'Raw Data'!A291</f>
        <v>Providence RM-05</v>
      </c>
      <c r="B291" t="str">
        <f>'Raw Data'!B291</f>
        <v>Northeast</v>
      </c>
      <c r="C291" t="str">
        <f>'Raw Data'!C291</f>
        <v>Home Goods</v>
      </c>
      <c r="D291" s="3">
        <f>'Raw Data'!D291</f>
        <v>45658</v>
      </c>
      <c r="E291" t="str">
        <f t="shared" si="20"/>
        <v>Jan</v>
      </c>
      <c r="F291" s="5">
        <f>'Raw Data'!E291</f>
        <v>76</v>
      </c>
      <c r="G291" s="4">
        <f>'Raw Data'!F291</f>
        <v>6156.51</v>
      </c>
      <c r="H291" s="4">
        <f>'Raw Data'!G291</f>
        <v>3903.15</v>
      </c>
      <c r="I291" s="4">
        <f t="shared" si="21"/>
        <v>2253.36</v>
      </c>
      <c r="J291" s="8">
        <f t="shared" si="22"/>
        <v>0.36601256231208917</v>
      </c>
      <c r="K291" s="6">
        <f>'Raw Data'!I291</f>
        <v>3.5</v>
      </c>
      <c r="L291" s="5">
        <f>'Raw Data'!J291</f>
        <v>23</v>
      </c>
      <c r="M291" s="5">
        <f>IF(COUNTIFS($A$2:A291,A291,$D$2:D291,D291)=1,L291,0)</f>
        <v>0</v>
      </c>
      <c r="N291" s="4">
        <f t="shared" si="23"/>
        <v>267.67434782608694</v>
      </c>
      <c r="O291" t="str">
        <f t="shared" si="24"/>
        <v>OK</v>
      </c>
    </row>
    <row r="292" spans="1:15">
      <c r="A292" t="str">
        <f>'Raw Data'!A292</f>
        <v>Providence RM-05</v>
      </c>
      <c r="B292" t="str">
        <f>'Raw Data'!B292</f>
        <v>Northeast</v>
      </c>
      <c r="C292" t="str">
        <f>'Raw Data'!C292</f>
        <v>Apparel</v>
      </c>
      <c r="D292" s="3">
        <f>'Raw Data'!D292</f>
        <v>45658</v>
      </c>
      <c r="E292" t="str">
        <f t="shared" si="20"/>
        <v>Jan</v>
      </c>
      <c r="F292" s="5">
        <f>'Raw Data'!E292</f>
        <v>83</v>
      </c>
      <c r="G292" s="4">
        <f>'Raw Data'!F292</f>
        <v>3883.14</v>
      </c>
      <c r="H292" s="4">
        <f>'Raw Data'!G292</f>
        <v>2243.81</v>
      </c>
      <c r="I292" s="4">
        <f t="shared" si="21"/>
        <v>1639.33</v>
      </c>
      <c r="J292" s="8">
        <f t="shared" si="22"/>
        <v>0.42216608208820694</v>
      </c>
      <c r="K292" s="6">
        <f>'Raw Data'!I292</f>
        <v>3.4</v>
      </c>
      <c r="L292" s="5">
        <f>'Raw Data'!J292</f>
        <v>23</v>
      </c>
      <c r="M292" s="5">
        <f>IF(COUNTIFS($A$2:A292,A292,$D$2:D292,D292)=1,L292,0)</f>
        <v>0</v>
      </c>
      <c r="N292" s="4">
        <f t="shared" si="23"/>
        <v>168.83217391304348</v>
      </c>
      <c r="O292" t="str">
        <f t="shared" si="24"/>
        <v>OK</v>
      </c>
    </row>
    <row r="293" spans="1:15">
      <c r="A293" t="str">
        <f>'Raw Data'!A293</f>
        <v>Providence RM-05</v>
      </c>
      <c r="B293" t="str">
        <f>'Raw Data'!B293</f>
        <v>Northeast</v>
      </c>
      <c r="C293" t="str">
        <f>'Raw Data'!C293</f>
        <v>Beauty</v>
      </c>
      <c r="D293" s="3">
        <f>'Raw Data'!D293</f>
        <v>45658</v>
      </c>
      <c r="E293" t="str">
        <f t="shared" si="20"/>
        <v>Jan</v>
      </c>
      <c r="F293" s="5">
        <f>'Raw Data'!E293</f>
        <v>73</v>
      </c>
      <c r="G293" s="4">
        <f>'Raw Data'!F293</f>
        <v>2662.65</v>
      </c>
      <c r="H293" s="4">
        <f>'Raw Data'!G293</f>
        <v>1199.74</v>
      </c>
      <c r="I293" s="4">
        <f t="shared" si="21"/>
        <v>1462.91</v>
      </c>
      <c r="J293" s="8">
        <f t="shared" si="22"/>
        <v>0.54941881208570409</v>
      </c>
      <c r="K293" s="6">
        <f>'Raw Data'!I293</f>
        <v>3.37</v>
      </c>
      <c r="L293" s="5">
        <f>'Raw Data'!J293</f>
        <v>23</v>
      </c>
      <c r="M293" s="5">
        <f>IF(COUNTIFS($A$2:A293,A293,$D$2:D293,D293)=1,L293,0)</f>
        <v>0</v>
      </c>
      <c r="N293" s="4">
        <f t="shared" si="23"/>
        <v>115.76739130434783</v>
      </c>
      <c r="O293" t="str">
        <f t="shared" si="24"/>
        <v>OK</v>
      </c>
    </row>
    <row r="294" spans="1:15">
      <c r="A294" t="str">
        <f>'Raw Data'!A294</f>
        <v>Providence RM-05</v>
      </c>
      <c r="B294" t="str">
        <f>'Raw Data'!B294</f>
        <v>Northeast</v>
      </c>
      <c r="C294" t="str">
        <f>'Raw Data'!C294</f>
        <v>Grocery</v>
      </c>
      <c r="D294" s="3">
        <f>'Raw Data'!D294</f>
        <v>45658</v>
      </c>
      <c r="E294" t="str">
        <f t="shared" si="20"/>
        <v>Jan</v>
      </c>
      <c r="F294" s="5">
        <f>'Raw Data'!E294</f>
        <v>118</v>
      </c>
      <c r="G294" s="4">
        <f>'Raw Data'!F294</f>
        <v>2097.1799999999998</v>
      </c>
      <c r="H294" s="4">
        <f>'Raw Data'!G294</f>
        <v>1856.35</v>
      </c>
      <c r="I294" s="4">
        <f t="shared" si="21"/>
        <v>240.82999999999993</v>
      </c>
      <c r="J294" s="8">
        <f t="shared" si="22"/>
        <v>0.114835159595266</v>
      </c>
      <c r="K294" s="6">
        <f>'Raw Data'!I294</f>
        <v>3.49</v>
      </c>
      <c r="L294" s="5">
        <f>'Raw Data'!J294</f>
        <v>23</v>
      </c>
      <c r="M294" s="5">
        <f>IF(COUNTIFS($A$2:A294,A294,$D$2:D294,D294)=1,L294,0)</f>
        <v>0</v>
      </c>
      <c r="N294" s="4">
        <f t="shared" si="23"/>
        <v>91.181739130434778</v>
      </c>
      <c r="O294" t="str">
        <f t="shared" si="24"/>
        <v>OK</v>
      </c>
    </row>
    <row r="295" spans="1:15">
      <c r="A295" t="str">
        <f>'Raw Data'!A295</f>
        <v>Providence RM-05</v>
      </c>
      <c r="B295" t="str">
        <f>'Raw Data'!B295</f>
        <v>Northeast</v>
      </c>
      <c r="C295" t="str">
        <f>'Raw Data'!C295</f>
        <v>Sports</v>
      </c>
      <c r="D295" s="3">
        <f>'Raw Data'!D295</f>
        <v>45658</v>
      </c>
      <c r="E295" t="str">
        <f t="shared" si="20"/>
        <v>Jan</v>
      </c>
      <c r="F295" s="5">
        <f>'Raw Data'!E295</f>
        <v>60</v>
      </c>
      <c r="G295" s="4">
        <f>'Raw Data'!F295</f>
        <v>3833.92</v>
      </c>
      <c r="H295" s="4">
        <f>'Raw Data'!G295</f>
        <v>2315.12</v>
      </c>
      <c r="I295" s="4">
        <f t="shared" si="21"/>
        <v>1518.8000000000002</v>
      </c>
      <c r="J295" s="8">
        <f t="shared" si="22"/>
        <v>0.39614806777397549</v>
      </c>
      <c r="K295" s="6">
        <f>'Raw Data'!I295</f>
        <v>3.27</v>
      </c>
      <c r="L295" s="5">
        <f>'Raw Data'!J295</f>
        <v>23</v>
      </c>
      <c r="M295" s="5">
        <f>IF(COUNTIFS($A$2:A295,A295,$D$2:D295,D295)=1,L295,0)</f>
        <v>0</v>
      </c>
      <c r="N295" s="4">
        <f t="shared" si="23"/>
        <v>166.69217391304349</v>
      </c>
      <c r="O295" t="str">
        <f t="shared" si="24"/>
        <v>OK</v>
      </c>
    </row>
    <row r="296" spans="1:15">
      <c r="A296" t="str">
        <f>'Raw Data'!A296</f>
        <v>Providence RM-05</v>
      </c>
      <c r="B296" t="str">
        <f>'Raw Data'!B296</f>
        <v>Northeast</v>
      </c>
      <c r="C296" t="str">
        <f>'Raw Data'!C296</f>
        <v>Electronics</v>
      </c>
      <c r="D296" s="3">
        <f>'Raw Data'!D296</f>
        <v>45689</v>
      </c>
      <c r="E296" t="str">
        <f t="shared" si="20"/>
        <v>Feb</v>
      </c>
      <c r="F296" s="5">
        <f>'Raw Data'!E296</f>
        <v>74</v>
      </c>
      <c r="G296" s="4">
        <f>'Raw Data'!F296</f>
        <v>11072.49</v>
      </c>
      <c r="H296" s="4">
        <f>'Raw Data'!G296</f>
        <v>8574.89</v>
      </c>
      <c r="I296" s="4">
        <f t="shared" si="21"/>
        <v>2497.6000000000004</v>
      </c>
      <c r="J296" s="8">
        <f t="shared" si="22"/>
        <v>0.22556805199191876</v>
      </c>
      <c r="K296" s="6">
        <f>'Raw Data'!I296</f>
        <v>3.55</v>
      </c>
      <c r="L296" s="5">
        <f>'Raw Data'!J296</f>
        <v>24</v>
      </c>
      <c r="M296" s="5">
        <f>IF(COUNTIFS($A$2:A296,A296,$D$2:D296,D296)=1,L296,0)</f>
        <v>24</v>
      </c>
      <c r="N296" s="4">
        <f t="shared" si="23"/>
        <v>461.35374999999999</v>
      </c>
      <c r="O296" t="str">
        <f t="shared" si="24"/>
        <v>OK</v>
      </c>
    </row>
    <row r="297" spans="1:15">
      <c r="A297" t="str">
        <f>'Raw Data'!A297</f>
        <v>Providence RM-05</v>
      </c>
      <c r="B297" t="str">
        <f>'Raw Data'!B297</f>
        <v>Northeast</v>
      </c>
      <c r="C297" t="str">
        <f>'Raw Data'!C297</f>
        <v>Home Goods</v>
      </c>
      <c r="D297" s="3">
        <f>'Raw Data'!D297</f>
        <v>45689</v>
      </c>
      <c r="E297" t="str">
        <f t="shared" si="20"/>
        <v>Feb</v>
      </c>
      <c r="F297" s="5">
        <f>'Raw Data'!E297</f>
        <v>79</v>
      </c>
      <c r="G297" s="4">
        <f>'Raw Data'!F297</f>
        <v>5923.97</v>
      </c>
      <c r="H297" s="4">
        <f>'Raw Data'!G297</f>
        <v>3845.88</v>
      </c>
      <c r="I297" s="4">
        <f t="shared" si="21"/>
        <v>2078.09</v>
      </c>
      <c r="J297" s="8">
        <f t="shared" si="22"/>
        <v>0.35079347127011112</v>
      </c>
      <c r="K297" s="6">
        <f>'Raw Data'!I297</f>
        <v>3.29</v>
      </c>
      <c r="L297" s="5">
        <f>'Raw Data'!J297</f>
        <v>24</v>
      </c>
      <c r="M297" s="5">
        <f>IF(COUNTIFS($A$2:A297,A297,$D$2:D297,D297)=1,L297,0)</f>
        <v>0</v>
      </c>
      <c r="N297" s="4">
        <f t="shared" si="23"/>
        <v>246.83208333333334</v>
      </c>
      <c r="O297" t="str">
        <f t="shared" si="24"/>
        <v>OK</v>
      </c>
    </row>
    <row r="298" spans="1:15">
      <c r="A298" t="str">
        <f>'Raw Data'!A298</f>
        <v>Providence RM-05</v>
      </c>
      <c r="B298" t="str">
        <f>'Raw Data'!B298</f>
        <v>Northeast</v>
      </c>
      <c r="C298" t="str">
        <f>'Raw Data'!C298</f>
        <v>Apparel</v>
      </c>
      <c r="D298" s="3">
        <f>'Raw Data'!D298</f>
        <v>45689</v>
      </c>
      <c r="E298" t="str">
        <f t="shared" si="20"/>
        <v>Feb</v>
      </c>
      <c r="F298" s="5">
        <f>'Raw Data'!E298</f>
        <v>75</v>
      </c>
      <c r="G298" s="4">
        <f>'Raw Data'!F298</f>
        <v>3736.03</v>
      </c>
      <c r="H298" s="4">
        <f>'Raw Data'!G298</f>
        <v>2175.12</v>
      </c>
      <c r="I298" s="4">
        <f t="shared" si="21"/>
        <v>1560.9100000000003</v>
      </c>
      <c r="J298" s="8">
        <f t="shared" si="22"/>
        <v>0.41779910760887901</v>
      </c>
      <c r="K298" s="6">
        <f>'Raw Data'!I298</f>
        <v>3.45</v>
      </c>
      <c r="L298" s="5">
        <f>'Raw Data'!J298</f>
        <v>24</v>
      </c>
      <c r="M298" s="5">
        <f>IF(COUNTIFS($A$2:A298,A298,$D$2:D298,D298)=1,L298,0)</f>
        <v>0</v>
      </c>
      <c r="N298" s="4">
        <f t="shared" si="23"/>
        <v>155.66791666666668</v>
      </c>
      <c r="O298" t="str">
        <f t="shared" si="24"/>
        <v>OK</v>
      </c>
    </row>
    <row r="299" spans="1:15">
      <c r="A299" t="str">
        <f>'Raw Data'!A299</f>
        <v>Providence RM-05</v>
      </c>
      <c r="B299" t="str">
        <f>'Raw Data'!B299</f>
        <v>Northeast</v>
      </c>
      <c r="C299" t="str">
        <f>'Raw Data'!C299</f>
        <v>Beauty</v>
      </c>
      <c r="D299" s="3">
        <f>'Raw Data'!D299</f>
        <v>45689</v>
      </c>
      <c r="E299" t="str">
        <f t="shared" si="20"/>
        <v>Feb</v>
      </c>
      <c r="F299" s="5">
        <f>'Raw Data'!E299</f>
        <v>86</v>
      </c>
      <c r="G299" s="4">
        <f>'Raw Data'!F299</f>
        <v>3316.81</v>
      </c>
      <c r="H299" s="4">
        <f>'Raw Data'!G299</f>
        <v>1527.97</v>
      </c>
      <c r="I299" s="4">
        <f t="shared" si="21"/>
        <v>1788.84</v>
      </c>
      <c r="J299" s="8">
        <f t="shared" si="22"/>
        <v>0.53932543618717987</v>
      </c>
      <c r="K299" s="6">
        <f>'Raw Data'!I299</f>
        <v>3.38</v>
      </c>
      <c r="L299" s="5">
        <f>'Raw Data'!J299</f>
        <v>24</v>
      </c>
      <c r="M299" s="5">
        <f>IF(COUNTIFS($A$2:A299,A299,$D$2:D299,D299)=1,L299,0)</f>
        <v>0</v>
      </c>
      <c r="N299" s="4">
        <f t="shared" si="23"/>
        <v>138.20041666666665</v>
      </c>
      <c r="O299" t="str">
        <f t="shared" si="24"/>
        <v>OK</v>
      </c>
    </row>
    <row r="300" spans="1:15">
      <c r="A300" t="str">
        <f>'Raw Data'!A300</f>
        <v>Providence RM-05</v>
      </c>
      <c r="B300" t="str">
        <f>'Raw Data'!B300</f>
        <v>Northeast</v>
      </c>
      <c r="C300" t="str">
        <f>'Raw Data'!C300</f>
        <v>Grocery</v>
      </c>
      <c r="D300" s="3">
        <f>'Raw Data'!D300</f>
        <v>45689</v>
      </c>
      <c r="E300" t="str">
        <f t="shared" si="20"/>
        <v>Feb</v>
      </c>
      <c r="F300" s="5">
        <f>'Raw Data'!E300</f>
        <v>125</v>
      </c>
      <c r="G300" s="4">
        <f>'Raw Data'!F300</f>
        <v>2326.09</v>
      </c>
      <c r="H300" s="4">
        <f>'Raw Data'!G300</f>
        <v>2101.59</v>
      </c>
      <c r="I300" s="4">
        <f t="shared" si="21"/>
        <v>224.5</v>
      </c>
      <c r="J300" s="8">
        <f t="shared" si="22"/>
        <v>9.6513892411729543E-2</v>
      </c>
      <c r="K300" s="6">
        <f>'Raw Data'!I300</f>
        <v>3.48</v>
      </c>
      <c r="L300" s="5">
        <f>'Raw Data'!J300</f>
        <v>24</v>
      </c>
      <c r="M300" s="5">
        <f>IF(COUNTIFS($A$2:A300,A300,$D$2:D300,D300)=1,L300,0)</f>
        <v>0</v>
      </c>
      <c r="N300" s="4">
        <f t="shared" si="23"/>
        <v>96.920416666666668</v>
      </c>
      <c r="O300" t="str">
        <f t="shared" si="24"/>
        <v>OK</v>
      </c>
    </row>
    <row r="301" spans="1:15">
      <c r="A301" t="str">
        <f>'Raw Data'!A301</f>
        <v>Providence RM-05</v>
      </c>
      <c r="B301" t="str">
        <f>'Raw Data'!B301</f>
        <v>Northeast</v>
      </c>
      <c r="C301" t="str">
        <f>'Raw Data'!C301</f>
        <v>Sports</v>
      </c>
      <c r="D301" s="3">
        <f>'Raw Data'!D301</f>
        <v>45689</v>
      </c>
      <c r="E301" t="str">
        <f t="shared" si="20"/>
        <v>Feb</v>
      </c>
      <c r="F301" s="5">
        <f>'Raw Data'!E301</f>
        <v>46</v>
      </c>
      <c r="G301" s="4">
        <f>'Raw Data'!F301</f>
        <v>2954.55</v>
      </c>
      <c r="H301" s="4">
        <f>'Raw Data'!G301</f>
        <v>1852.48</v>
      </c>
      <c r="I301" s="4">
        <f t="shared" si="21"/>
        <v>1102.0700000000002</v>
      </c>
      <c r="J301" s="8">
        <f t="shared" si="22"/>
        <v>0.37300773383425567</v>
      </c>
      <c r="K301" s="6">
        <f>'Raw Data'!I301</f>
        <v>3.47</v>
      </c>
      <c r="L301" s="5">
        <f>'Raw Data'!J301</f>
        <v>24</v>
      </c>
      <c r="M301" s="5">
        <f>IF(COUNTIFS($A$2:A301,A301,$D$2:D301,D301)=1,L301,0)</f>
        <v>0</v>
      </c>
      <c r="N301" s="4">
        <f t="shared" si="23"/>
        <v>123.10625</v>
      </c>
      <c r="O301" t="str">
        <f t="shared" si="24"/>
        <v>OK</v>
      </c>
    </row>
    <row r="302" spans="1:15">
      <c r="A302" t="str">
        <f>'Raw Data'!A302</f>
        <v>Providence RM-05</v>
      </c>
      <c r="B302" t="str">
        <f>'Raw Data'!B302</f>
        <v>Northeast</v>
      </c>
      <c r="C302" t="str">
        <f>'Raw Data'!C302</f>
        <v>Electronics</v>
      </c>
      <c r="D302" s="3">
        <f>'Raw Data'!D302</f>
        <v>45717</v>
      </c>
      <c r="E302" t="str">
        <f t="shared" si="20"/>
        <v>Mar</v>
      </c>
      <c r="F302" s="5">
        <f>'Raw Data'!E302</f>
        <v>83</v>
      </c>
      <c r="G302" s="4">
        <f>'Raw Data'!F302</f>
        <v>11833.31</v>
      </c>
      <c r="H302" s="4">
        <f>'Raw Data'!G302</f>
        <v>9261.07</v>
      </c>
      <c r="I302" s="4">
        <f t="shared" si="21"/>
        <v>2572.2399999999998</v>
      </c>
      <c r="J302" s="8">
        <f t="shared" si="22"/>
        <v>0.21737282298866503</v>
      </c>
      <c r="K302" s="6">
        <f>'Raw Data'!I302</f>
        <v>3.36</v>
      </c>
      <c r="L302" s="5">
        <f>'Raw Data'!J302</f>
        <v>24</v>
      </c>
      <c r="M302" s="5">
        <f>IF(COUNTIFS($A$2:A302,A302,$D$2:D302,D302)=1,L302,0)</f>
        <v>24</v>
      </c>
      <c r="N302" s="4">
        <f t="shared" si="23"/>
        <v>493.05458333333331</v>
      </c>
      <c r="O302" t="str">
        <f t="shared" si="24"/>
        <v>OK</v>
      </c>
    </row>
    <row r="303" spans="1:15">
      <c r="A303" t="str">
        <f>'Raw Data'!A303</f>
        <v>Providence RM-05</v>
      </c>
      <c r="B303" t="str">
        <f>'Raw Data'!B303</f>
        <v>Northeast</v>
      </c>
      <c r="C303" t="str">
        <f>'Raw Data'!C303</f>
        <v>Home Goods</v>
      </c>
      <c r="D303" s="3">
        <f>'Raw Data'!D303</f>
        <v>45717</v>
      </c>
      <c r="E303" t="str">
        <f t="shared" si="20"/>
        <v>Mar</v>
      </c>
      <c r="F303" s="5">
        <f>'Raw Data'!E303</f>
        <v>77</v>
      </c>
      <c r="G303" s="4">
        <f>'Raw Data'!F303</f>
        <v>6128.58</v>
      </c>
      <c r="H303" s="4">
        <f>'Raw Data'!G303</f>
        <v>3921.99</v>
      </c>
      <c r="I303" s="4">
        <f t="shared" si="21"/>
        <v>2206.59</v>
      </c>
      <c r="J303" s="8">
        <f t="shared" si="22"/>
        <v>0.36004914678441013</v>
      </c>
      <c r="K303" s="6">
        <f>'Raw Data'!I303</f>
        <v>3.6</v>
      </c>
      <c r="L303" s="5">
        <f>'Raw Data'!J303</f>
        <v>24</v>
      </c>
      <c r="M303" s="5">
        <f>IF(COUNTIFS($A$2:A303,A303,$D$2:D303,D303)=1,L303,0)</f>
        <v>0</v>
      </c>
      <c r="N303" s="4">
        <f t="shared" si="23"/>
        <v>255.35749999999999</v>
      </c>
      <c r="O303" t="str">
        <f t="shared" si="24"/>
        <v>OK</v>
      </c>
    </row>
    <row r="304" spans="1:15">
      <c r="A304" t="str">
        <f>'Raw Data'!A304</f>
        <v>Providence RM-05</v>
      </c>
      <c r="B304" t="str">
        <f>'Raw Data'!B304</f>
        <v>Northeast</v>
      </c>
      <c r="C304" t="str">
        <f>'Raw Data'!C304</f>
        <v>Apparel</v>
      </c>
      <c r="D304" s="3">
        <f>'Raw Data'!D304</f>
        <v>45717</v>
      </c>
      <c r="E304" t="str">
        <f t="shared" si="20"/>
        <v>Mar</v>
      </c>
      <c r="F304" s="5">
        <f>'Raw Data'!E304</f>
        <v>119</v>
      </c>
      <c r="G304" s="4">
        <f>'Raw Data'!F304</f>
        <v>5999.52</v>
      </c>
      <c r="H304" s="4">
        <f>'Raw Data'!G304</f>
        <v>3553.36</v>
      </c>
      <c r="I304" s="4">
        <f t="shared" si="21"/>
        <v>2446.1600000000003</v>
      </c>
      <c r="J304" s="8">
        <f t="shared" si="22"/>
        <v>0.40772595140944612</v>
      </c>
      <c r="K304" s="6">
        <f>'Raw Data'!I304</f>
        <v>3.43</v>
      </c>
      <c r="L304" s="5">
        <f>'Raw Data'!J304</f>
        <v>24</v>
      </c>
      <c r="M304" s="5">
        <f>IF(COUNTIFS($A$2:A304,A304,$D$2:D304,D304)=1,L304,0)</f>
        <v>0</v>
      </c>
      <c r="N304" s="4">
        <f t="shared" si="23"/>
        <v>249.98000000000002</v>
      </c>
      <c r="O304" t="str">
        <f t="shared" si="24"/>
        <v>OK</v>
      </c>
    </row>
    <row r="305" spans="1:15">
      <c r="A305" t="str">
        <f>'Raw Data'!A305</f>
        <v>Providence RM-05</v>
      </c>
      <c r="B305" t="str">
        <f>'Raw Data'!B305</f>
        <v>Northeast</v>
      </c>
      <c r="C305" t="str">
        <f>'Raw Data'!C305</f>
        <v>Beauty</v>
      </c>
      <c r="D305" s="3">
        <f>'Raw Data'!D305</f>
        <v>45717</v>
      </c>
      <c r="E305" t="str">
        <f t="shared" si="20"/>
        <v>Mar</v>
      </c>
      <c r="F305" s="5">
        <f>'Raw Data'!E305</f>
        <v>86</v>
      </c>
      <c r="G305" s="4">
        <f>'Raw Data'!F305</f>
        <v>3230.4</v>
      </c>
      <c r="H305" s="4">
        <f>'Raw Data'!G305</f>
        <v>1527.18</v>
      </c>
      <c r="I305" s="4">
        <f t="shared" si="21"/>
        <v>1703.22</v>
      </c>
      <c r="J305" s="8">
        <f t="shared" si="22"/>
        <v>0.52724739970282319</v>
      </c>
      <c r="K305" s="6">
        <f>'Raw Data'!I305</f>
        <v>3.48</v>
      </c>
      <c r="L305" s="5">
        <f>'Raw Data'!J305</f>
        <v>24</v>
      </c>
      <c r="M305" s="5">
        <f>IF(COUNTIFS($A$2:A305,A305,$D$2:D305,D305)=1,L305,0)</f>
        <v>0</v>
      </c>
      <c r="N305" s="4">
        <f t="shared" si="23"/>
        <v>134.6</v>
      </c>
      <c r="O305" t="str">
        <f t="shared" si="24"/>
        <v>OK</v>
      </c>
    </row>
    <row r="306" spans="1:15">
      <c r="A306" t="str">
        <f>'Raw Data'!A306</f>
        <v>Providence RM-05</v>
      </c>
      <c r="B306" t="str">
        <f>'Raw Data'!B306</f>
        <v>Northeast</v>
      </c>
      <c r="C306" t="str">
        <f>'Raw Data'!C306</f>
        <v>Grocery</v>
      </c>
      <c r="D306" s="3">
        <f>'Raw Data'!D306</f>
        <v>45717</v>
      </c>
      <c r="E306" t="str">
        <f t="shared" si="20"/>
        <v>Mar</v>
      </c>
      <c r="F306" s="5">
        <f>'Raw Data'!E306</f>
        <v>145</v>
      </c>
      <c r="G306" s="4">
        <f>'Raw Data'!F306</f>
        <v>2671.63</v>
      </c>
      <c r="H306" s="4">
        <f>'Raw Data'!G306</f>
        <v>2333.66</v>
      </c>
      <c r="I306" s="4">
        <f t="shared" si="21"/>
        <v>337.97000000000025</v>
      </c>
      <c r="J306" s="8">
        <f t="shared" si="22"/>
        <v>0.12650329574080252</v>
      </c>
      <c r="K306" s="6">
        <f>'Raw Data'!I306</f>
        <v>3.28</v>
      </c>
      <c r="L306" s="5">
        <f>'Raw Data'!J306</f>
        <v>24</v>
      </c>
      <c r="M306" s="5">
        <f>IF(COUNTIFS($A$2:A306,A306,$D$2:D306,D306)=1,L306,0)</f>
        <v>0</v>
      </c>
      <c r="N306" s="4">
        <f t="shared" si="23"/>
        <v>111.31791666666668</v>
      </c>
      <c r="O306" t="str">
        <f t="shared" si="24"/>
        <v>OK</v>
      </c>
    </row>
    <row r="307" spans="1:15">
      <c r="A307" t="str">
        <f>'Raw Data'!A307</f>
        <v>Providence RM-05</v>
      </c>
      <c r="B307" t="str">
        <f>'Raw Data'!B307</f>
        <v>Northeast</v>
      </c>
      <c r="C307" t="str">
        <f>'Raw Data'!C307</f>
        <v>Sports</v>
      </c>
      <c r="D307" s="3">
        <f>'Raw Data'!D307</f>
        <v>45717</v>
      </c>
      <c r="E307" t="str">
        <f t="shared" si="20"/>
        <v>Mar</v>
      </c>
      <c r="F307" s="5">
        <f>'Raw Data'!E307</f>
        <v>55</v>
      </c>
      <c r="G307" s="4">
        <f>'Raw Data'!F307</f>
        <v>3536.16</v>
      </c>
      <c r="H307" s="4">
        <f>'Raw Data'!G307</f>
        <v>2251.58</v>
      </c>
      <c r="I307" s="4">
        <f t="shared" si="21"/>
        <v>1284.58</v>
      </c>
      <c r="J307" s="8">
        <f t="shared" si="22"/>
        <v>0.36326976154925117</v>
      </c>
      <c r="K307" s="6">
        <f>'Raw Data'!I307</f>
        <v>3.57</v>
      </c>
      <c r="L307" s="5">
        <f>'Raw Data'!J307</f>
        <v>24</v>
      </c>
      <c r="M307" s="5">
        <f>IF(COUNTIFS($A$2:A307,A307,$D$2:D307,D307)=1,L307,0)</f>
        <v>0</v>
      </c>
      <c r="N307" s="4">
        <f t="shared" si="23"/>
        <v>147.34</v>
      </c>
      <c r="O307" t="str">
        <f t="shared" si="24"/>
        <v>OK</v>
      </c>
    </row>
    <row r="308" spans="1:15">
      <c r="A308" t="str">
        <f>'Raw Data'!A308</f>
        <v>Providence RM-05</v>
      </c>
      <c r="B308" t="str">
        <f>'Raw Data'!B308</f>
        <v>Northeast</v>
      </c>
      <c r="C308" t="str">
        <f>'Raw Data'!C308</f>
        <v>Electronics</v>
      </c>
      <c r="D308" s="3">
        <f>'Raw Data'!D308</f>
        <v>45748</v>
      </c>
      <c r="E308" t="str">
        <f t="shared" si="20"/>
        <v>Apr</v>
      </c>
      <c r="F308" s="5">
        <f>'Raw Data'!E308</f>
        <v>99</v>
      </c>
      <c r="G308" s="4">
        <f>'Raw Data'!F308</f>
        <v>14939.85</v>
      </c>
      <c r="H308" s="4">
        <f>'Raw Data'!G308</f>
        <v>11797.08</v>
      </c>
      <c r="I308" s="4">
        <f t="shared" si="21"/>
        <v>3142.7700000000004</v>
      </c>
      <c r="J308" s="8">
        <f t="shared" si="22"/>
        <v>0.21036154981475719</v>
      </c>
      <c r="K308" s="6">
        <f>'Raw Data'!I308</f>
        <v>3.46</v>
      </c>
      <c r="L308" s="5">
        <f>'Raw Data'!J308</f>
        <v>24</v>
      </c>
      <c r="M308" s="5">
        <f>IF(COUNTIFS($A$2:A308,A308,$D$2:D308,D308)=1,L308,0)</f>
        <v>24</v>
      </c>
      <c r="N308" s="4">
        <f t="shared" si="23"/>
        <v>622.49374999999998</v>
      </c>
      <c r="O308" t="str">
        <f t="shared" si="24"/>
        <v>OK</v>
      </c>
    </row>
    <row r="309" spans="1:15">
      <c r="A309" t="str">
        <f>'Raw Data'!A309</f>
        <v>Providence RM-05</v>
      </c>
      <c r="B309" t="str">
        <f>'Raw Data'!B309</f>
        <v>Northeast</v>
      </c>
      <c r="C309" t="str">
        <f>'Raw Data'!C309</f>
        <v>Home Goods</v>
      </c>
      <c r="D309" s="3">
        <f>'Raw Data'!D309</f>
        <v>45748</v>
      </c>
      <c r="E309" t="str">
        <f t="shared" si="20"/>
        <v>Apr</v>
      </c>
      <c r="F309" s="5">
        <f>'Raw Data'!E309</f>
        <v>85</v>
      </c>
      <c r="G309" s="4">
        <f>'Raw Data'!F309</f>
        <v>6752.86</v>
      </c>
      <c r="H309" s="4">
        <f>'Raw Data'!G309</f>
        <v>4519.05</v>
      </c>
      <c r="I309" s="4">
        <f t="shared" si="21"/>
        <v>2233.8099999999995</v>
      </c>
      <c r="J309" s="8">
        <f t="shared" si="22"/>
        <v>0.33079465589394708</v>
      </c>
      <c r="K309" s="6">
        <f>'Raw Data'!I309</f>
        <v>3.32</v>
      </c>
      <c r="L309" s="5">
        <f>'Raw Data'!J309</f>
        <v>24</v>
      </c>
      <c r="M309" s="5">
        <f>IF(COUNTIFS($A$2:A309,A309,$D$2:D309,D309)=1,L309,0)</f>
        <v>0</v>
      </c>
      <c r="N309" s="4">
        <f t="shared" si="23"/>
        <v>281.36916666666667</v>
      </c>
      <c r="O309" t="str">
        <f t="shared" si="24"/>
        <v>OK</v>
      </c>
    </row>
    <row r="310" spans="1:15">
      <c r="A310" t="str">
        <f>'Raw Data'!A310</f>
        <v>Providence RM-05</v>
      </c>
      <c r="B310" t="str">
        <f>'Raw Data'!B310</f>
        <v>Northeast</v>
      </c>
      <c r="C310" t="str">
        <f>'Raw Data'!C310</f>
        <v>Apparel</v>
      </c>
      <c r="D310" s="3">
        <f>'Raw Data'!D310</f>
        <v>45748</v>
      </c>
      <c r="E310" t="str">
        <f t="shared" si="20"/>
        <v>Apr</v>
      </c>
      <c r="F310" s="5">
        <f>'Raw Data'!E310</f>
        <v>126</v>
      </c>
      <c r="G310" s="4">
        <f>'Raw Data'!F310</f>
        <v>6349.26</v>
      </c>
      <c r="H310" s="4">
        <f>'Raw Data'!G310</f>
        <v>3888.89</v>
      </c>
      <c r="I310" s="4">
        <f t="shared" si="21"/>
        <v>2460.3700000000003</v>
      </c>
      <c r="J310" s="8">
        <f t="shared" si="22"/>
        <v>0.38750500058274512</v>
      </c>
      <c r="K310" s="6">
        <f>'Raw Data'!I310</f>
        <v>3.31</v>
      </c>
      <c r="L310" s="5">
        <f>'Raw Data'!J310</f>
        <v>24</v>
      </c>
      <c r="M310" s="5">
        <f>IF(COUNTIFS($A$2:A310,A310,$D$2:D310,D310)=1,L310,0)</f>
        <v>0</v>
      </c>
      <c r="N310" s="4">
        <f t="shared" si="23"/>
        <v>264.55250000000001</v>
      </c>
      <c r="O310" t="str">
        <f t="shared" si="24"/>
        <v>OK</v>
      </c>
    </row>
    <row r="311" spans="1:15">
      <c r="A311" t="str">
        <f>'Raw Data'!A311</f>
        <v>Providence RM-05</v>
      </c>
      <c r="B311" t="str">
        <f>'Raw Data'!B311</f>
        <v>Northeast</v>
      </c>
      <c r="C311" t="str">
        <f>'Raw Data'!C311</f>
        <v>Beauty</v>
      </c>
      <c r="D311" s="3">
        <f>'Raw Data'!D311</f>
        <v>45748</v>
      </c>
      <c r="E311" t="str">
        <f t="shared" si="20"/>
        <v>Apr</v>
      </c>
      <c r="F311" s="5">
        <f>'Raw Data'!E311</f>
        <v>107</v>
      </c>
      <c r="G311" s="4">
        <f>'Raw Data'!F311</f>
        <v>3986.68</v>
      </c>
      <c r="H311" s="4">
        <f>'Raw Data'!G311</f>
        <v>1913.68</v>
      </c>
      <c r="I311" s="4">
        <f t="shared" si="21"/>
        <v>2073</v>
      </c>
      <c r="J311" s="8">
        <f t="shared" si="22"/>
        <v>0.51998153852328255</v>
      </c>
      <c r="K311" s="6">
        <f>'Raw Data'!I311</f>
        <v>3.4</v>
      </c>
      <c r="L311" s="5">
        <f>'Raw Data'!J311</f>
        <v>24</v>
      </c>
      <c r="M311" s="5">
        <f>IF(COUNTIFS($A$2:A311,A311,$D$2:D311,D311)=1,L311,0)</f>
        <v>0</v>
      </c>
      <c r="N311" s="4">
        <f t="shared" si="23"/>
        <v>166.11166666666665</v>
      </c>
      <c r="O311" t="str">
        <f t="shared" si="24"/>
        <v>OK</v>
      </c>
    </row>
    <row r="312" spans="1:15">
      <c r="A312" t="str">
        <f>'Raw Data'!A312</f>
        <v>Providence RM-05</v>
      </c>
      <c r="B312" t="str">
        <f>'Raw Data'!B312</f>
        <v>Northeast</v>
      </c>
      <c r="C312" t="str">
        <f>'Raw Data'!C312</f>
        <v>Grocery</v>
      </c>
      <c r="D312" s="3">
        <f>'Raw Data'!D312</f>
        <v>45748</v>
      </c>
      <c r="E312" t="str">
        <f t="shared" si="20"/>
        <v>Apr</v>
      </c>
      <c r="F312" s="5">
        <f>'Raw Data'!E312</f>
        <v>147</v>
      </c>
      <c r="G312" s="4">
        <f>'Raw Data'!F312</f>
        <v>2673.54</v>
      </c>
      <c r="H312" s="4">
        <f>'Raw Data'!G312</f>
        <v>2389.12</v>
      </c>
      <c r="I312" s="4">
        <f t="shared" si="21"/>
        <v>284.42000000000007</v>
      </c>
      <c r="J312" s="8">
        <f t="shared" si="22"/>
        <v>0.10638329705184889</v>
      </c>
      <c r="K312" s="6">
        <f>'Raw Data'!I312</f>
        <v>3.27</v>
      </c>
      <c r="L312" s="5">
        <f>'Raw Data'!J312</f>
        <v>24</v>
      </c>
      <c r="M312" s="5">
        <f>IF(COUNTIFS($A$2:A312,A312,$D$2:D312,D312)=1,L312,0)</f>
        <v>0</v>
      </c>
      <c r="N312" s="4">
        <f t="shared" si="23"/>
        <v>111.39749999999999</v>
      </c>
      <c r="O312" t="str">
        <f t="shared" si="24"/>
        <v>OK</v>
      </c>
    </row>
    <row r="313" spans="1:15">
      <c r="A313" t="str">
        <f>'Raw Data'!A313</f>
        <v>Providence RM-05</v>
      </c>
      <c r="B313" t="str">
        <f>'Raw Data'!B313</f>
        <v>Northeast</v>
      </c>
      <c r="C313" t="str">
        <f>'Raw Data'!C313</f>
        <v>Sports</v>
      </c>
      <c r="D313" s="3">
        <f>'Raw Data'!D313</f>
        <v>45748</v>
      </c>
      <c r="E313" t="str">
        <f t="shared" si="20"/>
        <v>Apr</v>
      </c>
      <c r="F313" s="5">
        <f>'Raw Data'!E313</f>
        <v>56</v>
      </c>
      <c r="G313" s="4">
        <f>'Raw Data'!F313</f>
        <v>3360.75</v>
      </c>
      <c r="H313" s="4">
        <f>'Raw Data'!G313</f>
        <v>2157.62</v>
      </c>
      <c r="I313" s="4">
        <f t="shared" si="21"/>
        <v>1203.1300000000001</v>
      </c>
      <c r="J313" s="8">
        <f t="shared" si="22"/>
        <v>0.35799449527635202</v>
      </c>
      <c r="K313" s="6">
        <f>'Raw Data'!I313</f>
        <v>3.55</v>
      </c>
      <c r="L313" s="5">
        <f>'Raw Data'!J313</f>
        <v>24</v>
      </c>
      <c r="M313" s="5">
        <f>IF(COUNTIFS($A$2:A313,A313,$D$2:D313,D313)=1,L313,0)</f>
        <v>0</v>
      </c>
      <c r="N313" s="4">
        <f t="shared" si="23"/>
        <v>140.03125</v>
      </c>
      <c r="O313" t="str">
        <f t="shared" si="24"/>
        <v>OK</v>
      </c>
    </row>
    <row r="314" spans="1:15">
      <c r="A314" t="str">
        <f>'Raw Data'!A314</f>
        <v>Providence RM-05</v>
      </c>
      <c r="B314" t="str">
        <f>'Raw Data'!B314</f>
        <v>Northeast</v>
      </c>
      <c r="C314" t="str">
        <f>'Raw Data'!C314</f>
        <v>Electronics</v>
      </c>
      <c r="D314" s="3">
        <f>'Raw Data'!D314</f>
        <v>45778</v>
      </c>
      <c r="E314" t="str">
        <f t="shared" si="20"/>
        <v>May</v>
      </c>
      <c r="F314" s="5">
        <f>'Raw Data'!E314</f>
        <v>88</v>
      </c>
      <c r="G314" s="4">
        <f>'Raw Data'!F314</f>
        <v>12985.03</v>
      </c>
      <c r="H314" s="4">
        <f>'Raw Data'!G314</f>
        <v>9810.77</v>
      </c>
      <c r="I314" s="4">
        <f t="shared" si="21"/>
        <v>3174.26</v>
      </c>
      <c r="J314" s="8">
        <f t="shared" si="22"/>
        <v>0.24445534588676346</v>
      </c>
      <c r="K314" s="6">
        <f>'Raw Data'!I314</f>
        <v>3.54</v>
      </c>
      <c r="L314" s="5">
        <f>'Raw Data'!J314</f>
        <v>22</v>
      </c>
      <c r="M314" s="5">
        <f>IF(COUNTIFS($A$2:A314,A314,$D$2:D314,D314)=1,L314,0)</f>
        <v>22</v>
      </c>
      <c r="N314" s="4">
        <f t="shared" si="23"/>
        <v>590.22863636363638</v>
      </c>
      <c r="O314" t="str">
        <f t="shared" si="24"/>
        <v>OK</v>
      </c>
    </row>
    <row r="315" spans="1:15">
      <c r="A315" t="str">
        <f>'Raw Data'!A315</f>
        <v>Providence RM-05</v>
      </c>
      <c r="B315" t="str">
        <f>'Raw Data'!B315</f>
        <v>Northeast</v>
      </c>
      <c r="C315" t="str">
        <f>'Raw Data'!C315</f>
        <v>Home Goods</v>
      </c>
      <c r="D315" s="3">
        <f>'Raw Data'!D315</f>
        <v>45778</v>
      </c>
      <c r="E315" t="str">
        <f t="shared" si="20"/>
        <v>May</v>
      </c>
      <c r="F315" s="5">
        <f>'Raw Data'!E315</f>
        <v>77</v>
      </c>
      <c r="G315" s="4">
        <f>'Raw Data'!F315</f>
        <v>6198.22</v>
      </c>
      <c r="H315" s="4">
        <f>'Raw Data'!G315</f>
        <v>4062.54</v>
      </c>
      <c r="I315" s="4">
        <f t="shared" si="21"/>
        <v>2135.6800000000003</v>
      </c>
      <c r="J315" s="8">
        <f t="shared" si="22"/>
        <v>0.34456343918092619</v>
      </c>
      <c r="K315" s="6">
        <f>'Raw Data'!I315</f>
        <v>3.52</v>
      </c>
      <c r="L315" s="5">
        <f>'Raw Data'!J315</f>
        <v>22</v>
      </c>
      <c r="M315" s="5">
        <f>IF(COUNTIFS($A$2:A315,A315,$D$2:D315,D315)=1,L315,0)</f>
        <v>0</v>
      </c>
      <c r="N315" s="4">
        <f t="shared" si="23"/>
        <v>281.73727272727274</v>
      </c>
      <c r="O315" t="str">
        <f t="shared" si="24"/>
        <v>OK</v>
      </c>
    </row>
    <row r="316" spans="1:15">
      <c r="A316" t="str">
        <f>'Raw Data'!A316</f>
        <v>Providence RM-05</v>
      </c>
      <c r="B316" t="str">
        <f>'Raw Data'!B316</f>
        <v>Northeast</v>
      </c>
      <c r="C316" t="str">
        <f>'Raw Data'!C316</f>
        <v>Apparel</v>
      </c>
      <c r="D316" s="3">
        <f>'Raw Data'!D316</f>
        <v>45778</v>
      </c>
      <c r="E316" t="str">
        <f t="shared" si="20"/>
        <v>May</v>
      </c>
      <c r="F316" s="5">
        <f>'Raw Data'!E316</f>
        <v>109</v>
      </c>
      <c r="G316" s="4">
        <f>'Raw Data'!F316</f>
        <v>5026.01</v>
      </c>
      <c r="H316" s="4">
        <f>'Raw Data'!G316</f>
        <v>3024.32</v>
      </c>
      <c r="I316" s="4">
        <f t="shared" si="21"/>
        <v>2001.69</v>
      </c>
      <c r="J316" s="8">
        <f t="shared" si="22"/>
        <v>0.39826621912809562</v>
      </c>
      <c r="K316" s="6">
        <f>'Raw Data'!I316</f>
        <v>3.58</v>
      </c>
      <c r="L316" s="5">
        <f>'Raw Data'!J316</f>
        <v>22</v>
      </c>
      <c r="M316" s="5">
        <f>IF(COUNTIFS($A$2:A316,A316,$D$2:D316,D316)=1,L316,0)</f>
        <v>0</v>
      </c>
      <c r="N316" s="4">
        <f t="shared" si="23"/>
        <v>228.45500000000001</v>
      </c>
      <c r="O316" t="str">
        <f t="shared" si="24"/>
        <v>OK</v>
      </c>
    </row>
    <row r="317" spans="1:15">
      <c r="A317" t="str">
        <f>'Raw Data'!A317</f>
        <v>Providence RM-05</v>
      </c>
      <c r="B317" t="str">
        <f>'Raw Data'!B317</f>
        <v>Northeast</v>
      </c>
      <c r="C317" t="str">
        <f>'Raw Data'!C317</f>
        <v>Beauty</v>
      </c>
      <c r="D317" s="3">
        <f>'Raw Data'!D317</f>
        <v>45778</v>
      </c>
      <c r="E317" t="str">
        <f t="shared" si="20"/>
        <v>May</v>
      </c>
      <c r="F317" s="5">
        <f>'Raw Data'!E317</f>
        <v>110</v>
      </c>
      <c r="G317" s="4">
        <f>'Raw Data'!F317</f>
        <v>3845.5</v>
      </c>
      <c r="H317" s="4">
        <f>'Raw Data'!G317</f>
        <v>1855.76</v>
      </c>
      <c r="I317" s="4">
        <f t="shared" si="21"/>
        <v>1989.74</v>
      </c>
      <c r="J317" s="8">
        <f t="shared" si="22"/>
        <v>0.51742036146144843</v>
      </c>
      <c r="K317" s="6">
        <f>'Raw Data'!I317</f>
        <v>3.37</v>
      </c>
      <c r="L317" s="5">
        <f>'Raw Data'!J317</f>
        <v>22</v>
      </c>
      <c r="M317" s="5">
        <f>IF(COUNTIFS($A$2:A317,A317,$D$2:D317,D317)=1,L317,0)</f>
        <v>0</v>
      </c>
      <c r="N317" s="4">
        <f t="shared" si="23"/>
        <v>174.79545454545453</v>
      </c>
      <c r="O317" t="str">
        <f t="shared" si="24"/>
        <v>OK</v>
      </c>
    </row>
    <row r="318" spans="1:15">
      <c r="A318" t="str">
        <f>'Raw Data'!A318</f>
        <v>Providence RM-05</v>
      </c>
      <c r="B318" t="str">
        <f>'Raw Data'!B318</f>
        <v>Northeast</v>
      </c>
      <c r="C318" t="str">
        <f>'Raw Data'!C318</f>
        <v>Grocery</v>
      </c>
      <c r="D318" s="3">
        <f>'Raw Data'!D318</f>
        <v>45778</v>
      </c>
      <c r="E318" t="str">
        <f t="shared" si="20"/>
        <v>May</v>
      </c>
      <c r="F318" s="5">
        <f>'Raw Data'!E318</f>
        <v>159</v>
      </c>
      <c r="G318" s="4">
        <f>'Raw Data'!F318</f>
        <v>2891.42</v>
      </c>
      <c r="H318" s="4">
        <f>'Raw Data'!G318</f>
        <v>2572.41</v>
      </c>
      <c r="I318" s="4">
        <f t="shared" si="21"/>
        <v>319.01000000000022</v>
      </c>
      <c r="J318" s="8">
        <f t="shared" si="22"/>
        <v>0.11032987251938502</v>
      </c>
      <c r="K318" s="6">
        <f>'Raw Data'!I318</f>
        <v>3.57</v>
      </c>
      <c r="L318" s="5">
        <f>'Raw Data'!J318</f>
        <v>22</v>
      </c>
      <c r="M318" s="5">
        <f>IF(COUNTIFS($A$2:A318,A318,$D$2:D318,D318)=1,L318,0)</f>
        <v>0</v>
      </c>
      <c r="N318" s="4">
        <f t="shared" si="23"/>
        <v>131.42818181818183</v>
      </c>
      <c r="O318" t="str">
        <f t="shared" si="24"/>
        <v>OK</v>
      </c>
    </row>
    <row r="319" spans="1:15">
      <c r="A319" t="str">
        <f>'Raw Data'!A319</f>
        <v>Providence RM-05</v>
      </c>
      <c r="B319" t="str">
        <f>'Raw Data'!B319</f>
        <v>Northeast</v>
      </c>
      <c r="C319" t="str">
        <f>'Raw Data'!C319</f>
        <v>Sports</v>
      </c>
      <c r="D319" s="3">
        <f>'Raw Data'!D319</f>
        <v>45778</v>
      </c>
      <c r="E319" t="str">
        <f t="shared" si="20"/>
        <v>May</v>
      </c>
      <c r="F319" s="5">
        <f>'Raw Data'!E319</f>
        <v>90</v>
      </c>
      <c r="G319" s="4">
        <f>'Raw Data'!F319</f>
        <v>5538.08</v>
      </c>
      <c r="H319" s="4">
        <f>'Raw Data'!G319</f>
        <v>3465.56</v>
      </c>
      <c r="I319" s="4">
        <f t="shared" si="21"/>
        <v>2072.52</v>
      </c>
      <c r="J319" s="8">
        <f t="shared" si="22"/>
        <v>0.37423078034264584</v>
      </c>
      <c r="K319" s="6">
        <f>'Raw Data'!I319</f>
        <v>3.58</v>
      </c>
      <c r="L319" s="5">
        <f>'Raw Data'!J319</f>
        <v>22</v>
      </c>
      <c r="M319" s="5">
        <f>IF(COUNTIFS($A$2:A319,A319,$D$2:D319,D319)=1,L319,0)</f>
        <v>0</v>
      </c>
      <c r="N319" s="4">
        <f t="shared" si="23"/>
        <v>251.73090909090908</v>
      </c>
      <c r="O319" t="str">
        <f t="shared" si="24"/>
        <v>OK</v>
      </c>
    </row>
    <row r="320" spans="1:15">
      <c r="A320" t="str">
        <f>'Raw Data'!A320</f>
        <v>Providence RM-05</v>
      </c>
      <c r="B320" t="str">
        <f>'Raw Data'!B320</f>
        <v>Northeast</v>
      </c>
      <c r="C320" t="str">
        <f>'Raw Data'!C320</f>
        <v>Electronics</v>
      </c>
      <c r="D320" s="3">
        <f>'Raw Data'!D320</f>
        <v>45809</v>
      </c>
      <c r="E320" t="str">
        <f t="shared" si="20"/>
        <v>Jun</v>
      </c>
      <c r="F320" s="5">
        <f>'Raw Data'!E320</f>
        <v>104</v>
      </c>
      <c r="G320" s="4">
        <f>'Raw Data'!F320</f>
        <v>14780.86</v>
      </c>
      <c r="H320" s="4">
        <f>'Raw Data'!G320</f>
        <v>11757.18</v>
      </c>
      <c r="I320" s="4">
        <f t="shared" si="21"/>
        <v>3023.6800000000003</v>
      </c>
      <c r="J320" s="8">
        <f t="shared" si="22"/>
        <v>0.20456725792680536</v>
      </c>
      <c r="K320" s="6">
        <f>'Raw Data'!I320</f>
        <v>3.49</v>
      </c>
      <c r="L320" s="5">
        <f>'Raw Data'!J320</f>
        <v>24</v>
      </c>
      <c r="M320" s="5">
        <f>IF(COUNTIFS($A$2:A320,A320,$D$2:D320,D320)=1,L320,0)</f>
        <v>24</v>
      </c>
      <c r="N320" s="4">
        <f t="shared" si="23"/>
        <v>615.86916666666673</v>
      </c>
      <c r="O320" t="str">
        <f t="shared" si="24"/>
        <v>OK</v>
      </c>
    </row>
    <row r="321" spans="1:15">
      <c r="A321" t="str">
        <f>'Raw Data'!A321</f>
        <v>Providence RM-05</v>
      </c>
      <c r="B321" t="str">
        <f>'Raw Data'!B321</f>
        <v>Northeast</v>
      </c>
      <c r="C321" t="str">
        <f>'Raw Data'!C321</f>
        <v>Home Goods</v>
      </c>
      <c r="D321" s="3">
        <f>'Raw Data'!D321</f>
        <v>45809</v>
      </c>
      <c r="E321" t="str">
        <f t="shared" si="20"/>
        <v>Jun</v>
      </c>
      <c r="F321" s="5">
        <f>'Raw Data'!E321</f>
        <v>89</v>
      </c>
      <c r="G321" s="4">
        <f>'Raw Data'!F321</f>
        <v>6489.59</v>
      </c>
      <c r="H321" s="4">
        <f>'Raw Data'!G321</f>
        <v>4401.6499999999996</v>
      </c>
      <c r="I321" s="4">
        <f t="shared" si="21"/>
        <v>2087.9400000000005</v>
      </c>
      <c r="J321" s="8">
        <f t="shared" si="22"/>
        <v>0.32173681234099544</v>
      </c>
      <c r="K321" s="6">
        <f>'Raw Data'!I321</f>
        <v>3.4</v>
      </c>
      <c r="L321" s="5">
        <f>'Raw Data'!J321</f>
        <v>24</v>
      </c>
      <c r="M321" s="5">
        <f>IF(COUNTIFS($A$2:A321,A321,$D$2:D321,D321)=1,L321,0)</f>
        <v>0</v>
      </c>
      <c r="N321" s="4">
        <f t="shared" si="23"/>
        <v>270.39958333333334</v>
      </c>
      <c r="O321" t="str">
        <f t="shared" si="24"/>
        <v>OK</v>
      </c>
    </row>
    <row r="322" spans="1:15">
      <c r="A322" t="str">
        <f>'Raw Data'!A322</f>
        <v>Providence RM-05</v>
      </c>
      <c r="B322" t="str">
        <f>'Raw Data'!B322</f>
        <v>Northeast</v>
      </c>
      <c r="C322" t="str">
        <f>'Raw Data'!C322</f>
        <v>Apparel</v>
      </c>
      <c r="D322" s="3">
        <f>'Raw Data'!D322</f>
        <v>45809</v>
      </c>
      <c r="E322" t="str">
        <f t="shared" ref="E322:E385" si="25">TEXT(D322,"mmm")</f>
        <v>Jun</v>
      </c>
      <c r="F322" s="5">
        <f>'Raw Data'!E322</f>
        <v>121</v>
      </c>
      <c r="G322" s="4">
        <f>'Raw Data'!F322</f>
        <v>5667.62</v>
      </c>
      <c r="H322" s="4">
        <f>'Raw Data'!G322</f>
        <v>3526.73</v>
      </c>
      <c r="I322" s="4">
        <f t="shared" ref="I322:I385" si="26">G322-H322</f>
        <v>2140.89</v>
      </c>
      <c r="J322" s="8">
        <f t="shared" ref="J322:J385" si="27">IFERROR(I322/G322,0)</f>
        <v>0.37774056835144204</v>
      </c>
      <c r="K322" s="6">
        <f>'Raw Data'!I322</f>
        <v>3.44</v>
      </c>
      <c r="L322" s="5">
        <f>'Raw Data'!J322</f>
        <v>24</v>
      </c>
      <c r="M322" s="5">
        <f>IF(COUNTIFS($A$2:A322,A322,$D$2:D322,D322)=1,L322,0)</f>
        <v>0</v>
      </c>
      <c r="N322" s="4">
        <f t="shared" ref="N322:N385" si="28">IFERROR(G322/L322,0)</f>
        <v>236.15083333333334</v>
      </c>
      <c r="O322" t="str">
        <f t="shared" ref="O322:O385" si="29">IF(OR(A322="",B322="",C322="",F322&lt;0,G322&lt;0,H322&lt;0,K322&lt;1,K322&gt;5),"Review","OK")</f>
        <v>OK</v>
      </c>
    </row>
    <row r="323" spans="1:15">
      <c r="A323" t="str">
        <f>'Raw Data'!A323</f>
        <v>Providence RM-05</v>
      </c>
      <c r="B323" t="str">
        <f>'Raw Data'!B323</f>
        <v>Northeast</v>
      </c>
      <c r="C323" t="str">
        <f>'Raw Data'!C323</f>
        <v>Beauty</v>
      </c>
      <c r="D323" s="3">
        <f>'Raw Data'!D323</f>
        <v>45809</v>
      </c>
      <c r="E323" t="str">
        <f t="shared" si="25"/>
        <v>Jun</v>
      </c>
      <c r="F323" s="5">
        <f>'Raw Data'!E323</f>
        <v>98</v>
      </c>
      <c r="G323" s="4">
        <f>'Raw Data'!F323</f>
        <v>3675.52</v>
      </c>
      <c r="H323" s="4">
        <f>'Raw Data'!G323</f>
        <v>1804</v>
      </c>
      <c r="I323" s="4">
        <f t="shared" si="26"/>
        <v>1871.52</v>
      </c>
      <c r="J323" s="8">
        <f t="shared" si="27"/>
        <v>0.5091850948981369</v>
      </c>
      <c r="K323" s="6">
        <f>'Raw Data'!I323</f>
        <v>3.28</v>
      </c>
      <c r="L323" s="5">
        <f>'Raw Data'!J323</f>
        <v>24</v>
      </c>
      <c r="M323" s="5">
        <f>IF(COUNTIFS($A$2:A323,A323,$D$2:D323,D323)=1,L323,0)</f>
        <v>0</v>
      </c>
      <c r="N323" s="4">
        <f t="shared" si="28"/>
        <v>153.14666666666668</v>
      </c>
      <c r="O323" t="str">
        <f t="shared" si="29"/>
        <v>OK</v>
      </c>
    </row>
    <row r="324" spans="1:15">
      <c r="A324" t="str">
        <f>'Raw Data'!A324</f>
        <v>Providence RM-05</v>
      </c>
      <c r="B324" t="str">
        <f>'Raw Data'!B324</f>
        <v>Northeast</v>
      </c>
      <c r="C324" t="str">
        <f>'Raw Data'!C324</f>
        <v>Grocery</v>
      </c>
      <c r="D324" s="3">
        <f>'Raw Data'!D324</f>
        <v>45809</v>
      </c>
      <c r="E324" t="str">
        <f t="shared" si="25"/>
        <v>Jun</v>
      </c>
      <c r="F324" s="5">
        <f>'Raw Data'!E324</f>
        <v>159</v>
      </c>
      <c r="G324" s="4">
        <f>'Raw Data'!F324</f>
        <v>2709.41</v>
      </c>
      <c r="H324" s="4">
        <f>'Raw Data'!G324</f>
        <v>2453.6999999999998</v>
      </c>
      <c r="I324" s="4">
        <f t="shared" si="26"/>
        <v>255.71000000000004</v>
      </c>
      <c r="J324" s="8">
        <f t="shared" si="27"/>
        <v>9.43784809238912E-2</v>
      </c>
      <c r="K324" s="6">
        <f>'Raw Data'!I324</f>
        <v>3.5</v>
      </c>
      <c r="L324" s="5">
        <f>'Raw Data'!J324</f>
        <v>24</v>
      </c>
      <c r="M324" s="5">
        <f>IF(COUNTIFS($A$2:A324,A324,$D$2:D324,D324)=1,L324,0)</f>
        <v>0</v>
      </c>
      <c r="N324" s="4">
        <f t="shared" si="28"/>
        <v>112.89208333333333</v>
      </c>
      <c r="O324" t="str">
        <f t="shared" si="29"/>
        <v>OK</v>
      </c>
    </row>
    <row r="325" spans="1:15">
      <c r="A325" t="str">
        <f>'Raw Data'!A325</f>
        <v>Providence RM-05</v>
      </c>
      <c r="B325" t="str">
        <f>'Raw Data'!B325</f>
        <v>Northeast</v>
      </c>
      <c r="C325" t="str">
        <f>'Raw Data'!C325</f>
        <v>Sports</v>
      </c>
      <c r="D325" s="3">
        <f>'Raw Data'!D325</f>
        <v>45809</v>
      </c>
      <c r="E325" t="str">
        <f t="shared" si="25"/>
        <v>Jun</v>
      </c>
      <c r="F325" s="5">
        <f>'Raw Data'!E325</f>
        <v>100</v>
      </c>
      <c r="G325" s="4">
        <f>'Raw Data'!F325</f>
        <v>6224.77</v>
      </c>
      <c r="H325" s="4">
        <f>'Raw Data'!G325</f>
        <v>3951.63</v>
      </c>
      <c r="I325" s="4">
        <f t="shared" si="26"/>
        <v>2273.1400000000003</v>
      </c>
      <c r="J325" s="8">
        <f t="shared" si="27"/>
        <v>0.36517654467554628</v>
      </c>
      <c r="K325" s="6">
        <f>'Raw Data'!I325</f>
        <v>3.57</v>
      </c>
      <c r="L325" s="5">
        <f>'Raw Data'!J325</f>
        <v>24</v>
      </c>
      <c r="M325" s="5">
        <f>IF(COUNTIFS($A$2:A325,A325,$D$2:D325,D325)=1,L325,0)</f>
        <v>0</v>
      </c>
      <c r="N325" s="4">
        <f t="shared" si="28"/>
        <v>259.3654166666667</v>
      </c>
      <c r="O325" t="str">
        <f t="shared" si="29"/>
        <v>OK</v>
      </c>
    </row>
    <row r="326" spans="1:15">
      <c r="A326" t="str">
        <f>'Raw Data'!A326</f>
        <v>Providence RM-05</v>
      </c>
      <c r="B326" t="str">
        <f>'Raw Data'!B326</f>
        <v>Northeast</v>
      </c>
      <c r="C326" t="str">
        <f>'Raw Data'!C326</f>
        <v>Electronics</v>
      </c>
      <c r="D326" s="3">
        <f>'Raw Data'!D326</f>
        <v>45839</v>
      </c>
      <c r="E326" t="str">
        <f t="shared" si="25"/>
        <v>Jul</v>
      </c>
      <c r="F326" s="5">
        <f>'Raw Data'!E326</f>
        <v>100</v>
      </c>
      <c r="G326" s="4">
        <f>'Raw Data'!F326</f>
        <v>15088.64</v>
      </c>
      <c r="H326" s="4">
        <f>'Raw Data'!G326</f>
        <v>11711.15</v>
      </c>
      <c r="I326" s="4">
        <f t="shared" si="26"/>
        <v>3377.49</v>
      </c>
      <c r="J326" s="8">
        <f t="shared" si="27"/>
        <v>0.2238432357058025</v>
      </c>
      <c r="K326" s="6">
        <f>'Raw Data'!I326</f>
        <v>3.24</v>
      </c>
      <c r="L326" s="5">
        <f>'Raw Data'!J326</f>
        <v>23</v>
      </c>
      <c r="M326" s="5">
        <f>IF(COUNTIFS($A$2:A326,A326,$D$2:D326,D326)=1,L326,0)</f>
        <v>23</v>
      </c>
      <c r="N326" s="4">
        <f t="shared" si="28"/>
        <v>656.02782608695645</v>
      </c>
      <c r="O326" t="str">
        <f t="shared" si="29"/>
        <v>OK</v>
      </c>
    </row>
    <row r="327" spans="1:15">
      <c r="A327" t="str">
        <f>'Raw Data'!A327</f>
        <v>Providence RM-05</v>
      </c>
      <c r="B327" t="str">
        <f>'Raw Data'!B327</f>
        <v>Northeast</v>
      </c>
      <c r="C327" t="str">
        <f>'Raw Data'!C327</f>
        <v>Home Goods</v>
      </c>
      <c r="D327" s="3">
        <f>'Raw Data'!D327</f>
        <v>45839</v>
      </c>
      <c r="E327" t="str">
        <f t="shared" si="25"/>
        <v>Jul</v>
      </c>
      <c r="F327" s="5">
        <f>'Raw Data'!E327</f>
        <v>89</v>
      </c>
      <c r="G327" s="4">
        <f>'Raw Data'!F327</f>
        <v>6692.26</v>
      </c>
      <c r="H327" s="4">
        <f>'Raw Data'!G327</f>
        <v>4543.1499999999996</v>
      </c>
      <c r="I327" s="4">
        <f t="shared" si="26"/>
        <v>2149.1100000000006</v>
      </c>
      <c r="J327" s="8">
        <f t="shared" si="27"/>
        <v>0.32113366784912728</v>
      </c>
      <c r="K327" s="6">
        <f>'Raw Data'!I327</f>
        <v>3.31</v>
      </c>
      <c r="L327" s="5">
        <f>'Raw Data'!J327</f>
        <v>23</v>
      </c>
      <c r="M327" s="5">
        <f>IF(COUNTIFS($A$2:A327,A327,$D$2:D327,D327)=1,L327,0)</f>
        <v>0</v>
      </c>
      <c r="N327" s="4">
        <f t="shared" si="28"/>
        <v>290.96782608695651</v>
      </c>
      <c r="O327" t="str">
        <f t="shared" si="29"/>
        <v>OK</v>
      </c>
    </row>
    <row r="328" spans="1:15">
      <c r="A328" t="str">
        <f>'Raw Data'!A328</f>
        <v>Providence RM-05</v>
      </c>
      <c r="B328" t="str">
        <f>'Raw Data'!B328</f>
        <v>Northeast</v>
      </c>
      <c r="C328" t="str">
        <f>'Raw Data'!C328</f>
        <v>Apparel</v>
      </c>
      <c r="D328" s="3">
        <f>'Raw Data'!D328</f>
        <v>45839</v>
      </c>
      <c r="E328" t="str">
        <f t="shared" si="25"/>
        <v>Jul</v>
      </c>
      <c r="F328" s="5">
        <f>'Raw Data'!E328</f>
        <v>117</v>
      </c>
      <c r="G328" s="4">
        <f>'Raw Data'!F328</f>
        <v>5562.56</v>
      </c>
      <c r="H328" s="4">
        <f>'Raw Data'!G328</f>
        <v>3519.75</v>
      </c>
      <c r="I328" s="4">
        <f t="shared" si="26"/>
        <v>2042.8100000000004</v>
      </c>
      <c r="J328" s="8">
        <f t="shared" si="27"/>
        <v>0.36724278030259455</v>
      </c>
      <c r="K328" s="6">
        <f>'Raw Data'!I328</f>
        <v>3.44</v>
      </c>
      <c r="L328" s="5">
        <f>'Raw Data'!J328</f>
        <v>23</v>
      </c>
      <c r="M328" s="5">
        <f>IF(COUNTIFS($A$2:A328,A328,$D$2:D328,D328)=1,L328,0)</f>
        <v>0</v>
      </c>
      <c r="N328" s="4">
        <f t="shared" si="28"/>
        <v>241.85043478260872</v>
      </c>
      <c r="O328" t="str">
        <f t="shared" si="29"/>
        <v>OK</v>
      </c>
    </row>
    <row r="329" spans="1:15">
      <c r="A329" t="str">
        <f>'Raw Data'!A329</f>
        <v>Providence RM-05</v>
      </c>
      <c r="B329" t="str">
        <f>'Raw Data'!B329</f>
        <v>Northeast</v>
      </c>
      <c r="C329" t="str">
        <f>'Raw Data'!C329</f>
        <v>Beauty</v>
      </c>
      <c r="D329" s="3">
        <f>'Raw Data'!D329</f>
        <v>45839</v>
      </c>
      <c r="E329" t="str">
        <f t="shared" si="25"/>
        <v>Jul</v>
      </c>
      <c r="F329" s="5">
        <f>'Raw Data'!E329</f>
        <v>93</v>
      </c>
      <c r="G329" s="4">
        <f>'Raw Data'!F329</f>
        <v>3515.73</v>
      </c>
      <c r="H329" s="4">
        <f>'Raw Data'!G329</f>
        <v>1744.6</v>
      </c>
      <c r="I329" s="4">
        <f t="shared" si="26"/>
        <v>1771.13</v>
      </c>
      <c r="J329" s="8">
        <f t="shared" si="27"/>
        <v>0.50377304286734192</v>
      </c>
      <c r="K329" s="6">
        <f>'Raw Data'!I329</f>
        <v>3.25</v>
      </c>
      <c r="L329" s="5">
        <f>'Raw Data'!J329</f>
        <v>23</v>
      </c>
      <c r="M329" s="5">
        <f>IF(COUNTIFS($A$2:A329,A329,$D$2:D329,D329)=1,L329,0)</f>
        <v>0</v>
      </c>
      <c r="N329" s="4">
        <f t="shared" si="28"/>
        <v>152.85782608695652</v>
      </c>
      <c r="O329" t="str">
        <f t="shared" si="29"/>
        <v>OK</v>
      </c>
    </row>
    <row r="330" spans="1:15">
      <c r="A330" t="str">
        <f>'Raw Data'!A330</f>
        <v>Providence RM-05</v>
      </c>
      <c r="B330" t="str">
        <f>'Raw Data'!B330</f>
        <v>Northeast</v>
      </c>
      <c r="C330" t="str">
        <f>'Raw Data'!C330</f>
        <v>Grocery</v>
      </c>
      <c r="D330" s="3">
        <f>'Raw Data'!D330</f>
        <v>45839</v>
      </c>
      <c r="E330" t="str">
        <f t="shared" si="25"/>
        <v>Jul</v>
      </c>
      <c r="F330" s="5">
        <f>'Raw Data'!E330</f>
        <v>172</v>
      </c>
      <c r="G330" s="4">
        <f>'Raw Data'!F330</f>
        <v>3077.93</v>
      </c>
      <c r="H330" s="4">
        <f>'Raw Data'!G330</f>
        <v>2797.95</v>
      </c>
      <c r="I330" s="4">
        <f t="shared" si="26"/>
        <v>279.98</v>
      </c>
      <c r="J330" s="8">
        <f t="shared" si="27"/>
        <v>9.0963732118664181E-2</v>
      </c>
      <c r="K330" s="6">
        <f>'Raw Data'!I330</f>
        <v>3.48</v>
      </c>
      <c r="L330" s="5">
        <f>'Raw Data'!J330</f>
        <v>23</v>
      </c>
      <c r="M330" s="5">
        <f>IF(COUNTIFS($A$2:A330,A330,$D$2:D330,D330)=1,L330,0)</f>
        <v>0</v>
      </c>
      <c r="N330" s="4">
        <f t="shared" si="28"/>
        <v>133.82304347826087</v>
      </c>
      <c r="O330" t="str">
        <f t="shared" si="29"/>
        <v>OK</v>
      </c>
    </row>
    <row r="331" spans="1:15">
      <c r="A331" t="str">
        <f>'Raw Data'!A331</f>
        <v>Providence RM-05</v>
      </c>
      <c r="B331" t="str">
        <f>'Raw Data'!B331</f>
        <v>Northeast</v>
      </c>
      <c r="C331" t="str">
        <f>'Raw Data'!C331</f>
        <v>Sports</v>
      </c>
      <c r="D331" s="3">
        <f>'Raw Data'!D331</f>
        <v>45839</v>
      </c>
      <c r="E331" t="str">
        <f t="shared" si="25"/>
        <v>Jul</v>
      </c>
      <c r="F331" s="5">
        <f>'Raw Data'!E331</f>
        <v>96</v>
      </c>
      <c r="G331" s="4">
        <f>'Raw Data'!F331</f>
        <v>5892.44</v>
      </c>
      <c r="H331" s="4">
        <f>'Raw Data'!G331</f>
        <v>3765.15</v>
      </c>
      <c r="I331" s="4">
        <f t="shared" si="26"/>
        <v>2127.2899999999995</v>
      </c>
      <c r="J331" s="8">
        <f t="shared" si="27"/>
        <v>0.3610202225224185</v>
      </c>
      <c r="K331" s="6">
        <f>'Raw Data'!I331</f>
        <v>3.33</v>
      </c>
      <c r="L331" s="5">
        <f>'Raw Data'!J331</f>
        <v>23</v>
      </c>
      <c r="M331" s="5">
        <f>IF(COUNTIFS($A$2:A331,A331,$D$2:D331,D331)=1,L331,0)</f>
        <v>0</v>
      </c>
      <c r="N331" s="4">
        <f t="shared" si="28"/>
        <v>256.19304347826085</v>
      </c>
      <c r="O331" t="str">
        <f t="shared" si="29"/>
        <v>OK</v>
      </c>
    </row>
    <row r="332" spans="1:15">
      <c r="A332" t="str">
        <f>'Raw Data'!A332</f>
        <v>Providence RM-05</v>
      </c>
      <c r="B332" t="str">
        <f>'Raw Data'!B332</f>
        <v>Northeast</v>
      </c>
      <c r="C332" t="str">
        <f>'Raw Data'!C332</f>
        <v>Electronics</v>
      </c>
      <c r="D332" s="3">
        <f>'Raw Data'!D332</f>
        <v>45870</v>
      </c>
      <c r="E332" t="str">
        <f t="shared" si="25"/>
        <v>Aug</v>
      </c>
      <c r="F332" s="5">
        <f>'Raw Data'!E332</f>
        <v>104</v>
      </c>
      <c r="G332" s="4">
        <f>'Raw Data'!F332</f>
        <v>14877.21</v>
      </c>
      <c r="H332" s="4">
        <f>'Raw Data'!G332</f>
        <v>11460.61</v>
      </c>
      <c r="I332" s="4">
        <f t="shared" si="26"/>
        <v>3416.5999999999985</v>
      </c>
      <c r="J332" s="8">
        <f t="shared" si="27"/>
        <v>0.22965327504283389</v>
      </c>
      <c r="K332" s="6">
        <f>'Raw Data'!I332</f>
        <v>3.44</v>
      </c>
      <c r="L332" s="5">
        <f>'Raw Data'!J332</f>
        <v>23</v>
      </c>
      <c r="M332" s="5">
        <f>IF(COUNTIFS($A$2:A332,A332,$D$2:D332,D332)=1,L332,0)</f>
        <v>23</v>
      </c>
      <c r="N332" s="4">
        <f t="shared" si="28"/>
        <v>646.83521739130435</v>
      </c>
      <c r="O332" t="str">
        <f t="shared" si="29"/>
        <v>OK</v>
      </c>
    </row>
    <row r="333" spans="1:15">
      <c r="A333" t="str">
        <f>'Raw Data'!A333</f>
        <v>Providence RM-05</v>
      </c>
      <c r="B333" t="str">
        <f>'Raw Data'!B333</f>
        <v>Northeast</v>
      </c>
      <c r="C333" t="str">
        <f>'Raw Data'!C333</f>
        <v>Home Goods</v>
      </c>
      <c r="D333" s="3">
        <f>'Raw Data'!D333</f>
        <v>45870</v>
      </c>
      <c r="E333" t="str">
        <f t="shared" si="25"/>
        <v>Aug</v>
      </c>
      <c r="F333" s="5">
        <f>'Raw Data'!E333</f>
        <v>80</v>
      </c>
      <c r="G333" s="4">
        <f>'Raw Data'!F333</f>
        <v>6407.66</v>
      </c>
      <c r="H333" s="4">
        <f>'Raw Data'!G333</f>
        <v>4284.83</v>
      </c>
      <c r="I333" s="4">
        <f t="shared" si="26"/>
        <v>2122.83</v>
      </c>
      <c r="J333" s="8">
        <f t="shared" si="27"/>
        <v>0.33129566799736565</v>
      </c>
      <c r="K333" s="6">
        <f>'Raw Data'!I333</f>
        <v>3.52</v>
      </c>
      <c r="L333" s="5">
        <f>'Raw Data'!J333</f>
        <v>23</v>
      </c>
      <c r="M333" s="5">
        <f>IF(COUNTIFS($A$2:A333,A333,$D$2:D333,D333)=1,L333,0)</f>
        <v>0</v>
      </c>
      <c r="N333" s="4">
        <f t="shared" si="28"/>
        <v>278.59391304347827</v>
      </c>
      <c r="O333" t="str">
        <f t="shared" si="29"/>
        <v>OK</v>
      </c>
    </row>
    <row r="334" spans="1:15">
      <c r="A334" t="str">
        <f>'Raw Data'!A334</f>
        <v>Providence RM-05</v>
      </c>
      <c r="B334" t="str">
        <f>'Raw Data'!B334</f>
        <v>Northeast</v>
      </c>
      <c r="C334" t="str">
        <f>'Raw Data'!C334</f>
        <v>Apparel</v>
      </c>
      <c r="D334" s="3">
        <f>'Raw Data'!D334</f>
        <v>45870</v>
      </c>
      <c r="E334" t="str">
        <f t="shared" si="25"/>
        <v>Aug</v>
      </c>
      <c r="F334" s="5">
        <f>'Raw Data'!E334</f>
        <v>121</v>
      </c>
      <c r="G334" s="4">
        <f>'Raw Data'!F334</f>
        <v>5973.2</v>
      </c>
      <c r="H334" s="4">
        <f>'Raw Data'!G334</f>
        <v>3784.77</v>
      </c>
      <c r="I334" s="4">
        <f t="shared" si="26"/>
        <v>2188.4299999999998</v>
      </c>
      <c r="J334" s="8">
        <f t="shared" si="27"/>
        <v>0.36637480747338108</v>
      </c>
      <c r="K334" s="6">
        <f>'Raw Data'!I334</f>
        <v>3.26</v>
      </c>
      <c r="L334" s="5">
        <f>'Raw Data'!J334</f>
        <v>23</v>
      </c>
      <c r="M334" s="5">
        <f>IF(COUNTIFS($A$2:A334,A334,$D$2:D334,D334)=1,L334,0)</f>
        <v>0</v>
      </c>
      <c r="N334" s="4">
        <f t="shared" si="28"/>
        <v>259.70434782608697</v>
      </c>
      <c r="O334" t="str">
        <f t="shared" si="29"/>
        <v>OK</v>
      </c>
    </row>
    <row r="335" spans="1:15">
      <c r="A335" t="str">
        <f>'Raw Data'!A335</f>
        <v>Providence RM-05</v>
      </c>
      <c r="B335" t="str">
        <f>'Raw Data'!B335</f>
        <v>Northeast</v>
      </c>
      <c r="C335" t="str">
        <f>'Raw Data'!C335</f>
        <v>Beauty</v>
      </c>
      <c r="D335" s="3">
        <f>'Raw Data'!D335</f>
        <v>45870</v>
      </c>
      <c r="E335" t="str">
        <f t="shared" si="25"/>
        <v>Aug</v>
      </c>
      <c r="F335" s="5">
        <f>'Raw Data'!E335</f>
        <v>100</v>
      </c>
      <c r="G335" s="4">
        <f>'Raw Data'!F335</f>
        <v>3775.2</v>
      </c>
      <c r="H335" s="4">
        <f>'Raw Data'!G335</f>
        <v>1890.34</v>
      </c>
      <c r="I335" s="4">
        <f t="shared" si="26"/>
        <v>1884.86</v>
      </c>
      <c r="J335" s="8">
        <f t="shared" si="27"/>
        <v>0.49927421063784699</v>
      </c>
      <c r="K335" s="6">
        <f>'Raw Data'!I335</f>
        <v>3.35</v>
      </c>
      <c r="L335" s="5">
        <f>'Raw Data'!J335</f>
        <v>23</v>
      </c>
      <c r="M335" s="5">
        <f>IF(COUNTIFS($A$2:A335,A335,$D$2:D335,D335)=1,L335,0)</f>
        <v>0</v>
      </c>
      <c r="N335" s="4">
        <f t="shared" si="28"/>
        <v>164.1391304347826</v>
      </c>
      <c r="O335" t="str">
        <f t="shared" si="29"/>
        <v>OK</v>
      </c>
    </row>
    <row r="336" spans="1:15">
      <c r="A336" t="str">
        <f>'Raw Data'!A336</f>
        <v>Providence RM-05</v>
      </c>
      <c r="B336" t="str">
        <f>'Raw Data'!B336</f>
        <v>Northeast</v>
      </c>
      <c r="C336" t="str">
        <f>'Raw Data'!C336</f>
        <v>Grocery</v>
      </c>
      <c r="D336" s="3">
        <f>'Raw Data'!D336</f>
        <v>45870</v>
      </c>
      <c r="E336" t="str">
        <f t="shared" si="25"/>
        <v>Aug</v>
      </c>
      <c r="F336" s="5">
        <f>'Raw Data'!E336</f>
        <v>169</v>
      </c>
      <c r="G336" s="4">
        <f>'Raw Data'!F336</f>
        <v>2877.33</v>
      </c>
      <c r="H336" s="4">
        <f>'Raw Data'!G336</f>
        <v>2721.88</v>
      </c>
      <c r="I336" s="4">
        <f t="shared" si="26"/>
        <v>155.44999999999982</v>
      </c>
      <c r="J336" s="8">
        <f t="shared" si="27"/>
        <v>5.4025780845436508E-2</v>
      </c>
      <c r="K336" s="6">
        <f>'Raw Data'!I336</f>
        <v>3.4</v>
      </c>
      <c r="L336" s="5">
        <f>'Raw Data'!J336</f>
        <v>23</v>
      </c>
      <c r="M336" s="5">
        <f>IF(COUNTIFS($A$2:A336,A336,$D$2:D336,D336)=1,L336,0)</f>
        <v>0</v>
      </c>
      <c r="N336" s="4">
        <f t="shared" si="28"/>
        <v>125.10130434782609</v>
      </c>
      <c r="O336" t="str">
        <f t="shared" si="29"/>
        <v>OK</v>
      </c>
    </row>
    <row r="337" spans="1:15">
      <c r="A337" t="str">
        <f>'Raw Data'!A337</f>
        <v>Providence RM-05</v>
      </c>
      <c r="B337" t="str">
        <f>'Raw Data'!B337</f>
        <v>Northeast</v>
      </c>
      <c r="C337" t="str">
        <f>'Raw Data'!C337</f>
        <v>Sports</v>
      </c>
      <c r="D337" s="3">
        <f>'Raw Data'!D337</f>
        <v>45870</v>
      </c>
      <c r="E337" t="str">
        <f t="shared" si="25"/>
        <v>Aug</v>
      </c>
      <c r="F337" s="5">
        <f>'Raw Data'!E337</f>
        <v>95</v>
      </c>
      <c r="G337" s="4">
        <f>'Raw Data'!F337</f>
        <v>6352.23</v>
      </c>
      <c r="H337" s="4">
        <f>'Raw Data'!G337</f>
        <v>4216.03</v>
      </c>
      <c r="I337" s="4">
        <f t="shared" si="26"/>
        <v>2136.1999999999998</v>
      </c>
      <c r="J337" s="8">
        <f t="shared" si="27"/>
        <v>0.33629134965201196</v>
      </c>
      <c r="K337" s="6">
        <f>'Raw Data'!I337</f>
        <v>3.33</v>
      </c>
      <c r="L337" s="5">
        <f>'Raw Data'!J337</f>
        <v>23</v>
      </c>
      <c r="M337" s="5">
        <f>IF(COUNTIFS($A$2:A337,A337,$D$2:D337,D337)=1,L337,0)</f>
        <v>0</v>
      </c>
      <c r="N337" s="4">
        <f t="shared" si="28"/>
        <v>276.18391304347824</v>
      </c>
      <c r="O337" t="str">
        <f t="shared" si="29"/>
        <v>OK</v>
      </c>
    </row>
    <row r="338" spans="1:15">
      <c r="A338" t="str">
        <f>'Raw Data'!A338</f>
        <v>Providence RM-05</v>
      </c>
      <c r="B338" t="str">
        <f>'Raw Data'!B338</f>
        <v>Northeast</v>
      </c>
      <c r="C338" t="str">
        <f>'Raw Data'!C338</f>
        <v>Electronics</v>
      </c>
      <c r="D338" s="3">
        <f>'Raw Data'!D338</f>
        <v>45901</v>
      </c>
      <c r="E338" t="str">
        <f t="shared" si="25"/>
        <v>Sep</v>
      </c>
      <c r="F338" s="5">
        <f>'Raw Data'!E338</f>
        <v>94</v>
      </c>
      <c r="G338" s="4">
        <f>'Raw Data'!F338</f>
        <v>12903.42</v>
      </c>
      <c r="H338" s="4">
        <f>'Raw Data'!G338</f>
        <v>10393.14</v>
      </c>
      <c r="I338" s="4">
        <f t="shared" si="26"/>
        <v>2510.2800000000007</v>
      </c>
      <c r="J338" s="8">
        <f t="shared" si="27"/>
        <v>0.1945437721162297</v>
      </c>
      <c r="K338" s="6">
        <f>'Raw Data'!I338</f>
        <v>3.34</v>
      </c>
      <c r="L338" s="5">
        <f>'Raw Data'!J338</f>
        <v>23</v>
      </c>
      <c r="M338" s="5">
        <f>IF(COUNTIFS($A$2:A338,A338,$D$2:D338,D338)=1,L338,0)</f>
        <v>23</v>
      </c>
      <c r="N338" s="4">
        <f t="shared" si="28"/>
        <v>561.01826086956521</v>
      </c>
      <c r="O338" t="str">
        <f t="shared" si="29"/>
        <v>OK</v>
      </c>
    </row>
    <row r="339" spans="1:15">
      <c r="A339" t="str">
        <f>'Raw Data'!A339</f>
        <v>Providence RM-05</v>
      </c>
      <c r="B339" t="str">
        <f>'Raw Data'!B339</f>
        <v>Northeast</v>
      </c>
      <c r="C339" t="str">
        <f>'Raw Data'!C339</f>
        <v>Home Goods</v>
      </c>
      <c r="D339" s="3">
        <f>'Raw Data'!D339</f>
        <v>45901</v>
      </c>
      <c r="E339" t="str">
        <f t="shared" si="25"/>
        <v>Sep</v>
      </c>
      <c r="F339" s="5">
        <f>'Raw Data'!E339</f>
        <v>102</v>
      </c>
      <c r="G339" s="4">
        <f>'Raw Data'!F339</f>
        <v>8154.39</v>
      </c>
      <c r="H339" s="4">
        <f>'Raw Data'!G339</f>
        <v>5589</v>
      </c>
      <c r="I339" s="4">
        <f t="shared" si="26"/>
        <v>2565.3900000000003</v>
      </c>
      <c r="J339" s="8">
        <f t="shared" si="27"/>
        <v>0.31460231850573744</v>
      </c>
      <c r="K339" s="6">
        <f>'Raw Data'!I339</f>
        <v>3.38</v>
      </c>
      <c r="L339" s="5">
        <f>'Raw Data'!J339</f>
        <v>23</v>
      </c>
      <c r="M339" s="5">
        <f>IF(COUNTIFS($A$2:A339,A339,$D$2:D339,D339)=1,L339,0)</f>
        <v>0</v>
      </c>
      <c r="N339" s="4">
        <f t="shared" si="28"/>
        <v>354.53869565217394</v>
      </c>
      <c r="O339" t="str">
        <f t="shared" si="29"/>
        <v>OK</v>
      </c>
    </row>
    <row r="340" spans="1:15">
      <c r="A340" t="str">
        <f>'Raw Data'!A340</f>
        <v>Providence RM-05</v>
      </c>
      <c r="B340" t="str">
        <f>'Raw Data'!B340</f>
        <v>Northeast</v>
      </c>
      <c r="C340" t="str">
        <f>'Raw Data'!C340</f>
        <v>Apparel</v>
      </c>
      <c r="D340" s="3">
        <f>'Raw Data'!D340</f>
        <v>45901</v>
      </c>
      <c r="E340" t="str">
        <f t="shared" si="25"/>
        <v>Sep</v>
      </c>
      <c r="F340" s="5">
        <f>'Raw Data'!E340</f>
        <v>91</v>
      </c>
      <c r="G340" s="4">
        <f>'Raw Data'!F340</f>
        <v>4313.25</v>
      </c>
      <c r="H340" s="4">
        <f>'Raw Data'!G340</f>
        <v>2657.82</v>
      </c>
      <c r="I340" s="4">
        <f t="shared" si="26"/>
        <v>1655.4299999999998</v>
      </c>
      <c r="J340" s="8">
        <f t="shared" si="27"/>
        <v>0.38380107807337849</v>
      </c>
      <c r="K340" s="6">
        <f>'Raw Data'!I340</f>
        <v>3.49</v>
      </c>
      <c r="L340" s="5">
        <f>'Raw Data'!J340</f>
        <v>23</v>
      </c>
      <c r="M340" s="5">
        <f>IF(COUNTIFS($A$2:A340,A340,$D$2:D340,D340)=1,L340,0)</f>
        <v>0</v>
      </c>
      <c r="N340" s="4">
        <f t="shared" si="28"/>
        <v>187.53260869565219</v>
      </c>
      <c r="O340" t="str">
        <f t="shared" si="29"/>
        <v>OK</v>
      </c>
    </row>
    <row r="341" spans="1:15">
      <c r="A341" t="str">
        <f>'Raw Data'!A341</f>
        <v>Providence RM-05</v>
      </c>
      <c r="B341" t="str">
        <f>'Raw Data'!B341</f>
        <v>Northeast</v>
      </c>
      <c r="C341" t="str">
        <f>'Raw Data'!C341</f>
        <v>Beauty</v>
      </c>
      <c r="D341" s="3">
        <f>'Raw Data'!D341</f>
        <v>45901</v>
      </c>
      <c r="E341" t="str">
        <f t="shared" si="25"/>
        <v>Sep</v>
      </c>
      <c r="F341" s="5">
        <f>'Raw Data'!E341</f>
        <v>100</v>
      </c>
      <c r="G341" s="4">
        <f>'Raw Data'!F341</f>
        <v>3569.14</v>
      </c>
      <c r="H341" s="4">
        <f>'Raw Data'!G341</f>
        <v>1845.47</v>
      </c>
      <c r="I341" s="4">
        <f t="shared" si="26"/>
        <v>1723.6699999999998</v>
      </c>
      <c r="J341" s="8">
        <f t="shared" si="27"/>
        <v>0.48293706607193887</v>
      </c>
      <c r="K341" s="6">
        <f>'Raw Data'!I341</f>
        <v>3.34</v>
      </c>
      <c r="L341" s="5">
        <f>'Raw Data'!J341</f>
        <v>23</v>
      </c>
      <c r="M341" s="5">
        <f>IF(COUNTIFS($A$2:A341,A341,$D$2:D341,D341)=1,L341,0)</f>
        <v>0</v>
      </c>
      <c r="N341" s="4">
        <f t="shared" si="28"/>
        <v>155.18</v>
      </c>
      <c r="O341" t="str">
        <f t="shared" si="29"/>
        <v>OK</v>
      </c>
    </row>
    <row r="342" spans="1:15">
      <c r="A342" t="str">
        <f>'Raw Data'!A342</f>
        <v>Providence RM-05</v>
      </c>
      <c r="B342" t="str">
        <f>'Raw Data'!B342</f>
        <v>Northeast</v>
      </c>
      <c r="C342" t="str">
        <f>'Raw Data'!C342</f>
        <v>Grocery</v>
      </c>
      <c r="D342" s="3">
        <f>'Raw Data'!D342</f>
        <v>45901</v>
      </c>
      <c r="E342" t="str">
        <f t="shared" si="25"/>
        <v>Sep</v>
      </c>
      <c r="F342" s="5">
        <f>'Raw Data'!E342</f>
        <v>165</v>
      </c>
      <c r="G342" s="4">
        <f>'Raw Data'!F342</f>
        <v>2970.85</v>
      </c>
      <c r="H342" s="4">
        <f>'Raw Data'!G342</f>
        <v>2838.84</v>
      </c>
      <c r="I342" s="4">
        <f t="shared" si="26"/>
        <v>132.00999999999976</v>
      </c>
      <c r="J342" s="8">
        <f t="shared" si="27"/>
        <v>4.4435094333271544E-2</v>
      </c>
      <c r="K342" s="6">
        <f>'Raw Data'!I342</f>
        <v>3.28</v>
      </c>
      <c r="L342" s="5">
        <f>'Raw Data'!J342</f>
        <v>23</v>
      </c>
      <c r="M342" s="5">
        <f>IF(COUNTIFS($A$2:A342,A342,$D$2:D342,D342)=1,L342,0)</f>
        <v>0</v>
      </c>
      <c r="N342" s="4">
        <f t="shared" si="28"/>
        <v>129.16739130434783</v>
      </c>
      <c r="O342" t="str">
        <f t="shared" si="29"/>
        <v>OK</v>
      </c>
    </row>
    <row r="343" spans="1:15">
      <c r="A343" t="str">
        <f>'Raw Data'!A343</f>
        <v>Providence RM-05</v>
      </c>
      <c r="B343" t="str">
        <f>'Raw Data'!B343</f>
        <v>Northeast</v>
      </c>
      <c r="C343" t="str">
        <f>'Raw Data'!C343</f>
        <v>Sports</v>
      </c>
      <c r="D343" s="3">
        <f>'Raw Data'!D343</f>
        <v>45901</v>
      </c>
      <c r="E343" t="str">
        <f t="shared" si="25"/>
        <v>Sep</v>
      </c>
      <c r="F343" s="5">
        <f>'Raw Data'!E343</f>
        <v>73</v>
      </c>
      <c r="G343" s="4">
        <f>'Raw Data'!F343</f>
        <v>4440.58</v>
      </c>
      <c r="H343" s="4">
        <f>'Raw Data'!G343</f>
        <v>2895.58</v>
      </c>
      <c r="I343" s="4">
        <f t="shared" si="26"/>
        <v>1545</v>
      </c>
      <c r="J343" s="8">
        <f t="shared" si="27"/>
        <v>0.3479275229812322</v>
      </c>
      <c r="K343" s="6">
        <f>'Raw Data'!I343</f>
        <v>3.36</v>
      </c>
      <c r="L343" s="5">
        <f>'Raw Data'!J343</f>
        <v>23</v>
      </c>
      <c r="M343" s="5">
        <f>IF(COUNTIFS($A$2:A343,A343,$D$2:D343,D343)=1,L343,0)</f>
        <v>0</v>
      </c>
      <c r="N343" s="4">
        <f t="shared" si="28"/>
        <v>193.06869565217391</v>
      </c>
      <c r="O343" t="str">
        <f t="shared" si="29"/>
        <v>OK</v>
      </c>
    </row>
    <row r="344" spans="1:15">
      <c r="A344" t="str">
        <f>'Raw Data'!A344</f>
        <v>Providence RM-05</v>
      </c>
      <c r="B344" t="str">
        <f>'Raw Data'!B344</f>
        <v>Northeast</v>
      </c>
      <c r="C344" t="str">
        <f>'Raw Data'!C344</f>
        <v>Electronics</v>
      </c>
      <c r="D344" s="3">
        <f>'Raw Data'!D344</f>
        <v>45931</v>
      </c>
      <c r="E344" t="str">
        <f t="shared" si="25"/>
        <v>Oct</v>
      </c>
      <c r="F344" s="5">
        <f>'Raw Data'!E344</f>
        <v>100</v>
      </c>
      <c r="G344" s="4">
        <f>'Raw Data'!F344</f>
        <v>14495.02</v>
      </c>
      <c r="H344" s="4">
        <f>'Raw Data'!G344</f>
        <v>11786.68</v>
      </c>
      <c r="I344" s="4">
        <f t="shared" si="26"/>
        <v>2708.34</v>
      </c>
      <c r="J344" s="8">
        <f t="shared" si="27"/>
        <v>0.18684624098483479</v>
      </c>
      <c r="K344" s="6">
        <f>'Raw Data'!I344</f>
        <v>3.37</v>
      </c>
      <c r="L344" s="5">
        <f>'Raw Data'!J344</f>
        <v>23</v>
      </c>
      <c r="M344" s="5">
        <f>IF(COUNTIFS($A$2:A344,A344,$D$2:D344,D344)=1,L344,0)</f>
        <v>23</v>
      </c>
      <c r="N344" s="4">
        <f t="shared" si="28"/>
        <v>630.21826086956526</v>
      </c>
      <c r="O344" t="str">
        <f t="shared" si="29"/>
        <v>OK</v>
      </c>
    </row>
    <row r="345" spans="1:15">
      <c r="A345" t="str">
        <f>'Raw Data'!A345</f>
        <v>Providence RM-05</v>
      </c>
      <c r="B345" t="str">
        <f>'Raw Data'!B345</f>
        <v>Northeast</v>
      </c>
      <c r="C345" t="str">
        <f>'Raw Data'!C345</f>
        <v>Home Goods</v>
      </c>
      <c r="D345" s="3">
        <f>'Raw Data'!D345</f>
        <v>45931</v>
      </c>
      <c r="E345" t="str">
        <f t="shared" si="25"/>
        <v>Oct</v>
      </c>
      <c r="F345" s="5">
        <f>'Raw Data'!E345</f>
        <v>103</v>
      </c>
      <c r="G345" s="4">
        <f>'Raw Data'!F345</f>
        <v>7404.74</v>
      </c>
      <c r="H345" s="4">
        <f>'Raw Data'!G345</f>
        <v>5252.98</v>
      </c>
      <c r="I345" s="4">
        <f t="shared" si="26"/>
        <v>2151.7600000000002</v>
      </c>
      <c r="J345" s="8">
        <f t="shared" si="27"/>
        <v>0.2905922422664402</v>
      </c>
      <c r="K345" s="6">
        <f>'Raw Data'!I345</f>
        <v>3.37</v>
      </c>
      <c r="L345" s="5">
        <f>'Raw Data'!J345</f>
        <v>23</v>
      </c>
      <c r="M345" s="5">
        <f>IF(COUNTIFS($A$2:A345,A345,$D$2:D345,D345)=1,L345,0)</f>
        <v>0</v>
      </c>
      <c r="N345" s="4">
        <f t="shared" si="28"/>
        <v>321.94521739130431</v>
      </c>
      <c r="O345" t="str">
        <f t="shared" si="29"/>
        <v>OK</v>
      </c>
    </row>
    <row r="346" spans="1:15">
      <c r="A346" t="str">
        <f>'Raw Data'!A346</f>
        <v>Providence RM-05</v>
      </c>
      <c r="B346" t="str">
        <f>'Raw Data'!B346</f>
        <v>Northeast</v>
      </c>
      <c r="C346" t="str">
        <f>'Raw Data'!C346</f>
        <v>Apparel</v>
      </c>
      <c r="D346" s="3">
        <f>'Raw Data'!D346</f>
        <v>45931</v>
      </c>
      <c r="E346" t="str">
        <f t="shared" si="25"/>
        <v>Oct</v>
      </c>
      <c r="F346" s="5">
        <f>'Raw Data'!E346</f>
        <v>126</v>
      </c>
      <c r="G346" s="4">
        <f>'Raw Data'!F346</f>
        <v>6514.93</v>
      </c>
      <c r="H346" s="4">
        <f>'Raw Data'!G346</f>
        <v>4241.47</v>
      </c>
      <c r="I346" s="4">
        <f t="shared" si="26"/>
        <v>2273.46</v>
      </c>
      <c r="J346" s="8">
        <f t="shared" si="27"/>
        <v>0.34896153911093442</v>
      </c>
      <c r="K346" s="6">
        <f>'Raw Data'!I346</f>
        <v>3.27</v>
      </c>
      <c r="L346" s="5">
        <f>'Raw Data'!J346</f>
        <v>23</v>
      </c>
      <c r="M346" s="5">
        <f>IF(COUNTIFS($A$2:A346,A346,$D$2:D346,D346)=1,L346,0)</f>
        <v>0</v>
      </c>
      <c r="N346" s="4">
        <f t="shared" si="28"/>
        <v>283.25782608695653</v>
      </c>
      <c r="O346" t="str">
        <f t="shared" si="29"/>
        <v>OK</v>
      </c>
    </row>
    <row r="347" spans="1:15">
      <c r="A347" t="str">
        <f>'Raw Data'!A347</f>
        <v>Providence RM-05</v>
      </c>
      <c r="B347" t="str">
        <f>'Raw Data'!B347</f>
        <v>Northeast</v>
      </c>
      <c r="C347" t="str">
        <f>'Raw Data'!C347</f>
        <v>Beauty</v>
      </c>
      <c r="D347" s="3">
        <f>'Raw Data'!D347</f>
        <v>45931</v>
      </c>
      <c r="E347" t="str">
        <f t="shared" si="25"/>
        <v>Oct</v>
      </c>
      <c r="F347" s="5">
        <f>'Raw Data'!E347</f>
        <v>98</v>
      </c>
      <c r="G347" s="4">
        <f>'Raw Data'!F347</f>
        <v>3631.2</v>
      </c>
      <c r="H347" s="4">
        <f>'Raw Data'!G347</f>
        <v>1851.13</v>
      </c>
      <c r="I347" s="4">
        <f t="shared" si="26"/>
        <v>1780.0699999999997</v>
      </c>
      <c r="J347" s="8">
        <f t="shared" si="27"/>
        <v>0.49021535580524339</v>
      </c>
      <c r="K347" s="6">
        <f>'Raw Data'!I347</f>
        <v>3.53</v>
      </c>
      <c r="L347" s="5">
        <f>'Raw Data'!J347</f>
        <v>23</v>
      </c>
      <c r="M347" s="5">
        <f>IF(COUNTIFS($A$2:A347,A347,$D$2:D347,D347)=1,L347,0)</f>
        <v>0</v>
      </c>
      <c r="N347" s="4">
        <f t="shared" si="28"/>
        <v>157.8782608695652</v>
      </c>
      <c r="O347" t="str">
        <f t="shared" si="29"/>
        <v>OK</v>
      </c>
    </row>
    <row r="348" spans="1:15">
      <c r="A348" t="str">
        <f>'Raw Data'!A348</f>
        <v>Providence RM-05</v>
      </c>
      <c r="B348" t="str">
        <f>'Raw Data'!B348</f>
        <v>Northeast</v>
      </c>
      <c r="C348" t="str">
        <f>'Raw Data'!C348</f>
        <v>Grocery</v>
      </c>
      <c r="D348" s="3">
        <f>'Raw Data'!D348</f>
        <v>45931</v>
      </c>
      <c r="E348" t="str">
        <f t="shared" si="25"/>
        <v>Oct</v>
      </c>
      <c r="F348" s="5">
        <f>'Raw Data'!E348</f>
        <v>149</v>
      </c>
      <c r="G348" s="4">
        <f>'Raw Data'!F348</f>
        <v>2574.69</v>
      </c>
      <c r="H348" s="4">
        <f>'Raw Data'!G348</f>
        <v>2420.2800000000002</v>
      </c>
      <c r="I348" s="4">
        <f t="shared" si="26"/>
        <v>154.40999999999985</v>
      </c>
      <c r="J348" s="8">
        <f t="shared" si="27"/>
        <v>5.9972268506111356E-2</v>
      </c>
      <c r="K348" s="6">
        <f>'Raw Data'!I348</f>
        <v>3.49</v>
      </c>
      <c r="L348" s="5">
        <f>'Raw Data'!J348</f>
        <v>23</v>
      </c>
      <c r="M348" s="5">
        <f>IF(COUNTIFS($A$2:A348,A348,$D$2:D348,D348)=1,L348,0)</f>
        <v>0</v>
      </c>
      <c r="N348" s="4">
        <f t="shared" si="28"/>
        <v>111.94304347826088</v>
      </c>
      <c r="O348" t="str">
        <f t="shared" si="29"/>
        <v>OK</v>
      </c>
    </row>
    <row r="349" spans="1:15">
      <c r="A349" t="str">
        <f>'Raw Data'!A349</f>
        <v>Providence RM-05</v>
      </c>
      <c r="B349" t="str">
        <f>'Raw Data'!B349</f>
        <v>Northeast</v>
      </c>
      <c r="C349" t="str">
        <f>'Raw Data'!C349</f>
        <v>Sports</v>
      </c>
      <c r="D349" s="3">
        <f>'Raw Data'!D349</f>
        <v>45931</v>
      </c>
      <c r="E349" t="str">
        <f t="shared" si="25"/>
        <v>Oct</v>
      </c>
      <c r="F349" s="5">
        <f>'Raw Data'!E349</f>
        <v>61</v>
      </c>
      <c r="G349" s="4">
        <f>'Raw Data'!F349</f>
        <v>3573.51</v>
      </c>
      <c r="H349" s="4">
        <f>'Raw Data'!G349</f>
        <v>2346</v>
      </c>
      <c r="I349" s="4">
        <f t="shared" si="26"/>
        <v>1227.5100000000002</v>
      </c>
      <c r="J349" s="8">
        <f t="shared" si="27"/>
        <v>0.34350260668082644</v>
      </c>
      <c r="K349" s="6">
        <f>'Raw Data'!I349</f>
        <v>3.52</v>
      </c>
      <c r="L349" s="5">
        <f>'Raw Data'!J349</f>
        <v>23</v>
      </c>
      <c r="M349" s="5">
        <f>IF(COUNTIFS($A$2:A349,A349,$D$2:D349,D349)=1,L349,0)</f>
        <v>0</v>
      </c>
      <c r="N349" s="4">
        <f t="shared" si="28"/>
        <v>155.37</v>
      </c>
      <c r="O349" t="str">
        <f t="shared" si="29"/>
        <v>OK</v>
      </c>
    </row>
    <row r="350" spans="1:15">
      <c r="A350" t="str">
        <f>'Raw Data'!A350</f>
        <v>Providence RM-05</v>
      </c>
      <c r="B350" t="str">
        <f>'Raw Data'!B350</f>
        <v>Northeast</v>
      </c>
      <c r="C350" t="str">
        <f>'Raw Data'!C350</f>
        <v>Electronics</v>
      </c>
      <c r="D350" s="3">
        <f>'Raw Data'!D350</f>
        <v>45962</v>
      </c>
      <c r="E350" t="str">
        <f t="shared" si="25"/>
        <v>Nov</v>
      </c>
      <c r="F350" s="5">
        <f>'Raw Data'!E350</f>
        <v>147</v>
      </c>
      <c r="G350" s="4">
        <f>'Raw Data'!F350</f>
        <v>20132.740000000002</v>
      </c>
      <c r="H350" s="4">
        <f>'Raw Data'!G350</f>
        <v>15968.43</v>
      </c>
      <c r="I350" s="4">
        <f t="shared" si="26"/>
        <v>4164.3100000000013</v>
      </c>
      <c r="J350" s="8">
        <f t="shared" si="27"/>
        <v>0.206842685098998</v>
      </c>
      <c r="K350" s="6">
        <f>'Raw Data'!I350</f>
        <v>3.4</v>
      </c>
      <c r="L350" s="5">
        <f>'Raw Data'!J350</f>
        <v>25</v>
      </c>
      <c r="M350" s="5">
        <f>IF(COUNTIFS($A$2:A350,A350,$D$2:D350,D350)=1,L350,0)</f>
        <v>25</v>
      </c>
      <c r="N350" s="4">
        <f t="shared" si="28"/>
        <v>805.30960000000005</v>
      </c>
      <c r="O350" t="str">
        <f t="shared" si="29"/>
        <v>OK</v>
      </c>
    </row>
    <row r="351" spans="1:15">
      <c r="A351" t="str">
        <f>'Raw Data'!A351</f>
        <v>Providence RM-05</v>
      </c>
      <c r="B351" t="str">
        <f>'Raw Data'!B351</f>
        <v>Northeast</v>
      </c>
      <c r="C351" t="str">
        <f>'Raw Data'!C351</f>
        <v>Home Goods</v>
      </c>
      <c r="D351" s="3">
        <f>'Raw Data'!D351</f>
        <v>45962</v>
      </c>
      <c r="E351" t="str">
        <f t="shared" si="25"/>
        <v>Nov</v>
      </c>
      <c r="F351" s="5">
        <f>'Raw Data'!E351</f>
        <v>128</v>
      </c>
      <c r="G351" s="4">
        <f>'Raw Data'!F351</f>
        <v>9649.5400000000009</v>
      </c>
      <c r="H351" s="4">
        <f>'Raw Data'!G351</f>
        <v>6731.96</v>
      </c>
      <c r="I351" s="4">
        <f t="shared" si="26"/>
        <v>2917.5800000000008</v>
      </c>
      <c r="J351" s="8">
        <f t="shared" si="27"/>
        <v>0.30235430911732586</v>
      </c>
      <c r="K351" s="6">
        <f>'Raw Data'!I351</f>
        <v>3.27</v>
      </c>
      <c r="L351" s="5">
        <f>'Raw Data'!J351</f>
        <v>25</v>
      </c>
      <c r="M351" s="5">
        <f>IF(COUNTIFS($A$2:A351,A351,$D$2:D351,D351)=1,L351,0)</f>
        <v>0</v>
      </c>
      <c r="N351" s="4">
        <f t="shared" si="28"/>
        <v>385.98160000000001</v>
      </c>
      <c r="O351" t="str">
        <f t="shared" si="29"/>
        <v>OK</v>
      </c>
    </row>
    <row r="352" spans="1:15">
      <c r="A352" t="str">
        <f>'Raw Data'!A352</f>
        <v>Providence RM-05</v>
      </c>
      <c r="B352" t="str">
        <f>'Raw Data'!B352</f>
        <v>Northeast</v>
      </c>
      <c r="C352" t="str">
        <f>'Raw Data'!C352</f>
        <v>Apparel</v>
      </c>
      <c r="D352" s="3">
        <f>'Raw Data'!D352</f>
        <v>45962</v>
      </c>
      <c r="E352" t="str">
        <f t="shared" si="25"/>
        <v>Nov</v>
      </c>
      <c r="F352" s="5">
        <f>'Raw Data'!E352</f>
        <v>175</v>
      </c>
      <c r="G352" s="4">
        <f>'Raw Data'!F352</f>
        <v>8265.7199999999993</v>
      </c>
      <c r="H352" s="4">
        <f>'Raw Data'!G352</f>
        <v>5219.8100000000004</v>
      </c>
      <c r="I352" s="4">
        <f t="shared" si="26"/>
        <v>3045.9099999999989</v>
      </c>
      <c r="J352" s="8">
        <f t="shared" si="27"/>
        <v>0.36849905392391702</v>
      </c>
      <c r="K352" s="6">
        <f>'Raw Data'!I352</f>
        <v>3.59</v>
      </c>
      <c r="L352" s="5">
        <f>'Raw Data'!J352</f>
        <v>25</v>
      </c>
      <c r="M352" s="5">
        <f>IF(COUNTIFS($A$2:A352,A352,$D$2:D352,D352)=1,L352,0)</f>
        <v>0</v>
      </c>
      <c r="N352" s="4">
        <f t="shared" si="28"/>
        <v>330.62879999999996</v>
      </c>
      <c r="O352" t="str">
        <f t="shared" si="29"/>
        <v>OK</v>
      </c>
    </row>
    <row r="353" spans="1:15">
      <c r="A353" t="str">
        <f>'Raw Data'!A353</f>
        <v>Providence RM-05</v>
      </c>
      <c r="B353" t="str">
        <f>'Raw Data'!B353</f>
        <v>Northeast</v>
      </c>
      <c r="C353" t="str">
        <f>'Raw Data'!C353</f>
        <v>Beauty</v>
      </c>
      <c r="D353" s="3">
        <f>'Raw Data'!D353</f>
        <v>45962</v>
      </c>
      <c r="E353" t="str">
        <f t="shared" si="25"/>
        <v>Nov</v>
      </c>
      <c r="F353" s="5">
        <f>'Raw Data'!E353</f>
        <v>124</v>
      </c>
      <c r="G353" s="4">
        <f>'Raw Data'!F353</f>
        <v>4212.3500000000004</v>
      </c>
      <c r="H353" s="4">
        <f>'Raw Data'!G353</f>
        <v>2149.16</v>
      </c>
      <c r="I353" s="4">
        <f t="shared" si="26"/>
        <v>2063.1900000000005</v>
      </c>
      <c r="J353" s="8">
        <f t="shared" si="27"/>
        <v>0.48979548233171516</v>
      </c>
      <c r="K353" s="6">
        <f>'Raw Data'!I353</f>
        <v>3.43</v>
      </c>
      <c r="L353" s="5">
        <f>'Raw Data'!J353</f>
        <v>25</v>
      </c>
      <c r="M353" s="5">
        <f>IF(COUNTIFS($A$2:A353,A353,$D$2:D353,D353)=1,L353,0)</f>
        <v>0</v>
      </c>
      <c r="N353" s="4">
        <f t="shared" si="28"/>
        <v>168.49400000000003</v>
      </c>
      <c r="O353" t="str">
        <f t="shared" si="29"/>
        <v>OK</v>
      </c>
    </row>
    <row r="354" spans="1:15">
      <c r="A354" t="str">
        <f>'Raw Data'!A354</f>
        <v>Providence RM-05</v>
      </c>
      <c r="B354" t="str">
        <f>'Raw Data'!B354</f>
        <v>Northeast</v>
      </c>
      <c r="C354" t="str">
        <f>'Raw Data'!C354</f>
        <v>Grocery</v>
      </c>
      <c r="D354" s="3">
        <f>'Raw Data'!D354</f>
        <v>45962</v>
      </c>
      <c r="E354" t="str">
        <f t="shared" si="25"/>
        <v>Nov</v>
      </c>
      <c r="F354" s="5">
        <f>'Raw Data'!E354</f>
        <v>209</v>
      </c>
      <c r="G354" s="4">
        <f>'Raw Data'!F354</f>
        <v>3944.44</v>
      </c>
      <c r="H354" s="4">
        <f>'Raw Data'!G354</f>
        <v>3753.16</v>
      </c>
      <c r="I354" s="4">
        <f t="shared" si="26"/>
        <v>191.2800000000002</v>
      </c>
      <c r="J354" s="8">
        <f t="shared" si="27"/>
        <v>4.8493575767409362E-2</v>
      </c>
      <c r="K354" s="6">
        <f>'Raw Data'!I354</f>
        <v>3.29</v>
      </c>
      <c r="L354" s="5">
        <f>'Raw Data'!J354</f>
        <v>25</v>
      </c>
      <c r="M354" s="5">
        <f>IF(COUNTIFS($A$2:A354,A354,$D$2:D354,D354)=1,L354,0)</f>
        <v>0</v>
      </c>
      <c r="N354" s="4">
        <f t="shared" si="28"/>
        <v>157.77760000000001</v>
      </c>
      <c r="O354" t="str">
        <f t="shared" si="29"/>
        <v>OK</v>
      </c>
    </row>
    <row r="355" spans="1:15">
      <c r="A355" t="str">
        <f>'Raw Data'!A355</f>
        <v>Providence RM-05</v>
      </c>
      <c r="B355" t="str">
        <f>'Raw Data'!B355</f>
        <v>Northeast</v>
      </c>
      <c r="C355" t="str">
        <f>'Raw Data'!C355</f>
        <v>Sports</v>
      </c>
      <c r="D355" s="3">
        <f>'Raw Data'!D355</f>
        <v>45962</v>
      </c>
      <c r="E355" t="str">
        <f t="shared" si="25"/>
        <v>Nov</v>
      </c>
      <c r="F355" s="5">
        <f>'Raw Data'!E355</f>
        <v>86</v>
      </c>
      <c r="G355" s="4">
        <f>'Raw Data'!F355</f>
        <v>5468.83</v>
      </c>
      <c r="H355" s="4">
        <f>'Raw Data'!G355</f>
        <v>3762.09</v>
      </c>
      <c r="I355" s="4">
        <f t="shared" si="26"/>
        <v>1706.7399999999998</v>
      </c>
      <c r="J355" s="8">
        <f t="shared" si="27"/>
        <v>0.31208503464177889</v>
      </c>
      <c r="K355" s="6">
        <f>'Raw Data'!I355</f>
        <v>3.6</v>
      </c>
      <c r="L355" s="5">
        <f>'Raw Data'!J355</f>
        <v>25</v>
      </c>
      <c r="M355" s="5">
        <f>IF(COUNTIFS($A$2:A355,A355,$D$2:D355,D355)=1,L355,0)</f>
        <v>0</v>
      </c>
      <c r="N355" s="4">
        <f t="shared" si="28"/>
        <v>218.75319999999999</v>
      </c>
      <c r="O355" t="str">
        <f t="shared" si="29"/>
        <v>OK</v>
      </c>
    </row>
    <row r="356" spans="1:15">
      <c r="A356" t="str">
        <f>'Raw Data'!A356</f>
        <v>Providence RM-05</v>
      </c>
      <c r="B356" t="str">
        <f>'Raw Data'!B356</f>
        <v>Northeast</v>
      </c>
      <c r="C356" t="str">
        <f>'Raw Data'!C356</f>
        <v>Electronics</v>
      </c>
      <c r="D356" s="3">
        <f>'Raw Data'!D356</f>
        <v>45992</v>
      </c>
      <c r="E356" t="str">
        <f t="shared" si="25"/>
        <v>Dec</v>
      </c>
      <c r="F356" s="5">
        <f>'Raw Data'!E356</f>
        <v>206</v>
      </c>
      <c r="G356" s="4">
        <f>'Raw Data'!F356</f>
        <v>29968.15</v>
      </c>
      <c r="H356" s="4">
        <f>'Raw Data'!G356</f>
        <v>25652.67</v>
      </c>
      <c r="I356" s="4">
        <f t="shared" si="26"/>
        <v>4315.4800000000032</v>
      </c>
      <c r="J356" s="8">
        <f t="shared" si="27"/>
        <v>0.14400221568565302</v>
      </c>
      <c r="K356" s="6">
        <f>'Raw Data'!I356</f>
        <v>3.37</v>
      </c>
      <c r="L356" s="5">
        <f>'Raw Data'!J356</f>
        <v>25</v>
      </c>
      <c r="M356" s="5">
        <f>IF(COUNTIFS($A$2:A356,A356,$D$2:D356,D356)=1,L356,0)</f>
        <v>25</v>
      </c>
      <c r="N356" s="4">
        <f t="shared" si="28"/>
        <v>1198.7260000000001</v>
      </c>
      <c r="O356" t="str">
        <f t="shared" si="29"/>
        <v>OK</v>
      </c>
    </row>
    <row r="357" spans="1:15">
      <c r="A357" t="str">
        <f>'Raw Data'!A357</f>
        <v>Providence RM-05</v>
      </c>
      <c r="B357" t="str">
        <f>'Raw Data'!B357</f>
        <v>Northeast</v>
      </c>
      <c r="C357" t="str">
        <f>'Raw Data'!C357</f>
        <v>Home Goods</v>
      </c>
      <c r="D357" s="3">
        <f>'Raw Data'!D357</f>
        <v>45992</v>
      </c>
      <c r="E357" t="str">
        <f t="shared" si="25"/>
        <v>Dec</v>
      </c>
      <c r="F357" s="5">
        <f>'Raw Data'!E357</f>
        <v>138</v>
      </c>
      <c r="G357" s="4">
        <f>'Raw Data'!F357</f>
        <v>9987.6200000000008</v>
      </c>
      <c r="H357" s="4">
        <f>'Raw Data'!G357</f>
        <v>7330.17</v>
      </c>
      <c r="I357" s="4">
        <f t="shared" si="26"/>
        <v>2657.4500000000007</v>
      </c>
      <c r="J357" s="8">
        <f t="shared" si="27"/>
        <v>0.26607440010733291</v>
      </c>
      <c r="K357" s="6">
        <f>'Raw Data'!I357</f>
        <v>3.54</v>
      </c>
      <c r="L357" s="5">
        <f>'Raw Data'!J357</f>
        <v>25</v>
      </c>
      <c r="M357" s="5">
        <f>IF(COUNTIFS($A$2:A357,A357,$D$2:D357,D357)=1,L357,0)</f>
        <v>0</v>
      </c>
      <c r="N357" s="4">
        <f t="shared" si="28"/>
        <v>399.50480000000005</v>
      </c>
      <c r="O357" t="str">
        <f t="shared" si="29"/>
        <v>OK</v>
      </c>
    </row>
    <row r="358" spans="1:15">
      <c r="A358" t="str">
        <f>'Raw Data'!A358</f>
        <v>Providence RM-05</v>
      </c>
      <c r="B358" t="str">
        <f>'Raw Data'!B358</f>
        <v>Northeast</v>
      </c>
      <c r="C358" t="str">
        <f>'Raw Data'!C358</f>
        <v>Apparel</v>
      </c>
      <c r="D358" s="3">
        <f>'Raw Data'!D358</f>
        <v>45992</v>
      </c>
      <c r="E358" t="str">
        <f t="shared" si="25"/>
        <v>Dec</v>
      </c>
      <c r="F358" s="5">
        <f>'Raw Data'!E358</f>
        <v>181</v>
      </c>
      <c r="G358" s="4">
        <f>'Raw Data'!F358</f>
        <v>8245.7099999999991</v>
      </c>
      <c r="H358" s="4">
        <f>'Raw Data'!G358</f>
        <v>5505.54</v>
      </c>
      <c r="I358" s="4">
        <f t="shared" si="26"/>
        <v>2740.1699999999992</v>
      </c>
      <c r="J358" s="8">
        <f t="shared" si="27"/>
        <v>0.33231462178514637</v>
      </c>
      <c r="K358" s="6">
        <f>'Raw Data'!I358</f>
        <v>3.56</v>
      </c>
      <c r="L358" s="5">
        <f>'Raw Data'!J358</f>
        <v>25</v>
      </c>
      <c r="M358" s="5">
        <f>IF(COUNTIFS($A$2:A358,A358,$D$2:D358,D358)=1,L358,0)</f>
        <v>0</v>
      </c>
      <c r="N358" s="4">
        <f t="shared" si="28"/>
        <v>329.82839999999999</v>
      </c>
      <c r="O358" t="str">
        <f t="shared" si="29"/>
        <v>OK</v>
      </c>
    </row>
    <row r="359" spans="1:15">
      <c r="A359" t="str">
        <f>'Raw Data'!A359</f>
        <v>Providence RM-05</v>
      </c>
      <c r="B359" t="str">
        <f>'Raw Data'!B359</f>
        <v>Northeast</v>
      </c>
      <c r="C359" t="str">
        <f>'Raw Data'!C359</f>
        <v>Beauty</v>
      </c>
      <c r="D359" s="3">
        <f>'Raw Data'!D359</f>
        <v>45992</v>
      </c>
      <c r="E359" t="str">
        <f t="shared" si="25"/>
        <v>Dec</v>
      </c>
      <c r="F359" s="5">
        <f>'Raw Data'!E359</f>
        <v>140</v>
      </c>
      <c r="G359" s="4">
        <f>'Raw Data'!F359</f>
        <v>5338.32</v>
      </c>
      <c r="H359" s="4">
        <f>'Raw Data'!G359</f>
        <v>2951.77</v>
      </c>
      <c r="I359" s="4">
        <f t="shared" si="26"/>
        <v>2386.5499999999997</v>
      </c>
      <c r="J359" s="8">
        <f t="shared" si="27"/>
        <v>0.44706012378426169</v>
      </c>
      <c r="K359" s="6">
        <f>'Raw Data'!I359</f>
        <v>3.57</v>
      </c>
      <c r="L359" s="5">
        <f>'Raw Data'!J359</f>
        <v>25</v>
      </c>
      <c r="M359" s="5">
        <f>IF(COUNTIFS($A$2:A359,A359,$D$2:D359,D359)=1,L359,0)</f>
        <v>0</v>
      </c>
      <c r="N359" s="4">
        <f t="shared" si="28"/>
        <v>213.53279999999998</v>
      </c>
      <c r="O359" t="str">
        <f t="shared" si="29"/>
        <v>OK</v>
      </c>
    </row>
    <row r="360" spans="1:15">
      <c r="A360" t="str">
        <f>'Raw Data'!A360</f>
        <v>Providence RM-05</v>
      </c>
      <c r="B360" t="str">
        <f>'Raw Data'!B360</f>
        <v>Northeast</v>
      </c>
      <c r="C360" t="str">
        <f>'Raw Data'!C360</f>
        <v>Grocery</v>
      </c>
      <c r="D360" s="3">
        <f>'Raw Data'!D360</f>
        <v>45992</v>
      </c>
      <c r="E360" t="str">
        <f t="shared" si="25"/>
        <v>Dec</v>
      </c>
      <c r="F360" s="5">
        <f>'Raw Data'!E360</f>
        <v>206</v>
      </c>
      <c r="G360" s="4">
        <f>'Raw Data'!F360</f>
        <v>3749.63</v>
      </c>
      <c r="H360" s="4">
        <f>'Raw Data'!G360</f>
        <v>3517.86</v>
      </c>
      <c r="I360" s="4">
        <f t="shared" si="26"/>
        <v>231.76999999999998</v>
      </c>
      <c r="J360" s="8">
        <f t="shared" si="27"/>
        <v>6.181143206129671E-2</v>
      </c>
      <c r="K360" s="6">
        <f>'Raw Data'!I360</f>
        <v>3.28</v>
      </c>
      <c r="L360" s="5">
        <f>'Raw Data'!J360</f>
        <v>25</v>
      </c>
      <c r="M360" s="5">
        <f>IF(COUNTIFS($A$2:A360,A360,$D$2:D360,D360)=1,L360,0)</f>
        <v>0</v>
      </c>
      <c r="N360" s="4">
        <f t="shared" si="28"/>
        <v>149.98519999999999</v>
      </c>
      <c r="O360" t="str">
        <f t="shared" si="29"/>
        <v>OK</v>
      </c>
    </row>
    <row r="361" spans="1:15">
      <c r="A361" t="str">
        <f>'Raw Data'!A361</f>
        <v>Providence RM-05</v>
      </c>
      <c r="B361" t="str">
        <f>'Raw Data'!B361</f>
        <v>Northeast</v>
      </c>
      <c r="C361" t="str">
        <f>'Raw Data'!C361</f>
        <v>Sports</v>
      </c>
      <c r="D361" s="3">
        <f>'Raw Data'!D361</f>
        <v>45992</v>
      </c>
      <c r="E361" t="str">
        <f t="shared" si="25"/>
        <v>Dec</v>
      </c>
      <c r="F361" s="5">
        <f>'Raw Data'!E361</f>
        <v>88</v>
      </c>
      <c r="G361" s="4">
        <f>'Raw Data'!F361</f>
        <v>5234.72</v>
      </c>
      <c r="H361" s="4">
        <f>'Raw Data'!G361</f>
        <v>3760.1</v>
      </c>
      <c r="I361" s="4">
        <f t="shared" si="26"/>
        <v>1474.6200000000003</v>
      </c>
      <c r="J361" s="8">
        <f t="shared" si="27"/>
        <v>0.28169988079591657</v>
      </c>
      <c r="K361" s="6">
        <f>'Raw Data'!I361</f>
        <v>3.25</v>
      </c>
      <c r="L361" s="5">
        <f>'Raw Data'!J361</f>
        <v>25</v>
      </c>
      <c r="M361" s="5">
        <f>IF(COUNTIFS($A$2:A361,A361,$D$2:D361,D361)=1,L361,0)</f>
        <v>0</v>
      </c>
      <c r="N361" s="4">
        <f t="shared" si="28"/>
        <v>209.3888</v>
      </c>
      <c r="O361" t="str">
        <f t="shared" si="29"/>
        <v>OK</v>
      </c>
    </row>
    <row r="362" spans="1:15">
      <c r="A362" t="str">
        <f>'Raw Data'!A362</f>
        <v>Dallas RM-06</v>
      </c>
      <c r="B362" t="str">
        <f>'Raw Data'!B362</f>
        <v>South</v>
      </c>
      <c r="C362" t="str">
        <f>'Raw Data'!C362</f>
        <v>Electronics</v>
      </c>
      <c r="D362" s="3">
        <f>'Raw Data'!D362</f>
        <v>45658</v>
      </c>
      <c r="E362" t="str">
        <f t="shared" si="25"/>
        <v>Jan</v>
      </c>
      <c r="F362" s="5">
        <f>'Raw Data'!E362</f>
        <v>63</v>
      </c>
      <c r="G362" s="4">
        <f>'Raw Data'!F362</f>
        <v>8752.86</v>
      </c>
      <c r="H362" s="4">
        <f>'Raw Data'!G362</f>
        <v>6715.99</v>
      </c>
      <c r="I362" s="4">
        <f t="shared" si="26"/>
        <v>2036.8700000000008</v>
      </c>
      <c r="J362" s="8">
        <f t="shared" si="27"/>
        <v>0.23270908023206135</v>
      </c>
      <c r="K362" s="6">
        <f>'Raw Data'!I362</f>
        <v>3.78</v>
      </c>
      <c r="L362" s="5">
        <f>'Raw Data'!J362</f>
        <v>26</v>
      </c>
      <c r="M362" s="5">
        <f>IF(COUNTIFS($A$2:A362,A362,$D$2:D362,D362)=1,L362,0)</f>
        <v>26</v>
      </c>
      <c r="N362" s="4">
        <f t="shared" si="28"/>
        <v>336.64846153846156</v>
      </c>
      <c r="O362" t="str">
        <f t="shared" si="29"/>
        <v>OK</v>
      </c>
    </row>
    <row r="363" spans="1:15">
      <c r="A363" t="str">
        <f>'Raw Data'!A363</f>
        <v>Dallas RM-06</v>
      </c>
      <c r="B363" t="str">
        <f>'Raw Data'!B363</f>
        <v>South</v>
      </c>
      <c r="C363" t="str">
        <f>'Raw Data'!C363</f>
        <v>Home Goods</v>
      </c>
      <c r="D363" s="3">
        <f>'Raw Data'!D363</f>
        <v>45658</v>
      </c>
      <c r="E363" t="str">
        <f t="shared" si="25"/>
        <v>Jan</v>
      </c>
      <c r="F363" s="5">
        <f>'Raw Data'!E363</f>
        <v>81</v>
      </c>
      <c r="G363" s="4">
        <f>'Raw Data'!F363</f>
        <v>6129.79</v>
      </c>
      <c r="H363" s="4">
        <f>'Raw Data'!G363</f>
        <v>3974.13</v>
      </c>
      <c r="I363" s="4">
        <f t="shared" si="26"/>
        <v>2155.66</v>
      </c>
      <c r="J363" s="8">
        <f t="shared" si="27"/>
        <v>0.35166946991658765</v>
      </c>
      <c r="K363" s="6">
        <f>'Raw Data'!I363</f>
        <v>3.92</v>
      </c>
      <c r="L363" s="5">
        <f>'Raw Data'!J363</f>
        <v>26</v>
      </c>
      <c r="M363" s="5">
        <f>IF(COUNTIFS($A$2:A363,A363,$D$2:D363,D363)=1,L363,0)</f>
        <v>0</v>
      </c>
      <c r="N363" s="4">
        <f t="shared" si="28"/>
        <v>235.76115384615383</v>
      </c>
      <c r="O363" t="str">
        <f t="shared" si="29"/>
        <v>OK</v>
      </c>
    </row>
    <row r="364" spans="1:15">
      <c r="A364" t="str">
        <f>'Raw Data'!A364</f>
        <v>Dallas RM-06</v>
      </c>
      <c r="B364" t="str">
        <f>'Raw Data'!B364</f>
        <v>South</v>
      </c>
      <c r="C364" t="str">
        <f>'Raw Data'!C364</f>
        <v>Apparel</v>
      </c>
      <c r="D364" s="3">
        <f>'Raw Data'!D364</f>
        <v>45658</v>
      </c>
      <c r="E364" t="str">
        <f t="shared" si="25"/>
        <v>Jan</v>
      </c>
      <c r="F364" s="5">
        <f>'Raw Data'!E364</f>
        <v>89</v>
      </c>
      <c r="G364" s="4">
        <f>'Raw Data'!F364</f>
        <v>4359.5200000000004</v>
      </c>
      <c r="H364" s="4">
        <f>'Raw Data'!G364</f>
        <v>2471.6799999999998</v>
      </c>
      <c r="I364" s="4">
        <f t="shared" si="26"/>
        <v>1887.8400000000006</v>
      </c>
      <c r="J364" s="8">
        <f t="shared" si="27"/>
        <v>0.43303849965133784</v>
      </c>
      <c r="K364" s="6">
        <f>'Raw Data'!I364</f>
        <v>3.87</v>
      </c>
      <c r="L364" s="5">
        <f>'Raw Data'!J364</f>
        <v>26</v>
      </c>
      <c r="M364" s="5">
        <f>IF(COUNTIFS($A$2:A364,A364,$D$2:D364,D364)=1,L364,0)</f>
        <v>0</v>
      </c>
      <c r="N364" s="4">
        <f t="shared" si="28"/>
        <v>167.67384615384617</v>
      </c>
      <c r="O364" t="str">
        <f t="shared" si="29"/>
        <v>OK</v>
      </c>
    </row>
    <row r="365" spans="1:15">
      <c r="A365" t="str">
        <f>'Raw Data'!A365</f>
        <v>Dallas RM-06</v>
      </c>
      <c r="B365" t="str">
        <f>'Raw Data'!B365</f>
        <v>South</v>
      </c>
      <c r="C365" t="str">
        <f>'Raw Data'!C365</f>
        <v>Beauty</v>
      </c>
      <c r="D365" s="3">
        <f>'Raw Data'!D365</f>
        <v>45658</v>
      </c>
      <c r="E365" t="str">
        <f t="shared" si="25"/>
        <v>Jan</v>
      </c>
      <c r="F365" s="5">
        <f>'Raw Data'!E365</f>
        <v>85</v>
      </c>
      <c r="G365" s="4">
        <f>'Raw Data'!F365</f>
        <v>2908.17</v>
      </c>
      <c r="H365" s="4">
        <f>'Raw Data'!G365</f>
        <v>1335.02</v>
      </c>
      <c r="I365" s="4">
        <f t="shared" si="26"/>
        <v>1573.15</v>
      </c>
      <c r="J365" s="8">
        <f t="shared" si="27"/>
        <v>0.5409415543107865</v>
      </c>
      <c r="K365" s="6">
        <f>'Raw Data'!I365</f>
        <v>3.94</v>
      </c>
      <c r="L365" s="5">
        <f>'Raw Data'!J365</f>
        <v>26</v>
      </c>
      <c r="M365" s="5">
        <f>IF(COUNTIFS($A$2:A365,A365,$D$2:D365,D365)=1,L365,0)</f>
        <v>0</v>
      </c>
      <c r="N365" s="4">
        <f t="shared" si="28"/>
        <v>111.85269230769231</v>
      </c>
      <c r="O365" t="str">
        <f t="shared" si="29"/>
        <v>OK</v>
      </c>
    </row>
    <row r="366" spans="1:15">
      <c r="A366" t="str">
        <f>'Raw Data'!A366</f>
        <v>Dallas RM-06</v>
      </c>
      <c r="B366" t="str">
        <f>'Raw Data'!B366</f>
        <v>South</v>
      </c>
      <c r="C366" t="str">
        <f>'Raw Data'!C366</f>
        <v>Grocery</v>
      </c>
      <c r="D366" s="3">
        <f>'Raw Data'!D366</f>
        <v>45658</v>
      </c>
      <c r="E366" t="str">
        <f t="shared" si="25"/>
        <v>Jan</v>
      </c>
      <c r="F366" s="5">
        <f>'Raw Data'!E366</f>
        <v>149</v>
      </c>
      <c r="G366" s="4">
        <f>'Raw Data'!F366</f>
        <v>2728.08</v>
      </c>
      <c r="H366" s="4">
        <f>'Raw Data'!G366</f>
        <v>2413.36</v>
      </c>
      <c r="I366" s="4">
        <f t="shared" si="26"/>
        <v>314.7199999999998</v>
      </c>
      <c r="J366" s="8">
        <f t="shared" si="27"/>
        <v>0.11536318583032748</v>
      </c>
      <c r="K366" s="6">
        <f>'Raw Data'!I366</f>
        <v>4</v>
      </c>
      <c r="L366" s="5">
        <f>'Raw Data'!J366</f>
        <v>26</v>
      </c>
      <c r="M366" s="5">
        <f>IF(COUNTIFS($A$2:A366,A366,$D$2:D366,D366)=1,L366,0)</f>
        <v>0</v>
      </c>
      <c r="N366" s="4">
        <f t="shared" si="28"/>
        <v>104.92615384615384</v>
      </c>
      <c r="O366" t="str">
        <f t="shared" si="29"/>
        <v>OK</v>
      </c>
    </row>
    <row r="367" spans="1:15">
      <c r="A367" t="str">
        <f>'Raw Data'!A367</f>
        <v>Dallas RM-06</v>
      </c>
      <c r="B367" t="str">
        <f>'Raw Data'!B367</f>
        <v>South</v>
      </c>
      <c r="C367" t="str">
        <f>'Raw Data'!C367</f>
        <v>Sports</v>
      </c>
      <c r="D367" s="3">
        <f>'Raw Data'!D367</f>
        <v>45658</v>
      </c>
      <c r="E367" t="str">
        <f t="shared" si="25"/>
        <v>Jan</v>
      </c>
      <c r="F367" s="5">
        <f>'Raw Data'!E367</f>
        <v>68</v>
      </c>
      <c r="G367" s="4">
        <f>'Raw Data'!F367</f>
        <v>4039.2</v>
      </c>
      <c r="H367" s="4">
        <f>'Raw Data'!G367</f>
        <v>2504.73</v>
      </c>
      <c r="I367" s="4">
        <f t="shared" si="26"/>
        <v>1534.4699999999998</v>
      </c>
      <c r="J367" s="8">
        <f t="shared" si="27"/>
        <v>0.37989453357100411</v>
      </c>
      <c r="K367" s="6">
        <f>'Raw Data'!I367</f>
        <v>4.0599999999999996</v>
      </c>
      <c r="L367" s="5">
        <f>'Raw Data'!J367</f>
        <v>26</v>
      </c>
      <c r="M367" s="5">
        <f>IF(COUNTIFS($A$2:A367,A367,$D$2:D367,D367)=1,L367,0)</f>
        <v>0</v>
      </c>
      <c r="N367" s="4">
        <f t="shared" si="28"/>
        <v>155.35384615384615</v>
      </c>
      <c r="O367" t="str">
        <f t="shared" si="29"/>
        <v>OK</v>
      </c>
    </row>
    <row r="368" spans="1:15">
      <c r="A368" t="str">
        <f>'Raw Data'!A368</f>
        <v>Dallas RM-06</v>
      </c>
      <c r="B368" t="str">
        <f>'Raw Data'!B368</f>
        <v>South</v>
      </c>
      <c r="C368" t="str">
        <f>'Raw Data'!C368</f>
        <v>Electronics</v>
      </c>
      <c r="D368" s="3">
        <f>'Raw Data'!D368</f>
        <v>45689</v>
      </c>
      <c r="E368" t="str">
        <f t="shared" si="25"/>
        <v>Feb</v>
      </c>
      <c r="F368" s="5">
        <f>'Raw Data'!E368</f>
        <v>78</v>
      </c>
      <c r="G368" s="4">
        <f>'Raw Data'!F368</f>
        <v>10887.86</v>
      </c>
      <c r="H368" s="4">
        <f>'Raw Data'!G368</f>
        <v>8445.93</v>
      </c>
      <c r="I368" s="4">
        <f t="shared" si="26"/>
        <v>2441.9300000000003</v>
      </c>
      <c r="J368" s="8">
        <f t="shared" si="27"/>
        <v>0.22428006972903769</v>
      </c>
      <c r="K368" s="6">
        <f>'Raw Data'!I368</f>
        <v>3.83</v>
      </c>
      <c r="L368" s="5">
        <f>'Raw Data'!J368</f>
        <v>25</v>
      </c>
      <c r="M368" s="5">
        <f>IF(COUNTIFS($A$2:A368,A368,$D$2:D368,D368)=1,L368,0)</f>
        <v>25</v>
      </c>
      <c r="N368" s="4">
        <f t="shared" si="28"/>
        <v>435.51440000000002</v>
      </c>
      <c r="O368" t="str">
        <f t="shared" si="29"/>
        <v>OK</v>
      </c>
    </row>
    <row r="369" spans="1:15">
      <c r="A369" t="str">
        <f>'Raw Data'!A369</f>
        <v>Dallas RM-06</v>
      </c>
      <c r="B369" t="str">
        <f>'Raw Data'!B369</f>
        <v>South</v>
      </c>
      <c r="C369" t="str">
        <f>'Raw Data'!C369</f>
        <v>Home Goods</v>
      </c>
      <c r="D369" s="3">
        <f>'Raw Data'!D369</f>
        <v>45689</v>
      </c>
      <c r="E369" t="str">
        <f t="shared" si="25"/>
        <v>Feb</v>
      </c>
      <c r="F369" s="5">
        <f>'Raw Data'!E369</f>
        <v>76</v>
      </c>
      <c r="G369" s="4">
        <f>'Raw Data'!F369</f>
        <v>6195.61</v>
      </c>
      <c r="H369" s="4">
        <f>'Raw Data'!G369</f>
        <v>4006.9</v>
      </c>
      <c r="I369" s="4">
        <f t="shared" si="26"/>
        <v>2188.7099999999996</v>
      </c>
      <c r="J369" s="8">
        <f t="shared" si="27"/>
        <v>0.35326787838485635</v>
      </c>
      <c r="K369" s="6">
        <f>'Raw Data'!I369</f>
        <v>3.85</v>
      </c>
      <c r="L369" s="5">
        <f>'Raw Data'!J369</f>
        <v>25</v>
      </c>
      <c r="M369" s="5">
        <f>IF(COUNTIFS($A$2:A369,A369,$D$2:D369,D369)=1,L369,0)</f>
        <v>0</v>
      </c>
      <c r="N369" s="4">
        <f t="shared" si="28"/>
        <v>247.8244</v>
      </c>
      <c r="O369" t="str">
        <f t="shared" si="29"/>
        <v>OK</v>
      </c>
    </row>
    <row r="370" spans="1:15">
      <c r="A370" t="str">
        <f>'Raw Data'!A370</f>
        <v>Dallas RM-06</v>
      </c>
      <c r="B370" t="str">
        <f>'Raw Data'!B370</f>
        <v>South</v>
      </c>
      <c r="C370" t="str">
        <f>'Raw Data'!C370</f>
        <v>Apparel</v>
      </c>
      <c r="D370" s="3">
        <f>'Raw Data'!D370</f>
        <v>45689</v>
      </c>
      <c r="E370" t="str">
        <f t="shared" si="25"/>
        <v>Feb</v>
      </c>
      <c r="F370" s="5">
        <f>'Raw Data'!E370</f>
        <v>101</v>
      </c>
      <c r="G370" s="4">
        <f>'Raw Data'!F370</f>
        <v>5206.21</v>
      </c>
      <c r="H370" s="4">
        <f>'Raw Data'!G370</f>
        <v>3009.56</v>
      </c>
      <c r="I370" s="4">
        <f t="shared" si="26"/>
        <v>2196.65</v>
      </c>
      <c r="J370" s="8">
        <f t="shared" si="27"/>
        <v>0.42192881193805093</v>
      </c>
      <c r="K370" s="6">
        <f>'Raw Data'!I370</f>
        <v>3.98</v>
      </c>
      <c r="L370" s="5">
        <f>'Raw Data'!J370</f>
        <v>25</v>
      </c>
      <c r="M370" s="5">
        <f>IF(COUNTIFS($A$2:A370,A370,$D$2:D370,D370)=1,L370,0)</f>
        <v>0</v>
      </c>
      <c r="N370" s="4">
        <f t="shared" si="28"/>
        <v>208.2484</v>
      </c>
      <c r="O370" t="str">
        <f t="shared" si="29"/>
        <v>OK</v>
      </c>
    </row>
    <row r="371" spans="1:15">
      <c r="A371" t="str">
        <f>'Raw Data'!A371</f>
        <v>Dallas RM-06</v>
      </c>
      <c r="B371" t="str">
        <f>'Raw Data'!B371</f>
        <v>South</v>
      </c>
      <c r="C371" t="str">
        <f>'Raw Data'!C371</f>
        <v>Beauty</v>
      </c>
      <c r="D371" s="3">
        <f>'Raw Data'!D371</f>
        <v>45689</v>
      </c>
      <c r="E371" t="str">
        <f t="shared" si="25"/>
        <v>Feb</v>
      </c>
      <c r="F371" s="5">
        <f>'Raw Data'!E371</f>
        <v>82</v>
      </c>
      <c r="G371" s="4">
        <f>'Raw Data'!F371</f>
        <v>3028.81</v>
      </c>
      <c r="H371" s="4">
        <f>'Raw Data'!G371</f>
        <v>1377</v>
      </c>
      <c r="I371" s="4">
        <f t="shared" si="26"/>
        <v>1651.81</v>
      </c>
      <c r="J371" s="8">
        <f t="shared" si="27"/>
        <v>0.54536600182910122</v>
      </c>
      <c r="K371" s="6">
        <f>'Raw Data'!I371</f>
        <v>3.98</v>
      </c>
      <c r="L371" s="5">
        <f>'Raw Data'!J371</f>
        <v>25</v>
      </c>
      <c r="M371" s="5">
        <f>IF(COUNTIFS($A$2:A371,A371,$D$2:D371,D371)=1,L371,0)</f>
        <v>0</v>
      </c>
      <c r="N371" s="4">
        <f t="shared" si="28"/>
        <v>121.1524</v>
      </c>
      <c r="O371" t="str">
        <f t="shared" si="29"/>
        <v>OK</v>
      </c>
    </row>
    <row r="372" spans="1:15">
      <c r="A372" t="str">
        <f>'Raw Data'!A372</f>
        <v>Dallas RM-06</v>
      </c>
      <c r="B372" t="str">
        <f>'Raw Data'!B372</f>
        <v>South</v>
      </c>
      <c r="C372" t="str">
        <f>'Raw Data'!C372</f>
        <v>Grocery</v>
      </c>
      <c r="D372" s="3">
        <f>'Raw Data'!D372</f>
        <v>45689</v>
      </c>
      <c r="E372" t="str">
        <f t="shared" si="25"/>
        <v>Feb</v>
      </c>
      <c r="F372" s="5">
        <f>'Raw Data'!E372</f>
        <v>120</v>
      </c>
      <c r="G372" s="4">
        <f>'Raw Data'!F372</f>
        <v>2082.17</v>
      </c>
      <c r="H372" s="4">
        <f>'Raw Data'!G372</f>
        <v>1858.58</v>
      </c>
      <c r="I372" s="4">
        <f t="shared" si="26"/>
        <v>223.59000000000015</v>
      </c>
      <c r="J372" s="8">
        <f t="shared" si="27"/>
        <v>0.10738316275808418</v>
      </c>
      <c r="K372" s="6">
        <f>'Raw Data'!I372</f>
        <v>4.05</v>
      </c>
      <c r="L372" s="5">
        <f>'Raw Data'!J372</f>
        <v>25</v>
      </c>
      <c r="M372" s="5">
        <f>IF(COUNTIFS($A$2:A372,A372,$D$2:D372,D372)=1,L372,0)</f>
        <v>0</v>
      </c>
      <c r="N372" s="4">
        <f t="shared" si="28"/>
        <v>83.286799999999999</v>
      </c>
      <c r="O372" t="str">
        <f t="shared" si="29"/>
        <v>OK</v>
      </c>
    </row>
    <row r="373" spans="1:15">
      <c r="A373" t="str">
        <f>'Raw Data'!A373</f>
        <v>Dallas RM-06</v>
      </c>
      <c r="B373" t="str">
        <f>'Raw Data'!B373</f>
        <v>South</v>
      </c>
      <c r="C373" t="str">
        <f>'Raw Data'!C373</f>
        <v>Sports</v>
      </c>
      <c r="D373" s="3">
        <f>'Raw Data'!D373</f>
        <v>45689</v>
      </c>
      <c r="E373" t="str">
        <f t="shared" si="25"/>
        <v>Feb</v>
      </c>
      <c r="F373" s="5">
        <f>'Raw Data'!E373</f>
        <v>56</v>
      </c>
      <c r="G373" s="4">
        <f>'Raw Data'!F373</f>
        <v>3427.79</v>
      </c>
      <c r="H373" s="4">
        <f>'Raw Data'!G373</f>
        <v>2200.38</v>
      </c>
      <c r="I373" s="4">
        <f t="shared" si="26"/>
        <v>1227.4099999999999</v>
      </c>
      <c r="J373" s="8">
        <f t="shared" si="27"/>
        <v>0.35807619486607983</v>
      </c>
      <c r="K373" s="6">
        <f>'Raw Data'!I373</f>
        <v>3.77</v>
      </c>
      <c r="L373" s="5">
        <f>'Raw Data'!J373</f>
        <v>25</v>
      </c>
      <c r="M373" s="5">
        <f>IF(COUNTIFS($A$2:A373,A373,$D$2:D373,D373)=1,L373,0)</f>
        <v>0</v>
      </c>
      <c r="N373" s="4">
        <f t="shared" si="28"/>
        <v>137.11160000000001</v>
      </c>
      <c r="O373" t="str">
        <f t="shared" si="29"/>
        <v>OK</v>
      </c>
    </row>
    <row r="374" spans="1:15">
      <c r="A374" t="str">
        <f>'Raw Data'!A374</f>
        <v>Dallas RM-06</v>
      </c>
      <c r="B374" t="str">
        <f>'Raw Data'!B374</f>
        <v>South</v>
      </c>
      <c r="C374" t="str">
        <f>'Raw Data'!C374</f>
        <v>Electronics</v>
      </c>
      <c r="D374" s="3">
        <f>'Raw Data'!D374</f>
        <v>45717</v>
      </c>
      <c r="E374" t="str">
        <f t="shared" si="25"/>
        <v>Mar</v>
      </c>
      <c r="F374" s="5">
        <f>'Raw Data'!E374</f>
        <v>111</v>
      </c>
      <c r="G374" s="4">
        <f>'Raw Data'!F374</f>
        <v>16866.64</v>
      </c>
      <c r="H374" s="4">
        <f>'Raw Data'!G374</f>
        <v>12670.9</v>
      </c>
      <c r="I374" s="4">
        <f t="shared" si="26"/>
        <v>4195.74</v>
      </c>
      <c r="J374" s="8">
        <f t="shared" si="27"/>
        <v>0.24875968183348907</v>
      </c>
      <c r="K374" s="6">
        <f>'Raw Data'!I374</f>
        <v>3.83</v>
      </c>
      <c r="L374" s="5">
        <f>'Raw Data'!J374</f>
        <v>25</v>
      </c>
      <c r="M374" s="5">
        <f>IF(COUNTIFS($A$2:A374,A374,$D$2:D374,D374)=1,L374,0)</f>
        <v>25</v>
      </c>
      <c r="N374" s="4">
        <f t="shared" si="28"/>
        <v>674.66559999999993</v>
      </c>
      <c r="O374" t="str">
        <f t="shared" si="29"/>
        <v>OK</v>
      </c>
    </row>
    <row r="375" spans="1:15">
      <c r="A375" t="str">
        <f>'Raw Data'!A375</f>
        <v>Dallas RM-06</v>
      </c>
      <c r="B375" t="str">
        <f>'Raw Data'!B375</f>
        <v>South</v>
      </c>
      <c r="C375" t="str">
        <f>'Raw Data'!C375</f>
        <v>Home Goods</v>
      </c>
      <c r="D375" s="3">
        <f>'Raw Data'!D375</f>
        <v>45717</v>
      </c>
      <c r="E375" t="str">
        <f t="shared" si="25"/>
        <v>Mar</v>
      </c>
      <c r="F375" s="5">
        <f>'Raw Data'!E375</f>
        <v>94</v>
      </c>
      <c r="G375" s="4">
        <f>'Raw Data'!F375</f>
        <v>7287.59</v>
      </c>
      <c r="H375" s="4">
        <f>'Raw Data'!G375</f>
        <v>4785.18</v>
      </c>
      <c r="I375" s="4">
        <f t="shared" si="26"/>
        <v>2502.41</v>
      </c>
      <c r="J375" s="8">
        <f t="shared" si="27"/>
        <v>0.34337963579180497</v>
      </c>
      <c r="K375" s="6">
        <f>'Raw Data'!I375</f>
        <v>3.76</v>
      </c>
      <c r="L375" s="5">
        <f>'Raw Data'!J375</f>
        <v>25</v>
      </c>
      <c r="M375" s="5">
        <f>IF(COUNTIFS($A$2:A375,A375,$D$2:D375,D375)=1,L375,0)</f>
        <v>0</v>
      </c>
      <c r="N375" s="4">
        <f t="shared" si="28"/>
        <v>291.50360000000001</v>
      </c>
      <c r="O375" t="str">
        <f t="shared" si="29"/>
        <v>OK</v>
      </c>
    </row>
    <row r="376" spans="1:15">
      <c r="A376" t="str">
        <f>'Raw Data'!A376</f>
        <v>Dallas RM-06</v>
      </c>
      <c r="B376" t="str">
        <f>'Raw Data'!B376</f>
        <v>South</v>
      </c>
      <c r="C376" t="str">
        <f>'Raw Data'!C376</f>
        <v>Apparel</v>
      </c>
      <c r="D376" s="3">
        <f>'Raw Data'!D376</f>
        <v>45717</v>
      </c>
      <c r="E376" t="str">
        <f t="shared" si="25"/>
        <v>Mar</v>
      </c>
      <c r="F376" s="5">
        <f>'Raw Data'!E376</f>
        <v>137</v>
      </c>
      <c r="G376" s="4">
        <f>'Raw Data'!F376</f>
        <v>6772.41</v>
      </c>
      <c r="H376" s="4">
        <f>'Raw Data'!G376</f>
        <v>3961.66</v>
      </c>
      <c r="I376" s="4">
        <f t="shared" si="26"/>
        <v>2810.75</v>
      </c>
      <c r="J376" s="8">
        <f t="shared" si="27"/>
        <v>0.41502950943607964</v>
      </c>
      <c r="K376" s="6">
        <f>'Raw Data'!I376</f>
        <v>3.84</v>
      </c>
      <c r="L376" s="5">
        <f>'Raw Data'!J376</f>
        <v>25</v>
      </c>
      <c r="M376" s="5">
        <f>IF(COUNTIFS($A$2:A376,A376,$D$2:D376,D376)=1,L376,0)</f>
        <v>0</v>
      </c>
      <c r="N376" s="4">
        <f t="shared" si="28"/>
        <v>270.89639999999997</v>
      </c>
      <c r="O376" t="str">
        <f t="shared" si="29"/>
        <v>OK</v>
      </c>
    </row>
    <row r="377" spans="1:15">
      <c r="A377" t="str">
        <f>'Raw Data'!A377</f>
        <v>Dallas RM-06</v>
      </c>
      <c r="B377" t="str">
        <f>'Raw Data'!B377</f>
        <v>South</v>
      </c>
      <c r="C377" t="str">
        <f>'Raw Data'!C377</f>
        <v>Beauty</v>
      </c>
      <c r="D377" s="3">
        <f>'Raw Data'!D377</f>
        <v>45717</v>
      </c>
      <c r="E377" t="str">
        <f t="shared" si="25"/>
        <v>Mar</v>
      </c>
      <c r="F377" s="5">
        <f>'Raw Data'!E377</f>
        <v>83</v>
      </c>
      <c r="G377" s="4">
        <f>'Raw Data'!F377</f>
        <v>3146.45</v>
      </c>
      <c r="H377" s="4">
        <f>'Raw Data'!G377</f>
        <v>1476.76</v>
      </c>
      <c r="I377" s="4">
        <f t="shared" si="26"/>
        <v>1669.6899999999998</v>
      </c>
      <c r="J377" s="8">
        <f t="shared" si="27"/>
        <v>0.53065836101002717</v>
      </c>
      <c r="K377" s="6">
        <f>'Raw Data'!I377</f>
        <v>3.92</v>
      </c>
      <c r="L377" s="5">
        <f>'Raw Data'!J377</f>
        <v>25</v>
      </c>
      <c r="M377" s="5">
        <f>IF(COUNTIFS($A$2:A377,A377,$D$2:D377,D377)=1,L377,0)</f>
        <v>0</v>
      </c>
      <c r="N377" s="4">
        <f t="shared" si="28"/>
        <v>125.85799999999999</v>
      </c>
      <c r="O377" t="str">
        <f t="shared" si="29"/>
        <v>OK</v>
      </c>
    </row>
    <row r="378" spans="1:15">
      <c r="A378" t="str">
        <f>'Raw Data'!A378</f>
        <v>Dallas RM-06</v>
      </c>
      <c r="B378" t="str">
        <f>'Raw Data'!B378</f>
        <v>South</v>
      </c>
      <c r="C378" t="str">
        <f>'Raw Data'!C378</f>
        <v>Grocery</v>
      </c>
      <c r="D378" s="3">
        <f>'Raw Data'!D378</f>
        <v>45717</v>
      </c>
      <c r="E378" t="str">
        <f t="shared" si="25"/>
        <v>Mar</v>
      </c>
      <c r="F378" s="5">
        <f>'Raw Data'!E378</f>
        <v>145</v>
      </c>
      <c r="G378" s="4">
        <f>'Raw Data'!F378</f>
        <v>2605.27</v>
      </c>
      <c r="H378" s="4">
        <f>'Raw Data'!G378</f>
        <v>2318.94</v>
      </c>
      <c r="I378" s="4">
        <f t="shared" si="26"/>
        <v>286.32999999999993</v>
      </c>
      <c r="J378" s="8">
        <f t="shared" si="27"/>
        <v>0.10990415580726755</v>
      </c>
      <c r="K378" s="6">
        <f>'Raw Data'!I378</f>
        <v>3.84</v>
      </c>
      <c r="L378" s="5">
        <f>'Raw Data'!J378</f>
        <v>25</v>
      </c>
      <c r="M378" s="5">
        <f>IF(COUNTIFS($A$2:A378,A378,$D$2:D378,D378)=1,L378,0)</f>
        <v>0</v>
      </c>
      <c r="N378" s="4">
        <f t="shared" si="28"/>
        <v>104.21080000000001</v>
      </c>
      <c r="O378" t="str">
        <f t="shared" si="29"/>
        <v>OK</v>
      </c>
    </row>
    <row r="379" spans="1:15">
      <c r="A379" t="str">
        <f>'Raw Data'!A379</f>
        <v>Dallas RM-06</v>
      </c>
      <c r="B379" t="str">
        <f>'Raw Data'!B379</f>
        <v>South</v>
      </c>
      <c r="C379" t="str">
        <f>'Raw Data'!C379</f>
        <v>Sports</v>
      </c>
      <c r="D379" s="3">
        <f>'Raw Data'!D379</f>
        <v>45717</v>
      </c>
      <c r="E379" t="str">
        <f t="shared" si="25"/>
        <v>Mar</v>
      </c>
      <c r="F379" s="5">
        <f>'Raw Data'!E379</f>
        <v>64</v>
      </c>
      <c r="G379" s="4">
        <f>'Raw Data'!F379</f>
        <v>3809.73</v>
      </c>
      <c r="H379" s="4">
        <f>'Raw Data'!G379</f>
        <v>2459.9699999999998</v>
      </c>
      <c r="I379" s="4">
        <f t="shared" si="26"/>
        <v>1349.7600000000002</v>
      </c>
      <c r="J379" s="8">
        <f t="shared" si="27"/>
        <v>0.35429282390090644</v>
      </c>
      <c r="K379" s="6">
        <f>'Raw Data'!I379</f>
        <v>3.87</v>
      </c>
      <c r="L379" s="5">
        <f>'Raw Data'!J379</f>
        <v>25</v>
      </c>
      <c r="M379" s="5">
        <f>IF(COUNTIFS($A$2:A379,A379,$D$2:D379,D379)=1,L379,0)</f>
        <v>0</v>
      </c>
      <c r="N379" s="4">
        <f t="shared" si="28"/>
        <v>152.38919999999999</v>
      </c>
      <c r="O379" t="str">
        <f t="shared" si="29"/>
        <v>OK</v>
      </c>
    </row>
    <row r="380" spans="1:15">
      <c r="A380" t="str">
        <f>'Raw Data'!A380</f>
        <v>Dallas RM-06</v>
      </c>
      <c r="B380" t="str">
        <f>'Raw Data'!B380</f>
        <v>South</v>
      </c>
      <c r="C380" t="str">
        <f>'Raw Data'!C380</f>
        <v>Electronics</v>
      </c>
      <c r="D380" s="3">
        <f>'Raw Data'!D380</f>
        <v>45748</v>
      </c>
      <c r="E380" t="str">
        <f t="shared" si="25"/>
        <v>Apr</v>
      </c>
      <c r="F380" s="5">
        <f>'Raw Data'!E380</f>
        <v>106</v>
      </c>
      <c r="G380" s="4">
        <f>'Raw Data'!F380</f>
        <v>15245.13</v>
      </c>
      <c r="H380" s="4">
        <f>'Raw Data'!G380</f>
        <v>11751.57</v>
      </c>
      <c r="I380" s="4">
        <f t="shared" si="26"/>
        <v>3493.5599999999995</v>
      </c>
      <c r="J380" s="8">
        <f t="shared" si="27"/>
        <v>0.22915908227742235</v>
      </c>
      <c r="K380" s="6">
        <f>'Raw Data'!I380</f>
        <v>3.87</v>
      </c>
      <c r="L380" s="5">
        <f>'Raw Data'!J380</f>
        <v>26</v>
      </c>
      <c r="M380" s="5">
        <f>IF(COUNTIFS($A$2:A380,A380,$D$2:D380,D380)=1,L380,0)</f>
        <v>26</v>
      </c>
      <c r="N380" s="4">
        <f t="shared" si="28"/>
        <v>586.35115384615381</v>
      </c>
      <c r="O380" t="str">
        <f t="shared" si="29"/>
        <v>OK</v>
      </c>
    </row>
    <row r="381" spans="1:15">
      <c r="A381" t="str">
        <f>'Raw Data'!A381</f>
        <v>Dallas RM-06</v>
      </c>
      <c r="B381" t="str">
        <f>'Raw Data'!B381</f>
        <v>South</v>
      </c>
      <c r="C381" t="str">
        <f>'Raw Data'!C381</f>
        <v>Home Goods</v>
      </c>
      <c r="D381" s="3">
        <f>'Raw Data'!D381</f>
        <v>45748</v>
      </c>
      <c r="E381" t="str">
        <f t="shared" si="25"/>
        <v>Apr</v>
      </c>
      <c r="F381" s="5">
        <f>'Raw Data'!E381</f>
        <v>91</v>
      </c>
      <c r="G381" s="4">
        <f>'Raw Data'!F381</f>
        <v>6952.7</v>
      </c>
      <c r="H381" s="4">
        <f>'Raw Data'!G381</f>
        <v>4511.05</v>
      </c>
      <c r="I381" s="4">
        <f t="shared" si="26"/>
        <v>2441.6499999999996</v>
      </c>
      <c r="J381" s="8">
        <f t="shared" si="27"/>
        <v>0.35118011707681901</v>
      </c>
      <c r="K381" s="6">
        <f>'Raw Data'!I381</f>
        <v>3.84</v>
      </c>
      <c r="L381" s="5">
        <f>'Raw Data'!J381</f>
        <v>26</v>
      </c>
      <c r="M381" s="5">
        <f>IF(COUNTIFS($A$2:A381,A381,$D$2:D381,D381)=1,L381,0)</f>
        <v>0</v>
      </c>
      <c r="N381" s="4">
        <f t="shared" si="28"/>
        <v>267.41153846153844</v>
      </c>
      <c r="O381" t="str">
        <f t="shared" si="29"/>
        <v>OK</v>
      </c>
    </row>
    <row r="382" spans="1:15">
      <c r="A382" t="str">
        <f>'Raw Data'!A382</f>
        <v>Dallas RM-06</v>
      </c>
      <c r="B382" t="str">
        <f>'Raw Data'!B382</f>
        <v>South</v>
      </c>
      <c r="C382" t="str">
        <f>'Raw Data'!C382</f>
        <v>Apparel</v>
      </c>
      <c r="D382" s="3">
        <f>'Raw Data'!D382</f>
        <v>45748</v>
      </c>
      <c r="E382" t="str">
        <f t="shared" si="25"/>
        <v>Apr</v>
      </c>
      <c r="F382" s="5">
        <f>'Raw Data'!E382</f>
        <v>145</v>
      </c>
      <c r="G382" s="4">
        <f>'Raw Data'!F382</f>
        <v>6916.72</v>
      </c>
      <c r="H382" s="4">
        <f>'Raw Data'!G382</f>
        <v>4164.83</v>
      </c>
      <c r="I382" s="4">
        <f t="shared" si="26"/>
        <v>2751.8900000000003</v>
      </c>
      <c r="J382" s="8">
        <f t="shared" si="27"/>
        <v>0.39786054661747189</v>
      </c>
      <c r="K382" s="6">
        <f>'Raw Data'!I382</f>
        <v>3.84</v>
      </c>
      <c r="L382" s="5">
        <f>'Raw Data'!J382</f>
        <v>26</v>
      </c>
      <c r="M382" s="5">
        <f>IF(COUNTIFS($A$2:A382,A382,$D$2:D382,D382)=1,L382,0)</f>
        <v>0</v>
      </c>
      <c r="N382" s="4">
        <f t="shared" si="28"/>
        <v>266.02769230769229</v>
      </c>
      <c r="O382" t="str">
        <f t="shared" si="29"/>
        <v>OK</v>
      </c>
    </row>
    <row r="383" spans="1:15">
      <c r="A383" t="str">
        <f>'Raw Data'!A383</f>
        <v>Dallas RM-06</v>
      </c>
      <c r="B383" t="str">
        <f>'Raw Data'!B383</f>
        <v>South</v>
      </c>
      <c r="C383" t="str">
        <f>'Raw Data'!C383</f>
        <v>Beauty</v>
      </c>
      <c r="D383" s="3">
        <f>'Raw Data'!D383</f>
        <v>45748</v>
      </c>
      <c r="E383" t="str">
        <f t="shared" si="25"/>
        <v>Apr</v>
      </c>
      <c r="F383" s="5">
        <f>'Raw Data'!E383</f>
        <v>101</v>
      </c>
      <c r="G383" s="4">
        <f>'Raw Data'!F383</f>
        <v>3858.32</v>
      </c>
      <c r="H383" s="4">
        <f>'Raw Data'!G383</f>
        <v>1806.62</v>
      </c>
      <c r="I383" s="4">
        <f t="shared" si="26"/>
        <v>2051.7000000000003</v>
      </c>
      <c r="J383" s="8">
        <f t="shared" si="27"/>
        <v>0.53175993696738477</v>
      </c>
      <c r="K383" s="6">
        <f>'Raw Data'!I383</f>
        <v>3.87</v>
      </c>
      <c r="L383" s="5">
        <f>'Raw Data'!J383</f>
        <v>26</v>
      </c>
      <c r="M383" s="5">
        <f>IF(COUNTIFS($A$2:A383,A383,$D$2:D383,D383)=1,L383,0)</f>
        <v>0</v>
      </c>
      <c r="N383" s="4">
        <f t="shared" si="28"/>
        <v>148.39692307692309</v>
      </c>
      <c r="O383" t="str">
        <f t="shared" si="29"/>
        <v>OK</v>
      </c>
    </row>
    <row r="384" spans="1:15">
      <c r="A384" t="str">
        <f>'Raw Data'!A384</f>
        <v>Dallas RM-06</v>
      </c>
      <c r="B384" t="str">
        <f>'Raw Data'!B384</f>
        <v>South</v>
      </c>
      <c r="C384" t="str">
        <f>'Raw Data'!C384</f>
        <v>Grocery</v>
      </c>
      <c r="D384" s="3">
        <f>'Raw Data'!D384</f>
        <v>45748</v>
      </c>
      <c r="E384" t="str">
        <f t="shared" si="25"/>
        <v>Apr</v>
      </c>
      <c r="F384" s="5">
        <f>'Raw Data'!E384</f>
        <v>149</v>
      </c>
      <c r="G384" s="4">
        <f>'Raw Data'!F384</f>
        <v>2807.62</v>
      </c>
      <c r="H384" s="4">
        <f>'Raw Data'!G384</f>
        <v>2520.98</v>
      </c>
      <c r="I384" s="4">
        <f t="shared" si="26"/>
        <v>286.63999999999987</v>
      </c>
      <c r="J384" s="8">
        <f t="shared" si="27"/>
        <v>0.10209358816364034</v>
      </c>
      <c r="K384" s="6">
        <f>'Raw Data'!I384</f>
        <v>3.91</v>
      </c>
      <c r="L384" s="5">
        <f>'Raw Data'!J384</f>
        <v>26</v>
      </c>
      <c r="M384" s="5">
        <f>IF(COUNTIFS($A$2:A384,A384,$D$2:D384,D384)=1,L384,0)</f>
        <v>0</v>
      </c>
      <c r="N384" s="4">
        <f t="shared" si="28"/>
        <v>107.98538461538462</v>
      </c>
      <c r="O384" t="str">
        <f t="shared" si="29"/>
        <v>OK</v>
      </c>
    </row>
    <row r="385" spans="1:15">
      <c r="A385" t="str">
        <f>'Raw Data'!A385</f>
        <v>Dallas RM-06</v>
      </c>
      <c r="B385" t="str">
        <f>'Raw Data'!B385</f>
        <v>South</v>
      </c>
      <c r="C385" t="str">
        <f>'Raw Data'!C385</f>
        <v>Sports</v>
      </c>
      <c r="D385" s="3">
        <f>'Raw Data'!D385</f>
        <v>45748</v>
      </c>
      <c r="E385" t="str">
        <f t="shared" si="25"/>
        <v>Apr</v>
      </c>
      <c r="F385" s="5">
        <f>'Raw Data'!E385</f>
        <v>70</v>
      </c>
      <c r="G385" s="4">
        <f>'Raw Data'!F385</f>
        <v>4382.6499999999996</v>
      </c>
      <c r="H385" s="4">
        <f>'Raw Data'!G385</f>
        <v>2764.01</v>
      </c>
      <c r="I385" s="4">
        <f t="shared" si="26"/>
        <v>1618.6399999999994</v>
      </c>
      <c r="J385" s="8">
        <f t="shared" si="27"/>
        <v>0.36932905890271855</v>
      </c>
      <c r="K385" s="6">
        <f>'Raw Data'!I385</f>
        <v>3.76</v>
      </c>
      <c r="L385" s="5">
        <f>'Raw Data'!J385</f>
        <v>26</v>
      </c>
      <c r="M385" s="5">
        <f>IF(COUNTIFS($A$2:A385,A385,$D$2:D385,D385)=1,L385,0)</f>
        <v>0</v>
      </c>
      <c r="N385" s="4">
        <f t="shared" si="28"/>
        <v>168.56346153846152</v>
      </c>
      <c r="O385" t="str">
        <f t="shared" si="29"/>
        <v>OK</v>
      </c>
    </row>
    <row r="386" spans="1:15">
      <c r="A386" t="str">
        <f>'Raw Data'!A386</f>
        <v>Dallas RM-06</v>
      </c>
      <c r="B386" t="str">
        <f>'Raw Data'!B386</f>
        <v>South</v>
      </c>
      <c r="C386" t="str">
        <f>'Raw Data'!C386</f>
        <v>Electronics</v>
      </c>
      <c r="D386" s="3">
        <f>'Raw Data'!D386</f>
        <v>45778</v>
      </c>
      <c r="E386" t="str">
        <f t="shared" ref="E386:E449" si="30">TEXT(D386,"mmm")</f>
        <v>May</v>
      </c>
      <c r="F386" s="5">
        <f>'Raw Data'!E386</f>
        <v>85</v>
      </c>
      <c r="G386" s="4">
        <f>'Raw Data'!F386</f>
        <v>11956.73</v>
      </c>
      <c r="H386" s="4">
        <f>'Raw Data'!G386</f>
        <v>9172.83</v>
      </c>
      <c r="I386" s="4">
        <f t="shared" ref="I386:I449" si="31">G386-H386</f>
        <v>2783.8999999999996</v>
      </c>
      <c r="J386" s="8">
        <f t="shared" ref="J386:J449" si="32">IFERROR(I386/G386,0)</f>
        <v>0.23283121723079803</v>
      </c>
      <c r="K386" s="6">
        <f>'Raw Data'!I386</f>
        <v>3.77</v>
      </c>
      <c r="L386" s="5">
        <f>'Raw Data'!J386</f>
        <v>27</v>
      </c>
      <c r="M386" s="5">
        <f>IF(COUNTIFS($A$2:A386,A386,$D$2:D386,D386)=1,L386,0)</f>
        <v>27</v>
      </c>
      <c r="N386" s="4">
        <f t="shared" ref="N386:N449" si="33">IFERROR(G386/L386,0)</f>
        <v>442.84185185185186</v>
      </c>
      <c r="O386" t="str">
        <f t="shared" ref="O386:O449" si="34">IF(OR(A386="",B386="",C386="",F386&lt;0,G386&lt;0,H386&lt;0,K386&lt;1,K386&gt;5),"Review","OK")</f>
        <v>OK</v>
      </c>
    </row>
    <row r="387" spans="1:15">
      <c r="A387" t="str">
        <f>'Raw Data'!A387</f>
        <v>Dallas RM-06</v>
      </c>
      <c r="B387" t="str">
        <f>'Raw Data'!B387</f>
        <v>South</v>
      </c>
      <c r="C387" t="str">
        <f>'Raw Data'!C387</f>
        <v>Home Goods</v>
      </c>
      <c r="D387" s="3">
        <f>'Raw Data'!D387</f>
        <v>45778</v>
      </c>
      <c r="E387" t="str">
        <f t="shared" si="30"/>
        <v>May</v>
      </c>
      <c r="F387" s="5">
        <f>'Raw Data'!E387</f>
        <v>97</v>
      </c>
      <c r="G387" s="4">
        <f>'Raw Data'!F387</f>
        <v>7440.45</v>
      </c>
      <c r="H387" s="4">
        <f>'Raw Data'!G387</f>
        <v>5053.8</v>
      </c>
      <c r="I387" s="4">
        <f t="shared" si="31"/>
        <v>2386.6499999999996</v>
      </c>
      <c r="J387" s="8">
        <f t="shared" si="32"/>
        <v>0.32076688909944961</v>
      </c>
      <c r="K387" s="6">
        <f>'Raw Data'!I387</f>
        <v>3.99</v>
      </c>
      <c r="L387" s="5">
        <f>'Raw Data'!J387</f>
        <v>27</v>
      </c>
      <c r="M387" s="5">
        <f>IF(COUNTIFS($A$2:A387,A387,$D$2:D387,D387)=1,L387,0)</f>
        <v>0</v>
      </c>
      <c r="N387" s="4">
        <f t="shared" si="33"/>
        <v>275.57222222222219</v>
      </c>
      <c r="O387" t="str">
        <f t="shared" si="34"/>
        <v>OK</v>
      </c>
    </row>
    <row r="388" spans="1:15">
      <c r="A388" t="str">
        <f>'Raw Data'!A388</f>
        <v>Dallas RM-06</v>
      </c>
      <c r="B388" t="str">
        <f>'Raw Data'!B388</f>
        <v>South</v>
      </c>
      <c r="C388" t="str">
        <f>'Raw Data'!C388</f>
        <v>Apparel</v>
      </c>
      <c r="D388" s="3">
        <f>'Raw Data'!D388</f>
        <v>45778</v>
      </c>
      <c r="E388" t="str">
        <f t="shared" si="30"/>
        <v>May</v>
      </c>
      <c r="F388" s="5">
        <f>'Raw Data'!E388</f>
        <v>111</v>
      </c>
      <c r="G388" s="4">
        <f>'Raw Data'!F388</f>
        <v>5640.24</v>
      </c>
      <c r="H388" s="4">
        <f>'Raw Data'!G388</f>
        <v>3392.59</v>
      </c>
      <c r="I388" s="4">
        <f t="shared" si="31"/>
        <v>2247.6499999999996</v>
      </c>
      <c r="J388" s="8">
        <f t="shared" si="32"/>
        <v>0.3985025459909507</v>
      </c>
      <c r="K388" s="6">
        <f>'Raw Data'!I388</f>
        <v>4.07</v>
      </c>
      <c r="L388" s="5">
        <f>'Raw Data'!J388</f>
        <v>27</v>
      </c>
      <c r="M388" s="5">
        <f>IF(COUNTIFS($A$2:A388,A388,$D$2:D388,D388)=1,L388,0)</f>
        <v>0</v>
      </c>
      <c r="N388" s="4">
        <f t="shared" si="33"/>
        <v>208.89777777777778</v>
      </c>
      <c r="O388" t="str">
        <f t="shared" si="34"/>
        <v>OK</v>
      </c>
    </row>
    <row r="389" spans="1:15">
      <c r="A389" t="str">
        <f>'Raw Data'!A389</f>
        <v>Dallas RM-06</v>
      </c>
      <c r="B389" t="str">
        <f>'Raw Data'!B389</f>
        <v>South</v>
      </c>
      <c r="C389" t="str">
        <f>'Raw Data'!C389</f>
        <v>Beauty</v>
      </c>
      <c r="D389" s="3">
        <f>'Raw Data'!D389</f>
        <v>45778</v>
      </c>
      <c r="E389" t="str">
        <f t="shared" si="30"/>
        <v>May</v>
      </c>
      <c r="F389" s="5">
        <f>'Raw Data'!E389</f>
        <v>105</v>
      </c>
      <c r="G389" s="4">
        <f>'Raw Data'!F389</f>
        <v>3938.2</v>
      </c>
      <c r="H389" s="4">
        <f>'Raw Data'!G389</f>
        <v>1936.26</v>
      </c>
      <c r="I389" s="4">
        <f t="shared" si="31"/>
        <v>2001.9399999999998</v>
      </c>
      <c r="J389" s="8">
        <f t="shared" si="32"/>
        <v>0.50833883500076171</v>
      </c>
      <c r="K389" s="6">
        <f>'Raw Data'!I389</f>
        <v>3.88</v>
      </c>
      <c r="L389" s="5">
        <f>'Raw Data'!J389</f>
        <v>27</v>
      </c>
      <c r="M389" s="5">
        <f>IF(COUNTIFS($A$2:A389,A389,$D$2:D389,D389)=1,L389,0)</f>
        <v>0</v>
      </c>
      <c r="N389" s="4">
        <f t="shared" si="33"/>
        <v>145.85925925925926</v>
      </c>
      <c r="O389" t="str">
        <f t="shared" si="34"/>
        <v>OK</v>
      </c>
    </row>
    <row r="390" spans="1:15">
      <c r="A390" t="str">
        <f>'Raw Data'!A390</f>
        <v>Dallas RM-06</v>
      </c>
      <c r="B390" t="str">
        <f>'Raw Data'!B390</f>
        <v>South</v>
      </c>
      <c r="C390" t="str">
        <f>'Raw Data'!C390</f>
        <v>Grocery</v>
      </c>
      <c r="D390" s="3">
        <f>'Raw Data'!D390</f>
        <v>45778</v>
      </c>
      <c r="E390" t="str">
        <f t="shared" si="30"/>
        <v>May</v>
      </c>
      <c r="F390" s="5">
        <f>'Raw Data'!E390</f>
        <v>156</v>
      </c>
      <c r="G390" s="4">
        <f>'Raw Data'!F390</f>
        <v>2716.04</v>
      </c>
      <c r="H390" s="4">
        <f>'Raw Data'!G390</f>
        <v>2463.14</v>
      </c>
      <c r="I390" s="4">
        <f t="shared" si="31"/>
        <v>252.90000000000009</v>
      </c>
      <c r="J390" s="8">
        <f t="shared" si="32"/>
        <v>9.3113503483012061E-2</v>
      </c>
      <c r="K390" s="6">
        <f>'Raw Data'!I390</f>
        <v>3.75</v>
      </c>
      <c r="L390" s="5">
        <f>'Raw Data'!J390</f>
        <v>27</v>
      </c>
      <c r="M390" s="5">
        <f>IF(COUNTIFS($A$2:A390,A390,$D$2:D390,D390)=1,L390,0)</f>
        <v>0</v>
      </c>
      <c r="N390" s="4">
        <f t="shared" si="33"/>
        <v>100.59407407407407</v>
      </c>
      <c r="O390" t="str">
        <f t="shared" si="34"/>
        <v>OK</v>
      </c>
    </row>
    <row r="391" spans="1:15">
      <c r="A391" t="str">
        <f>'Raw Data'!A391</f>
        <v>Dallas RM-06</v>
      </c>
      <c r="B391" t="str">
        <f>'Raw Data'!B391</f>
        <v>South</v>
      </c>
      <c r="C391" t="str">
        <f>'Raw Data'!C391</f>
        <v>Sports</v>
      </c>
      <c r="D391" s="3">
        <f>'Raw Data'!D391</f>
        <v>45778</v>
      </c>
      <c r="E391" t="str">
        <f t="shared" si="30"/>
        <v>May</v>
      </c>
      <c r="F391" s="5">
        <f>'Raw Data'!E391</f>
        <v>105</v>
      </c>
      <c r="G391" s="4">
        <f>'Raw Data'!F391</f>
        <v>6578.98</v>
      </c>
      <c r="H391" s="4">
        <f>'Raw Data'!G391</f>
        <v>4304.08</v>
      </c>
      <c r="I391" s="4">
        <f t="shared" si="31"/>
        <v>2274.8999999999996</v>
      </c>
      <c r="J391" s="8">
        <f t="shared" si="32"/>
        <v>0.34578308491589876</v>
      </c>
      <c r="K391" s="6">
        <f>'Raw Data'!I391</f>
        <v>3.85</v>
      </c>
      <c r="L391" s="5">
        <f>'Raw Data'!J391</f>
        <v>27</v>
      </c>
      <c r="M391" s="5">
        <f>IF(COUNTIFS($A$2:A391,A391,$D$2:D391,D391)=1,L391,0)</f>
        <v>0</v>
      </c>
      <c r="N391" s="4">
        <f t="shared" si="33"/>
        <v>243.6659259259259</v>
      </c>
      <c r="O391" t="str">
        <f t="shared" si="34"/>
        <v>OK</v>
      </c>
    </row>
    <row r="392" spans="1:15">
      <c r="A392" t="str">
        <f>'Raw Data'!A392</f>
        <v>Dallas RM-06</v>
      </c>
      <c r="B392" t="str">
        <f>'Raw Data'!B392</f>
        <v>South</v>
      </c>
      <c r="C392" t="str">
        <f>'Raw Data'!C392</f>
        <v>Electronics</v>
      </c>
      <c r="D392" s="3">
        <f>'Raw Data'!D392</f>
        <v>45809</v>
      </c>
      <c r="E392" t="str">
        <f t="shared" si="30"/>
        <v>Jun</v>
      </c>
      <c r="F392" s="5">
        <f>'Raw Data'!E392</f>
        <v>116</v>
      </c>
      <c r="G392" s="4">
        <f>'Raw Data'!F392</f>
        <v>16689.61</v>
      </c>
      <c r="H392" s="4">
        <f>'Raw Data'!G392</f>
        <v>13398.11</v>
      </c>
      <c r="I392" s="4">
        <f t="shared" si="31"/>
        <v>3291.5</v>
      </c>
      <c r="J392" s="8">
        <f t="shared" si="32"/>
        <v>0.19721850900050988</v>
      </c>
      <c r="K392" s="6">
        <f>'Raw Data'!I392</f>
        <v>3.95</v>
      </c>
      <c r="L392" s="5">
        <f>'Raw Data'!J392</f>
        <v>26</v>
      </c>
      <c r="M392" s="5">
        <f>IF(COUNTIFS($A$2:A392,A392,$D$2:D392,D392)=1,L392,0)</f>
        <v>26</v>
      </c>
      <c r="N392" s="4">
        <f t="shared" si="33"/>
        <v>641.90807692307692</v>
      </c>
      <c r="O392" t="str">
        <f t="shared" si="34"/>
        <v>OK</v>
      </c>
    </row>
    <row r="393" spans="1:15">
      <c r="A393" t="str">
        <f>'Raw Data'!A393</f>
        <v>Dallas RM-06</v>
      </c>
      <c r="B393" t="str">
        <f>'Raw Data'!B393</f>
        <v>South</v>
      </c>
      <c r="C393" t="str">
        <f>'Raw Data'!C393</f>
        <v>Home Goods</v>
      </c>
      <c r="D393" s="3">
        <f>'Raw Data'!D393</f>
        <v>45809</v>
      </c>
      <c r="E393" t="str">
        <f t="shared" si="30"/>
        <v>Jun</v>
      </c>
      <c r="F393" s="5">
        <f>'Raw Data'!E393</f>
        <v>105</v>
      </c>
      <c r="G393" s="4">
        <f>'Raw Data'!F393</f>
        <v>7909.66</v>
      </c>
      <c r="H393" s="4">
        <f>'Raw Data'!G393</f>
        <v>5186.3599999999997</v>
      </c>
      <c r="I393" s="4">
        <f t="shared" si="31"/>
        <v>2723.3</v>
      </c>
      <c r="J393" s="8">
        <f t="shared" si="32"/>
        <v>0.34430051354925501</v>
      </c>
      <c r="K393" s="6">
        <f>'Raw Data'!I393</f>
        <v>3.97</v>
      </c>
      <c r="L393" s="5">
        <f>'Raw Data'!J393</f>
        <v>26</v>
      </c>
      <c r="M393" s="5">
        <f>IF(COUNTIFS($A$2:A393,A393,$D$2:D393,D393)=1,L393,0)</f>
        <v>0</v>
      </c>
      <c r="N393" s="4">
        <f t="shared" si="33"/>
        <v>304.21769230769229</v>
      </c>
      <c r="O393" t="str">
        <f t="shared" si="34"/>
        <v>OK</v>
      </c>
    </row>
    <row r="394" spans="1:15">
      <c r="A394" t="str">
        <f>'Raw Data'!A394</f>
        <v>Dallas RM-06</v>
      </c>
      <c r="B394" t="str">
        <f>'Raw Data'!B394</f>
        <v>South</v>
      </c>
      <c r="C394" t="str">
        <f>'Raw Data'!C394</f>
        <v>Apparel</v>
      </c>
      <c r="D394" s="3">
        <f>'Raw Data'!D394</f>
        <v>45809</v>
      </c>
      <c r="E394" t="str">
        <f t="shared" si="30"/>
        <v>Jun</v>
      </c>
      <c r="F394" s="5">
        <f>'Raw Data'!E394</f>
        <v>127</v>
      </c>
      <c r="G394" s="4">
        <f>'Raw Data'!F394</f>
        <v>5763.45</v>
      </c>
      <c r="H394" s="4">
        <f>'Raw Data'!G394</f>
        <v>3560.76</v>
      </c>
      <c r="I394" s="4">
        <f t="shared" si="31"/>
        <v>2202.6899999999996</v>
      </c>
      <c r="J394" s="8">
        <f t="shared" si="32"/>
        <v>0.38218254691200576</v>
      </c>
      <c r="K394" s="6">
        <f>'Raw Data'!I394</f>
        <v>4.04</v>
      </c>
      <c r="L394" s="5">
        <f>'Raw Data'!J394</f>
        <v>26</v>
      </c>
      <c r="M394" s="5">
        <f>IF(COUNTIFS($A$2:A394,A394,$D$2:D394,D394)=1,L394,0)</f>
        <v>0</v>
      </c>
      <c r="N394" s="4">
        <f t="shared" si="33"/>
        <v>221.67115384615383</v>
      </c>
      <c r="O394" t="str">
        <f t="shared" si="34"/>
        <v>OK</v>
      </c>
    </row>
    <row r="395" spans="1:15">
      <c r="A395" t="str">
        <f>'Raw Data'!A395</f>
        <v>Dallas RM-06</v>
      </c>
      <c r="B395" t="str">
        <f>'Raw Data'!B395</f>
        <v>South</v>
      </c>
      <c r="C395" t="str">
        <f>'Raw Data'!C395</f>
        <v>Beauty</v>
      </c>
      <c r="D395" s="3">
        <f>'Raw Data'!D395</f>
        <v>45809</v>
      </c>
      <c r="E395" t="str">
        <f t="shared" si="30"/>
        <v>Jun</v>
      </c>
      <c r="F395" s="5">
        <f>'Raw Data'!E395</f>
        <v>110</v>
      </c>
      <c r="G395" s="4">
        <f>'Raw Data'!F395</f>
        <v>4010.32</v>
      </c>
      <c r="H395" s="4">
        <f>'Raw Data'!G395</f>
        <v>1923.66</v>
      </c>
      <c r="I395" s="4">
        <f t="shared" si="31"/>
        <v>2086.66</v>
      </c>
      <c r="J395" s="8">
        <f t="shared" si="32"/>
        <v>0.52032256777514008</v>
      </c>
      <c r="K395" s="6">
        <f>'Raw Data'!I395</f>
        <v>4.07</v>
      </c>
      <c r="L395" s="5">
        <f>'Raw Data'!J395</f>
        <v>26</v>
      </c>
      <c r="M395" s="5">
        <f>IF(COUNTIFS($A$2:A395,A395,$D$2:D395,D395)=1,L395,0)</f>
        <v>0</v>
      </c>
      <c r="N395" s="4">
        <f t="shared" si="33"/>
        <v>154.24307692307693</v>
      </c>
      <c r="O395" t="str">
        <f t="shared" si="34"/>
        <v>OK</v>
      </c>
    </row>
    <row r="396" spans="1:15">
      <c r="A396" t="str">
        <f>'Raw Data'!A396</f>
        <v>Dallas RM-06</v>
      </c>
      <c r="B396" t="str">
        <f>'Raw Data'!B396</f>
        <v>South</v>
      </c>
      <c r="C396" t="str">
        <f>'Raw Data'!C396</f>
        <v>Grocery</v>
      </c>
      <c r="D396" s="3">
        <f>'Raw Data'!D396</f>
        <v>45809</v>
      </c>
      <c r="E396" t="str">
        <f t="shared" si="30"/>
        <v>Jun</v>
      </c>
      <c r="F396" s="5">
        <f>'Raw Data'!E396</f>
        <v>200</v>
      </c>
      <c r="G396" s="4">
        <f>'Raw Data'!F396</f>
        <v>3544.54</v>
      </c>
      <c r="H396" s="4">
        <f>'Raw Data'!G396</f>
        <v>3204.81</v>
      </c>
      <c r="I396" s="4">
        <f t="shared" si="31"/>
        <v>339.73</v>
      </c>
      <c r="J396" s="8">
        <f t="shared" si="32"/>
        <v>9.5846005405496912E-2</v>
      </c>
      <c r="K396" s="6">
        <f>'Raw Data'!I396</f>
        <v>3.94</v>
      </c>
      <c r="L396" s="5">
        <f>'Raw Data'!J396</f>
        <v>26</v>
      </c>
      <c r="M396" s="5">
        <f>IF(COUNTIFS($A$2:A396,A396,$D$2:D396,D396)=1,L396,0)</f>
        <v>0</v>
      </c>
      <c r="N396" s="4">
        <f t="shared" si="33"/>
        <v>136.32846153846154</v>
      </c>
      <c r="O396" t="str">
        <f t="shared" si="34"/>
        <v>OK</v>
      </c>
    </row>
    <row r="397" spans="1:15">
      <c r="A397" t="str">
        <f>'Raw Data'!A397</f>
        <v>Dallas RM-06</v>
      </c>
      <c r="B397" t="str">
        <f>'Raw Data'!B397</f>
        <v>South</v>
      </c>
      <c r="C397" t="str">
        <f>'Raw Data'!C397</f>
        <v>Sports</v>
      </c>
      <c r="D397" s="3">
        <f>'Raw Data'!D397</f>
        <v>45809</v>
      </c>
      <c r="E397" t="str">
        <f t="shared" si="30"/>
        <v>Jun</v>
      </c>
      <c r="F397" s="5">
        <f>'Raw Data'!E397</f>
        <v>119</v>
      </c>
      <c r="G397" s="4">
        <f>'Raw Data'!F397</f>
        <v>7805.66</v>
      </c>
      <c r="H397" s="4">
        <f>'Raw Data'!G397</f>
        <v>5102.21</v>
      </c>
      <c r="I397" s="4">
        <f t="shared" si="31"/>
        <v>2703.45</v>
      </c>
      <c r="J397" s="8">
        <f t="shared" si="32"/>
        <v>0.3463448318271613</v>
      </c>
      <c r="K397" s="6">
        <f>'Raw Data'!I397</f>
        <v>3.93</v>
      </c>
      <c r="L397" s="5">
        <f>'Raw Data'!J397</f>
        <v>26</v>
      </c>
      <c r="M397" s="5">
        <f>IF(COUNTIFS($A$2:A397,A397,$D$2:D397,D397)=1,L397,0)</f>
        <v>0</v>
      </c>
      <c r="N397" s="4">
        <f t="shared" si="33"/>
        <v>300.21769230769229</v>
      </c>
      <c r="O397" t="str">
        <f t="shared" si="34"/>
        <v>OK</v>
      </c>
    </row>
    <row r="398" spans="1:15">
      <c r="A398" t="str">
        <f>'Raw Data'!A398</f>
        <v>Dallas RM-06</v>
      </c>
      <c r="B398" t="str">
        <f>'Raw Data'!B398</f>
        <v>South</v>
      </c>
      <c r="C398" t="str">
        <f>'Raw Data'!C398</f>
        <v>Electronics</v>
      </c>
      <c r="D398" s="3">
        <f>'Raw Data'!D398</f>
        <v>45839</v>
      </c>
      <c r="E398" t="str">
        <f t="shared" si="30"/>
        <v>Jul</v>
      </c>
      <c r="F398" s="5">
        <f>'Raw Data'!E398</f>
        <v>116</v>
      </c>
      <c r="G398" s="4">
        <f>'Raw Data'!F398</f>
        <v>17731.73</v>
      </c>
      <c r="H398" s="4">
        <f>'Raw Data'!G398</f>
        <v>13827.05</v>
      </c>
      <c r="I398" s="4">
        <f t="shared" si="31"/>
        <v>3904.6800000000003</v>
      </c>
      <c r="J398" s="8">
        <f t="shared" si="32"/>
        <v>0.2202086316450792</v>
      </c>
      <c r="K398" s="6">
        <f>'Raw Data'!I398</f>
        <v>3.99</v>
      </c>
      <c r="L398" s="5">
        <f>'Raw Data'!J398</f>
        <v>28</v>
      </c>
      <c r="M398" s="5">
        <f>IF(COUNTIFS($A$2:A398,A398,$D$2:D398,D398)=1,L398,0)</f>
        <v>28</v>
      </c>
      <c r="N398" s="4">
        <f t="shared" si="33"/>
        <v>633.27607142857141</v>
      </c>
      <c r="O398" t="str">
        <f t="shared" si="34"/>
        <v>OK</v>
      </c>
    </row>
    <row r="399" spans="1:15">
      <c r="A399" t="str">
        <f>'Raw Data'!A399</f>
        <v>Dallas RM-06</v>
      </c>
      <c r="B399" t="str">
        <f>'Raw Data'!B399</f>
        <v>South</v>
      </c>
      <c r="C399" t="str">
        <f>'Raw Data'!C399</f>
        <v>Home Goods</v>
      </c>
      <c r="D399" s="3">
        <f>'Raw Data'!D399</f>
        <v>45839</v>
      </c>
      <c r="E399" t="str">
        <f t="shared" si="30"/>
        <v>Jul</v>
      </c>
      <c r="F399" s="5">
        <f>'Raw Data'!E399</f>
        <v>100</v>
      </c>
      <c r="G399" s="4">
        <f>'Raw Data'!F399</f>
        <v>8186.61</v>
      </c>
      <c r="H399" s="4">
        <f>'Raw Data'!G399</f>
        <v>5561.94</v>
      </c>
      <c r="I399" s="4">
        <f t="shared" si="31"/>
        <v>2624.67</v>
      </c>
      <c r="J399" s="8">
        <f t="shared" si="32"/>
        <v>0.32060523220234016</v>
      </c>
      <c r="K399" s="6">
        <f>'Raw Data'!I399</f>
        <v>4.04</v>
      </c>
      <c r="L399" s="5">
        <f>'Raw Data'!J399</f>
        <v>28</v>
      </c>
      <c r="M399" s="5">
        <f>IF(COUNTIFS($A$2:A399,A399,$D$2:D399,D399)=1,L399,0)</f>
        <v>0</v>
      </c>
      <c r="N399" s="4">
        <f t="shared" si="33"/>
        <v>292.37892857142856</v>
      </c>
      <c r="O399" t="str">
        <f t="shared" si="34"/>
        <v>OK</v>
      </c>
    </row>
    <row r="400" spans="1:15">
      <c r="A400" t="str">
        <f>'Raw Data'!A400</f>
        <v>Dallas RM-06</v>
      </c>
      <c r="B400" t="str">
        <f>'Raw Data'!B400</f>
        <v>South</v>
      </c>
      <c r="C400" t="str">
        <f>'Raw Data'!C400</f>
        <v>Apparel</v>
      </c>
      <c r="D400" s="3">
        <f>'Raw Data'!D400</f>
        <v>45839</v>
      </c>
      <c r="E400" t="str">
        <f t="shared" si="30"/>
        <v>Jul</v>
      </c>
      <c r="F400" s="5">
        <f>'Raw Data'!E400</f>
        <v>133</v>
      </c>
      <c r="G400" s="4">
        <f>'Raw Data'!F400</f>
        <v>6024.78</v>
      </c>
      <c r="H400" s="4">
        <f>'Raw Data'!G400</f>
        <v>3705.6</v>
      </c>
      <c r="I400" s="4">
        <f t="shared" si="31"/>
        <v>2319.1799999999998</v>
      </c>
      <c r="J400" s="8">
        <f t="shared" si="32"/>
        <v>0.38494019698644599</v>
      </c>
      <c r="K400" s="6">
        <f>'Raw Data'!I400</f>
        <v>4.0999999999999996</v>
      </c>
      <c r="L400" s="5">
        <f>'Raw Data'!J400</f>
        <v>28</v>
      </c>
      <c r="M400" s="5">
        <f>IF(COUNTIFS($A$2:A400,A400,$D$2:D400,D400)=1,L400,0)</f>
        <v>0</v>
      </c>
      <c r="N400" s="4">
        <f t="shared" si="33"/>
        <v>215.17071428571427</v>
      </c>
      <c r="O400" t="str">
        <f t="shared" si="34"/>
        <v>OK</v>
      </c>
    </row>
    <row r="401" spans="1:15">
      <c r="A401" t="str">
        <f>'Raw Data'!A401</f>
        <v>Dallas RM-06</v>
      </c>
      <c r="B401" t="str">
        <f>'Raw Data'!B401</f>
        <v>South</v>
      </c>
      <c r="C401" t="str">
        <f>'Raw Data'!C401</f>
        <v>Beauty</v>
      </c>
      <c r="D401" s="3">
        <f>'Raw Data'!D401</f>
        <v>45839</v>
      </c>
      <c r="E401" t="str">
        <f t="shared" si="30"/>
        <v>Jul</v>
      </c>
      <c r="F401" s="5">
        <f>'Raw Data'!E401</f>
        <v>99</v>
      </c>
      <c r="G401" s="4">
        <f>'Raw Data'!F401</f>
        <v>3740.8</v>
      </c>
      <c r="H401" s="4">
        <f>'Raw Data'!G401</f>
        <v>1886.18</v>
      </c>
      <c r="I401" s="4">
        <f t="shared" si="31"/>
        <v>1854.6200000000001</v>
      </c>
      <c r="J401" s="8">
        <f t="shared" si="32"/>
        <v>0.49578165098374682</v>
      </c>
      <c r="K401" s="6">
        <f>'Raw Data'!I401</f>
        <v>3.96</v>
      </c>
      <c r="L401" s="5">
        <f>'Raw Data'!J401</f>
        <v>28</v>
      </c>
      <c r="M401" s="5">
        <f>IF(COUNTIFS($A$2:A401,A401,$D$2:D401,D401)=1,L401,0)</f>
        <v>0</v>
      </c>
      <c r="N401" s="4">
        <f t="shared" si="33"/>
        <v>133.6</v>
      </c>
      <c r="O401" t="str">
        <f t="shared" si="34"/>
        <v>OK</v>
      </c>
    </row>
    <row r="402" spans="1:15">
      <c r="A402" t="str">
        <f>'Raw Data'!A402</f>
        <v>Dallas RM-06</v>
      </c>
      <c r="B402" t="str">
        <f>'Raw Data'!B402</f>
        <v>South</v>
      </c>
      <c r="C402" t="str">
        <f>'Raw Data'!C402</f>
        <v>Grocery</v>
      </c>
      <c r="D402" s="3">
        <f>'Raw Data'!D402</f>
        <v>45839</v>
      </c>
      <c r="E402" t="str">
        <f t="shared" si="30"/>
        <v>Jul</v>
      </c>
      <c r="F402" s="5">
        <f>'Raw Data'!E402</f>
        <v>183</v>
      </c>
      <c r="G402" s="4">
        <f>'Raw Data'!F402</f>
        <v>3174.99</v>
      </c>
      <c r="H402" s="4">
        <f>'Raw Data'!G402</f>
        <v>2930.81</v>
      </c>
      <c r="I402" s="4">
        <f t="shared" si="31"/>
        <v>244.17999999999984</v>
      </c>
      <c r="J402" s="8">
        <f t="shared" si="32"/>
        <v>7.6907328841980552E-2</v>
      </c>
      <c r="K402" s="6">
        <f>'Raw Data'!I402</f>
        <v>3.95</v>
      </c>
      <c r="L402" s="5">
        <f>'Raw Data'!J402</f>
        <v>28</v>
      </c>
      <c r="M402" s="5">
        <f>IF(COUNTIFS($A$2:A402,A402,$D$2:D402,D402)=1,L402,0)</f>
        <v>0</v>
      </c>
      <c r="N402" s="4">
        <f t="shared" si="33"/>
        <v>113.3925</v>
      </c>
      <c r="O402" t="str">
        <f t="shared" si="34"/>
        <v>OK</v>
      </c>
    </row>
    <row r="403" spans="1:15">
      <c r="A403" t="str">
        <f>'Raw Data'!A403</f>
        <v>Dallas RM-06</v>
      </c>
      <c r="B403" t="str">
        <f>'Raw Data'!B403</f>
        <v>South</v>
      </c>
      <c r="C403" t="str">
        <f>'Raw Data'!C403</f>
        <v>Sports</v>
      </c>
      <c r="D403" s="3">
        <f>'Raw Data'!D403</f>
        <v>45839</v>
      </c>
      <c r="E403" t="str">
        <f t="shared" si="30"/>
        <v>Jul</v>
      </c>
      <c r="F403" s="5">
        <f>'Raw Data'!E403</f>
        <v>97</v>
      </c>
      <c r="G403" s="4">
        <f>'Raw Data'!F403</f>
        <v>6361.39</v>
      </c>
      <c r="H403" s="4">
        <f>'Raw Data'!G403</f>
        <v>4084.88</v>
      </c>
      <c r="I403" s="4">
        <f t="shared" si="31"/>
        <v>2276.5100000000002</v>
      </c>
      <c r="J403" s="8">
        <f t="shared" si="32"/>
        <v>0.35786361156916963</v>
      </c>
      <c r="K403" s="6">
        <f>'Raw Data'!I403</f>
        <v>4</v>
      </c>
      <c r="L403" s="5">
        <f>'Raw Data'!J403</f>
        <v>28</v>
      </c>
      <c r="M403" s="5">
        <f>IF(COUNTIFS($A$2:A403,A403,$D$2:D403,D403)=1,L403,0)</f>
        <v>0</v>
      </c>
      <c r="N403" s="4">
        <f t="shared" si="33"/>
        <v>227.19250000000002</v>
      </c>
      <c r="O403" t="str">
        <f t="shared" si="34"/>
        <v>OK</v>
      </c>
    </row>
    <row r="404" spans="1:15">
      <c r="A404" t="str">
        <f>'Raw Data'!A404</f>
        <v>Dallas RM-06</v>
      </c>
      <c r="B404" t="str">
        <f>'Raw Data'!B404</f>
        <v>South</v>
      </c>
      <c r="C404" t="str">
        <f>'Raw Data'!C404</f>
        <v>Electronics</v>
      </c>
      <c r="D404" s="3">
        <f>'Raw Data'!D404</f>
        <v>45870</v>
      </c>
      <c r="E404" t="str">
        <f t="shared" si="30"/>
        <v>Aug</v>
      </c>
      <c r="F404" s="5">
        <f>'Raw Data'!E404</f>
        <v>100</v>
      </c>
      <c r="G404" s="4">
        <f>'Raw Data'!F404</f>
        <v>14017.29</v>
      </c>
      <c r="H404" s="4">
        <f>'Raw Data'!G404</f>
        <v>11062.42</v>
      </c>
      <c r="I404" s="4">
        <f t="shared" si="31"/>
        <v>2954.8700000000008</v>
      </c>
      <c r="J404" s="8">
        <f t="shared" si="32"/>
        <v>0.21080180263089374</v>
      </c>
      <c r="K404" s="6">
        <f>'Raw Data'!I404</f>
        <v>3.9</v>
      </c>
      <c r="L404" s="5">
        <f>'Raw Data'!J404</f>
        <v>26</v>
      </c>
      <c r="M404" s="5">
        <f>IF(COUNTIFS($A$2:A404,A404,$D$2:D404,D404)=1,L404,0)</f>
        <v>26</v>
      </c>
      <c r="N404" s="4">
        <f t="shared" si="33"/>
        <v>539.12653846153853</v>
      </c>
      <c r="O404" t="str">
        <f t="shared" si="34"/>
        <v>OK</v>
      </c>
    </row>
    <row r="405" spans="1:15">
      <c r="A405" t="str">
        <f>'Raw Data'!A405</f>
        <v>Dallas RM-06</v>
      </c>
      <c r="B405" t="str">
        <f>'Raw Data'!B405</f>
        <v>South</v>
      </c>
      <c r="C405" t="str">
        <f>'Raw Data'!C405</f>
        <v>Home Goods</v>
      </c>
      <c r="D405" s="3">
        <f>'Raw Data'!D405</f>
        <v>45870</v>
      </c>
      <c r="E405" t="str">
        <f t="shared" si="30"/>
        <v>Aug</v>
      </c>
      <c r="F405" s="5">
        <f>'Raw Data'!E405</f>
        <v>96</v>
      </c>
      <c r="G405" s="4">
        <f>'Raw Data'!F405</f>
        <v>7280.05</v>
      </c>
      <c r="H405" s="4">
        <f>'Raw Data'!G405</f>
        <v>4876.79</v>
      </c>
      <c r="I405" s="4">
        <f t="shared" si="31"/>
        <v>2403.2600000000002</v>
      </c>
      <c r="J405" s="8">
        <f t="shared" si="32"/>
        <v>0.33011586458884212</v>
      </c>
      <c r="K405" s="6">
        <f>'Raw Data'!I405</f>
        <v>3.93</v>
      </c>
      <c r="L405" s="5">
        <f>'Raw Data'!J405</f>
        <v>26</v>
      </c>
      <c r="M405" s="5">
        <f>IF(COUNTIFS($A$2:A405,A405,$D$2:D405,D405)=1,L405,0)</f>
        <v>0</v>
      </c>
      <c r="N405" s="4">
        <f t="shared" si="33"/>
        <v>280.00192307692311</v>
      </c>
      <c r="O405" t="str">
        <f t="shared" si="34"/>
        <v>OK</v>
      </c>
    </row>
    <row r="406" spans="1:15">
      <c r="A406" t="str">
        <f>'Raw Data'!A406</f>
        <v>Dallas RM-06</v>
      </c>
      <c r="B406" t="str">
        <f>'Raw Data'!B406</f>
        <v>South</v>
      </c>
      <c r="C406" t="str">
        <f>'Raw Data'!C406</f>
        <v>Apparel</v>
      </c>
      <c r="D406" s="3">
        <f>'Raw Data'!D406</f>
        <v>45870</v>
      </c>
      <c r="E406" t="str">
        <f t="shared" si="30"/>
        <v>Aug</v>
      </c>
      <c r="F406" s="5">
        <f>'Raw Data'!E406</f>
        <v>142</v>
      </c>
      <c r="G406" s="4">
        <f>'Raw Data'!F406</f>
        <v>7216.6</v>
      </c>
      <c r="H406" s="4">
        <f>'Raw Data'!G406</f>
        <v>4549.97</v>
      </c>
      <c r="I406" s="4">
        <f t="shared" si="31"/>
        <v>2666.63</v>
      </c>
      <c r="J406" s="8">
        <f t="shared" si="32"/>
        <v>0.36951334423412685</v>
      </c>
      <c r="K406" s="6">
        <f>'Raw Data'!I406</f>
        <v>4.01</v>
      </c>
      <c r="L406" s="5">
        <f>'Raw Data'!J406</f>
        <v>26</v>
      </c>
      <c r="M406" s="5">
        <f>IF(COUNTIFS($A$2:A406,A406,$D$2:D406,D406)=1,L406,0)</f>
        <v>0</v>
      </c>
      <c r="N406" s="4">
        <f t="shared" si="33"/>
        <v>277.56153846153848</v>
      </c>
      <c r="O406" t="str">
        <f t="shared" si="34"/>
        <v>OK</v>
      </c>
    </row>
    <row r="407" spans="1:15">
      <c r="A407" t="str">
        <f>'Raw Data'!A407</f>
        <v>Dallas RM-06</v>
      </c>
      <c r="B407" t="str">
        <f>'Raw Data'!B407</f>
        <v>South</v>
      </c>
      <c r="C407" t="str">
        <f>'Raw Data'!C407</f>
        <v>Beauty</v>
      </c>
      <c r="D407" s="3">
        <f>'Raw Data'!D407</f>
        <v>45870</v>
      </c>
      <c r="E407" t="str">
        <f t="shared" si="30"/>
        <v>Aug</v>
      </c>
      <c r="F407" s="5">
        <f>'Raw Data'!E407</f>
        <v>101</v>
      </c>
      <c r="G407" s="4">
        <f>'Raw Data'!F407</f>
        <v>3681.87</v>
      </c>
      <c r="H407" s="4">
        <f>'Raw Data'!G407</f>
        <v>1855.05</v>
      </c>
      <c r="I407" s="4">
        <f t="shared" si="31"/>
        <v>1826.82</v>
      </c>
      <c r="J407" s="8">
        <f t="shared" si="32"/>
        <v>0.49616635025136685</v>
      </c>
      <c r="K407" s="6">
        <f>'Raw Data'!I407</f>
        <v>4.1100000000000003</v>
      </c>
      <c r="L407" s="5">
        <f>'Raw Data'!J407</f>
        <v>26</v>
      </c>
      <c r="M407" s="5">
        <f>IF(COUNTIFS($A$2:A407,A407,$D$2:D407,D407)=1,L407,0)</f>
        <v>0</v>
      </c>
      <c r="N407" s="4">
        <f t="shared" si="33"/>
        <v>141.61038461538462</v>
      </c>
      <c r="O407" t="str">
        <f t="shared" si="34"/>
        <v>OK</v>
      </c>
    </row>
    <row r="408" spans="1:15">
      <c r="A408" t="str">
        <f>'Raw Data'!A408</f>
        <v>Dallas RM-06</v>
      </c>
      <c r="B408" t="str">
        <f>'Raw Data'!B408</f>
        <v>South</v>
      </c>
      <c r="C408" t="str">
        <f>'Raw Data'!C408</f>
        <v>Grocery</v>
      </c>
      <c r="D408" s="3">
        <f>'Raw Data'!D408</f>
        <v>45870</v>
      </c>
      <c r="E408" t="str">
        <f t="shared" si="30"/>
        <v>Aug</v>
      </c>
      <c r="F408" s="5">
        <f>'Raw Data'!E408</f>
        <v>164</v>
      </c>
      <c r="G408" s="4">
        <f>'Raw Data'!F408</f>
        <v>3170.26</v>
      </c>
      <c r="H408" s="4">
        <f>'Raw Data'!G408</f>
        <v>2915.9</v>
      </c>
      <c r="I408" s="4">
        <f t="shared" si="31"/>
        <v>254.36000000000013</v>
      </c>
      <c r="J408" s="8">
        <f t="shared" si="32"/>
        <v>8.023316699576695E-2</v>
      </c>
      <c r="K408" s="6">
        <f>'Raw Data'!I408</f>
        <v>3.91</v>
      </c>
      <c r="L408" s="5">
        <f>'Raw Data'!J408</f>
        <v>26</v>
      </c>
      <c r="M408" s="5">
        <f>IF(COUNTIFS($A$2:A408,A408,$D$2:D408,D408)=1,L408,0)</f>
        <v>0</v>
      </c>
      <c r="N408" s="4">
        <f t="shared" si="33"/>
        <v>121.93307692307692</v>
      </c>
      <c r="O408" t="str">
        <f t="shared" si="34"/>
        <v>OK</v>
      </c>
    </row>
    <row r="409" spans="1:15">
      <c r="A409" t="str">
        <f>'Raw Data'!A409</f>
        <v>Dallas RM-06</v>
      </c>
      <c r="B409" t="str">
        <f>'Raw Data'!B409</f>
        <v>South</v>
      </c>
      <c r="C409" t="str">
        <f>'Raw Data'!C409</f>
        <v>Sports</v>
      </c>
      <c r="D409" s="3">
        <f>'Raw Data'!D409</f>
        <v>45870</v>
      </c>
      <c r="E409" t="str">
        <f t="shared" si="30"/>
        <v>Aug</v>
      </c>
      <c r="F409" s="5">
        <f>'Raw Data'!E409</f>
        <v>104</v>
      </c>
      <c r="G409" s="4">
        <f>'Raw Data'!F409</f>
        <v>6554.25</v>
      </c>
      <c r="H409" s="4">
        <f>'Raw Data'!G409</f>
        <v>4384.7</v>
      </c>
      <c r="I409" s="4">
        <f t="shared" si="31"/>
        <v>2169.5500000000002</v>
      </c>
      <c r="J409" s="8">
        <f t="shared" si="32"/>
        <v>0.33101422740969605</v>
      </c>
      <c r="K409" s="6">
        <f>'Raw Data'!I409</f>
        <v>4.0599999999999996</v>
      </c>
      <c r="L409" s="5">
        <f>'Raw Data'!J409</f>
        <v>26</v>
      </c>
      <c r="M409" s="5">
        <f>IF(COUNTIFS($A$2:A409,A409,$D$2:D409,D409)=1,L409,0)</f>
        <v>0</v>
      </c>
      <c r="N409" s="4">
        <f t="shared" si="33"/>
        <v>252.08653846153845</v>
      </c>
      <c r="O409" t="str">
        <f t="shared" si="34"/>
        <v>OK</v>
      </c>
    </row>
    <row r="410" spans="1:15">
      <c r="A410" t="str">
        <f>'Raw Data'!A410</f>
        <v>Dallas RM-06</v>
      </c>
      <c r="B410" t="str">
        <f>'Raw Data'!B410</f>
        <v>South</v>
      </c>
      <c r="C410" t="str">
        <f>'Raw Data'!C410</f>
        <v>Electronics</v>
      </c>
      <c r="D410" s="3">
        <f>'Raw Data'!D410</f>
        <v>45901</v>
      </c>
      <c r="E410" t="str">
        <f t="shared" si="30"/>
        <v>Sep</v>
      </c>
      <c r="F410" s="5">
        <f>'Raw Data'!E410</f>
        <v>104</v>
      </c>
      <c r="G410" s="4">
        <f>'Raw Data'!F410</f>
        <v>14695.65</v>
      </c>
      <c r="H410" s="4">
        <f>'Raw Data'!G410</f>
        <v>11768</v>
      </c>
      <c r="I410" s="4">
        <f t="shared" si="31"/>
        <v>2927.6499999999996</v>
      </c>
      <c r="J410" s="8">
        <f t="shared" si="32"/>
        <v>0.19921881645248762</v>
      </c>
      <c r="K410" s="6">
        <f>'Raw Data'!I410</f>
        <v>3.83</v>
      </c>
      <c r="L410" s="5">
        <f>'Raw Data'!J410</f>
        <v>26</v>
      </c>
      <c r="M410" s="5">
        <f>IF(COUNTIFS($A$2:A410,A410,$D$2:D410,D410)=1,L410,0)</f>
        <v>26</v>
      </c>
      <c r="N410" s="4">
        <f t="shared" si="33"/>
        <v>565.21730769230771</v>
      </c>
      <c r="O410" t="str">
        <f t="shared" si="34"/>
        <v>OK</v>
      </c>
    </row>
    <row r="411" spans="1:15">
      <c r="A411" t="str">
        <f>'Raw Data'!A411</f>
        <v>Dallas RM-06</v>
      </c>
      <c r="B411" t="str">
        <f>'Raw Data'!B411</f>
        <v>South</v>
      </c>
      <c r="C411" t="str">
        <f>'Raw Data'!C411</f>
        <v>Home Goods</v>
      </c>
      <c r="D411" s="3">
        <f>'Raw Data'!D411</f>
        <v>45901</v>
      </c>
      <c r="E411" t="str">
        <f t="shared" si="30"/>
        <v>Sep</v>
      </c>
      <c r="F411" s="5">
        <f>'Raw Data'!E411</f>
        <v>94</v>
      </c>
      <c r="G411" s="4">
        <f>'Raw Data'!F411</f>
        <v>7688.43</v>
      </c>
      <c r="H411" s="4">
        <f>'Raw Data'!G411</f>
        <v>5225.3999999999996</v>
      </c>
      <c r="I411" s="4">
        <f t="shared" si="31"/>
        <v>2463.0300000000007</v>
      </c>
      <c r="J411" s="8">
        <f t="shared" si="32"/>
        <v>0.32035539115268014</v>
      </c>
      <c r="K411" s="6">
        <f>'Raw Data'!I411</f>
        <v>3.86</v>
      </c>
      <c r="L411" s="5">
        <f>'Raw Data'!J411</f>
        <v>26</v>
      </c>
      <c r="M411" s="5">
        <f>IF(COUNTIFS($A$2:A411,A411,$D$2:D411,D411)=1,L411,0)</f>
        <v>0</v>
      </c>
      <c r="N411" s="4">
        <f t="shared" si="33"/>
        <v>295.70884615384614</v>
      </c>
      <c r="O411" t="str">
        <f t="shared" si="34"/>
        <v>OK</v>
      </c>
    </row>
    <row r="412" spans="1:15">
      <c r="A412" t="str">
        <f>'Raw Data'!A412</f>
        <v>Dallas RM-06</v>
      </c>
      <c r="B412" t="str">
        <f>'Raw Data'!B412</f>
        <v>South</v>
      </c>
      <c r="C412" t="str">
        <f>'Raw Data'!C412</f>
        <v>Apparel</v>
      </c>
      <c r="D412" s="3">
        <f>'Raw Data'!D412</f>
        <v>45901</v>
      </c>
      <c r="E412" t="str">
        <f t="shared" si="30"/>
        <v>Sep</v>
      </c>
      <c r="F412" s="5">
        <f>'Raw Data'!E412</f>
        <v>128</v>
      </c>
      <c r="G412" s="4">
        <f>'Raw Data'!F412</f>
        <v>6048.07</v>
      </c>
      <c r="H412" s="4">
        <f>'Raw Data'!G412</f>
        <v>3763.73</v>
      </c>
      <c r="I412" s="4">
        <f t="shared" si="31"/>
        <v>2284.3399999999997</v>
      </c>
      <c r="J412" s="8">
        <f t="shared" si="32"/>
        <v>0.37769734807963529</v>
      </c>
      <c r="K412" s="6">
        <f>'Raw Data'!I412</f>
        <v>4.09</v>
      </c>
      <c r="L412" s="5">
        <f>'Raw Data'!J412</f>
        <v>26</v>
      </c>
      <c r="M412" s="5">
        <f>IF(COUNTIFS($A$2:A412,A412,$D$2:D412,D412)=1,L412,0)</f>
        <v>0</v>
      </c>
      <c r="N412" s="4">
        <f t="shared" si="33"/>
        <v>232.6180769230769</v>
      </c>
      <c r="O412" t="str">
        <f t="shared" si="34"/>
        <v>OK</v>
      </c>
    </row>
    <row r="413" spans="1:15">
      <c r="A413" t="str">
        <f>'Raw Data'!A413</f>
        <v>Dallas RM-06</v>
      </c>
      <c r="B413" t="str">
        <f>'Raw Data'!B413</f>
        <v>South</v>
      </c>
      <c r="C413" t="str">
        <f>'Raw Data'!C413</f>
        <v>Beauty</v>
      </c>
      <c r="D413" s="3">
        <f>'Raw Data'!D413</f>
        <v>45901</v>
      </c>
      <c r="E413" t="str">
        <f t="shared" si="30"/>
        <v>Sep</v>
      </c>
      <c r="F413" s="5">
        <f>'Raw Data'!E413</f>
        <v>115</v>
      </c>
      <c r="G413" s="4">
        <f>'Raw Data'!F413</f>
        <v>4352.62</v>
      </c>
      <c r="H413" s="4">
        <f>'Raw Data'!G413</f>
        <v>2181.0700000000002</v>
      </c>
      <c r="I413" s="4">
        <f t="shared" si="31"/>
        <v>2171.5499999999997</v>
      </c>
      <c r="J413" s="8">
        <f t="shared" si="32"/>
        <v>0.49890640579696821</v>
      </c>
      <c r="K413" s="6">
        <f>'Raw Data'!I413</f>
        <v>3.8</v>
      </c>
      <c r="L413" s="5">
        <f>'Raw Data'!J413</f>
        <v>26</v>
      </c>
      <c r="M413" s="5">
        <f>IF(COUNTIFS($A$2:A413,A413,$D$2:D413,D413)=1,L413,0)</f>
        <v>0</v>
      </c>
      <c r="N413" s="4">
        <f t="shared" si="33"/>
        <v>167.40846153846152</v>
      </c>
      <c r="O413" t="str">
        <f t="shared" si="34"/>
        <v>OK</v>
      </c>
    </row>
    <row r="414" spans="1:15">
      <c r="A414" t="str">
        <f>'Raw Data'!A414</f>
        <v>Dallas RM-06</v>
      </c>
      <c r="B414" t="str">
        <f>'Raw Data'!B414</f>
        <v>South</v>
      </c>
      <c r="C414" t="str">
        <f>'Raw Data'!C414</f>
        <v>Grocery</v>
      </c>
      <c r="D414" s="3">
        <f>'Raw Data'!D414</f>
        <v>45901</v>
      </c>
      <c r="E414" t="str">
        <f t="shared" si="30"/>
        <v>Sep</v>
      </c>
      <c r="F414" s="5">
        <f>'Raw Data'!E414</f>
        <v>164</v>
      </c>
      <c r="G414" s="4">
        <f>'Raw Data'!F414</f>
        <v>3179.96</v>
      </c>
      <c r="H414" s="4">
        <f>'Raw Data'!G414</f>
        <v>3007.38</v>
      </c>
      <c r="I414" s="4">
        <f t="shared" si="31"/>
        <v>172.57999999999993</v>
      </c>
      <c r="J414" s="8">
        <f t="shared" si="32"/>
        <v>5.4271122907206357E-2</v>
      </c>
      <c r="K414" s="6">
        <f>'Raw Data'!I414</f>
        <v>4.07</v>
      </c>
      <c r="L414" s="5">
        <f>'Raw Data'!J414</f>
        <v>26</v>
      </c>
      <c r="M414" s="5">
        <f>IF(COUNTIFS($A$2:A414,A414,$D$2:D414,D414)=1,L414,0)</f>
        <v>0</v>
      </c>
      <c r="N414" s="4">
        <f t="shared" si="33"/>
        <v>122.30615384615385</v>
      </c>
      <c r="O414" t="str">
        <f t="shared" si="34"/>
        <v>OK</v>
      </c>
    </row>
    <row r="415" spans="1:15">
      <c r="A415" t="str">
        <f>'Raw Data'!A415</f>
        <v>Dallas RM-06</v>
      </c>
      <c r="B415" t="str">
        <f>'Raw Data'!B415</f>
        <v>South</v>
      </c>
      <c r="C415" t="str">
        <f>'Raw Data'!C415</f>
        <v>Sports</v>
      </c>
      <c r="D415" s="3">
        <f>'Raw Data'!D415</f>
        <v>45901</v>
      </c>
      <c r="E415" t="str">
        <f t="shared" si="30"/>
        <v>Sep</v>
      </c>
      <c r="F415" s="5">
        <f>'Raw Data'!E415</f>
        <v>72</v>
      </c>
      <c r="G415" s="4">
        <f>'Raw Data'!F415</f>
        <v>4699.01</v>
      </c>
      <c r="H415" s="4">
        <f>'Raw Data'!G415</f>
        <v>3099.48</v>
      </c>
      <c r="I415" s="4">
        <f t="shared" si="31"/>
        <v>1599.5300000000002</v>
      </c>
      <c r="J415" s="8">
        <f t="shared" si="32"/>
        <v>0.34039723260857074</v>
      </c>
      <c r="K415" s="6">
        <f>'Raw Data'!I415</f>
        <v>3.86</v>
      </c>
      <c r="L415" s="5">
        <f>'Raw Data'!J415</f>
        <v>26</v>
      </c>
      <c r="M415" s="5">
        <f>IF(COUNTIFS($A$2:A415,A415,$D$2:D415,D415)=1,L415,0)</f>
        <v>0</v>
      </c>
      <c r="N415" s="4">
        <f t="shared" si="33"/>
        <v>180.73115384615386</v>
      </c>
      <c r="O415" t="str">
        <f t="shared" si="34"/>
        <v>OK</v>
      </c>
    </row>
    <row r="416" spans="1:15">
      <c r="A416" t="str">
        <f>'Raw Data'!A416</f>
        <v>Dallas RM-06</v>
      </c>
      <c r="B416" t="str">
        <f>'Raw Data'!B416</f>
        <v>South</v>
      </c>
      <c r="C416" t="str">
        <f>'Raw Data'!C416</f>
        <v>Electronics</v>
      </c>
      <c r="D416" s="3">
        <f>'Raw Data'!D416</f>
        <v>45931</v>
      </c>
      <c r="E416" t="str">
        <f t="shared" si="30"/>
        <v>Oct</v>
      </c>
      <c r="F416" s="5">
        <f>'Raw Data'!E416</f>
        <v>109</v>
      </c>
      <c r="G416" s="4">
        <f>'Raw Data'!F416</f>
        <v>15424.13</v>
      </c>
      <c r="H416" s="4">
        <f>'Raw Data'!G416</f>
        <v>12385.44</v>
      </c>
      <c r="I416" s="4">
        <f t="shared" si="31"/>
        <v>3038.6899999999987</v>
      </c>
      <c r="J416" s="8">
        <f t="shared" si="32"/>
        <v>0.19700884263812604</v>
      </c>
      <c r="K416" s="6">
        <f>'Raw Data'!I416</f>
        <v>3.83</v>
      </c>
      <c r="L416" s="5">
        <f>'Raw Data'!J416</f>
        <v>25</v>
      </c>
      <c r="M416" s="5">
        <f>IF(COUNTIFS($A$2:A416,A416,$D$2:D416,D416)=1,L416,0)</f>
        <v>25</v>
      </c>
      <c r="N416" s="4">
        <f t="shared" si="33"/>
        <v>616.96519999999998</v>
      </c>
      <c r="O416" t="str">
        <f t="shared" si="34"/>
        <v>OK</v>
      </c>
    </row>
    <row r="417" spans="1:15">
      <c r="A417" t="str">
        <f>'Raw Data'!A417</f>
        <v>Dallas RM-06</v>
      </c>
      <c r="B417" t="str">
        <f>'Raw Data'!B417</f>
        <v>South</v>
      </c>
      <c r="C417" t="str">
        <f>'Raw Data'!C417</f>
        <v>Home Goods</v>
      </c>
      <c r="D417" s="3">
        <f>'Raw Data'!D417</f>
        <v>45931</v>
      </c>
      <c r="E417" t="str">
        <f t="shared" si="30"/>
        <v>Oct</v>
      </c>
      <c r="F417" s="5">
        <f>'Raw Data'!E417</f>
        <v>110</v>
      </c>
      <c r="G417" s="4">
        <f>'Raw Data'!F417</f>
        <v>8488.75</v>
      </c>
      <c r="H417" s="4">
        <f>'Raw Data'!G417</f>
        <v>6044.26</v>
      </c>
      <c r="I417" s="4">
        <f t="shared" si="31"/>
        <v>2444.4899999999998</v>
      </c>
      <c r="J417" s="8">
        <f t="shared" si="32"/>
        <v>0.28796819319687822</v>
      </c>
      <c r="K417" s="6">
        <f>'Raw Data'!I417</f>
        <v>4</v>
      </c>
      <c r="L417" s="5">
        <f>'Raw Data'!J417</f>
        <v>25</v>
      </c>
      <c r="M417" s="5">
        <f>IF(COUNTIFS($A$2:A417,A417,$D$2:D417,D417)=1,L417,0)</f>
        <v>0</v>
      </c>
      <c r="N417" s="4">
        <f t="shared" si="33"/>
        <v>339.55</v>
      </c>
      <c r="O417" t="str">
        <f t="shared" si="34"/>
        <v>OK</v>
      </c>
    </row>
    <row r="418" spans="1:15">
      <c r="A418" t="str">
        <f>'Raw Data'!A418</f>
        <v>Dallas RM-06</v>
      </c>
      <c r="B418" t="str">
        <f>'Raw Data'!B418</f>
        <v>South</v>
      </c>
      <c r="C418" t="str">
        <f>'Raw Data'!C418</f>
        <v>Apparel</v>
      </c>
      <c r="D418" s="3">
        <f>'Raw Data'!D418</f>
        <v>45931</v>
      </c>
      <c r="E418" t="str">
        <f t="shared" si="30"/>
        <v>Oct</v>
      </c>
      <c r="F418" s="5">
        <f>'Raw Data'!E418</f>
        <v>140</v>
      </c>
      <c r="G418" s="4">
        <f>'Raw Data'!F418</f>
        <v>6868.89</v>
      </c>
      <c r="H418" s="4">
        <f>'Raw Data'!G418</f>
        <v>4287.58</v>
      </c>
      <c r="I418" s="4">
        <f t="shared" si="31"/>
        <v>2581.3100000000004</v>
      </c>
      <c r="J418" s="8">
        <f t="shared" si="32"/>
        <v>0.37579725399591496</v>
      </c>
      <c r="K418" s="6">
        <f>'Raw Data'!I418</f>
        <v>3.99</v>
      </c>
      <c r="L418" s="5">
        <f>'Raw Data'!J418</f>
        <v>25</v>
      </c>
      <c r="M418" s="5">
        <f>IF(COUNTIFS($A$2:A418,A418,$D$2:D418,D418)=1,L418,0)</f>
        <v>0</v>
      </c>
      <c r="N418" s="4">
        <f t="shared" si="33"/>
        <v>274.75560000000002</v>
      </c>
      <c r="O418" t="str">
        <f t="shared" si="34"/>
        <v>OK</v>
      </c>
    </row>
    <row r="419" spans="1:15">
      <c r="A419" t="str">
        <f>'Raw Data'!A419</f>
        <v>Dallas RM-06</v>
      </c>
      <c r="B419" t="str">
        <f>'Raw Data'!B419</f>
        <v>South</v>
      </c>
      <c r="C419" t="str">
        <f>'Raw Data'!C419</f>
        <v>Beauty</v>
      </c>
      <c r="D419" s="3">
        <f>'Raw Data'!D419</f>
        <v>45931</v>
      </c>
      <c r="E419" t="str">
        <f t="shared" si="30"/>
        <v>Oct</v>
      </c>
      <c r="F419" s="5">
        <f>'Raw Data'!E419</f>
        <v>118</v>
      </c>
      <c r="G419" s="4">
        <f>'Raw Data'!F419</f>
        <v>4308.9399999999996</v>
      </c>
      <c r="H419" s="4">
        <f>'Raw Data'!G419</f>
        <v>2233.13</v>
      </c>
      <c r="I419" s="4">
        <f t="shared" si="31"/>
        <v>2075.8099999999995</v>
      </c>
      <c r="J419" s="8">
        <f t="shared" si="32"/>
        <v>0.48174493030768578</v>
      </c>
      <c r="K419" s="6">
        <f>'Raw Data'!I419</f>
        <v>3.77</v>
      </c>
      <c r="L419" s="5">
        <f>'Raw Data'!J419</f>
        <v>25</v>
      </c>
      <c r="M419" s="5">
        <f>IF(COUNTIFS($A$2:A419,A419,$D$2:D419,D419)=1,L419,0)</f>
        <v>0</v>
      </c>
      <c r="N419" s="4">
        <f t="shared" si="33"/>
        <v>172.35759999999999</v>
      </c>
      <c r="O419" t="str">
        <f t="shared" si="34"/>
        <v>OK</v>
      </c>
    </row>
    <row r="420" spans="1:15">
      <c r="A420" t="str">
        <f>'Raw Data'!A420</f>
        <v>Dallas RM-06</v>
      </c>
      <c r="B420" t="str">
        <f>'Raw Data'!B420</f>
        <v>South</v>
      </c>
      <c r="C420" t="str">
        <f>'Raw Data'!C420</f>
        <v>Grocery</v>
      </c>
      <c r="D420" s="3">
        <f>'Raw Data'!D420</f>
        <v>45931</v>
      </c>
      <c r="E420" t="str">
        <f t="shared" si="30"/>
        <v>Oct</v>
      </c>
      <c r="F420" s="5">
        <f>'Raw Data'!E420</f>
        <v>161</v>
      </c>
      <c r="G420" s="4">
        <f>'Raw Data'!F420</f>
        <v>2764.91</v>
      </c>
      <c r="H420" s="4">
        <f>'Raw Data'!G420</f>
        <v>2624.38</v>
      </c>
      <c r="I420" s="4">
        <f t="shared" si="31"/>
        <v>140.52999999999975</v>
      </c>
      <c r="J420" s="8">
        <f t="shared" si="32"/>
        <v>5.082624750896042E-2</v>
      </c>
      <c r="K420" s="6">
        <f>'Raw Data'!I420</f>
        <v>3.72</v>
      </c>
      <c r="L420" s="5">
        <f>'Raw Data'!J420</f>
        <v>25</v>
      </c>
      <c r="M420" s="5">
        <f>IF(COUNTIFS($A$2:A420,A420,$D$2:D420,D420)=1,L420,0)</f>
        <v>0</v>
      </c>
      <c r="N420" s="4">
        <f t="shared" si="33"/>
        <v>110.59639999999999</v>
      </c>
      <c r="O420" t="str">
        <f t="shared" si="34"/>
        <v>OK</v>
      </c>
    </row>
    <row r="421" spans="1:15">
      <c r="A421" t="str">
        <f>'Raw Data'!A421</f>
        <v>Dallas RM-06</v>
      </c>
      <c r="B421" t="str">
        <f>'Raw Data'!B421</f>
        <v>South</v>
      </c>
      <c r="C421" t="str">
        <f>'Raw Data'!C421</f>
        <v>Sports</v>
      </c>
      <c r="D421" s="3">
        <f>'Raw Data'!D421</f>
        <v>45931</v>
      </c>
      <c r="E421" t="str">
        <f t="shared" si="30"/>
        <v>Oct</v>
      </c>
      <c r="F421" s="5">
        <f>'Raw Data'!E421</f>
        <v>87</v>
      </c>
      <c r="G421" s="4">
        <f>'Raw Data'!F421</f>
        <v>5485.96</v>
      </c>
      <c r="H421" s="4">
        <f>'Raw Data'!G421</f>
        <v>3792.74</v>
      </c>
      <c r="I421" s="4">
        <f t="shared" si="31"/>
        <v>1693.2200000000003</v>
      </c>
      <c r="J421" s="8">
        <f t="shared" si="32"/>
        <v>0.30864607106140041</v>
      </c>
      <c r="K421" s="6">
        <f>'Raw Data'!I421</f>
        <v>3.9</v>
      </c>
      <c r="L421" s="5">
        <f>'Raw Data'!J421</f>
        <v>25</v>
      </c>
      <c r="M421" s="5">
        <f>IF(COUNTIFS($A$2:A421,A421,$D$2:D421,D421)=1,L421,0)</f>
        <v>0</v>
      </c>
      <c r="N421" s="4">
        <f t="shared" si="33"/>
        <v>219.4384</v>
      </c>
      <c r="O421" t="str">
        <f t="shared" si="34"/>
        <v>OK</v>
      </c>
    </row>
    <row r="422" spans="1:15">
      <c r="A422" t="str">
        <f>'Raw Data'!A422</f>
        <v>Dallas RM-06</v>
      </c>
      <c r="B422" t="str">
        <f>'Raw Data'!B422</f>
        <v>South</v>
      </c>
      <c r="C422" t="str">
        <f>'Raw Data'!C422</f>
        <v>Electronics</v>
      </c>
      <c r="D422" s="3">
        <f>'Raw Data'!D422</f>
        <v>45962</v>
      </c>
      <c r="E422" t="str">
        <f t="shared" si="30"/>
        <v>Nov</v>
      </c>
      <c r="F422" s="5">
        <f>'Raw Data'!E422</f>
        <v>175</v>
      </c>
      <c r="G422" s="4">
        <f>'Raw Data'!F422</f>
        <v>27276.799999999999</v>
      </c>
      <c r="H422" s="4">
        <f>'Raw Data'!G422</f>
        <v>21857.14</v>
      </c>
      <c r="I422" s="4">
        <f t="shared" si="31"/>
        <v>5419.66</v>
      </c>
      <c r="J422" s="8">
        <f t="shared" si="32"/>
        <v>0.19869119544814642</v>
      </c>
      <c r="K422" s="6">
        <f>'Raw Data'!I422</f>
        <v>3.98</v>
      </c>
      <c r="L422" s="5">
        <f>'Raw Data'!J422</f>
        <v>29</v>
      </c>
      <c r="M422" s="5">
        <f>IF(COUNTIFS($A$2:A422,A422,$D$2:D422,D422)=1,L422,0)</f>
        <v>29</v>
      </c>
      <c r="N422" s="4">
        <f t="shared" si="33"/>
        <v>940.5793103448276</v>
      </c>
      <c r="O422" t="str">
        <f t="shared" si="34"/>
        <v>OK</v>
      </c>
    </row>
    <row r="423" spans="1:15">
      <c r="A423" t="str">
        <f>'Raw Data'!A423</f>
        <v>Dallas RM-06</v>
      </c>
      <c r="B423" t="str">
        <f>'Raw Data'!B423</f>
        <v>South</v>
      </c>
      <c r="C423" t="str">
        <f>'Raw Data'!C423</f>
        <v>Home Goods</v>
      </c>
      <c r="D423" s="3">
        <f>'Raw Data'!D423</f>
        <v>45962</v>
      </c>
      <c r="E423" t="str">
        <f t="shared" si="30"/>
        <v>Nov</v>
      </c>
      <c r="F423" s="5">
        <f>'Raw Data'!E423</f>
        <v>124</v>
      </c>
      <c r="G423" s="4">
        <f>'Raw Data'!F423</f>
        <v>10056.459999999999</v>
      </c>
      <c r="H423" s="4">
        <f>'Raw Data'!G423</f>
        <v>6866.12</v>
      </c>
      <c r="I423" s="4">
        <f t="shared" si="31"/>
        <v>3190.3399999999992</v>
      </c>
      <c r="J423" s="8">
        <f t="shared" si="32"/>
        <v>0.31724284688647891</v>
      </c>
      <c r="K423" s="6">
        <f>'Raw Data'!I423</f>
        <v>3.96</v>
      </c>
      <c r="L423" s="5">
        <f>'Raw Data'!J423</f>
        <v>29</v>
      </c>
      <c r="M423" s="5">
        <f>IF(COUNTIFS($A$2:A423,A423,$D$2:D423,D423)=1,L423,0)</f>
        <v>0</v>
      </c>
      <c r="N423" s="4">
        <f t="shared" si="33"/>
        <v>346.77448275862065</v>
      </c>
      <c r="O423" t="str">
        <f t="shared" si="34"/>
        <v>OK</v>
      </c>
    </row>
    <row r="424" spans="1:15">
      <c r="A424" t="str">
        <f>'Raw Data'!A424</f>
        <v>Dallas RM-06</v>
      </c>
      <c r="B424" t="str">
        <f>'Raw Data'!B424</f>
        <v>South</v>
      </c>
      <c r="C424" t="str">
        <f>'Raw Data'!C424</f>
        <v>Apparel</v>
      </c>
      <c r="D424" s="3">
        <f>'Raw Data'!D424</f>
        <v>45962</v>
      </c>
      <c r="E424" t="str">
        <f t="shared" si="30"/>
        <v>Nov</v>
      </c>
      <c r="F424" s="5">
        <f>'Raw Data'!E424</f>
        <v>162</v>
      </c>
      <c r="G424" s="4">
        <f>'Raw Data'!F424</f>
        <v>8329.14</v>
      </c>
      <c r="H424" s="4">
        <f>'Raw Data'!G424</f>
        <v>5462.81</v>
      </c>
      <c r="I424" s="4">
        <f t="shared" si="31"/>
        <v>2866.329999999999</v>
      </c>
      <c r="J424" s="8">
        <f t="shared" si="32"/>
        <v>0.34413276760866057</v>
      </c>
      <c r="K424" s="6">
        <f>'Raw Data'!I424</f>
        <v>3.82</v>
      </c>
      <c r="L424" s="5">
        <f>'Raw Data'!J424</f>
        <v>29</v>
      </c>
      <c r="M424" s="5">
        <f>IF(COUNTIFS($A$2:A424,A424,$D$2:D424,D424)=1,L424,0)</f>
        <v>0</v>
      </c>
      <c r="N424" s="4">
        <f t="shared" si="33"/>
        <v>287.21172413793101</v>
      </c>
      <c r="O424" t="str">
        <f t="shared" si="34"/>
        <v>OK</v>
      </c>
    </row>
    <row r="425" spans="1:15">
      <c r="A425" t="str">
        <f>'Raw Data'!A425</f>
        <v>Dallas RM-06</v>
      </c>
      <c r="B425" t="str">
        <f>'Raw Data'!B425</f>
        <v>South</v>
      </c>
      <c r="C425" t="str">
        <f>'Raw Data'!C425</f>
        <v>Beauty</v>
      </c>
      <c r="D425" s="3">
        <f>'Raw Data'!D425</f>
        <v>45962</v>
      </c>
      <c r="E425" t="str">
        <f t="shared" si="30"/>
        <v>Nov</v>
      </c>
      <c r="F425" s="5">
        <f>'Raw Data'!E425</f>
        <v>127</v>
      </c>
      <c r="G425" s="4">
        <f>'Raw Data'!F425</f>
        <v>4862.3900000000003</v>
      </c>
      <c r="H425" s="4">
        <f>'Raw Data'!G425</f>
        <v>2479.2600000000002</v>
      </c>
      <c r="I425" s="4">
        <f t="shared" si="31"/>
        <v>2383.13</v>
      </c>
      <c r="J425" s="8">
        <f t="shared" si="32"/>
        <v>0.49011494347429968</v>
      </c>
      <c r="K425" s="6">
        <f>'Raw Data'!I425</f>
        <v>4.08</v>
      </c>
      <c r="L425" s="5">
        <f>'Raw Data'!J425</f>
        <v>29</v>
      </c>
      <c r="M425" s="5">
        <f>IF(COUNTIFS($A$2:A425,A425,$D$2:D425,D425)=1,L425,0)</f>
        <v>0</v>
      </c>
      <c r="N425" s="4">
        <f t="shared" si="33"/>
        <v>167.66862068965517</v>
      </c>
      <c r="O425" t="str">
        <f t="shared" si="34"/>
        <v>OK</v>
      </c>
    </row>
    <row r="426" spans="1:15">
      <c r="A426" t="str">
        <f>'Raw Data'!A426</f>
        <v>Dallas RM-06</v>
      </c>
      <c r="B426" t="str">
        <f>'Raw Data'!B426</f>
        <v>South</v>
      </c>
      <c r="C426" t="str">
        <f>'Raw Data'!C426</f>
        <v>Grocery</v>
      </c>
      <c r="D426" s="3">
        <f>'Raw Data'!D426</f>
        <v>45962</v>
      </c>
      <c r="E426" t="str">
        <f t="shared" si="30"/>
        <v>Nov</v>
      </c>
      <c r="F426" s="5">
        <f>'Raw Data'!E426</f>
        <v>241</v>
      </c>
      <c r="G426" s="4">
        <f>'Raw Data'!F426</f>
        <v>4378.58</v>
      </c>
      <c r="H426" s="4">
        <f>'Raw Data'!G426</f>
        <v>4223.68</v>
      </c>
      <c r="I426" s="4">
        <f t="shared" si="31"/>
        <v>154.89999999999964</v>
      </c>
      <c r="J426" s="8">
        <f t="shared" si="32"/>
        <v>3.5376765983492285E-2</v>
      </c>
      <c r="K426" s="6">
        <f>'Raw Data'!I426</f>
        <v>4.07</v>
      </c>
      <c r="L426" s="5">
        <f>'Raw Data'!J426</f>
        <v>29</v>
      </c>
      <c r="M426" s="5">
        <f>IF(COUNTIFS($A$2:A426,A426,$D$2:D426,D426)=1,L426,0)</f>
        <v>0</v>
      </c>
      <c r="N426" s="4">
        <f t="shared" si="33"/>
        <v>150.98551724137931</v>
      </c>
      <c r="O426" t="str">
        <f t="shared" si="34"/>
        <v>OK</v>
      </c>
    </row>
    <row r="427" spans="1:15">
      <c r="A427" t="str">
        <f>'Raw Data'!A427</f>
        <v>Dallas RM-06</v>
      </c>
      <c r="B427" t="str">
        <f>'Raw Data'!B427</f>
        <v>South</v>
      </c>
      <c r="C427" t="str">
        <f>'Raw Data'!C427</f>
        <v>Sports</v>
      </c>
      <c r="D427" s="3">
        <f>'Raw Data'!D427</f>
        <v>45962</v>
      </c>
      <c r="E427" t="str">
        <f t="shared" si="30"/>
        <v>Nov</v>
      </c>
      <c r="F427" s="5">
        <f>'Raw Data'!E427</f>
        <v>97</v>
      </c>
      <c r="G427" s="4">
        <f>'Raw Data'!F427</f>
        <v>6432.85</v>
      </c>
      <c r="H427" s="4">
        <f>'Raw Data'!G427</f>
        <v>4473.22</v>
      </c>
      <c r="I427" s="4">
        <f t="shared" si="31"/>
        <v>1959.63</v>
      </c>
      <c r="J427" s="8">
        <f t="shared" si="32"/>
        <v>0.3046285860854831</v>
      </c>
      <c r="K427" s="6">
        <f>'Raw Data'!I427</f>
        <v>3.76</v>
      </c>
      <c r="L427" s="5">
        <f>'Raw Data'!J427</f>
        <v>29</v>
      </c>
      <c r="M427" s="5">
        <f>IF(COUNTIFS($A$2:A427,A427,$D$2:D427,D427)=1,L427,0)</f>
        <v>0</v>
      </c>
      <c r="N427" s="4">
        <f t="shared" si="33"/>
        <v>221.82241379310346</v>
      </c>
      <c r="O427" t="str">
        <f t="shared" si="34"/>
        <v>OK</v>
      </c>
    </row>
    <row r="428" spans="1:15">
      <c r="A428" t="str">
        <f>'Raw Data'!A428</f>
        <v>Dallas RM-06</v>
      </c>
      <c r="B428" t="str">
        <f>'Raw Data'!B428</f>
        <v>South</v>
      </c>
      <c r="C428" t="str">
        <f>'Raw Data'!C428</f>
        <v>Electronics</v>
      </c>
      <c r="D428" s="3">
        <f>'Raw Data'!D428</f>
        <v>45992</v>
      </c>
      <c r="E428" t="str">
        <f t="shared" si="30"/>
        <v>Dec</v>
      </c>
      <c r="F428" s="5">
        <f>'Raw Data'!E428</f>
        <v>219</v>
      </c>
      <c r="G428" s="4">
        <f>'Raw Data'!F428</f>
        <v>31869.599999999999</v>
      </c>
      <c r="H428" s="4">
        <f>'Raw Data'!G428</f>
        <v>26868.880000000001</v>
      </c>
      <c r="I428" s="4">
        <f t="shared" si="31"/>
        <v>5000.7199999999975</v>
      </c>
      <c r="J428" s="8">
        <f t="shared" si="32"/>
        <v>0.15691191605793603</v>
      </c>
      <c r="K428" s="6">
        <f>'Raw Data'!I428</f>
        <v>3.94</v>
      </c>
      <c r="L428" s="5">
        <f>'Raw Data'!J428</f>
        <v>27</v>
      </c>
      <c r="M428" s="5">
        <f>IF(COUNTIFS($A$2:A428,A428,$D$2:D428,D428)=1,L428,0)</f>
        <v>27</v>
      </c>
      <c r="N428" s="4">
        <f t="shared" si="33"/>
        <v>1180.3555555555556</v>
      </c>
      <c r="O428" t="str">
        <f t="shared" si="34"/>
        <v>OK</v>
      </c>
    </row>
    <row r="429" spans="1:15">
      <c r="A429" t="str">
        <f>'Raw Data'!A429</f>
        <v>Dallas RM-06</v>
      </c>
      <c r="B429" t="str">
        <f>'Raw Data'!B429</f>
        <v>South</v>
      </c>
      <c r="C429" t="str">
        <f>'Raw Data'!C429</f>
        <v>Home Goods</v>
      </c>
      <c r="D429" s="3">
        <f>'Raw Data'!D429</f>
        <v>45992</v>
      </c>
      <c r="E429" t="str">
        <f t="shared" si="30"/>
        <v>Dec</v>
      </c>
      <c r="F429" s="5">
        <f>'Raw Data'!E429</f>
        <v>134</v>
      </c>
      <c r="G429" s="4">
        <f>'Raw Data'!F429</f>
        <v>10840.83</v>
      </c>
      <c r="H429" s="4">
        <f>'Raw Data'!G429</f>
        <v>7697.7</v>
      </c>
      <c r="I429" s="4">
        <f t="shared" si="31"/>
        <v>3143.13</v>
      </c>
      <c r="J429" s="8">
        <f t="shared" si="32"/>
        <v>0.28993444228901294</v>
      </c>
      <c r="K429" s="6">
        <f>'Raw Data'!I429</f>
        <v>3.93</v>
      </c>
      <c r="L429" s="5">
        <f>'Raw Data'!J429</f>
        <v>27</v>
      </c>
      <c r="M429" s="5">
        <f>IF(COUNTIFS($A$2:A429,A429,$D$2:D429,D429)=1,L429,0)</f>
        <v>0</v>
      </c>
      <c r="N429" s="4">
        <f t="shared" si="33"/>
        <v>401.51222222222219</v>
      </c>
      <c r="O429" t="str">
        <f t="shared" si="34"/>
        <v>OK</v>
      </c>
    </row>
    <row r="430" spans="1:15">
      <c r="A430" t="str">
        <f>'Raw Data'!A430</f>
        <v>Dallas RM-06</v>
      </c>
      <c r="B430" t="str">
        <f>'Raw Data'!B430</f>
        <v>South</v>
      </c>
      <c r="C430" t="str">
        <f>'Raw Data'!C430</f>
        <v>Apparel</v>
      </c>
      <c r="D430" s="3">
        <f>'Raw Data'!D430</f>
        <v>45992</v>
      </c>
      <c r="E430" t="str">
        <f t="shared" si="30"/>
        <v>Dec</v>
      </c>
      <c r="F430" s="5">
        <f>'Raw Data'!E430</f>
        <v>202</v>
      </c>
      <c r="G430" s="4">
        <f>'Raw Data'!F430</f>
        <v>9563.1200000000008</v>
      </c>
      <c r="H430" s="4">
        <f>'Raw Data'!G430</f>
        <v>6457.36</v>
      </c>
      <c r="I430" s="4">
        <f t="shared" si="31"/>
        <v>3105.7600000000011</v>
      </c>
      <c r="J430" s="8">
        <f t="shared" si="32"/>
        <v>0.32476430286350072</v>
      </c>
      <c r="K430" s="6">
        <f>'Raw Data'!I430</f>
        <v>3.99</v>
      </c>
      <c r="L430" s="5">
        <f>'Raw Data'!J430</f>
        <v>27</v>
      </c>
      <c r="M430" s="5">
        <f>IF(COUNTIFS($A$2:A430,A430,$D$2:D430,D430)=1,L430,0)</f>
        <v>0</v>
      </c>
      <c r="N430" s="4">
        <f t="shared" si="33"/>
        <v>354.18962962962968</v>
      </c>
      <c r="O430" t="str">
        <f t="shared" si="34"/>
        <v>OK</v>
      </c>
    </row>
    <row r="431" spans="1:15">
      <c r="A431" t="str">
        <f>'Raw Data'!A431</f>
        <v>Dallas RM-06</v>
      </c>
      <c r="B431" t="str">
        <f>'Raw Data'!B431</f>
        <v>South</v>
      </c>
      <c r="C431" t="str">
        <f>'Raw Data'!C431</f>
        <v>Beauty</v>
      </c>
      <c r="D431" s="3">
        <f>'Raw Data'!D431</f>
        <v>45992</v>
      </c>
      <c r="E431" t="str">
        <f t="shared" si="30"/>
        <v>Dec</v>
      </c>
      <c r="F431" s="5">
        <f>'Raw Data'!E431</f>
        <v>165</v>
      </c>
      <c r="G431" s="4">
        <f>'Raw Data'!F431</f>
        <v>6181.19</v>
      </c>
      <c r="H431" s="4">
        <f>'Raw Data'!G431</f>
        <v>3276.53</v>
      </c>
      <c r="I431" s="4">
        <f t="shared" si="31"/>
        <v>2904.6599999999994</v>
      </c>
      <c r="J431" s="8">
        <f t="shared" si="32"/>
        <v>0.46991922267395109</v>
      </c>
      <c r="K431" s="6">
        <f>'Raw Data'!I431</f>
        <v>3.87</v>
      </c>
      <c r="L431" s="5">
        <f>'Raw Data'!J431</f>
        <v>27</v>
      </c>
      <c r="M431" s="5">
        <f>IF(COUNTIFS($A$2:A431,A431,$D$2:D431,D431)=1,L431,0)</f>
        <v>0</v>
      </c>
      <c r="N431" s="4">
        <f t="shared" si="33"/>
        <v>228.93296296296296</v>
      </c>
      <c r="O431" t="str">
        <f t="shared" si="34"/>
        <v>OK</v>
      </c>
    </row>
    <row r="432" spans="1:15">
      <c r="A432" t="str">
        <f>'Raw Data'!A432</f>
        <v>Dallas RM-06</v>
      </c>
      <c r="B432" t="str">
        <f>'Raw Data'!B432</f>
        <v>South</v>
      </c>
      <c r="C432" t="str">
        <f>'Raw Data'!C432</f>
        <v>Grocery</v>
      </c>
      <c r="D432" s="3">
        <f>'Raw Data'!D432</f>
        <v>45992</v>
      </c>
      <c r="E432" t="str">
        <f t="shared" si="30"/>
        <v>Dec</v>
      </c>
      <c r="F432" s="5">
        <f>'Raw Data'!E432</f>
        <v>242</v>
      </c>
      <c r="G432" s="4">
        <f>'Raw Data'!F432</f>
        <v>4212.4399999999996</v>
      </c>
      <c r="H432" s="4">
        <f>'Raw Data'!G432</f>
        <v>4070.86</v>
      </c>
      <c r="I432" s="4">
        <f t="shared" si="31"/>
        <v>141.57999999999947</v>
      </c>
      <c r="J432" s="8">
        <f t="shared" si="32"/>
        <v>3.3609974266695666E-2</v>
      </c>
      <c r="K432" s="6">
        <f>'Raw Data'!I432</f>
        <v>3.95</v>
      </c>
      <c r="L432" s="5">
        <f>'Raw Data'!J432</f>
        <v>27</v>
      </c>
      <c r="M432" s="5">
        <f>IF(COUNTIFS($A$2:A432,A432,$D$2:D432,D432)=1,L432,0)</f>
        <v>0</v>
      </c>
      <c r="N432" s="4">
        <f t="shared" si="33"/>
        <v>156.01629629629628</v>
      </c>
      <c r="O432" t="str">
        <f t="shared" si="34"/>
        <v>OK</v>
      </c>
    </row>
    <row r="433" spans="1:15">
      <c r="A433" t="str">
        <f>'Raw Data'!A433</f>
        <v>Dallas RM-06</v>
      </c>
      <c r="B433" t="str">
        <f>'Raw Data'!B433</f>
        <v>South</v>
      </c>
      <c r="C433" t="str">
        <f>'Raw Data'!C433</f>
        <v>Sports</v>
      </c>
      <c r="D433" s="3">
        <f>'Raw Data'!D433</f>
        <v>45992</v>
      </c>
      <c r="E433" t="str">
        <f t="shared" si="30"/>
        <v>Dec</v>
      </c>
      <c r="F433" s="5">
        <f>'Raw Data'!E433</f>
        <v>121</v>
      </c>
      <c r="G433" s="4">
        <f>'Raw Data'!F433</f>
        <v>7477.76</v>
      </c>
      <c r="H433" s="4">
        <f>'Raw Data'!G433</f>
        <v>5256.4</v>
      </c>
      <c r="I433" s="4">
        <f t="shared" si="31"/>
        <v>2221.3600000000006</v>
      </c>
      <c r="J433" s="8">
        <f t="shared" si="32"/>
        <v>0.29706222184183506</v>
      </c>
      <c r="K433" s="6">
        <f>'Raw Data'!I433</f>
        <v>3.87</v>
      </c>
      <c r="L433" s="5">
        <f>'Raw Data'!J433</f>
        <v>27</v>
      </c>
      <c r="M433" s="5">
        <f>IF(COUNTIFS($A$2:A433,A433,$D$2:D433,D433)=1,L433,0)</f>
        <v>0</v>
      </c>
      <c r="N433" s="4">
        <f t="shared" si="33"/>
        <v>276.95407407407407</v>
      </c>
      <c r="O433" t="str">
        <f t="shared" si="34"/>
        <v>OK</v>
      </c>
    </row>
    <row r="434" spans="1:15">
      <c r="A434" t="str">
        <f>'Raw Data'!A434</f>
        <v>Austin RM-07</v>
      </c>
      <c r="B434" t="str">
        <f>'Raw Data'!B434</f>
        <v>South</v>
      </c>
      <c r="C434" t="str">
        <f>'Raw Data'!C434</f>
        <v>Electronics</v>
      </c>
      <c r="D434" s="3">
        <f>'Raw Data'!D434</f>
        <v>45658</v>
      </c>
      <c r="E434" t="str">
        <f t="shared" si="30"/>
        <v>Jan</v>
      </c>
      <c r="F434" s="5">
        <f>'Raw Data'!E434</f>
        <v>107</v>
      </c>
      <c r="G434" s="4">
        <f>'Raw Data'!F434</f>
        <v>14889.52</v>
      </c>
      <c r="H434" s="4">
        <f>'Raw Data'!G434</f>
        <v>11048.95</v>
      </c>
      <c r="I434" s="4">
        <f t="shared" si="31"/>
        <v>3840.5699999999997</v>
      </c>
      <c r="J434" s="8">
        <f t="shared" si="32"/>
        <v>0.25793779786050858</v>
      </c>
      <c r="K434" s="6">
        <f>'Raw Data'!I434</f>
        <v>4.46</v>
      </c>
      <c r="L434" s="5">
        <f>'Raw Data'!J434</f>
        <v>32</v>
      </c>
      <c r="M434" s="5">
        <f>IF(COUNTIFS($A$2:A434,A434,$D$2:D434,D434)=1,L434,0)</f>
        <v>32</v>
      </c>
      <c r="N434" s="4">
        <f t="shared" si="33"/>
        <v>465.29750000000001</v>
      </c>
      <c r="O434" t="str">
        <f t="shared" si="34"/>
        <v>OK</v>
      </c>
    </row>
    <row r="435" spans="1:15">
      <c r="A435" t="str">
        <f>'Raw Data'!A435</f>
        <v>Austin RM-07</v>
      </c>
      <c r="B435" t="str">
        <f>'Raw Data'!B435</f>
        <v>South</v>
      </c>
      <c r="C435" t="str">
        <f>'Raw Data'!C435</f>
        <v>Home Goods</v>
      </c>
      <c r="D435" s="3">
        <f>'Raw Data'!D435</f>
        <v>45658</v>
      </c>
      <c r="E435" t="str">
        <f t="shared" si="30"/>
        <v>Jan</v>
      </c>
      <c r="F435" s="5">
        <f>'Raw Data'!E435</f>
        <v>95</v>
      </c>
      <c r="G435" s="4">
        <f>'Raw Data'!F435</f>
        <v>7050.4</v>
      </c>
      <c r="H435" s="4">
        <f>'Raw Data'!G435</f>
        <v>4440.6499999999996</v>
      </c>
      <c r="I435" s="4">
        <f t="shared" si="31"/>
        <v>2609.75</v>
      </c>
      <c r="J435" s="8">
        <f t="shared" si="32"/>
        <v>0.37015630318847159</v>
      </c>
      <c r="K435" s="6">
        <f>'Raw Data'!I435</f>
        <v>4.6399999999999997</v>
      </c>
      <c r="L435" s="5">
        <f>'Raw Data'!J435</f>
        <v>32</v>
      </c>
      <c r="M435" s="5">
        <f>IF(COUNTIFS($A$2:A435,A435,$D$2:D435,D435)=1,L435,0)</f>
        <v>0</v>
      </c>
      <c r="N435" s="4">
        <f t="shared" si="33"/>
        <v>220.32499999999999</v>
      </c>
      <c r="O435" t="str">
        <f t="shared" si="34"/>
        <v>OK</v>
      </c>
    </row>
    <row r="436" spans="1:15">
      <c r="A436" t="str">
        <f>'Raw Data'!A436</f>
        <v>Austin RM-07</v>
      </c>
      <c r="B436" t="str">
        <f>'Raw Data'!B436</f>
        <v>South</v>
      </c>
      <c r="C436" t="str">
        <f>'Raw Data'!C436</f>
        <v>Apparel</v>
      </c>
      <c r="D436" s="3">
        <f>'Raw Data'!D436</f>
        <v>45658</v>
      </c>
      <c r="E436" t="str">
        <f t="shared" si="30"/>
        <v>Jan</v>
      </c>
      <c r="F436" s="5">
        <f>'Raw Data'!E436</f>
        <v>136</v>
      </c>
      <c r="G436" s="4">
        <f>'Raw Data'!F436</f>
        <v>6796.98</v>
      </c>
      <c r="H436" s="4">
        <f>'Raw Data'!G436</f>
        <v>3826.68</v>
      </c>
      <c r="I436" s="4">
        <f t="shared" si="31"/>
        <v>2970.2999999999997</v>
      </c>
      <c r="J436" s="8">
        <f t="shared" si="32"/>
        <v>0.43700290423099669</v>
      </c>
      <c r="K436" s="6">
        <f>'Raw Data'!I436</f>
        <v>4.6100000000000003</v>
      </c>
      <c r="L436" s="5">
        <f>'Raw Data'!J436</f>
        <v>32</v>
      </c>
      <c r="M436" s="5">
        <f>IF(COUNTIFS($A$2:A436,A436,$D$2:D436,D436)=1,L436,0)</f>
        <v>0</v>
      </c>
      <c r="N436" s="4">
        <f t="shared" si="33"/>
        <v>212.40562499999999</v>
      </c>
      <c r="O436" t="str">
        <f t="shared" si="34"/>
        <v>OK</v>
      </c>
    </row>
    <row r="437" spans="1:15">
      <c r="A437" t="str">
        <f>'Raw Data'!A437</f>
        <v>Austin RM-07</v>
      </c>
      <c r="B437" t="str">
        <f>'Raw Data'!B437</f>
        <v>South</v>
      </c>
      <c r="C437" t="str">
        <f>'Raw Data'!C437</f>
        <v>Beauty</v>
      </c>
      <c r="D437" s="3">
        <f>'Raw Data'!D437</f>
        <v>45658</v>
      </c>
      <c r="E437" t="str">
        <f t="shared" si="30"/>
        <v>Jan</v>
      </c>
      <c r="F437" s="5">
        <f>'Raw Data'!E437</f>
        <v>103</v>
      </c>
      <c r="G437" s="4">
        <f>'Raw Data'!F437</f>
        <v>3845.15</v>
      </c>
      <c r="H437" s="4">
        <f>'Raw Data'!G437</f>
        <v>1722.3</v>
      </c>
      <c r="I437" s="4">
        <f t="shared" si="31"/>
        <v>2122.8500000000004</v>
      </c>
      <c r="J437" s="8">
        <f t="shared" si="32"/>
        <v>0.55208509420958873</v>
      </c>
      <c r="K437" s="6">
        <f>'Raw Data'!I437</f>
        <v>4.41</v>
      </c>
      <c r="L437" s="5">
        <f>'Raw Data'!J437</f>
        <v>32</v>
      </c>
      <c r="M437" s="5">
        <f>IF(COUNTIFS($A$2:A437,A437,$D$2:D437,D437)=1,L437,0)</f>
        <v>0</v>
      </c>
      <c r="N437" s="4">
        <f t="shared" si="33"/>
        <v>120.1609375</v>
      </c>
      <c r="O437" t="str">
        <f t="shared" si="34"/>
        <v>OK</v>
      </c>
    </row>
    <row r="438" spans="1:15">
      <c r="A438" t="str">
        <f>'Raw Data'!A438</f>
        <v>Austin RM-07</v>
      </c>
      <c r="B438" t="str">
        <f>'Raw Data'!B438</f>
        <v>South</v>
      </c>
      <c r="C438" t="str">
        <f>'Raw Data'!C438</f>
        <v>Grocery</v>
      </c>
      <c r="D438" s="3">
        <f>'Raw Data'!D438</f>
        <v>45658</v>
      </c>
      <c r="E438" t="str">
        <f t="shared" si="30"/>
        <v>Jan</v>
      </c>
      <c r="F438" s="5">
        <f>'Raw Data'!E438</f>
        <v>168</v>
      </c>
      <c r="G438" s="4">
        <f>'Raw Data'!F438</f>
        <v>3055.31</v>
      </c>
      <c r="H438" s="4">
        <f>'Raw Data'!G438</f>
        <v>2752.41</v>
      </c>
      <c r="I438" s="4">
        <f t="shared" si="31"/>
        <v>302.90000000000009</v>
      </c>
      <c r="J438" s="8">
        <f t="shared" si="32"/>
        <v>9.9138876251509703E-2</v>
      </c>
      <c r="K438" s="6">
        <f>'Raw Data'!I438</f>
        <v>4.59</v>
      </c>
      <c r="L438" s="5">
        <f>'Raw Data'!J438</f>
        <v>32</v>
      </c>
      <c r="M438" s="5">
        <f>IF(COUNTIFS($A$2:A438,A438,$D$2:D438,D438)=1,L438,0)</f>
        <v>0</v>
      </c>
      <c r="N438" s="4">
        <f t="shared" si="33"/>
        <v>95.478437499999998</v>
      </c>
      <c r="O438" t="str">
        <f t="shared" si="34"/>
        <v>OK</v>
      </c>
    </row>
    <row r="439" spans="1:15">
      <c r="A439" t="str">
        <f>'Raw Data'!A439</f>
        <v>Austin RM-07</v>
      </c>
      <c r="B439" t="str">
        <f>'Raw Data'!B439</f>
        <v>South</v>
      </c>
      <c r="C439" t="str">
        <f>'Raw Data'!C439</f>
        <v>Sports</v>
      </c>
      <c r="D439" s="3">
        <f>'Raw Data'!D439</f>
        <v>45658</v>
      </c>
      <c r="E439" t="str">
        <f t="shared" si="30"/>
        <v>Jan</v>
      </c>
      <c r="F439" s="5">
        <f>'Raw Data'!E439</f>
        <v>86</v>
      </c>
      <c r="G439" s="4">
        <f>'Raw Data'!F439</f>
        <v>5244.22</v>
      </c>
      <c r="H439" s="4">
        <f>'Raw Data'!G439</f>
        <v>3176.78</v>
      </c>
      <c r="I439" s="4">
        <f t="shared" si="31"/>
        <v>2067.44</v>
      </c>
      <c r="J439" s="8">
        <f t="shared" si="32"/>
        <v>0.39423212603590235</v>
      </c>
      <c r="K439" s="6">
        <f>'Raw Data'!I439</f>
        <v>4.7</v>
      </c>
      <c r="L439" s="5">
        <f>'Raw Data'!J439</f>
        <v>32</v>
      </c>
      <c r="M439" s="5">
        <f>IF(COUNTIFS($A$2:A439,A439,$D$2:D439,D439)=1,L439,0)</f>
        <v>0</v>
      </c>
      <c r="N439" s="4">
        <f t="shared" si="33"/>
        <v>163.88187500000001</v>
      </c>
      <c r="O439" t="str">
        <f t="shared" si="34"/>
        <v>OK</v>
      </c>
    </row>
    <row r="440" spans="1:15">
      <c r="A440" t="str">
        <f>'Raw Data'!A440</f>
        <v>Austin RM-07</v>
      </c>
      <c r="B440" t="str">
        <f>'Raw Data'!B440</f>
        <v>South</v>
      </c>
      <c r="C440" t="str">
        <f>'Raw Data'!C440</f>
        <v>Electronics</v>
      </c>
      <c r="D440" s="3">
        <f>'Raw Data'!D440</f>
        <v>45689</v>
      </c>
      <c r="E440" t="str">
        <f t="shared" si="30"/>
        <v>Feb</v>
      </c>
      <c r="F440" s="5">
        <f>'Raw Data'!E440</f>
        <v>105</v>
      </c>
      <c r="G440" s="4">
        <f>'Raw Data'!F440</f>
        <v>16352.11</v>
      </c>
      <c r="H440" s="4">
        <f>'Raw Data'!G440</f>
        <v>12346.01</v>
      </c>
      <c r="I440" s="4">
        <f t="shared" si="31"/>
        <v>4006.1000000000004</v>
      </c>
      <c r="J440" s="8">
        <f t="shared" si="32"/>
        <v>0.2449897903084067</v>
      </c>
      <c r="K440" s="6">
        <f>'Raw Data'!I440</f>
        <v>4.53</v>
      </c>
      <c r="L440" s="5">
        <f>'Raw Data'!J440</f>
        <v>31</v>
      </c>
      <c r="M440" s="5">
        <f>IF(COUNTIFS($A$2:A440,A440,$D$2:D440,D440)=1,L440,0)</f>
        <v>31</v>
      </c>
      <c r="N440" s="4">
        <f t="shared" si="33"/>
        <v>527.48741935483872</v>
      </c>
      <c r="O440" t="str">
        <f t="shared" si="34"/>
        <v>OK</v>
      </c>
    </row>
    <row r="441" spans="1:15">
      <c r="A441" t="str">
        <f>'Raw Data'!A441</f>
        <v>Austin RM-07</v>
      </c>
      <c r="B441" t="str">
        <f>'Raw Data'!B441</f>
        <v>South</v>
      </c>
      <c r="C441" t="str">
        <f>'Raw Data'!C441</f>
        <v>Home Goods</v>
      </c>
      <c r="D441" s="3">
        <f>'Raw Data'!D441</f>
        <v>45689</v>
      </c>
      <c r="E441" t="str">
        <f t="shared" si="30"/>
        <v>Feb</v>
      </c>
      <c r="F441" s="5">
        <f>'Raw Data'!E441</f>
        <v>104</v>
      </c>
      <c r="G441" s="4">
        <f>'Raw Data'!F441</f>
        <v>8523.9699999999993</v>
      </c>
      <c r="H441" s="4">
        <f>'Raw Data'!G441</f>
        <v>5464.73</v>
      </c>
      <c r="I441" s="4">
        <f t="shared" si="31"/>
        <v>3059.24</v>
      </c>
      <c r="J441" s="8">
        <f t="shared" si="32"/>
        <v>0.35889849448085809</v>
      </c>
      <c r="K441" s="6">
        <f>'Raw Data'!I441</f>
        <v>4.62</v>
      </c>
      <c r="L441" s="5">
        <f>'Raw Data'!J441</f>
        <v>31</v>
      </c>
      <c r="M441" s="5">
        <f>IF(COUNTIFS($A$2:A441,A441,$D$2:D441,D441)=1,L441,0)</f>
        <v>0</v>
      </c>
      <c r="N441" s="4">
        <f t="shared" si="33"/>
        <v>274.96677419354836</v>
      </c>
      <c r="O441" t="str">
        <f t="shared" si="34"/>
        <v>OK</v>
      </c>
    </row>
    <row r="442" spans="1:15">
      <c r="A442" t="str">
        <f>'Raw Data'!A442</f>
        <v>Austin RM-07</v>
      </c>
      <c r="B442" t="str">
        <f>'Raw Data'!B442</f>
        <v>South</v>
      </c>
      <c r="C442" t="str">
        <f>'Raw Data'!C442</f>
        <v>Apparel</v>
      </c>
      <c r="D442" s="3">
        <f>'Raw Data'!D442</f>
        <v>45689</v>
      </c>
      <c r="E442" t="str">
        <f t="shared" si="30"/>
        <v>Feb</v>
      </c>
      <c r="F442" s="5">
        <f>'Raw Data'!E442</f>
        <v>142</v>
      </c>
      <c r="G442" s="4">
        <f>'Raw Data'!F442</f>
        <v>7172.34</v>
      </c>
      <c r="H442" s="4">
        <f>'Raw Data'!G442</f>
        <v>4285.1000000000004</v>
      </c>
      <c r="I442" s="4">
        <f t="shared" si="31"/>
        <v>2887.24</v>
      </c>
      <c r="J442" s="8">
        <f t="shared" si="32"/>
        <v>0.40255202625642394</v>
      </c>
      <c r="K442" s="6">
        <f>'Raw Data'!I442</f>
        <v>4.6399999999999997</v>
      </c>
      <c r="L442" s="5">
        <f>'Raw Data'!J442</f>
        <v>31</v>
      </c>
      <c r="M442" s="5">
        <f>IF(COUNTIFS($A$2:A442,A442,$D$2:D442,D442)=1,L442,0)</f>
        <v>0</v>
      </c>
      <c r="N442" s="4">
        <f t="shared" si="33"/>
        <v>231.36580645161291</v>
      </c>
      <c r="O442" t="str">
        <f t="shared" si="34"/>
        <v>OK</v>
      </c>
    </row>
    <row r="443" spans="1:15">
      <c r="A443" t="str">
        <f>'Raw Data'!A443</f>
        <v>Austin RM-07</v>
      </c>
      <c r="B443" t="str">
        <f>'Raw Data'!B443</f>
        <v>South</v>
      </c>
      <c r="C443" t="str">
        <f>'Raw Data'!C443</f>
        <v>Beauty</v>
      </c>
      <c r="D443" s="3">
        <f>'Raw Data'!D443</f>
        <v>45689</v>
      </c>
      <c r="E443" t="str">
        <f t="shared" si="30"/>
        <v>Feb</v>
      </c>
      <c r="F443" s="5">
        <f>'Raw Data'!E443</f>
        <v>96</v>
      </c>
      <c r="G443" s="4">
        <f>'Raw Data'!F443</f>
        <v>3577.82</v>
      </c>
      <c r="H443" s="4">
        <f>'Raw Data'!G443</f>
        <v>1676.85</v>
      </c>
      <c r="I443" s="4">
        <f t="shared" si="31"/>
        <v>1900.9700000000003</v>
      </c>
      <c r="J443" s="8">
        <f t="shared" si="32"/>
        <v>0.53132074838868371</v>
      </c>
      <c r="K443" s="6">
        <f>'Raw Data'!I443</f>
        <v>4.6500000000000004</v>
      </c>
      <c r="L443" s="5">
        <f>'Raw Data'!J443</f>
        <v>31</v>
      </c>
      <c r="M443" s="5">
        <f>IF(COUNTIFS($A$2:A443,A443,$D$2:D443,D443)=1,L443,0)</f>
        <v>0</v>
      </c>
      <c r="N443" s="4">
        <f t="shared" si="33"/>
        <v>115.41354838709678</v>
      </c>
      <c r="O443" t="str">
        <f t="shared" si="34"/>
        <v>OK</v>
      </c>
    </row>
    <row r="444" spans="1:15">
      <c r="A444" t="str">
        <f>'Raw Data'!A444</f>
        <v>Austin RM-07</v>
      </c>
      <c r="B444" t="str">
        <f>'Raw Data'!B444</f>
        <v>South</v>
      </c>
      <c r="C444" t="str">
        <f>'Raw Data'!C444</f>
        <v>Grocery</v>
      </c>
      <c r="D444" s="3">
        <f>'Raw Data'!D444</f>
        <v>45689</v>
      </c>
      <c r="E444" t="str">
        <f t="shared" si="30"/>
        <v>Feb</v>
      </c>
      <c r="F444" s="5">
        <f>'Raw Data'!E444</f>
        <v>154</v>
      </c>
      <c r="G444" s="4">
        <f>'Raw Data'!F444</f>
        <v>2746.08</v>
      </c>
      <c r="H444" s="4">
        <f>'Raw Data'!G444</f>
        <v>2493.94</v>
      </c>
      <c r="I444" s="4">
        <f t="shared" si="31"/>
        <v>252.13999999999987</v>
      </c>
      <c r="J444" s="8">
        <f t="shared" si="32"/>
        <v>9.1818155334148999E-2</v>
      </c>
      <c r="K444" s="6">
        <f>'Raw Data'!I444</f>
        <v>4.38</v>
      </c>
      <c r="L444" s="5">
        <f>'Raw Data'!J444</f>
        <v>31</v>
      </c>
      <c r="M444" s="5">
        <f>IF(COUNTIFS($A$2:A444,A444,$D$2:D444,D444)=1,L444,0)</f>
        <v>0</v>
      </c>
      <c r="N444" s="4">
        <f t="shared" si="33"/>
        <v>88.583225806451608</v>
      </c>
      <c r="O444" t="str">
        <f t="shared" si="34"/>
        <v>OK</v>
      </c>
    </row>
    <row r="445" spans="1:15">
      <c r="A445" t="str">
        <f>'Raw Data'!A445</f>
        <v>Austin RM-07</v>
      </c>
      <c r="B445" t="str">
        <f>'Raw Data'!B445</f>
        <v>South</v>
      </c>
      <c r="C445" t="str">
        <f>'Raw Data'!C445</f>
        <v>Sports</v>
      </c>
      <c r="D445" s="3">
        <f>'Raw Data'!D445</f>
        <v>45689</v>
      </c>
      <c r="E445" t="str">
        <f t="shared" si="30"/>
        <v>Feb</v>
      </c>
      <c r="F445" s="5">
        <f>'Raw Data'!E445</f>
        <v>77</v>
      </c>
      <c r="G445" s="4">
        <f>'Raw Data'!F445</f>
        <v>5041.4799999999996</v>
      </c>
      <c r="H445" s="4">
        <f>'Raw Data'!G445</f>
        <v>3232.26</v>
      </c>
      <c r="I445" s="4">
        <f t="shared" si="31"/>
        <v>1809.2199999999993</v>
      </c>
      <c r="J445" s="8">
        <f t="shared" si="32"/>
        <v>0.35886684068963864</v>
      </c>
      <c r="K445" s="6">
        <f>'Raw Data'!I445</f>
        <v>4.4400000000000004</v>
      </c>
      <c r="L445" s="5">
        <f>'Raw Data'!J445</f>
        <v>31</v>
      </c>
      <c r="M445" s="5">
        <f>IF(COUNTIFS($A$2:A445,A445,$D$2:D445,D445)=1,L445,0)</f>
        <v>0</v>
      </c>
      <c r="N445" s="4">
        <f t="shared" si="33"/>
        <v>162.62838709677419</v>
      </c>
      <c r="O445" t="str">
        <f t="shared" si="34"/>
        <v>OK</v>
      </c>
    </row>
    <row r="446" spans="1:15">
      <c r="A446" t="str">
        <f>'Raw Data'!A446</f>
        <v>Austin RM-07</v>
      </c>
      <c r="B446" t="str">
        <f>'Raw Data'!B446</f>
        <v>South</v>
      </c>
      <c r="C446" t="str">
        <f>'Raw Data'!C446</f>
        <v>Electronics</v>
      </c>
      <c r="D446" s="3">
        <f>'Raw Data'!D446</f>
        <v>45717</v>
      </c>
      <c r="E446" t="str">
        <f t="shared" si="30"/>
        <v>Mar</v>
      </c>
      <c r="F446" s="5">
        <f>'Raw Data'!E446</f>
        <v>133</v>
      </c>
      <c r="G446" s="4">
        <f>'Raw Data'!F446</f>
        <v>19320.830000000002</v>
      </c>
      <c r="H446" s="4">
        <f>'Raw Data'!G446</f>
        <v>14881.73</v>
      </c>
      <c r="I446" s="4">
        <f t="shared" si="31"/>
        <v>4439.1000000000022</v>
      </c>
      <c r="J446" s="8">
        <f t="shared" si="32"/>
        <v>0.22975721022337042</v>
      </c>
      <c r="K446" s="6">
        <f>'Raw Data'!I446</f>
        <v>4.63</v>
      </c>
      <c r="L446" s="5">
        <f>'Raw Data'!J446</f>
        <v>31</v>
      </c>
      <c r="M446" s="5">
        <f>IF(COUNTIFS($A$2:A446,A446,$D$2:D446,D446)=1,L446,0)</f>
        <v>31</v>
      </c>
      <c r="N446" s="4">
        <f t="shared" si="33"/>
        <v>623.2525806451614</v>
      </c>
      <c r="O446" t="str">
        <f t="shared" si="34"/>
        <v>OK</v>
      </c>
    </row>
    <row r="447" spans="1:15">
      <c r="A447" t="str">
        <f>'Raw Data'!A447</f>
        <v>Austin RM-07</v>
      </c>
      <c r="B447" t="str">
        <f>'Raw Data'!B447</f>
        <v>South</v>
      </c>
      <c r="C447" t="str">
        <f>'Raw Data'!C447</f>
        <v>Home Goods</v>
      </c>
      <c r="D447" s="3">
        <f>'Raw Data'!D447</f>
        <v>45717</v>
      </c>
      <c r="E447" t="str">
        <f t="shared" si="30"/>
        <v>Mar</v>
      </c>
      <c r="F447" s="5">
        <f>'Raw Data'!E447</f>
        <v>127</v>
      </c>
      <c r="G447" s="4">
        <f>'Raw Data'!F447</f>
        <v>9733.42</v>
      </c>
      <c r="H447" s="4">
        <f>'Raw Data'!G447</f>
        <v>6498.08</v>
      </c>
      <c r="I447" s="4">
        <f t="shared" si="31"/>
        <v>3235.34</v>
      </c>
      <c r="J447" s="8">
        <f t="shared" si="32"/>
        <v>0.33239498552410152</v>
      </c>
      <c r="K447" s="6">
        <f>'Raw Data'!I447</f>
        <v>4.53</v>
      </c>
      <c r="L447" s="5">
        <f>'Raw Data'!J447</f>
        <v>31</v>
      </c>
      <c r="M447" s="5">
        <f>IF(COUNTIFS($A$2:A447,A447,$D$2:D447,D447)=1,L447,0)</f>
        <v>0</v>
      </c>
      <c r="N447" s="4">
        <f t="shared" si="33"/>
        <v>313.98129032258066</v>
      </c>
      <c r="O447" t="str">
        <f t="shared" si="34"/>
        <v>OK</v>
      </c>
    </row>
    <row r="448" spans="1:15">
      <c r="A448" t="str">
        <f>'Raw Data'!A448</f>
        <v>Austin RM-07</v>
      </c>
      <c r="B448" t="str">
        <f>'Raw Data'!B448</f>
        <v>South</v>
      </c>
      <c r="C448" t="str">
        <f>'Raw Data'!C448</f>
        <v>Apparel</v>
      </c>
      <c r="D448" s="3">
        <f>'Raw Data'!D448</f>
        <v>45717</v>
      </c>
      <c r="E448" t="str">
        <f t="shared" si="30"/>
        <v>Mar</v>
      </c>
      <c r="F448" s="5">
        <f>'Raw Data'!E448</f>
        <v>172</v>
      </c>
      <c r="G448" s="4">
        <f>'Raw Data'!F448</f>
        <v>8240.7999999999993</v>
      </c>
      <c r="H448" s="4">
        <f>'Raw Data'!G448</f>
        <v>4897.26</v>
      </c>
      <c r="I448" s="4">
        <f t="shared" si="31"/>
        <v>3343.5399999999991</v>
      </c>
      <c r="J448" s="8">
        <f t="shared" si="32"/>
        <v>0.40573002621104737</v>
      </c>
      <c r="K448" s="6">
        <f>'Raw Data'!I448</f>
        <v>4.57</v>
      </c>
      <c r="L448" s="5">
        <f>'Raw Data'!J448</f>
        <v>31</v>
      </c>
      <c r="M448" s="5">
        <f>IF(COUNTIFS($A$2:A448,A448,$D$2:D448,D448)=1,L448,0)</f>
        <v>0</v>
      </c>
      <c r="N448" s="4">
        <f t="shared" si="33"/>
        <v>265.83225806451611</v>
      </c>
      <c r="O448" t="str">
        <f t="shared" si="34"/>
        <v>OK</v>
      </c>
    </row>
    <row r="449" spans="1:15">
      <c r="A449" t="str">
        <f>'Raw Data'!A449</f>
        <v>Austin RM-07</v>
      </c>
      <c r="B449" t="str">
        <f>'Raw Data'!B449</f>
        <v>South</v>
      </c>
      <c r="C449" t="str">
        <f>'Raw Data'!C449</f>
        <v>Beauty</v>
      </c>
      <c r="D449" s="3">
        <f>'Raw Data'!D449</f>
        <v>45717</v>
      </c>
      <c r="E449" t="str">
        <f t="shared" si="30"/>
        <v>Mar</v>
      </c>
      <c r="F449" s="5">
        <f>'Raw Data'!E449</f>
        <v>118</v>
      </c>
      <c r="G449" s="4">
        <f>'Raw Data'!F449</f>
        <v>4393.2299999999996</v>
      </c>
      <c r="H449" s="4">
        <f>'Raw Data'!G449</f>
        <v>2049.7399999999998</v>
      </c>
      <c r="I449" s="4">
        <f t="shared" si="31"/>
        <v>2343.4899999999998</v>
      </c>
      <c r="J449" s="8">
        <f t="shared" si="32"/>
        <v>0.53343212169633736</v>
      </c>
      <c r="K449" s="6">
        <f>'Raw Data'!I449</f>
        <v>4.38</v>
      </c>
      <c r="L449" s="5">
        <f>'Raw Data'!J449</f>
        <v>31</v>
      </c>
      <c r="M449" s="5">
        <f>IF(COUNTIFS($A$2:A449,A449,$D$2:D449,D449)=1,L449,0)</f>
        <v>0</v>
      </c>
      <c r="N449" s="4">
        <f t="shared" si="33"/>
        <v>141.71709677419352</v>
      </c>
      <c r="O449" t="str">
        <f t="shared" si="34"/>
        <v>OK</v>
      </c>
    </row>
    <row r="450" spans="1:15">
      <c r="A450" t="str">
        <f>'Raw Data'!A450</f>
        <v>Austin RM-07</v>
      </c>
      <c r="B450" t="str">
        <f>'Raw Data'!B450</f>
        <v>South</v>
      </c>
      <c r="C450" t="str">
        <f>'Raw Data'!C450</f>
        <v>Grocery</v>
      </c>
      <c r="D450" s="3">
        <f>'Raw Data'!D450</f>
        <v>45717</v>
      </c>
      <c r="E450" t="str">
        <f t="shared" ref="E450:E513" si="35">TEXT(D450,"mmm")</f>
        <v>Mar</v>
      </c>
      <c r="F450" s="5">
        <f>'Raw Data'!E450</f>
        <v>192</v>
      </c>
      <c r="G450" s="4">
        <f>'Raw Data'!F450</f>
        <v>3354.07</v>
      </c>
      <c r="H450" s="4">
        <f>'Raw Data'!G450</f>
        <v>2915.18</v>
      </c>
      <c r="I450" s="4">
        <f t="shared" ref="I450:I513" si="36">G450-H450</f>
        <v>438.89000000000033</v>
      </c>
      <c r="J450" s="8">
        <f t="shared" ref="J450:J513" si="37">IFERROR(I450/G450,0)</f>
        <v>0.1308529637127431</v>
      </c>
      <c r="K450" s="6">
        <f>'Raw Data'!I450</f>
        <v>4.49</v>
      </c>
      <c r="L450" s="5">
        <f>'Raw Data'!J450</f>
        <v>31</v>
      </c>
      <c r="M450" s="5">
        <f>IF(COUNTIFS($A$2:A450,A450,$D$2:D450,D450)=1,L450,0)</f>
        <v>0</v>
      </c>
      <c r="N450" s="4">
        <f t="shared" ref="N450:N513" si="38">IFERROR(G450/L450,0)</f>
        <v>108.19580645161291</v>
      </c>
      <c r="O450" t="str">
        <f t="shared" ref="O450:O513" si="39">IF(OR(A450="",B450="",C450="",F450&lt;0,G450&lt;0,H450&lt;0,K450&lt;1,K450&gt;5),"Review","OK")</f>
        <v>OK</v>
      </c>
    </row>
    <row r="451" spans="1:15">
      <c r="A451" t="str">
        <f>'Raw Data'!A451</f>
        <v>Austin RM-07</v>
      </c>
      <c r="B451" t="str">
        <f>'Raw Data'!B451</f>
        <v>South</v>
      </c>
      <c r="C451" t="str">
        <f>'Raw Data'!C451</f>
        <v>Sports</v>
      </c>
      <c r="D451" s="3">
        <f>'Raw Data'!D451</f>
        <v>45717</v>
      </c>
      <c r="E451" t="str">
        <f t="shared" si="35"/>
        <v>Mar</v>
      </c>
      <c r="F451" s="5">
        <f>'Raw Data'!E451</f>
        <v>88</v>
      </c>
      <c r="G451" s="4">
        <f>'Raw Data'!F451</f>
        <v>5663.62</v>
      </c>
      <c r="H451" s="4">
        <f>'Raw Data'!G451</f>
        <v>3588.25</v>
      </c>
      <c r="I451" s="4">
        <f t="shared" si="36"/>
        <v>2075.37</v>
      </c>
      <c r="J451" s="8">
        <f t="shared" si="37"/>
        <v>0.366438779437886</v>
      </c>
      <c r="K451" s="6">
        <f>'Raw Data'!I451</f>
        <v>4.3899999999999997</v>
      </c>
      <c r="L451" s="5">
        <f>'Raw Data'!J451</f>
        <v>31</v>
      </c>
      <c r="M451" s="5">
        <f>IF(COUNTIFS($A$2:A451,A451,$D$2:D451,D451)=1,L451,0)</f>
        <v>0</v>
      </c>
      <c r="N451" s="4">
        <f t="shared" si="38"/>
        <v>182.6974193548387</v>
      </c>
      <c r="O451" t="str">
        <f t="shared" si="39"/>
        <v>OK</v>
      </c>
    </row>
    <row r="452" spans="1:15">
      <c r="A452" t="str">
        <f>'Raw Data'!A452</f>
        <v>Austin RM-07</v>
      </c>
      <c r="B452" t="str">
        <f>'Raw Data'!B452</f>
        <v>South</v>
      </c>
      <c r="C452" t="str">
        <f>'Raw Data'!C452</f>
        <v>Electronics</v>
      </c>
      <c r="D452" s="3">
        <f>'Raw Data'!D452</f>
        <v>45748</v>
      </c>
      <c r="E452" t="str">
        <f t="shared" si="35"/>
        <v>Apr</v>
      </c>
      <c r="F452" s="5">
        <f>'Raw Data'!E452</f>
        <v>145</v>
      </c>
      <c r="G452" s="4">
        <f>'Raw Data'!F452</f>
        <v>20608.55</v>
      </c>
      <c r="H452" s="4">
        <f>'Raw Data'!G452</f>
        <v>15523.46</v>
      </c>
      <c r="I452" s="4">
        <f t="shared" si="36"/>
        <v>5085.09</v>
      </c>
      <c r="J452" s="8">
        <f t="shared" si="37"/>
        <v>0.24674661730204214</v>
      </c>
      <c r="K452" s="6">
        <f>'Raw Data'!I452</f>
        <v>4.42</v>
      </c>
      <c r="L452" s="5">
        <f>'Raw Data'!J452</f>
        <v>30</v>
      </c>
      <c r="M452" s="5">
        <f>IF(COUNTIFS($A$2:A452,A452,$D$2:D452,D452)=1,L452,0)</f>
        <v>30</v>
      </c>
      <c r="N452" s="4">
        <f t="shared" si="38"/>
        <v>686.9516666666666</v>
      </c>
      <c r="O452" t="str">
        <f t="shared" si="39"/>
        <v>OK</v>
      </c>
    </row>
    <row r="453" spans="1:15">
      <c r="A453" t="str">
        <f>'Raw Data'!A453</f>
        <v>Austin RM-07</v>
      </c>
      <c r="B453" t="str">
        <f>'Raw Data'!B453</f>
        <v>South</v>
      </c>
      <c r="C453" t="str">
        <f>'Raw Data'!C453</f>
        <v>Home Goods</v>
      </c>
      <c r="D453" s="3">
        <f>'Raw Data'!D453</f>
        <v>45748</v>
      </c>
      <c r="E453" t="str">
        <f t="shared" si="35"/>
        <v>Apr</v>
      </c>
      <c r="F453" s="5">
        <f>'Raw Data'!E453</f>
        <v>119</v>
      </c>
      <c r="G453" s="4">
        <f>'Raw Data'!F453</f>
        <v>9313.6299999999992</v>
      </c>
      <c r="H453" s="4">
        <f>'Raw Data'!G453</f>
        <v>6212.68</v>
      </c>
      <c r="I453" s="4">
        <f t="shared" si="36"/>
        <v>3100.9499999999989</v>
      </c>
      <c r="J453" s="8">
        <f t="shared" si="37"/>
        <v>0.33294751885140372</v>
      </c>
      <c r="K453" s="6">
        <f>'Raw Data'!I453</f>
        <v>4.72</v>
      </c>
      <c r="L453" s="5">
        <f>'Raw Data'!J453</f>
        <v>30</v>
      </c>
      <c r="M453" s="5">
        <f>IF(COUNTIFS($A$2:A453,A453,$D$2:D453,D453)=1,L453,0)</f>
        <v>0</v>
      </c>
      <c r="N453" s="4">
        <f t="shared" si="38"/>
        <v>310.4543333333333</v>
      </c>
      <c r="O453" t="str">
        <f t="shared" si="39"/>
        <v>OK</v>
      </c>
    </row>
    <row r="454" spans="1:15">
      <c r="A454" t="str">
        <f>'Raw Data'!A454</f>
        <v>Austin RM-07</v>
      </c>
      <c r="B454" t="str">
        <f>'Raw Data'!B454</f>
        <v>South</v>
      </c>
      <c r="C454" t="str">
        <f>'Raw Data'!C454</f>
        <v>Apparel</v>
      </c>
      <c r="D454" s="3">
        <f>'Raw Data'!D454</f>
        <v>45748</v>
      </c>
      <c r="E454" t="str">
        <f t="shared" si="35"/>
        <v>Apr</v>
      </c>
      <c r="F454" s="5">
        <f>'Raw Data'!E454</f>
        <v>156</v>
      </c>
      <c r="G454" s="4">
        <f>'Raw Data'!F454</f>
        <v>7508.93</v>
      </c>
      <c r="H454" s="4">
        <f>'Raw Data'!G454</f>
        <v>4602.72</v>
      </c>
      <c r="I454" s="4">
        <f t="shared" si="36"/>
        <v>2906.21</v>
      </c>
      <c r="J454" s="8">
        <f t="shared" si="37"/>
        <v>0.38703383837643979</v>
      </c>
      <c r="K454" s="6">
        <f>'Raw Data'!I454</f>
        <v>4.51</v>
      </c>
      <c r="L454" s="5">
        <f>'Raw Data'!J454</f>
        <v>30</v>
      </c>
      <c r="M454" s="5">
        <f>IF(COUNTIFS($A$2:A454,A454,$D$2:D454,D454)=1,L454,0)</f>
        <v>0</v>
      </c>
      <c r="N454" s="4">
        <f t="shared" si="38"/>
        <v>250.29766666666669</v>
      </c>
      <c r="O454" t="str">
        <f t="shared" si="39"/>
        <v>OK</v>
      </c>
    </row>
    <row r="455" spans="1:15">
      <c r="A455" t="str">
        <f>'Raw Data'!A455</f>
        <v>Austin RM-07</v>
      </c>
      <c r="B455" t="str">
        <f>'Raw Data'!B455</f>
        <v>South</v>
      </c>
      <c r="C455" t="str">
        <f>'Raw Data'!C455</f>
        <v>Beauty</v>
      </c>
      <c r="D455" s="3">
        <f>'Raw Data'!D455</f>
        <v>45748</v>
      </c>
      <c r="E455" t="str">
        <f t="shared" si="35"/>
        <v>Apr</v>
      </c>
      <c r="F455" s="5">
        <f>'Raw Data'!E455</f>
        <v>142</v>
      </c>
      <c r="G455" s="4">
        <f>'Raw Data'!F455</f>
        <v>4862.71</v>
      </c>
      <c r="H455" s="4">
        <f>'Raw Data'!G455</f>
        <v>2389.11</v>
      </c>
      <c r="I455" s="4">
        <f t="shared" si="36"/>
        <v>2473.6</v>
      </c>
      <c r="J455" s="8">
        <f t="shared" si="37"/>
        <v>0.50868754254314974</v>
      </c>
      <c r="K455" s="6">
        <f>'Raw Data'!I455</f>
        <v>4.68</v>
      </c>
      <c r="L455" s="5">
        <f>'Raw Data'!J455</f>
        <v>30</v>
      </c>
      <c r="M455" s="5">
        <f>IF(COUNTIFS($A$2:A455,A455,$D$2:D455,D455)=1,L455,0)</f>
        <v>0</v>
      </c>
      <c r="N455" s="4">
        <f t="shared" si="38"/>
        <v>162.09033333333335</v>
      </c>
      <c r="O455" t="str">
        <f t="shared" si="39"/>
        <v>OK</v>
      </c>
    </row>
    <row r="456" spans="1:15">
      <c r="A456" t="str">
        <f>'Raw Data'!A456</f>
        <v>Austin RM-07</v>
      </c>
      <c r="B456" t="str">
        <f>'Raw Data'!B456</f>
        <v>South</v>
      </c>
      <c r="C456" t="str">
        <f>'Raw Data'!C456</f>
        <v>Grocery</v>
      </c>
      <c r="D456" s="3">
        <f>'Raw Data'!D456</f>
        <v>45748</v>
      </c>
      <c r="E456" t="str">
        <f t="shared" si="35"/>
        <v>Apr</v>
      </c>
      <c r="F456" s="5">
        <f>'Raw Data'!E456</f>
        <v>232</v>
      </c>
      <c r="G456" s="4">
        <f>'Raw Data'!F456</f>
        <v>3994.8</v>
      </c>
      <c r="H456" s="4">
        <f>'Raw Data'!G456</f>
        <v>3693.41</v>
      </c>
      <c r="I456" s="4">
        <f t="shared" si="36"/>
        <v>301.39000000000033</v>
      </c>
      <c r="J456" s="8">
        <f t="shared" si="37"/>
        <v>7.5445579253029013E-2</v>
      </c>
      <c r="K456" s="6">
        <f>'Raw Data'!I456</f>
        <v>4.4800000000000004</v>
      </c>
      <c r="L456" s="5">
        <f>'Raw Data'!J456</f>
        <v>30</v>
      </c>
      <c r="M456" s="5">
        <f>IF(COUNTIFS($A$2:A456,A456,$D$2:D456,D456)=1,L456,0)</f>
        <v>0</v>
      </c>
      <c r="N456" s="4">
        <f t="shared" si="38"/>
        <v>133.16</v>
      </c>
      <c r="O456" t="str">
        <f t="shared" si="39"/>
        <v>OK</v>
      </c>
    </row>
    <row r="457" spans="1:15">
      <c r="A457" t="str">
        <f>'Raw Data'!A457</f>
        <v>Austin RM-07</v>
      </c>
      <c r="B457" t="str">
        <f>'Raw Data'!B457</f>
        <v>South</v>
      </c>
      <c r="C457" t="str">
        <f>'Raw Data'!C457</f>
        <v>Sports</v>
      </c>
      <c r="D457" s="3">
        <f>'Raw Data'!D457</f>
        <v>45748</v>
      </c>
      <c r="E457" t="str">
        <f t="shared" si="35"/>
        <v>Apr</v>
      </c>
      <c r="F457" s="5">
        <f>'Raw Data'!E457</f>
        <v>106</v>
      </c>
      <c r="G457" s="4">
        <f>'Raw Data'!F457</f>
        <v>6294.85</v>
      </c>
      <c r="H457" s="4">
        <f>'Raw Data'!G457</f>
        <v>4131.47</v>
      </c>
      <c r="I457" s="4">
        <f t="shared" si="36"/>
        <v>2163.38</v>
      </c>
      <c r="J457" s="8">
        <f t="shared" si="37"/>
        <v>0.34367459113402227</v>
      </c>
      <c r="K457" s="6">
        <f>'Raw Data'!I457</f>
        <v>4.67</v>
      </c>
      <c r="L457" s="5">
        <f>'Raw Data'!J457</f>
        <v>30</v>
      </c>
      <c r="M457" s="5">
        <f>IF(COUNTIFS($A$2:A457,A457,$D$2:D457,D457)=1,L457,0)</f>
        <v>0</v>
      </c>
      <c r="N457" s="4">
        <f t="shared" si="38"/>
        <v>209.82833333333335</v>
      </c>
      <c r="O457" t="str">
        <f t="shared" si="39"/>
        <v>OK</v>
      </c>
    </row>
    <row r="458" spans="1:15">
      <c r="A458" t="str">
        <f>'Raw Data'!A458</f>
        <v>Austin RM-07</v>
      </c>
      <c r="B458" t="str">
        <f>'Raw Data'!B458</f>
        <v>South</v>
      </c>
      <c r="C458" t="str">
        <f>'Raw Data'!C458</f>
        <v>Electronics</v>
      </c>
      <c r="D458" s="3">
        <f>'Raw Data'!D458</f>
        <v>45778</v>
      </c>
      <c r="E458" t="str">
        <f t="shared" si="35"/>
        <v>May</v>
      </c>
      <c r="F458" s="5">
        <f>'Raw Data'!E458</f>
        <v>155</v>
      </c>
      <c r="G458" s="4">
        <f>'Raw Data'!F458</f>
        <v>23389.13</v>
      </c>
      <c r="H458" s="4">
        <f>'Raw Data'!G458</f>
        <v>18020.77</v>
      </c>
      <c r="I458" s="4">
        <f t="shared" si="36"/>
        <v>5368.3600000000006</v>
      </c>
      <c r="J458" s="8">
        <f t="shared" si="37"/>
        <v>0.22952371464864235</v>
      </c>
      <c r="K458" s="6">
        <f>'Raw Data'!I458</f>
        <v>4.51</v>
      </c>
      <c r="L458" s="5">
        <f>'Raw Data'!J458</f>
        <v>30</v>
      </c>
      <c r="M458" s="5">
        <f>IF(COUNTIFS($A$2:A458,A458,$D$2:D458,D458)=1,L458,0)</f>
        <v>30</v>
      </c>
      <c r="N458" s="4">
        <f t="shared" si="38"/>
        <v>779.63766666666675</v>
      </c>
      <c r="O458" t="str">
        <f t="shared" si="39"/>
        <v>OK</v>
      </c>
    </row>
    <row r="459" spans="1:15">
      <c r="A459" t="str">
        <f>'Raw Data'!A459</f>
        <v>Austin RM-07</v>
      </c>
      <c r="B459" t="str">
        <f>'Raw Data'!B459</f>
        <v>South</v>
      </c>
      <c r="C459" t="str">
        <f>'Raw Data'!C459</f>
        <v>Home Goods</v>
      </c>
      <c r="D459" s="3">
        <f>'Raw Data'!D459</f>
        <v>45778</v>
      </c>
      <c r="E459" t="str">
        <f t="shared" si="35"/>
        <v>May</v>
      </c>
      <c r="F459" s="5">
        <f>'Raw Data'!E459</f>
        <v>126</v>
      </c>
      <c r="G459" s="4">
        <f>'Raw Data'!F459</f>
        <v>9309.34</v>
      </c>
      <c r="H459" s="4">
        <f>'Raw Data'!G459</f>
        <v>6166.8</v>
      </c>
      <c r="I459" s="4">
        <f t="shared" si="36"/>
        <v>3142.54</v>
      </c>
      <c r="J459" s="8">
        <f t="shared" si="37"/>
        <v>0.33756850646769804</v>
      </c>
      <c r="K459" s="6">
        <f>'Raw Data'!I459</f>
        <v>4.43</v>
      </c>
      <c r="L459" s="5">
        <f>'Raw Data'!J459</f>
        <v>30</v>
      </c>
      <c r="M459" s="5">
        <f>IF(COUNTIFS($A$2:A459,A459,$D$2:D459,D459)=1,L459,0)</f>
        <v>0</v>
      </c>
      <c r="N459" s="4">
        <f t="shared" si="38"/>
        <v>310.31133333333332</v>
      </c>
      <c r="O459" t="str">
        <f t="shared" si="39"/>
        <v>OK</v>
      </c>
    </row>
    <row r="460" spans="1:15">
      <c r="A460" t="str">
        <f>'Raw Data'!A460</f>
        <v>Austin RM-07</v>
      </c>
      <c r="B460" t="str">
        <f>'Raw Data'!B460</f>
        <v>South</v>
      </c>
      <c r="C460" t="str">
        <f>'Raw Data'!C460</f>
        <v>Apparel</v>
      </c>
      <c r="D460" s="3">
        <f>'Raw Data'!D460</f>
        <v>45778</v>
      </c>
      <c r="E460" t="str">
        <f t="shared" si="35"/>
        <v>May</v>
      </c>
      <c r="F460" s="5">
        <f>'Raw Data'!E460</f>
        <v>172</v>
      </c>
      <c r="G460" s="4">
        <f>'Raw Data'!F460</f>
        <v>8645.42</v>
      </c>
      <c r="H460" s="4">
        <f>'Raw Data'!G460</f>
        <v>5075.2700000000004</v>
      </c>
      <c r="I460" s="4">
        <f t="shared" si="36"/>
        <v>3570.1499999999996</v>
      </c>
      <c r="J460" s="8">
        <f t="shared" si="37"/>
        <v>0.4129527541750429</v>
      </c>
      <c r="K460" s="6">
        <f>'Raw Data'!I460</f>
        <v>4.6100000000000003</v>
      </c>
      <c r="L460" s="5">
        <f>'Raw Data'!J460</f>
        <v>30</v>
      </c>
      <c r="M460" s="5">
        <f>IF(COUNTIFS($A$2:A460,A460,$D$2:D460,D460)=1,L460,0)</f>
        <v>0</v>
      </c>
      <c r="N460" s="4">
        <f t="shared" si="38"/>
        <v>288.1806666666667</v>
      </c>
      <c r="O460" t="str">
        <f t="shared" si="39"/>
        <v>OK</v>
      </c>
    </row>
    <row r="461" spans="1:15">
      <c r="A461" t="str">
        <f>'Raw Data'!A461</f>
        <v>Austin RM-07</v>
      </c>
      <c r="B461" t="str">
        <f>'Raw Data'!B461</f>
        <v>South</v>
      </c>
      <c r="C461" t="str">
        <f>'Raw Data'!C461</f>
        <v>Beauty</v>
      </c>
      <c r="D461" s="3">
        <f>'Raw Data'!D461</f>
        <v>45778</v>
      </c>
      <c r="E461" t="str">
        <f t="shared" si="35"/>
        <v>May</v>
      </c>
      <c r="F461" s="5">
        <f>'Raw Data'!E461</f>
        <v>156</v>
      </c>
      <c r="G461" s="4">
        <f>'Raw Data'!F461</f>
        <v>5762.52</v>
      </c>
      <c r="H461" s="4">
        <f>'Raw Data'!G461</f>
        <v>2862.06</v>
      </c>
      <c r="I461" s="4">
        <f t="shared" si="36"/>
        <v>2900.4600000000005</v>
      </c>
      <c r="J461" s="8">
        <f t="shared" si="37"/>
        <v>0.50333187563774184</v>
      </c>
      <c r="K461" s="6">
        <f>'Raw Data'!I461</f>
        <v>4.6900000000000004</v>
      </c>
      <c r="L461" s="5">
        <f>'Raw Data'!J461</f>
        <v>30</v>
      </c>
      <c r="M461" s="5">
        <f>IF(COUNTIFS($A$2:A461,A461,$D$2:D461,D461)=1,L461,0)</f>
        <v>0</v>
      </c>
      <c r="N461" s="4">
        <f t="shared" si="38"/>
        <v>192.084</v>
      </c>
      <c r="O461" t="str">
        <f t="shared" si="39"/>
        <v>OK</v>
      </c>
    </row>
    <row r="462" spans="1:15">
      <c r="A462" t="str">
        <f>'Raw Data'!A462</f>
        <v>Austin RM-07</v>
      </c>
      <c r="B462" t="str">
        <f>'Raw Data'!B462</f>
        <v>South</v>
      </c>
      <c r="C462" t="str">
        <f>'Raw Data'!C462</f>
        <v>Grocery</v>
      </c>
      <c r="D462" s="3">
        <f>'Raw Data'!D462</f>
        <v>45778</v>
      </c>
      <c r="E462" t="str">
        <f t="shared" si="35"/>
        <v>May</v>
      </c>
      <c r="F462" s="5">
        <f>'Raw Data'!E462</f>
        <v>223</v>
      </c>
      <c r="G462" s="4">
        <f>'Raw Data'!F462</f>
        <v>4106.93</v>
      </c>
      <c r="H462" s="4">
        <f>'Raw Data'!G462</f>
        <v>3700.74</v>
      </c>
      <c r="I462" s="4">
        <f t="shared" si="36"/>
        <v>406.19000000000051</v>
      </c>
      <c r="J462" s="8">
        <f t="shared" si="37"/>
        <v>9.8903560567139073E-2</v>
      </c>
      <c r="K462" s="6">
        <f>'Raw Data'!I462</f>
        <v>4.58</v>
      </c>
      <c r="L462" s="5">
        <f>'Raw Data'!J462</f>
        <v>30</v>
      </c>
      <c r="M462" s="5">
        <f>IF(COUNTIFS($A$2:A462,A462,$D$2:D462,D462)=1,L462,0)</f>
        <v>0</v>
      </c>
      <c r="N462" s="4">
        <f t="shared" si="38"/>
        <v>136.89766666666668</v>
      </c>
      <c r="O462" t="str">
        <f t="shared" si="39"/>
        <v>OK</v>
      </c>
    </row>
    <row r="463" spans="1:15">
      <c r="A463" t="str">
        <f>'Raw Data'!A463</f>
        <v>Austin RM-07</v>
      </c>
      <c r="B463" t="str">
        <f>'Raw Data'!B463</f>
        <v>South</v>
      </c>
      <c r="C463" t="str">
        <f>'Raw Data'!C463</f>
        <v>Sports</v>
      </c>
      <c r="D463" s="3">
        <f>'Raw Data'!D463</f>
        <v>45778</v>
      </c>
      <c r="E463" t="str">
        <f t="shared" si="35"/>
        <v>May</v>
      </c>
      <c r="F463" s="5">
        <f>'Raw Data'!E463</f>
        <v>133</v>
      </c>
      <c r="G463" s="4">
        <f>'Raw Data'!F463</f>
        <v>8758.16</v>
      </c>
      <c r="H463" s="4">
        <f>'Raw Data'!G463</f>
        <v>5553.87</v>
      </c>
      <c r="I463" s="4">
        <f t="shared" si="36"/>
        <v>3204.29</v>
      </c>
      <c r="J463" s="8">
        <f t="shared" si="37"/>
        <v>0.36586337769577171</v>
      </c>
      <c r="K463" s="6">
        <f>'Raw Data'!I463</f>
        <v>4.3899999999999997</v>
      </c>
      <c r="L463" s="5">
        <f>'Raw Data'!J463</f>
        <v>30</v>
      </c>
      <c r="M463" s="5">
        <f>IF(COUNTIFS($A$2:A463,A463,$D$2:D463,D463)=1,L463,0)</f>
        <v>0</v>
      </c>
      <c r="N463" s="4">
        <f t="shared" si="38"/>
        <v>291.93866666666668</v>
      </c>
      <c r="O463" t="str">
        <f t="shared" si="39"/>
        <v>OK</v>
      </c>
    </row>
    <row r="464" spans="1:15">
      <c r="A464" t="str">
        <f>'Raw Data'!A464</f>
        <v>Austin RM-07</v>
      </c>
      <c r="B464" t="str">
        <f>'Raw Data'!B464</f>
        <v>South</v>
      </c>
      <c r="C464" t="str">
        <f>'Raw Data'!C464</f>
        <v>Electronics</v>
      </c>
      <c r="D464" s="3">
        <f>'Raw Data'!D464</f>
        <v>45809</v>
      </c>
      <c r="E464" t="str">
        <f t="shared" si="35"/>
        <v>Jun</v>
      </c>
      <c r="F464" s="5">
        <f>'Raw Data'!E464</f>
        <v>149</v>
      </c>
      <c r="G464" s="4">
        <f>'Raw Data'!F464</f>
        <v>22921.22</v>
      </c>
      <c r="H464" s="4">
        <f>'Raw Data'!G464</f>
        <v>17402.75</v>
      </c>
      <c r="I464" s="4">
        <f t="shared" si="36"/>
        <v>5518.4700000000012</v>
      </c>
      <c r="J464" s="8">
        <f t="shared" si="37"/>
        <v>0.24075812718520223</v>
      </c>
      <c r="K464" s="6">
        <f>'Raw Data'!I464</f>
        <v>4.55</v>
      </c>
      <c r="L464" s="5">
        <f>'Raw Data'!J464</f>
        <v>33</v>
      </c>
      <c r="M464" s="5">
        <f>IF(COUNTIFS($A$2:A464,A464,$D$2:D464,D464)=1,L464,0)</f>
        <v>33</v>
      </c>
      <c r="N464" s="4">
        <f t="shared" si="38"/>
        <v>694.58242424242428</v>
      </c>
      <c r="O464" t="str">
        <f t="shared" si="39"/>
        <v>OK</v>
      </c>
    </row>
    <row r="465" spans="1:15">
      <c r="A465" t="str">
        <f>'Raw Data'!A465</f>
        <v>Austin RM-07</v>
      </c>
      <c r="B465" t="str">
        <f>'Raw Data'!B465</f>
        <v>South</v>
      </c>
      <c r="C465" t="str">
        <f>'Raw Data'!C465</f>
        <v>Home Goods</v>
      </c>
      <c r="D465" s="3">
        <f>'Raw Data'!D465</f>
        <v>45809</v>
      </c>
      <c r="E465" t="str">
        <f t="shared" si="35"/>
        <v>Jun</v>
      </c>
      <c r="F465" s="5">
        <f>'Raw Data'!E465</f>
        <v>142</v>
      </c>
      <c r="G465" s="4">
        <f>'Raw Data'!F465</f>
        <v>10581.52</v>
      </c>
      <c r="H465" s="4">
        <f>'Raw Data'!G465</f>
        <v>7223.95</v>
      </c>
      <c r="I465" s="4">
        <f t="shared" si="36"/>
        <v>3357.5700000000006</v>
      </c>
      <c r="J465" s="8">
        <f t="shared" si="37"/>
        <v>0.31730507526328927</v>
      </c>
      <c r="K465" s="6">
        <f>'Raw Data'!I465</f>
        <v>4.63</v>
      </c>
      <c r="L465" s="5">
        <f>'Raw Data'!J465</f>
        <v>33</v>
      </c>
      <c r="M465" s="5">
        <f>IF(COUNTIFS($A$2:A465,A465,$D$2:D465,D465)=1,L465,0)</f>
        <v>0</v>
      </c>
      <c r="N465" s="4">
        <f t="shared" si="38"/>
        <v>320.65212121212124</v>
      </c>
      <c r="O465" t="str">
        <f t="shared" si="39"/>
        <v>OK</v>
      </c>
    </row>
    <row r="466" spans="1:15">
      <c r="A466" t="str">
        <f>'Raw Data'!A466</f>
        <v>Austin RM-07</v>
      </c>
      <c r="B466" t="str">
        <f>'Raw Data'!B466</f>
        <v>South</v>
      </c>
      <c r="C466" t="str">
        <f>'Raw Data'!C466</f>
        <v>Apparel</v>
      </c>
      <c r="D466" s="3">
        <f>'Raw Data'!D466</f>
        <v>45809</v>
      </c>
      <c r="E466" t="str">
        <f t="shared" si="35"/>
        <v>Jun</v>
      </c>
      <c r="F466" s="5">
        <f>'Raw Data'!E466</f>
        <v>161</v>
      </c>
      <c r="G466" s="4">
        <f>'Raw Data'!F466</f>
        <v>7991.95</v>
      </c>
      <c r="H466" s="4">
        <f>'Raw Data'!G466</f>
        <v>4822.63</v>
      </c>
      <c r="I466" s="4">
        <f t="shared" si="36"/>
        <v>3169.3199999999997</v>
      </c>
      <c r="J466" s="8">
        <f t="shared" si="37"/>
        <v>0.39656404256783384</v>
      </c>
      <c r="K466" s="6">
        <f>'Raw Data'!I466</f>
        <v>4.4800000000000004</v>
      </c>
      <c r="L466" s="5">
        <f>'Raw Data'!J466</f>
        <v>33</v>
      </c>
      <c r="M466" s="5">
        <f>IF(COUNTIFS($A$2:A466,A466,$D$2:D466,D466)=1,L466,0)</f>
        <v>0</v>
      </c>
      <c r="N466" s="4">
        <f t="shared" si="38"/>
        <v>242.18030303030304</v>
      </c>
      <c r="O466" t="str">
        <f t="shared" si="39"/>
        <v>OK</v>
      </c>
    </row>
    <row r="467" spans="1:15">
      <c r="A467" t="str">
        <f>'Raw Data'!A467</f>
        <v>Austin RM-07</v>
      </c>
      <c r="B467" t="str">
        <f>'Raw Data'!B467</f>
        <v>South</v>
      </c>
      <c r="C467" t="str">
        <f>'Raw Data'!C467</f>
        <v>Beauty</v>
      </c>
      <c r="D467" s="3">
        <f>'Raw Data'!D467</f>
        <v>45809</v>
      </c>
      <c r="E467" t="str">
        <f t="shared" si="35"/>
        <v>Jun</v>
      </c>
      <c r="F467" s="5">
        <f>'Raw Data'!E467</f>
        <v>155</v>
      </c>
      <c r="G467" s="4">
        <f>'Raw Data'!F467</f>
        <v>5357.12</v>
      </c>
      <c r="H467" s="4">
        <f>'Raw Data'!G467</f>
        <v>2650.22</v>
      </c>
      <c r="I467" s="4">
        <f t="shared" si="36"/>
        <v>2706.9</v>
      </c>
      <c r="J467" s="8">
        <f t="shared" si="37"/>
        <v>0.50529015590466519</v>
      </c>
      <c r="K467" s="6">
        <f>'Raw Data'!I467</f>
        <v>4.45</v>
      </c>
      <c r="L467" s="5">
        <f>'Raw Data'!J467</f>
        <v>33</v>
      </c>
      <c r="M467" s="5">
        <f>IF(COUNTIFS($A$2:A467,A467,$D$2:D467,D467)=1,L467,0)</f>
        <v>0</v>
      </c>
      <c r="N467" s="4">
        <f t="shared" si="38"/>
        <v>162.3369696969697</v>
      </c>
      <c r="O467" t="str">
        <f t="shared" si="39"/>
        <v>OK</v>
      </c>
    </row>
    <row r="468" spans="1:15">
      <c r="A468" t="str">
        <f>'Raw Data'!A468</f>
        <v>Austin RM-07</v>
      </c>
      <c r="B468" t="str">
        <f>'Raw Data'!B468</f>
        <v>South</v>
      </c>
      <c r="C468" t="str">
        <f>'Raw Data'!C468</f>
        <v>Grocery</v>
      </c>
      <c r="D468" s="3">
        <f>'Raw Data'!D468</f>
        <v>45809</v>
      </c>
      <c r="E468" t="str">
        <f t="shared" si="35"/>
        <v>Jun</v>
      </c>
      <c r="F468" s="5">
        <f>'Raw Data'!E468</f>
        <v>231</v>
      </c>
      <c r="G468" s="4">
        <f>'Raw Data'!F468</f>
        <v>4460.67</v>
      </c>
      <c r="H468" s="4">
        <f>'Raw Data'!G468</f>
        <v>4151.6899999999996</v>
      </c>
      <c r="I468" s="4">
        <f t="shared" si="36"/>
        <v>308.98000000000047</v>
      </c>
      <c r="J468" s="8">
        <f t="shared" si="37"/>
        <v>6.926762123178816E-2</v>
      </c>
      <c r="K468" s="6">
        <f>'Raw Data'!I468</f>
        <v>4.67</v>
      </c>
      <c r="L468" s="5">
        <f>'Raw Data'!J468</f>
        <v>33</v>
      </c>
      <c r="M468" s="5">
        <f>IF(COUNTIFS($A$2:A468,A468,$D$2:D468,D468)=1,L468,0)</f>
        <v>0</v>
      </c>
      <c r="N468" s="4">
        <f t="shared" si="38"/>
        <v>135.1718181818182</v>
      </c>
      <c r="O468" t="str">
        <f t="shared" si="39"/>
        <v>OK</v>
      </c>
    </row>
    <row r="469" spans="1:15">
      <c r="A469" t="str">
        <f>'Raw Data'!A469</f>
        <v>Austin RM-07</v>
      </c>
      <c r="B469" t="str">
        <f>'Raw Data'!B469</f>
        <v>South</v>
      </c>
      <c r="C469" t="str">
        <f>'Raw Data'!C469</f>
        <v>Sports</v>
      </c>
      <c r="D469" s="3">
        <f>'Raw Data'!D469</f>
        <v>45809</v>
      </c>
      <c r="E469" t="str">
        <f t="shared" si="35"/>
        <v>Jun</v>
      </c>
      <c r="F469" s="5">
        <f>'Raw Data'!E469</f>
        <v>139</v>
      </c>
      <c r="G469" s="4">
        <f>'Raw Data'!F469</f>
        <v>8856.19</v>
      </c>
      <c r="H469" s="4">
        <f>'Raw Data'!G469</f>
        <v>5731.38</v>
      </c>
      <c r="I469" s="4">
        <f t="shared" si="36"/>
        <v>3124.8100000000004</v>
      </c>
      <c r="J469" s="8">
        <f t="shared" si="37"/>
        <v>0.35283908768894978</v>
      </c>
      <c r="K469" s="6">
        <f>'Raw Data'!I469</f>
        <v>4.55</v>
      </c>
      <c r="L469" s="5">
        <f>'Raw Data'!J469</f>
        <v>33</v>
      </c>
      <c r="M469" s="5">
        <f>IF(COUNTIFS($A$2:A469,A469,$D$2:D469,D469)=1,L469,0)</f>
        <v>0</v>
      </c>
      <c r="N469" s="4">
        <f t="shared" si="38"/>
        <v>268.36939393939394</v>
      </c>
      <c r="O469" t="str">
        <f t="shared" si="39"/>
        <v>OK</v>
      </c>
    </row>
    <row r="470" spans="1:15">
      <c r="A470" t="str">
        <f>'Raw Data'!A470</f>
        <v>Austin RM-07</v>
      </c>
      <c r="B470" t="str">
        <f>'Raw Data'!B470</f>
        <v>South</v>
      </c>
      <c r="C470" t="str">
        <f>'Raw Data'!C470</f>
        <v>Electronics</v>
      </c>
      <c r="D470" s="3">
        <f>'Raw Data'!D470</f>
        <v>45839</v>
      </c>
      <c r="E470" t="str">
        <f t="shared" si="35"/>
        <v>Jul</v>
      </c>
      <c r="F470" s="5">
        <f>'Raw Data'!E470</f>
        <v>172</v>
      </c>
      <c r="G470" s="4">
        <f>'Raw Data'!F470</f>
        <v>26187.32</v>
      </c>
      <c r="H470" s="4">
        <f>'Raw Data'!G470</f>
        <v>20359.37</v>
      </c>
      <c r="I470" s="4">
        <f t="shared" si="36"/>
        <v>5827.9500000000007</v>
      </c>
      <c r="J470" s="8">
        <f t="shared" si="37"/>
        <v>0.2225485463957366</v>
      </c>
      <c r="K470" s="6">
        <f>'Raw Data'!I470</f>
        <v>4.5199999999999996</v>
      </c>
      <c r="L470" s="5">
        <f>'Raw Data'!J470</f>
        <v>32</v>
      </c>
      <c r="M470" s="5">
        <f>IF(COUNTIFS($A$2:A470,A470,$D$2:D470,D470)=1,L470,0)</f>
        <v>32</v>
      </c>
      <c r="N470" s="4">
        <f t="shared" si="38"/>
        <v>818.35374999999999</v>
      </c>
      <c r="O470" t="str">
        <f t="shared" si="39"/>
        <v>OK</v>
      </c>
    </row>
    <row r="471" spans="1:15">
      <c r="A471" t="str">
        <f>'Raw Data'!A471</f>
        <v>Austin RM-07</v>
      </c>
      <c r="B471" t="str">
        <f>'Raw Data'!B471</f>
        <v>South</v>
      </c>
      <c r="C471" t="str">
        <f>'Raw Data'!C471</f>
        <v>Home Goods</v>
      </c>
      <c r="D471" s="3">
        <f>'Raw Data'!D471</f>
        <v>45839</v>
      </c>
      <c r="E471" t="str">
        <f t="shared" si="35"/>
        <v>Jul</v>
      </c>
      <c r="F471" s="5">
        <f>'Raw Data'!E471</f>
        <v>134</v>
      </c>
      <c r="G471" s="4">
        <f>'Raw Data'!F471</f>
        <v>9785.7099999999991</v>
      </c>
      <c r="H471" s="4">
        <f>'Raw Data'!G471</f>
        <v>6566.1</v>
      </c>
      <c r="I471" s="4">
        <f t="shared" si="36"/>
        <v>3219.6099999999988</v>
      </c>
      <c r="J471" s="8">
        <f t="shared" si="37"/>
        <v>0.3290113849684897</v>
      </c>
      <c r="K471" s="6">
        <f>'Raw Data'!I471</f>
        <v>4.6399999999999997</v>
      </c>
      <c r="L471" s="5">
        <f>'Raw Data'!J471</f>
        <v>32</v>
      </c>
      <c r="M471" s="5">
        <f>IF(COUNTIFS($A$2:A471,A471,$D$2:D471,D471)=1,L471,0)</f>
        <v>0</v>
      </c>
      <c r="N471" s="4">
        <f t="shared" si="38"/>
        <v>305.80343749999997</v>
      </c>
      <c r="O471" t="str">
        <f t="shared" si="39"/>
        <v>OK</v>
      </c>
    </row>
    <row r="472" spans="1:15">
      <c r="A472" t="str">
        <f>'Raw Data'!A472</f>
        <v>Austin RM-07</v>
      </c>
      <c r="B472" t="str">
        <f>'Raw Data'!B472</f>
        <v>South</v>
      </c>
      <c r="C472" t="str">
        <f>'Raw Data'!C472</f>
        <v>Apparel</v>
      </c>
      <c r="D472" s="3">
        <f>'Raw Data'!D472</f>
        <v>45839</v>
      </c>
      <c r="E472" t="str">
        <f t="shared" si="35"/>
        <v>Jul</v>
      </c>
      <c r="F472" s="5">
        <f>'Raw Data'!E472</f>
        <v>149</v>
      </c>
      <c r="G472" s="4">
        <f>'Raw Data'!F472</f>
        <v>7024</v>
      </c>
      <c r="H472" s="4">
        <f>'Raw Data'!G472</f>
        <v>4380.67</v>
      </c>
      <c r="I472" s="4">
        <f t="shared" si="36"/>
        <v>2643.33</v>
      </c>
      <c r="J472" s="8">
        <f t="shared" si="37"/>
        <v>0.37632830296127562</v>
      </c>
      <c r="K472" s="6">
        <f>'Raw Data'!I472</f>
        <v>4.66</v>
      </c>
      <c r="L472" s="5">
        <f>'Raw Data'!J472</f>
        <v>32</v>
      </c>
      <c r="M472" s="5">
        <f>IF(COUNTIFS($A$2:A472,A472,$D$2:D472,D472)=1,L472,0)</f>
        <v>0</v>
      </c>
      <c r="N472" s="4">
        <f t="shared" si="38"/>
        <v>219.5</v>
      </c>
      <c r="O472" t="str">
        <f t="shared" si="39"/>
        <v>OK</v>
      </c>
    </row>
    <row r="473" spans="1:15">
      <c r="A473" t="str">
        <f>'Raw Data'!A473</f>
        <v>Austin RM-07</v>
      </c>
      <c r="B473" t="str">
        <f>'Raw Data'!B473</f>
        <v>South</v>
      </c>
      <c r="C473" t="str">
        <f>'Raw Data'!C473</f>
        <v>Beauty</v>
      </c>
      <c r="D473" s="3">
        <f>'Raw Data'!D473</f>
        <v>45839</v>
      </c>
      <c r="E473" t="str">
        <f t="shared" si="35"/>
        <v>Jul</v>
      </c>
      <c r="F473" s="5">
        <f>'Raw Data'!E473</f>
        <v>151</v>
      </c>
      <c r="G473" s="4">
        <f>'Raw Data'!F473</f>
        <v>5805.99</v>
      </c>
      <c r="H473" s="4">
        <f>'Raw Data'!G473</f>
        <v>2890.55</v>
      </c>
      <c r="I473" s="4">
        <f t="shared" si="36"/>
        <v>2915.4399999999996</v>
      </c>
      <c r="J473" s="8">
        <f t="shared" si="37"/>
        <v>0.50214347596189446</v>
      </c>
      <c r="K473" s="6">
        <f>'Raw Data'!I473</f>
        <v>4.72</v>
      </c>
      <c r="L473" s="5">
        <f>'Raw Data'!J473</f>
        <v>32</v>
      </c>
      <c r="M473" s="5">
        <f>IF(COUNTIFS($A$2:A473,A473,$D$2:D473,D473)=1,L473,0)</f>
        <v>0</v>
      </c>
      <c r="N473" s="4">
        <f t="shared" si="38"/>
        <v>181.43718749999999</v>
      </c>
      <c r="O473" t="str">
        <f t="shared" si="39"/>
        <v>OK</v>
      </c>
    </row>
    <row r="474" spans="1:15">
      <c r="A474" t="str">
        <f>'Raw Data'!A474</f>
        <v>Austin RM-07</v>
      </c>
      <c r="B474" t="str">
        <f>'Raw Data'!B474</f>
        <v>South</v>
      </c>
      <c r="C474" t="str">
        <f>'Raw Data'!C474</f>
        <v>Grocery</v>
      </c>
      <c r="D474" s="3">
        <f>'Raw Data'!D474</f>
        <v>45839</v>
      </c>
      <c r="E474" t="str">
        <f t="shared" si="35"/>
        <v>Jul</v>
      </c>
      <c r="F474" s="5">
        <f>'Raw Data'!E474</f>
        <v>233</v>
      </c>
      <c r="G474" s="4">
        <f>'Raw Data'!F474</f>
        <v>4084.96</v>
      </c>
      <c r="H474" s="4">
        <f>'Raw Data'!G474</f>
        <v>3675.22</v>
      </c>
      <c r="I474" s="4">
        <f t="shared" si="36"/>
        <v>409.74000000000024</v>
      </c>
      <c r="J474" s="8">
        <f t="shared" si="37"/>
        <v>0.10030453174572095</v>
      </c>
      <c r="K474" s="6">
        <f>'Raw Data'!I474</f>
        <v>4.57</v>
      </c>
      <c r="L474" s="5">
        <f>'Raw Data'!J474</f>
        <v>32</v>
      </c>
      <c r="M474" s="5">
        <f>IF(COUNTIFS($A$2:A474,A474,$D$2:D474,D474)=1,L474,0)</f>
        <v>0</v>
      </c>
      <c r="N474" s="4">
        <f t="shared" si="38"/>
        <v>127.655</v>
      </c>
      <c r="O474" t="str">
        <f t="shared" si="39"/>
        <v>OK</v>
      </c>
    </row>
    <row r="475" spans="1:15">
      <c r="A475" t="str">
        <f>'Raw Data'!A475</f>
        <v>Austin RM-07</v>
      </c>
      <c r="B475" t="str">
        <f>'Raw Data'!B475</f>
        <v>South</v>
      </c>
      <c r="C475" t="str">
        <f>'Raw Data'!C475</f>
        <v>Sports</v>
      </c>
      <c r="D475" s="3">
        <f>'Raw Data'!D475</f>
        <v>45839</v>
      </c>
      <c r="E475" t="str">
        <f t="shared" si="35"/>
        <v>Jul</v>
      </c>
      <c r="F475" s="5">
        <f>'Raw Data'!E475</f>
        <v>139</v>
      </c>
      <c r="G475" s="4">
        <f>'Raw Data'!F475</f>
        <v>9213.6</v>
      </c>
      <c r="H475" s="4">
        <f>'Raw Data'!G475</f>
        <v>6170.01</v>
      </c>
      <c r="I475" s="4">
        <f t="shared" si="36"/>
        <v>3043.59</v>
      </c>
      <c r="J475" s="8">
        <f t="shared" si="37"/>
        <v>0.33033667621776502</v>
      </c>
      <c r="K475" s="6">
        <f>'Raw Data'!I475</f>
        <v>4.4000000000000004</v>
      </c>
      <c r="L475" s="5">
        <f>'Raw Data'!J475</f>
        <v>32</v>
      </c>
      <c r="M475" s="5">
        <f>IF(COUNTIFS($A$2:A475,A475,$D$2:D475,D475)=1,L475,0)</f>
        <v>0</v>
      </c>
      <c r="N475" s="4">
        <f t="shared" si="38"/>
        <v>287.92500000000001</v>
      </c>
      <c r="O475" t="str">
        <f t="shared" si="39"/>
        <v>OK</v>
      </c>
    </row>
    <row r="476" spans="1:15">
      <c r="A476" t="str">
        <f>'Raw Data'!A476</f>
        <v>Austin RM-07</v>
      </c>
      <c r="B476" t="str">
        <f>'Raw Data'!B476</f>
        <v>South</v>
      </c>
      <c r="C476" t="str">
        <f>'Raw Data'!C476</f>
        <v>Electronics</v>
      </c>
      <c r="D476" s="3">
        <f>'Raw Data'!D476</f>
        <v>45870</v>
      </c>
      <c r="E476" t="str">
        <f t="shared" si="35"/>
        <v>Aug</v>
      </c>
      <c r="F476" s="5">
        <f>'Raw Data'!E476</f>
        <v>158</v>
      </c>
      <c r="G476" s="4">
        <f>'Raw Data'!F476</f>
        <v>23475.78</v>
      </c>
      <c r="H476" s="4">
        <f>'Raw Data'!G476</f>
        <v>18079.150000000001</v>
      </c>
      <c r="I476" s="4">
        <f t="shared" si="36"/>
        <v>5396.6299999999974</v>
      </c>
      <c r="J476" s="8">
        <f t="shared" si="37"/>
        <v>0.22988075369593675</v>
      </c>
      <c r="K476" s="6">
        <f>'Raw Data'!I476</f>
        <v>4.4000000000000004</v>
      </c>
      <c r="L476" s="5">
        <f>'Raw Data'!J476</f>
        <v>32</v>
      </c>
      <c r="M476" s="5">
        <f>IF(COUNTIFS($A$2:A476,A476,$D$2:D476,D476)=1,L476,0)</f>
        <v>32</v>
      </c>
      <c r="N476" s="4">
        <f t="shared" si="38"/>
        <v>733.61812499999996</v>
      </c>
      <c r="O476" t="str">
        <f t="shared" si="39"/>
        <v>OK</v>
      </c>
    </row>
    <row r="477" spans="1:15">
      <c r="A477" t="str">
        <f>'Raw Data'!A477</f>
        <v>Austin RM-07</v>
      </c>
      <c r="B477" t="str">
        <f>'Raw Data'!B477</f>
        <v>South</v>
      </c>
      <c r="C477" t="str">
        <f>'Raw Data'!C477</f>
        <v>Home Goods</v>
      </c>
      <c r="D477" s="3">
        <f>'Raw Data'!D477</f>
        <v>45870</v>
      </c>
      <c r="E477" t="str">
        <f t="shared" si="35"/>
        <v>Aug</v>
      </c>
      <c r="F477" s="5">
        <f>'Raw Data'!E477</f>
        <v>136</v>
      </c>
      <c r="G477" s="4">
        <f>'Raw Data'!F477</f>
        <v>10880.2</v>
      </c>
      <c r="H477" s="4">
        <f>'Raw Data'!G477</f>
        <v>7459.29</v>
      </c>
      <c r="I477" s="4">
        <f t="shared" si="36"/>
        <v>3420.9100000000008</v>
      </c>
      <c r="J477" s="8">
        <f t="shared" si="37"/>
        <v>0.31441609529236597</v>
      </c>
      <c r="K477" s="6">
        <f>'Raw Data'!I477</f>
        <v>4.6100000000000003</v>
      </c>
      <c r="L477" s="5">
        <f>'Raw Data'!J477</f>
        <v>32</v>
      </c>
      <c r="M477" s="5">
        <f>IF(COUNTIFS($A$2:A477,A477,$D$2:D477,D477)=1,L477,0)</f>
        <v>0</v>
      </c>
      <c r="N477" s="4">
        <f t="shared" si="38"/>
        <v>340.00625000000002</v>
      </c>
      <c r="O477" t="str">
        <f t="shared" si="39"/>
        <v>OK</v>
      </c>
    </row>
    <row r="478" spans="1:15">
      <c r="A478" t="str">
        <f>'Raw Data'!A478</f>
        <v>Austin RM-07</v>
      </c>
      <c r="B478" t="str">
        <f>'Raw Data'!B478</f>
        <v>South</v>
      </c>
      <c r="C478" t="str">
        <f>'Raw Data'!C478</f>
        <v>Apparel</v>
      </c>
      <c r="D478" s="3">
        <f>'Raw Data'!D478</f>
        <v>45870</v>
      </c>
      <c r="E478" t="str">
        <f t="shared" si="35"/>
        <v>Aug</v>
      </c>
      <c r="F478" s="5">
        <f>'Raw Data'!E478</f>
        <v>201</v>
      </c>
      <c r="G478" s="4">
        <f>'Raw Data'!F478</f>
        <v>10294.27</v>
      </c>
      <c r="H478" s="4">
        <f>'Raw Data'!G478</f>
        <v>6327.42</v>
      </c>
      <c r="I478" s="4">
        <f t="shared" si="36"/>
        <v>3966.8500000000004</v>
      </c>
      <c r="J478" s="8">
        <f t="shared" si="37"/>
        <v>0.38534543974463464</v>
      </c>
      <c r="K478" s="6">
        <f>'Raw Data'!I478</f>
        <v>4.7</v>
      </c>
      <c r="L478" s="5">
        <f>'Raw Data'!J478</f>
        <v>32</v>
      </c>
      <c r="M478" s="5">
        <f>IF(COUNTIFS($A$2:A478,A478,$D$2:D478,D478)=1,L478,0)</f>
        <v>0</v>
      </c>
      <c r="N478" s="4">
        <f t="shared" si="38"/>
        <v>321.69593750000001</v>
      </c>
      <c r="O478" t="str">
        <f t="shared" si="39"/>
        <v>OK</v>
      </c>
    </row>
    <row r="479" spans="1:15">
      <c r="A479" t="str">
        <f>'Raw Data'!A479</f>
        <v>Austin RM-07</v>
      </c>
      <c r="B479" t="str">
        <f>'Raw Data'!B479</f>
        <v>South</v>
      </c>
      <c r="C479" t="str">
        <f>'Raw Data'!C479</f>
        <v>Beauty</v>
      </c>
      <c r="D479" s="3">
        <f>'Raw Data'!D479</f>
        <v>45870</v>
      </c>
      <c r="E479" t="str">
        <f t="shared" si="35"/>
        <v>Aug</v>
      </c>
      <c r="F479" s="5">
        <f>'Raw Data'!E479</f>
        <v>148</v>
      </c>
      <c r="G479" s="4">
        <f>'Raw Data'!F479</f>
        <v>5166.3100000000004</v>
      </c>
      <c r="H479" s="4">
        <f>'Raw Data'!G479</f>
        <v>2545.25</v>
      </c>
      <c r="I479" s="4">
        <f t="shared" si="36"/>
        <v>2621.0600000000004</v>
      </c>
      <c r="J479" s="8">
        <f t="shared" si="37"/>
        <v>0.50733695809968826</v>
      </c>
      <c r="K479" s="6">
        <f>'Raw Data'!I479</f>
        <v>4.6399999999999997</v>
      </c>
      <c r="L479" s="5">
        <f>'Raw Data'!J479</f>
        <v>32</v>
      </c>
      <c r="M479" s="5">
        <f>IF(COUNTIFS($A$2:A479,A479,$D$2:D479,D479)=1,L479,0)</f>
        <v>0</v>
      </c>
      <c r="N479" s="4">
        <f t="shared" si="38"/>
        <v>161.44718750000001</v>
      </c>
      <c r="O479" t="str">
        <f t="shared" si="39"/>
        <v>OK</v>
      </c>
    </row>
    <row r="480" spans="1:15">
      <c r="A480" t="str">
        <f>'Raw Data'!A480</f>
        <v>Austin RM-07</v>
      </c>
      <c r="B480" t="str">
        <f>'Raw Data'!B480</f>
        <v>South</v>
      </c>
      <c r="C480" t="str">
        <f>'Raw Data'!C480</f>
        <v>Grocery</v>
      </c>
      <c r="D480" s="3">
        <f>'Raw Data'!D480</f>
        <v>45870</v>
      </c>
      <c r="E480" t="str">
        <f t="shared" si="35"/>
        <v>Aug</v>
      </c>
      <c r="F480" s="5">
        <f>'Raw Data'!E480</f>
        <v>231</v>
      </c>
      <c r="G480" s="4">
        <f>'Raw Data'!F480</f>
        <v>4440.83</v>
      </c>
      <c r="H480" s="4">
        <f>'Raw Data'!G480</f>
        <v>4142.51</v>
      </c>
      <c r="I480" s="4">
        <f t="shared" si="36"/>
        <v>298.31999999999971</v>
      </c>
      <c r="J480" s="8">
        <f t="shared" si="37"/>
        <v>6.7176631395482314E-2</v>
      </c>
      <c r="K480" s="6">
        <f>'Raw Data'!I480</f>
        <v>4.59</v>
      </c>
      <c r="L480" s="5">
        <f>'Raw Data'!J480</f>
        <v>32</v>
      </c>
      <c r="M480" s="5">
        <f>IF(COUNTIFS($A$2:A480,A480,$D$2:D480,D480)=1,L480,0)</f>
        <v>0</v>
      </c>
      <c r="N480" s="4">
        <f t="shared" si="38"/>
        <v>138.7759375</v>
      </c>
      <c r="O480" t="str">
        <f t="shared" si="39"/>
        <v>OK</v>
      </c>
    </row>
    <row r="481" spans="1:15">
      <c r="A481" t="str">
        <f>'Raw Data'!A481</f>
        <v>Austin RM-07</v>
      </c>
      <c r="B481" t="str">
        <f>'Raw Data'!B481</f>
        <v>South</v>
      </c>
      <c r="C481" t="str">
        <f>'Raw Data'!C481</f>
        <v>Sports</v>
      </c>
      <c r="D481" s="3">
        <f>'Raw Data'!D481</f>
        <v>45870</v>
      </c>
      <c r="E481" t="str">
        <f t="shared" si="35"/>
        <v>Aug</v>
      </c>
      <c r="F481" s="5">
        <f>'Raw Data'!E481</f>
        <v>116</v>
      </c>
      <c r="G481" s="4">
        <f>'Raw Data'!F481</f>
        <v>7159.84</v>
      </c>
      <c r="H481" s="4">
        <f>'Raw Data'!G481</f>
        <v>4665.68</v>
      </c>
      <c r="I481" s="4">
        <f t="shared" si="36"/>
        <v>2494.16</v>
      </c>
      <c r="J481" s="8">
        <f t="shared" si="37"/>
        <v>0.34835415316543383</v>
      </c>
      <c r="K481" s="6">
        <f>'Raw Data'!I481</f>
        <v>4.49</v>
      </c>
      <c r="L481" s="5">
        <f>'Raw Data'!J481</f>
        <v>32</v>
      </c>
      <c r="M481" s="5">
        <f>IF(COUNTIFS($A$2:A481,A481,$D$2:D481,D481)=1,L481,0)</f>
        <v>0</v>
      </c>
      <c r="N481" s="4">
        <f t="shared" si="38"/>
        <v>223.745</v>
      </c>
      <c r="O481" t="str">
        <f t="shared" si="39"/>
        <v>OK</v>
      </c>
    </row>
    <row r="482" spans="1:15">
      <c r="A482" t="str">
        <f>'Raw Data'!A482</f>
        <v>Austin RM-07</v>
      </c>
      <c r="B482" t="str">
        <f>'Raw Data'!B482</f>
        <v>South</v>
      </c>
      <c r="C482" t="str">
        <f>'Raw Data'!C482</f>
        <v>Electronics</v>
      </c>
      <c r="D482" s="3">
        <f>'Raw Data'!D482</f>
        <v>45901</v>
      </c>
      <c r="E482" t="str">
        <f t="shared" si="35"/>
        <v>Sep</v>
      </c>
      <c r="F482" s="5">
        <f>'Raw Data'!E482</f>
        <v>131</v>
      </c>
      <c r="G482" s="4">
        <f>'Raw Data'!F482</f>
        <v>18810.68</v>
      </c>
      <c r="H482" s="4">
        <f>'Raw Data'!G482</f>
        <v>14796.17</v>
      </c>
      <c r="I482" s="4">
        <f t="shared" si="36"/>
        <v>4014.51</v>
      </c>
      <c r="J482" s="8">
        <f t="shared" si="37"/>
        <v>0.21341652720688462</v>
      </c>
      <c r="K482" s="6">
        <f>'Raw Data'!I482</f>
        <v>4.55</v>
      </c>
      <c r="L482" s="5">
        <f>'Raw Data'!J482</f>
        <v>31</v>
      </c>
      <c r="M482" s="5">
        <f>IF(COUNTIFS($A$2:A482,A482,$D$2:D482,D482)=1,L482,0)</f>
        <v>31</v>
      </c>
      <c r="N482" s="4">
        <f t="shared" si="38"/>
        <v>606.79612903225802</v>
      </c>
      <c r="O482" t="str">
        <f t="shared" si="39"/>
        <v>OK</v>
      </c>
    </row>
    <row r="483" spans="1:15">
      <c r="A483" t="str">
        <f>'Raw Data'!A483</f>
        <v>Austin RM-07</v>
      </c>
      <c r="B483" t="str">
        <f>'Raw Data'!B483</f>
        <v>South</v>
      </c>
      <c r="C483" t="str">
        <f>'Raw Data'!C483</f>
        <v>Home Goods</v>
      </c>
      <c r="D483" s="3">
        <f>'Raw Data'!D483</f>
        <v>45901</v>
      </c>
      <c r="E483" t="str">
        <f t="shared" si="35"/>
        <v>Sep</v>
      </c>
      <c r="F483" s="5">
        <f>'Raw Data'!E483</f>
        <v>136</v>
      </c>
      <c r="G483" s="4">
        <f>'Raw Data'!F483</f>
        <v>10435.42</v>
      </c>
      <c r="H483" s="4">
        <f>'Raw Data'!G483</f>
        <v>7006.66</v>
      </c>
      <c r="I483" s="4">
        <f t="shared" si="36"/>
        <v>3428.76</v>
      </c>
      <c r="J483" s="8">
        <f t="shared" si="37"/>
        <v>0.32856942988399129</v>
      </c>
      <c r="K483" s="6">
        <f>'Raw Data'!I483</f>
        <v>4.72</v>
      </c>
      <c r="L483" s="5">
        <f>'Raw Data'!J483</f>
        <v>31</v>
      </c>
      <c r="M483" s="5">
        <f>IF(COUNTIFS($A$2:A483,A483,$D$2:D483,D483)=1,L483,0)</f>
        <v>0</v>
      </c>
      <c r="N483" s="4">
        <f t="shared" si="38"/>
        <v>336.62645161290322</v>
      </c>
      <c r="O483" t="str">
        <f t="shared" si="39"/>
        <v>OK</v>
      </c>
    </row>
    <row r="484" spans="1:15">
      <c r="A484" t="str">
        <f>'Raw Data'!A484</f>
        <v>Austin RM-07</v>
      </c>
      <c r="B484" t="str">
        <f>'Raw Data'!B484</f>
        <v>South</v>
      </c>
      <c r="C484" t="str">
        <f>'Raw Data'!C484</f>
        <v>Apparel</v>
      </c>
      <c r="D484" s="3">
        <f>'Raw Data'!D484</f>
        <v>45901</v>
      </c>
      <c r="E484" t="str">
        <f t="shared" si="35"/>
        <v>Sep</v>
      </c>
      <c r="F484" s="5">
        <f>'Raw Data'!E484</f>
        <v>137</v>
      </c>
      <c r="G484" s="4">
        <f>'Raw Data'!F484</f>
        <v>7023.21</v>
      </c>
      <c r="H484" s="4">
        <f>'Raw Data'!G484</f>
        <v>4376.3599999999997</v>
      </c>
      <c r="I484" s="4">
        <f t="shared" si="36"/>
        <v>2646.8500000000004</v>
      </c>
      <c r="J484" s="8">
        <f t="shared" si="37"/>
        <v>0.37687182926325719</v>
      </c>
      <c r="K484" s="6">
        <f>'Raw Data'!I484</f>
        <v>4.5199999999999996</v>
      </c>
      <c r="L484" s="5">
        <f>'Raw Data'!J484</f>
        <v>31</v>
      </c>
      <c r="M484" s="5">
        <f>IF(COUNTIFS($A$2:A484,A484,$D$2:D484,D484)=1,L484,0)</f>
        <v>0</v>
      </c>
      <c r="N484" s="4">
        <f t="shared" si="38"/>
        <v>226.55516129032259</v>
      </c>
      <c r="O484" t="str">
        <f t="shared" si="39"/>
        <v>OK</v>
      </c>
    </row>
    <row r="485" spans="1:15">
      <c r="A485" t="str">
        <f>'Raw Data'!A485</f>
        <v>Austin RM-07</v>
      </c>
      <c r="B485" t="str">
        <f>'Raw Data'!B485</f>
        <v>South</v>
      </c>
      <c r="C485" t="str">
        <f>'Raw Data'!C485</f>
        <v>Beauty</v>
      </c>
      <c r="D485" s="3">
        <f>'Raw Data'!D485</f>
        <v>45901</v>
      </c>
      <c r="E485" t="str">
        <f t="shared" si="35"/>
        <v>Sep</v>
      </c>
      <c r="F485" s="5">
        <f>'Raw Data'!E485</f>
        <v>138</v>
      </c>
      <c r="G485" s="4">
        <f>'Raw Data'!F485</f>
        <v>5061.17</v>
      </c>
      <c r="H485" s="4">
        <f>'Raw Data'!G485</f>
        <v>2528.08</v>
      </c>
      <c r="I485" s="4">
        <f t="shared" si="36"/>
        <v>2533.09</v>
      </c>
      <c r="J485" s="8">
        <f t="shared" si="37"/>
        <v>0.50049494484476909</v>
      </c>
      <c r="K485" s="6">
        <f>'Raw Data'!I485</f>
        <v>4.42</v>
      </c>
      <c r="L485" s="5">
        <f>'Raw Data'!J485</f>
        <v>31</v>
      </c>
      <c r="M485" s="5">
        <f>IF(COUNTIFS($A$2:A485,A485,$D$2:D485,D485)=1,L485,0)</f>
        <v>0</v>
      </c>
      <c r="N485" s="4">
        <f t="shared" si="38"/>
        <v>163.26354838709679</v>
      </c>
      <c r="O485" t="str">
        <f t="shared" si="39"/>
        <v>OK</v>
      </c>
    </row>
    <row r="486" spans="1:15">
      <c r="A486" t="str">
        <f>'Raw Data'!A486</f>
        <v>Austin RM-07</v>
      </c>
      <c r="B486" t="str">
        <f>'Raw Data'!B486</f>
        <v>South</v>
      </c>
      <c r="C486" t="str">
        <f>'Raw Data'!C486</f>
        <v>Grocery</v>
      </c>
      <c r="D486" s="3">
        <f>'Raw Data'!D486</f>
        <v>45901</v>
      </c>
      <c r="E486" t="str">
        <f t="shared" si="35"/>
        <v>Sep</v>
      </c>
      <c r="F486" s="5">
        <f>'Raw Data'!E486</f>
        <v>219</v>
      </c>
      <c r="G486" s="4">
        <f>'Raw Data'!F486</f>
        <v>4025.1</v>
      </c>
      <c r="H486" s="4">
        <f>'Raw Data'!G486</f>
        <v>3716.82</v>
      </c>
      <c r="I486" s="4">
        <f t="shared" si="36"/>
        <v>308.27999999999975</v>
      </c>
      <c r="J486" s="8">
        <f t="shared" si="37"/>
        <v>7.6589401505552601E-2</v>
      </c>
      <c r="K486" s="6">
        <f>'Raw Data'!I486</f>
        <v>4.3899999999999997</v>
      </c>
      <c r="L486" s="5">
        <f>'Raw Data'!J486</f>
        <v>31</v>
      </c>
      <c r="M486" s="5">
        <f>IF(COUNTIFS($A$2:A486,A486,$D$2:D486,D486)=1,L486,0)</f>
        <v>0</v>
      </c>
      <c r="N486" s="4">
        <f t="shared" si="38"/>
        <v>129.84193548387097</v>
      </c>
      <c r="O486" t="str">
        <f t="shared" si="39"/>
        <v>OK</v>
      </c>
    </row>
    <row r="487" spans="1:15">
      <c r="A487" t="str">
        <f>'Raw Data'!A487</f>
        <v>Austin RM-07</v>
      </c>
      <c r="B487" t="str">
        <f>'Raw Data'!B487</f>
        <v>South</v>
      </c>
      <c r="C487" t="str">
        <f>'Raw Data'!C487</f>
        <v>Sports</v>
      </c>
      <c r="D487" s="3">
        <f>'Raw Data'!D487</f>
        <v>45901</v>
      </c>
      <c r="E487" t="str">
        <f t="shared" si="35"/>
        <v>Sep</v>
      </c>
      <c r="F487" s="5">
        <f>'Raw Data'!E487</f>
        <v>119</v>
      </c>
      <c r="G487" s="4">
        <f>'Raw Data'!F487</f>
        <v>7276.04</v>
      </c>
      <c r="H487" s="4">
        <f>'Raw Data'!G487</f>
        <v>4825.3599999999997</v>
      </c>
      <c r="I487" s="4">
        <f t="shared" si="36"/>
        <v>2450.6800000000003</v>
      </c>
      <c r="J487" s="8">
        <f t="shared" si="37"/>
        <v>0.33681508073072719</v>
      </c>
      <c r="K487" s="6">
        <f>'Raw Data'!I487</f>
        <v>4.67</v>
      </c>
      <c r="L487" s="5">
        <f>'Raw Data'!J487</f>
        <v>31</v>
      </c>
      <c r="M487" s="5">
        <f>IF(COUNTIFS($A$2:A487,A487,$D$2:D487,D487)=1,L487,0)</f>
        <v>0</v>
      </c>
      <c r="N487" s="4">
        <f t="shared" si="38"/>
        <v>234.71096774193549</v>
      </c>
      <c r="O487" t="str">
        <f t="shared" si="39"/>
        <v>OK</v>
      </c>
    </row>
    <row r="488" spans="1:15">
      <c r="A488" t="str">
        <f>'Raw Data'!A488</f>
        <v>Austin RM-07</v>
      </c>
      <c r="B488" t="str">
        <f>'Raw Data'!B488</f>
        <v>South</v>
      </c>
      <c r="C488" t="str">
        <f>'Raw Data'!C488</f>
        <v>Electronics</v>
      </c>
      <c r="D488" s="3">
        <f>'Raw Data'!D488</f>
        <v>45931</v>
      </c>
      <c r="E488" t="str">
        <f t="shared" si="35"/>
        <v>Oct</v>
      </c>
      <c r="F488" s="5">
        <f>'Raw Data'!E488</f>
        <v>123</v>
      </c>
      <c r="G488" s="4">
        <f>'Raw Data'!F488</f>
        <v>17607.759999999998</v>
      </c>
      <c r="H488" s="4">
        <f>'Raw Data'!G488</f>
        <v>14380.34</v>
      </c>
      <c r="I488" s="4">
        <f t="shared" si="36"/>
        <v>3227.4199999999983</v>
      </c>
      <c r="J488" s="8">
        <f t="shared" si="37"/>
        <v>0.18329531979081942</v>
      </c>
      <c r="K488" s="6">
        <f>'Raw Data'!I488</f>
        <v>4.55</v>
      </c>
      <c r="L488" s="5">
        <f>'Raw Data'!J488</f>
        <v>32</v>
      </c>
      <c r="M488" s="5">
        <f>IF(COUNTIFS($A$2:A488,A488,$D$2:D488,D488)=1,L488,0)</f>
        <v>32</v>
      </c>
      <c r="N488" s="4">
        <f t="shared" si="38"/>
        <v>550.24249999999995</v>
      </c>
      <c r="O488" t="str">
        <f t="shared" si="39"/>
        <v>OK</v>
      </c>
    </row>
    <row r="489" spans="1:15">
      <c r="A489" t="str">
        <f>'Raw Data'!A489</f>
        <v>Austin RM-07</v>
      </c>
      <c r="B489" t="str">
        <f>'Raw Data'!B489</f>
        <v>South</v>
      </c>
      <c r="C489" t="str">
        <f>'Raw Data'!C489</f>
        <v>Home Goods</v>
      </c>
      <c r="D489" s="3">
        <f>'Raw Data'!D489</f>
        <v>45931</v>
      </c>
      <c r="E489" t="str">
        <f t="shared" si="35"/>
        <v>Oct</v>
      </c>
      <c r="F489" s="5">
        <f>'Raw Data'!E489</f>
        <v>127</v>
      </c>
      <c r="G489" s="4">
        <f>'Raw Data'!F489</f>
        <v>10050.61</v>
      </c>
      <c r="H489" s="4">
        <f>'Raw Data'!G489</f>
        <v>7075.39</v>
      </c>
      <c r="I489" s="4">
        <f t="shared" si="36"/>
        <v>2975.2200000000003</v>
      </c>
      <c r="J489" s="8">
        <f t="shared" si="37"/>
        <v>0.29602382342962269</v>
      </c>
      <c r="K489" s="6">
        <f>'Raw Data'!I489</f>
        <v>4.54</v>
      </c>
      <c r="L489" s="5">
        <f>'Raw Data'!J489</f>
        <v>32</v>
      </c>
      <c r="M489" s="5">
        <f>IF(COUNTIFS($A$2:A489,A489,$D$2:D489,D489)=1,L489,0)</f>
        <v>0</v>
      </c>
      <c r="N489" s="4">
        <f t="shared" si="38"/>
        <v>314.08156250000002</v>
      </c>
      <c r="O489" t="str">
        <f t="shared" si="39"/>
        <v>OK</v>
      </c>
    </row>
    <row r="490" spans="1:15">
      <c r="A490" t="str">
        <f>'Raw Data'!A490</f>
        <v>Austin RM-07</v>
      </c>
      <c r="B490" t="str">
        <f>'Raw Data'!B490</f>
        <v>South</v>
      </c>
      <c r="C490" t="str">
        <f>'Raw Data'!C490</f>
        <v>Apparel</v>
      </c>
      <c r="D490" s="3">
        <f>'Raw Data'!D490</f>
        <v>45931</v>
      </c>
      <c r="E490" t="str">
        <f t="shared" si="35"/>
        <v>Oct</v>
      </c>
      <c r="F490" s="5">
        <f>'Raw Data'!E490</f>
        <v>169</v>
      </c>
      <c r="G490" s="4">
        <f>'Raw Data'!F490</f>
        <v>7784.23</v>
      </c>
      <c r="H490" s="4">
        <f>'Raw Data'!G490</f>
        <v>4948.9799999999996</v>
      </c>
      <c r="I490" s="4">
        <f t="shared" si="36"/>
        <v>2835.25</v>
      </c>
      <c r="J490" s="8">
        <f t="shared" si="37"/>
        <v>0.36422998806561474</v>
      </c>
      <c r="K490" s="6">
        <f>'Raw Data'!I490</f>
        <v>4.4400000000000004</v>
      </c>
      <c r="L490" s="5">
        <f>'Raw Data'!J490</f>
        <v>32</v>
      </c>
      <c r="M490" s="5">
        <f>IF(COUNTIFS($A$2:A490,A490,$D$2:D490,D490)=1,L490,0)</f>
        <v>0</v>
      </c>
      <c r="N490" s="4">
        <f t="shared" si="38"/>
        <v>243.25718749999999</v>
      </c>
      <c r="O490" t="str">
        <f t="shared" si="39"/>
        <v>OK</v>
      </c>
    </row>
    <row r="491" spans="1:15">
      <c r="A491" t="str">
        <f>'Raw Data'!A491</f>
        <v>Austin RM-07</v>
      </c>
      <c r="B491" t="str">
        <f>'Raw Data'!B491</f>
        <v>South</v>
      </c>
      <c r="C491" t="str">
        <f>'Raw Data'!C491</f>
        <v>Beauty</v>
      </c>
      <c r="D491" s="3">
        <f>'Raw Data'!D491</f>
        <v>45931</v>
      </c>
      <c r="E491" t="str">
        <f t="shared" si="35"/>
        <v>Oct</v>
      </c>
      <c r="F491" s="5">
        <f>'Raw Data'!E491</f>
        <v>132</v>
      </c>
      <c r="G491" s="4">
        <f>'Raw Data'!F491</f>
        <v>5058.5600000000004</v>
      </c>
      <c r="H491" s="4">
        <f>'Raw Data'!G491</f>
        <v>2676.59</v>
      </c>
      <c r="I491" s="4">
        <f t="shared" si="36"/>
        <v>2381.9700000000003</v>
      </c>
      <c r="J491" s="8">
        <f t="shared" si="37"/>
        <v>0.47087906439777327</v>
      </c>
      <c r="K491" s="6">
        <f>'Raw Data'!I491</f>
        <v>4.71</v>
      </c>
      <c r="L491" s="5">
        <f>'Raw Data'!J491</f>
        <v>32</v>
      </c>
      <c r="M491" s="5">
        <f>IF(COUNTIFS($A$2:A491,A491,$D$2:D491,D491)=1,L491,0)</f>
        <v>0</v>
      </c>
      <c r="N491" s="4">
        <f t="shared" si="38"/>
        <v>158.08000000000001</v>
      </c>
      <c r="O491" t="str">
        <f t="shared" si="39"/>
        <v>OK</v>
      </c>
    </row>
    <row r="492" spans="1:15">
      <c r="A492" t="str">
        <f>'Raw Data'!A492</f>
        <v>Austin RM-07</v>
      </c>
      <c r="B492" t="str">
        <f>'Raw Data'!B492</f>
        <v>South</v>
      </c>
      <c r="C492" t="str">
        <f>'Raw Data'!C492</f>
        <v>Grocery</v>
      </c>
      <c r="D492" s="3">
        <f>'Raw Data'!D492</f>
        <v>45931</v>
      </c>
      <c r="E492" t="str">
        <f t="shared" si="35"/>
        <v>Oct</v>
      </c>
      <c r="F492" s="5">
        <f>'Raw Data'!E492</f>
        <v>200</v>
      </c>
      <c r="G492" s="4">
        <f>'Raw Data'!F492</f>
        <v>3421.46</v>
      </c>
      <c r="H492" s="4">
        <f>'Raw Data'!G492</f>
        <v>3256.62</v>
      </c>
      <c r="I492" s="4">
        <f t="shared" si="36"/>
        <v>164.84000000000015</v>
      </c>
      <c r="J492" s="8">
        <f t="shared" si="37"/>
        <v>4.8178263080673203E-2</v>
      </c>
      <c r="K492" s="6">
        <f>'Raw Data'!I492</f>
        <v>4.3600000000000003</v>
      </c>
      <c r="L492" s="5">
        <f>'Raw Data'!J492</f>
        <v>32</v>
      </c>
      <c r="M492" s="5">
        <f>IF(COUNTIFS($A$2:A492,A492,$D$2:D492,D492)=1,L492,0)</f>
        <v>0</v>
      </c>
      <c r="N492" s="4">
        <f t="shared" si="38"/>
        <v>106.920625</v>
      </c>
      <c r="O492" t="str">
        <f t="shared" si="39"/>
        <v>OK</v>
      </c>
    </row>
    <row r="493" spans="1:15">
      <c r="A493" t="str">
        <f>'Raw Data'!A493</f>
        <v>Austin RM-07</v>
      </c>
      <c r="B493" t="str">
        <f>'Raw Data'!B493</f>
        <v>South</v>
      </c>
      <c r="C493" t="str">
        <f>'Raw Data'!C493</f>
        <v>Sports</v>
      </c>
      <c r="D493" s="3">
        <f>'Raw Data'!D493</f>
        <v>45931</v>
      </c>
      <c r="E493" t="str">
        <f t="shared" si="35"/>
        <v>Oct</v>
      </c>
      <c r="F493" s="5">
        <f>'Raw Data'!E493</f>
        <v>104</v>
      </c>
      <c r="G493" s="4">
        <f>'Raw Data'!F493</f>
        <v>6066.88</v>
      </c>
      <c r="H493" s="4">
        <f>'Raw Data'!G493</f>
        <v>4000.14</v>
      </c>
      <c r="I493" s="4">
        <f t="shared" si="36"/>
        <v>2066.7400000000002</v>
      </c>
      <c r="J493" s="8">
        <f t="shared" si="37"/>
        <v>0.34065944933804526</v>
      </c>
      <c r="K493" s="6">
        <f>'Raw Data'!I493</f>
        <v>4.5999999999999996</v>
      </c>
      <c r="L493" s="5">
        <f>'Raw Data'!J493</f>
        <v>32</v>
      </c>
      <c r="M493" s="5">
        <f>IF(COUNTIFS($A$2:A493,A493,$D$2:D493,D493)=1,L493,0)</f>
        <v>0</v>
      </c>
      <c r="N493" s="4">
        <f t="shared" si="38"/>
        <v>189.59</v>
      </c>
      <c r="O493" t="str">
        <f t="shared" si="39"/>
        <v>OK</v>
      </c>
    </row>
    <row r="494" spans="1:15">
      <c r="A494" t="str">
        <f>'Raw Data'!A494</f>
        <v>Austin RM-07</v>
      </c>
      <c r="B494" t="str">
        <f>'Raw Data'!B494</f>
        <v>South</v>
      </c>
      <c r="C494" t="str">
        <f>'Raw Data'!C494</f>
        <v>Electronics</v>
      </c>
      <c r="D494" s="3">
        <f>'Raw Data'!D494</f>
        <v>45962</v>
      </c>
      <c r="E494" t="str">
        <f t="shared" si="35"/>
        <v>Nov</v>
      </c>
      <c r="F494" s="5">
        <f>'Raw Data'!E494</f>
        <v>240</v>
      </c>
      <c r="G494" s="4">
        <f>'Raw Data'!F494</f>
        <v>35175.93</v>
      </c>
      <c r="H494" s="4">
        <f>'Raw Data'!G494</f>
        <v>28275.73</v>
      </c>
      <c r="I494" s="4">
        <f t="shared" si="36"/>
        <v>6900.2000000000007</v>
      </c>
      <c r="J494" s="8">
        <f t="shared" si="37"/>
        <v>0.196162546377594</v>
      </c>
      <c r="K494" s="6">
        <f>'Raw Data'!I494</f>
        <v>4.59</v>
      </c>
      <c r="L494" s="5">
        <f>'Raw Data'!J494</f>
        <v>32</v>
      </c>
      <c r="M494" s="5">
        <f>IF(COUNTIFS($A$2:A494,A494,$D$2:D494,D494)=1,L494,0)</f>
        <v>32</v>
      </c>
      <c r="N494" s="4">
        <f t="shared" si="38"/>
        <v>1099.2478125</v>
      </c>
      <c r="O494" t="str">
        <f t="shared" si="39"/>
        <v>OK</v>
      </c>
    </row>
    <row r="495" spans="1:15">
      <c r="A495" t="str">
        <f>'Raw Data'!A495</f>
        <v>Austin RM-07</v>
      </c>
      <c r="B495" t="str">
        <f>'Raw Data'!B495</f>
        <v>South</v>
      </c>
      <c r="C495" t="str">
        <f>'Raw Data'!C495</f>
        <v>Home Goods</v>
      </c>
      <c r="D495" s="3">
        <f>'Raw Data'!D495</f>
        <v>45962</v>
      </c>
      <c r="E495" t="str">
        <f t="shared" si="35"/>
        <v>Nov</v>
      </c>
      <c r="F495" s="5">
        <f>'Raw Data'!E495</f>
        <v>159</v>
      </c>
      <c r="G495" s="4">
        <f>'Raw Data'!F495</f>
        <v>12486.95</v>
      </c>
      <c r="H495" s="4">
        <f>'Raw Data'!G495</f>
        <v>8801.9699999999993</v>
      </c>
      <c r="I495" s="4">
        <f t="shared" si="36"/>
        <v>3684.9800000000014</v>
      </c>
      <c r="J495" s="8">
        <f t="shared" si="37"/>
        <v>0.29510649117678867</v>
      </c>
      <c r="K495" s="6">
        <f>'Raw Data'!I495</f>
        <v>4.54</v>
      </c>
      <c r="L495" s="5">
        <f>'Raw Data'!J495</f>
        <v>32</v>
      </c>
      <c r="M495" s="5">
        <f>IF(COUNTIFS($A$2:A495,A495,$D$2:D495,D495)=1,L495,0)</f>
        <v>0</v>
      </c>
      <c r="N495" s="4">
        <f t="shared" si="38"/>
        <v>390.21718750000002</v>
      </c>
      <c r="O495" t="str">
        <f t="shared" si="39"/>
        <v>OK</v>
      </c>
    </row>
    <row r="496" spans="1:15">
      <c r="A496" t="str">
        <f>'Raw Data'!A496</f>
        <v>Austin RM-07</v>
      </c>
      <c r="B496" t="str">
        <f>'Raw Data'!B496</f>
        <v>South</v>
      </c>
      <c r="C496" t="str">
        <f>'Raw Data'!C496</f>
        <v>Apparel</v>
      </c>
      <c r="D496" s="3">
        <f>'Raw Data'!D496</f>
        <v>45962</v>
      </c>
      <c r="E496" t="str">
        <f t="shared" si="35"/>
        <v>Nov</v>
      </c>
      <c r="F496" s="5">
        <f>'Raw Data'!E496</f>
        <v>238</v>
      </c>
      <c r="G496" s="4">
        <f>'Raw Data'!F496</f>
        <v>11620.84</v>
      </c>
      <c r="H496" s="4">
        <f>'Raw Data'!G496</f>
        <v>7219.5</v>
      </c>
      <c r="I496" s="4">
        <f t="shared" si="36"/>
        <v>4401.34</v>
      </c>
      <c r="J496" s="8">
        <f t="shared" si="37"/>
        <v>0.37874542632030045</v>
      </c>
      <c r="K496" s="6">
        <f>'Raw Data'!I496</f>
        <v>4.5599999999999996</v>
      </c>
      <c r="L496" s="5">
        <f>'Raw Data'!J496</f>
        <v>32</v>
      </c>
      <c r="M496" s="5">
        <f>IF(COUNTIFS($A$2:A496,A496,$D$2:D496,D496)=1,L496,0)</f>
        <v>0</v>
      </c>
      <c r="N496" s="4">
        <f t="shared" si="38"/>
        <v>363.15125</v>
      </c>
      <c r="O496" t="str">
        <f t="shared" si="39"/>
        <v>OK</v>
      </c>
    </row>
    <row r="497" spans="1:15">
      <c r="A497" t="str">
        <f>'Raw Data'!A497</f>
        <v>Austin RM-07</v>
      </c>
      <c r="B497" t="str">
        <f>'Raw Data'!B497</f>
        <v>South</v>
      </c>
      <c r="C497" t="str">
        <f>'Raw Data'!C497</f>
        <v>Beauty</v>
      </c>
      <c r="D497" s="3">
        <f>'Raw Data'!D497</f>
        <v>45962</v>
      </c>
      <c r="E497" t="str">
        <f t="shared" si="35"/>
        <v>Nov</v>
      </c>
      <c r="F497" s="5">
        <f>'Raw Data'!E497</f>
        <v>170</v>
      </c>
      <c r="G497" s="4">
        <f>'Raw Data'!F497</f>
        <v>5988.2</v>
      </c>
      <c r="H497" s="4">
        <f>'Raw Data'!G497</f>
        <v>3203.07</v>
      </c>
      <c r="I497" s="4">
        <f t="shared" si="36"/>
        <v>2785.1299999999997</v>
      </c>
      <c r="J497" s="8">
        <f t="shared" si="37"/>
        <v>0.46510303597074243</v>
      </c>
      <c r="K497" s="6">
        <f>'Raw Data'!I497</f>
        <v>4.38</v>
      </c>
      <c r="L497" s="5">
        <f>'Raw Data'!J497</f>
        <v>32</v>
      </c>
      <c r="M497" s="5">
        <f>IF(COUNTIFS($A$2:A497,A497,$D$2:D497,D497)=1,L497,0)</f>
        <v>0</v>
      </c>
      <c r="N497" s="4">
        <f t="shared" si="38"/>
        <v>187.13124999999999</v>
      </c>
      <c r="O497" t="str">
        <f t="shared" si="39"/>
        <v>OK</v>
      </c>
    </row>
    <row r="498" spans="1:15">
      <c r="A498" t="str">
        <f>'Raw Data'!A498</f>
        <v>Austin RM-07</v>
      </c>
      <c r="B498" t="str">
        <f>'Raw Data'!B498</f>
        <v>South</v>
      </c>
      <c r="C498" t="str">
        <f>'Raw Data'!C498</f>
        <v>Grocery</v>
      </c>
      <c r="D498" s="3">
        <f>'Raw Data'!D498</f>
        <v>45962</v>
      </c>
      <c r="E498" t="str">
        <f t="shared" si="35"/>
        <v>Nov</v>
      </c>
      <c r="F498" s="5">
        <f>'Raw Data'!E498</f>
        <v>304</v>
      </c>
      <c r="G498" s="4">
        <f>'Raw Data'!F498</f>
        <v>5761.27</v>
      </c>
      <c r="H498" s="4">
        <f>'Raw Data'!G498</f>
        <v>5548.74</v>
      </c>
      <c r="I498" s="4">
        <f t="shared" si="36"/>
        <v>212.53000000000065</v>
      </c>
      <c r="J498" s="8">
        <f t="shared" si="37"/>
        <v>3.6889435836195951E-2</v>
      </c>
      <c r="K498" s="6">
        <f>'Raw Data'!I498</f>
        <v>4.38</v>
      </c>
      <c r="L498" s="5">
        <f>'Raw Data'!J498</f>
        <v>32</v>
      </c>
      <c r="M498" s="5">
        <f>IF(COUNTIFS($A$2:A498,A498,$D$2:D498,D498)=1,L498,0)</f>
        <v>0</v>
      </c>
      <c r="N498" s="4">
        <f t="shared" si="38"/>
        <v>180.03968750000001</v>
      </c>
      <c r="O498" t="str">
        <f t="shared" si="39"/>
        <v>OK</v>
      </c>
    </row>
    <row r="499" spans="1:15">
      <c r="A499" t="str">
        <f>'Raw Data'!A499</f>
        <v>Austin RM-07</v>
      </c>
      <c r="B499" t="str">
        <f>'Raw Data'!B499</f>
        <v>South</v>
      </c>
      <c r="C499" t="str">
        <f>'Raw Data'!C499</f>
        <v>Sports</v>
      </c>
      <c r="D499" s="3">
        <f>'Raw Data'!D499</f>
        <v>45962</v>
      </c>
      <c r="E499" t="str">
        <f t="shared" si="35"/>
        <v>Nov</v>
      </c>
      <c r="F499" s="5">
        <f>'Raw Data'!E499</f>
        <v>114</v>
      </c>
      <c r="G499" s="4">
        <f>'Raw Data'!F499</f>
        <v>6739.22</v>
      </c>
      <c r="H499" s="4">
        <f>'Raw Data'!G499</f>
        <v>4486.13</v>
      </c>
      <c r="I499" s="4">
        <f t="shared" si="36"/>
        <v>2253.09</v>
      </c>
      <c r="J499" s="8">
        <f t="shared" si="37"/>
        <v>0.33432504058333162</v>
      </c>
      <c r="K499" s="6">
        <f>'Raw Data'!I499</f>
        <v>4.4400000000000004</v>
      </c>
      <c r="L499" s="5">
        <f>'Raw Data'!J499</f>
        <v>32</v>
      </c>
      <c r="M499" s="5">
        <f>IF(COUNTIFS($A$2:A499,A499,$D$2:D499,D499)=1,L499,0)</f>
        <v>0</v>
      </c>
      <c r="N499" s="4">
        <f t="shared" si="38"/>
        <v>210.60062500000001</v>
      </c>
      <c r="O499" t="str">
        <f t="shared" si="39"/>
        <v>OK</v>
      </c>
    </row>
    <row r="500" spans="1:15">
      <c r="A500" t="str">
        <f>'Raw Data'!A500</f>
        <v>Austin RM-07</v>
      </c>
      <c r="B500" t="str">
        <f>'Raw Data'!B500</f>
        <v>South</v>
      </c>
      <c r="C500" t="str">
        <f>'Raw Data'!C500</f>
        <v>Electronics</v>
      </c>
      <c r="D500" s="3">
        <f>'Raw Data'!D500</f>
        <v>45992</v>
      </c>
      <c r="E500" t="str">
        <f t="shared" si="35"/>
        <v>Dec</v>
      </c>
      <c r="F500" s="5">
        <f>'Raw Data'!E500</f>
        <v>275</v>
      </c>
      <c r="G500" s="4">
        <f>'Raw Data'!F500</f>
        <v>39698.17</v>
      </c>
      <c r="H500" s="4">
        <f>'Raw Data'!G500</f>
        <v>32934.89</v>
      </c>
      <c r="I500" s="4">
        <f t="shared" si="36"/>
        <v>6763.2799999999988</v>
      </c>
      <c r="J500" s="8">
        <f t="shared" si="37"/>
        <v>0.17036755094756253</v>
      </c>
      <c r="K500" s="6">
        <f>'Raw Data'!I500</f>
        <v>4.5199999999999996</v>
      </c>
      <c r="L500" s="5">
        <f>'Raw Data'!J500</f>
        <v>33</v>
      </c>
      <c r="M500" s="5">
        <f>IF(COUNTIFS($A$2:A500,A500,$D$2:D500,D500)=1,L500,0)</f>
        <v>33</v>
      </c>
      <c r="N500" s="4">
        <f t="shared" si="38"/>
        <v>1202.9748484848485</v>
      </c>
      <c r="O500" t="str">
        <f t="shared" si="39"/>
        <v>OK</v>
      </c>
    </row>
    <row r="501" spans="1:15">
      <c r="A501" t="str">
        <f>'Raw Data'!A501</f>
        <v>Austin RM-07</v>
      </c>
      <c r="B501" t="str">
        <f>'Raw Data'!B501</f>
        <v>South</v>
      </c>
      <c r="C501" t="str">
        <f>'Raw Data'!C501</f>
        <v>Home Goods</v>
      </c>
      <c r="D501" s="3">
        <f>'Raw Data'!D501</f>
        <v>45992</v>
      </c>
      <c r="E501" t="str">
        <f t="shared" si="35"/>
        <v>Dec</v>
      </c>
      <c r="F501" s="5">
        <f>'Raw Data'!E501</f>
        <v>170</v>
      </c>
      <c r="G501" s="4">
        <f>'Raw Data'!F501</f>
        <v>13166.78</v>
      </c>
      <c r="H501" s="4">
        <f>'Raw Data'!G501</f>
        <v>9840.25</v>
      </c>
      <c r="I501" s="4">
        <f t="shared" si="36"/>
        <v>3326.5300000000007</v>
      </c>
      <c r="J501" s="8">
        <f t="shared" si="37"/>
        <v>0.25264567342964644</v>
      </c>
      <c r="K501" s="6">
        <f>'Raw Data'!I501</f>
        <v>4.45</v>
      </c>
      <c r="L501" s="5">
        <f>'Raw Data'!J501</f>
        <v>33</v>
      </c>
      <c r="M501" s="5">
        <f>IF(COUNTIFS($A$2:A501,A501,$D$2:D501,D501)=1,L501,0)</f>
        <v>0</v>
      </c>
      <c r="N501" s="4">
        <f t="shared" si="38"/>
        <v>398.99333333333334</v>
      </c>
      <c r="O501" t="str">
        <f t="shared" si="39"/>
        <v>OK</v>
      </c>
    </row>
    <row r="502" spans="1:15">
      <c r="A502" t="str">
        <f>'Raw Data'!A502</f>
        <v>Austin RM-07</v>
      </c>
      <c r="B502" t="str">
        <f>'Raw Data'!B502</f>
        <v>South</v>
      </c>
      <c r="C502" t="str">
        <f>'Raw Data'!C502</f>
        <v>Apparel</v>
      </c>
      <c r="D502" s="3">
        <f>'Raw Data'!D502</f>
        <v>45992</v>
      </c>
      <c r="E502" t="str">
        <f t="shared" si="35"/>
        <v>Dec</v>
      </c>
      <c r="F502" s="5">
        <f>'Raw Data'!E502</f>
        <v>253</v>
      </c>
      <c r="G502" s="4">
        <f>'Raw Data'!F502</f>
        <v>12526.82</v>
      </c>
      <c r="H502" s="4">
        <f>'Raw Data'!G502</f>
        <v>8522.17</v>
      </c>
      <c r="I502" s="4">
        <f t="shared" si="36"/>
        <v>4004.6499999999996</v>
      </c>
      <c r="J502" s="8">
        <f t="shared" si="37"/>
        <v>0.31968608154344036</v>
      </c>
      <c r="K502" s="6">
        <f>'Raw Data'!I502</f>
        <v>4.6399999999999997</v>
      </c>
      <c r="L502" s="5">
        <f>'Raw Data'!J502</f>
        <v>33</v>
      </c>
      <c r="M502" s="5">
        <f>IF(COUNTIFS($A$2:A502,A502,$D$2:D502,D502)=1,L502,0)</f>
        <v>0</v>
      </c>
      <c r="N502" s="4">
        <f t="shared" si="38"/>
        <v>379.60060606060603</v>
      </c>
      <c r="O502" t="str">
        <f t="shared" si="39"/>
        <v>OK</v>
      </c>
    </row>
    <row r="503" spans="1:15">
      <c r="A503" t="str">
        <f>'Raw Data'!A503</f>
        <v>Austin RM-07</v>
      </c>
      <c r="B503" t="str">
        <f>'Raw Data'!B503</f>
        <v>South</v>
      </c>
      <c r="C503" t="str">
        <f>'Raw Data'!C503</f>
        <v>Beauty</v>
      </c>
      <c r="D503" s="3">
        <f>'Raw Data'!D503</f>
        <v>45992</v>
      </c>
      <c r="E503" t="str">
        <f t="shared" si="35"/>
        <v>Dec</v>
      </c>
      <c r="F503" s="5">
        <f>'Raw Data'!E503</f>
        <v>164</v>
      </c>
      <c r="G503" s="4">
        <f>'Raw Data'!F503</f>
        <v>5627.04</v>
      </c>
      <c r="H503" s="4">
        <f>'Raw Data'!G503</f>
        <v>3050.11</v>
      </c>
      <c r="I503" s="4">
        <f t="shared" si="36"/>
        <v>2576.9299999999998</v>
      </c>
      <c r="J503" s="8">
        <f t="shared" si="37"/>
        <v>0.45795480394665755</v>
      </c>
      <c r="K503" s="6">
        <f>'Raw Data'!I503</f>
        <v>4.57</v>
      </c>
      <c r="L503" s="5">
        <f>'Raw Data'!J503</f>
        <v>33</v>
      </c>
      <c r="M503" s="5">
        <f>IF(COUNTIFS($A$2:A503,A503,$D$2:D503,D503)=1,L503,0)</f>
        <v>0</v>
      </c>
      <c r="N503" s="4">
        <f t="shared" si="38"/>
        <v>170.51636363636362</v>
      </c>
      <c r="O503" t="str">
        <f t="shared" si="39"/>
        <v>OK</v>
      </c>
    </row>
    <row r="504" spans="1:15">
      <c r="A504" t="str">
        <f>'Raw Data'!A504</f>
        <v>Austin RM-07</v>
      </c>
      <c r="B504" t="str">
        <f>'Raw Data'!B504</f>
        <v>South</v>
      </c>
      <c r="C504" t="str">
        <f>'Raw Data'!C504</f>
        <v>Grocery</v>
      </c>
      <c r="D504" s="3">
        <f>'Raw Data'!D504</f>
        <v>45992</v>
      </c>
      <c r="E504" t="str">
        <f t="shared" si="35"/>
        <v>Dec</v>
      </c>
      <c r="F504" s="5">
        <f>'Raw Data'!E504</f>
        <v>329</v>
      </c>
      <c r="G504" s="4">
        <f>'Raw Data'!F504</f>
        <v>5708.77</v>
      </c>
      <c r="H504" s="4">
        <f>'Raw Data'!G504</f>
        <v>5480.37</v>
      </c>
      <c r="I504" s="4">
        <f t="shared" si="36"/>
        <v>228.40000000000055</v>
      </c>
      <c r="J504" s="8">
        <f t="shared" si="37"/>
        <v>4.0008618318832345E-2</v>
      </c>
      <c r="K504" s="6">
        <f>'Raw Data'!I504</f>
        <v>4.5</v>
      </c>
      <c r="L504" s="5">
        <f>'Raw Data'!J504</f>
        <v>33</v>
      </c>
      <c r="M504" s="5">
        <f>IF(COUNTIFS($A$2:A504,A504,$D$2:D504,D504)=1,L504,0)</f>
        <v>0</v>
      </c>
      <c r="N504" s="4">
        <f t="shared" si="38"/>
        <v>172.99303030303031</v>
      </c>
      <c r="O504" t="str">
        <f t="shared" si="39"/>
        <v>OK</v>
      </c>
    </row>
    <row r="505" spans="1:15">
      <c r="A505" t="str">
        <f>'Raw Data'!A505</f>
        <v>Austin RM-07</v>
      </c>
      <c r="B505" t="str">
        <f>'Raw Data'!B505</f>
        <v>South</v>
      </c>
      <c r="C505" t="str">
        <f>'Raw Data'!C505</f>
        <v>Sports</v>
      </c>
      <c r="D505" s="3">
        <f>'Raw Data'!D505</f>
        <v>45992</v>
      </c>
      <c r="E505" t="str">
        <f t="shared" si="35"/>
        <v>Dec</v>
      </c>
      <c r="F505" s="5">
        <f>'Raw Data'!E505</f>
        <v>142</v>
      </c>
      <c r="G505" s="4">
        <f>'Raw Data'!F505</f>
        <v>9242.5499999999993</v>
      </c>
      <c r="H505" s="4">
        <f>'Raw Data'!G505</f>
        <v>6551.02</v>
      </c>
      <c r="I505" s="4">
        <f t="shared" si="36"/>
        <v>2691.5299999999988</v>
      </c>
      <c r="J505" s="8">
        <f t="shared" si="37"/>
        <v>0.29121075893557502</v>
      </c>
      <c r="K505" s="6">
        <f>'Raw Data'!I505</f>
        <v>4.68</v>
      </c>
      <c r="L505" s="5">
        <f>'Raw Data'!J505</f>
        <v>33</v>
      </c>
      <c r="M505" s="5">
        <f>IF(COUNTIFS($A$2:A505,A505,$D$2:D505,D505)=1,L505,0)</f>
        <v>0</v>
      </c>
      <c r="N505" s="4">
        <f t="shared" si="38"/>
        <v>280.07727272727271</v>
      </c>
      <c r="O505" t="str">
        <f t="shared" si="39"/>
        <v>OK</v>
      </c>
    </row>
    <row r="506" spans="1:15">
      <c r="A506" t="str">
        <f>'Raw Data'!A506</f>
        <v>Houston RM-08</v>
      </c>
      <c r="B506" t="str">
        <f>'Raw Data'!B506</f>
        <v>South</v>
      </c>
      <c r="C506" t="str">
        <f>'Raw Data'!C506</f>
        <v>Electronics</v>
      </c>
      <c r="D506" s="3">
        <f>'Raw Data'!D506</f>
        <v>45658</v>
      </c>
      <c r="E506" t="str">
        <f t="shared" si="35"/>
        <v>Jan</v>
      </c>
      <c r="F506" s="5">
        <f>'Raw Data'!E506</f>
        <v>117</v>
      </c>
      <c r="G506" s="4">
        <f>'Raw Data'!F506</f>
        <v>16492.82</v>
      </c>
      <c r="H506" s="4">
        <f>'Raw Data'!G506</f>
        <v>12667.43</v>
      </c>
      <c r="I506" s="4">
        <f t="shared" si="36"/>
        <v>3825.3899999999994</v>
      </c>
      <c r="J506" s="8">
        <f t="shared" si="37"/>
        <v>0.23194274842022161</v>
      </c>
      <c r="K506" s="6">
        <f>'Raw Data'!I506</f>
        <v>4.18</v>
      </c>
      <c r="L506" s="5">
        <f>'Raw Data'!J506</f>
        <v>25</v>
      </c>
      <c r="M506" s="5">
        <f>IF(COUNTIFS($A$2:A506,A506,$D$2:D506,D506)=1,L506,0)</f>
        <v>25</v>
      </c>
      <c r="N506" s="4">
        <f t="shared" si="38"/>
        <v>659.71280000000002</v>
      </c>
      <c r="O506" t="str">
        <f t="shared" si="39"/>
        <v>OK</v>
      </c>
    </row>
    <row r="507" spans="1:15">
      <c r="A507" t="str">
        <f>'Raw Data'!A507</f>
        <v>Houston RM-08</v>
      </c>
      <c r="B507" t="str">
        <f>'Raw Data'!B507</f>
        <v>South</v>
      </c>
      <c r="C507" t="str">
        <f>'Raw Data'!C507</f>
        <v>Home Goods</v>
      </c>
      <c r="D507" s="3">
        <f>'Raw Data'!D507</f>
        <v>45658</v>
      </c>
      <c r="E507" t="str">
        <f t="shared" si="35"/>
        <v>Jan</v>
      </c>
      <c r="F507" s="5">
        <f>'Raw Data'!E507</f>
        <v>80</v>
      </c>
      <c r="G507" s="4">
        <f>'Raw Data'!F507</f>
        <v>6197.65</v>
      </c>
      <c r="H507" s="4">
        <f>'Raw Data'!G507</f>
        <v>3912.02</v>
      </c>
      <c r="I507" s="4">
        <f t="shared" si="36"/>
        <v>2285.6299999999997</v>
      </c>
      <c r="J507" s="8">
        <f t="shared" si="37"/>
        <v>0.36878978322428657</v>
      </c>
      <c r="K507" s="6">
        <f>'Raw Data'!I507</f>
        <v>4.2699999999999996</v>
      </c>
      <c r="L507" s="5">
        <f>'Raw Data'!J507</f>
        <v>25</v>
      </c>
      <c r="M507" s="5">
        <f>IF(COUNTIFS($A$2:A507,A507,$D$2:D507,D507)=1,L507,0)</f>
        <v>0</v>
      </c>
      <c r="N507" s="4">
        <f t="shared" si="38"/>
        <v>247.90599999999998</v>
      </c>
      <c r="O507" t="str">
        <f t="shared" si="39"/>
        <v>OK</v>
      </c>
    </row>
    <row r="508" spans="1:15">
      <c r="A508" t="str">
        <f>'Raw Data'!A508</f>
        <v>Houston RM-08</v>
      </c>
      <c r="B508" t="str">
        <f>'Raw Data'!B508</f>
        <v>South</v>
      </c>
      <c r="C508" t="str">
        <f>'Raw Data'!C508</f>
        <v>Apparel</v>
      </c>
      <c r="D508" s="3">
        <f>'Raw Data'!D508</f>
        <v>45658</v>
      </c>
      <c r="E508" t="str">
        <f t="shared" si="35"/>
        <v>Jan</v>
      </c>
      <c r="F508" s="5">
        <f>'Raw Data'!E508</f>
        <v>112</v>
      </c>
      <c r="G508" s="4">
        <f>'Raw Data'!F508</f>
        <v>5462.15</v>
      </c>
      <c r="H508" s="4">
        <f>'Raw Data'!G508</f>
        <v>3198.1</v>
      </c>
      <c r="I508" s="4">
        <f t="shared" si="36"/>
        <v>2264.0499999999997</v>
      </c>
      <c r="J508" s="8">
        <f t="shared" si="37"/>
        <v>0.41449795410232232</v>
      </c>
      <c r="K508" s="6">
        <f>'Raw Data'!I508</f>
        <v>4</v>
      </c>
      <c r="L508" s="5">
        <f>'Raw Data'!J508</f>
        <v>25</v>
      </c>
      <c r="M508" s="5">
        <f>IF(COUNTIFS($A$2:A508,A508,$D$2:D508,D508)=1,L508,0)</f>
        <v>0</v>
      </c>
      <c r="N508" s="4">
        <f t="shared" si="38"/>
        <v>218.48599999999999</v>
      </c>
      <c r="O508" t="str">
        <f t="shared" si="39"/>
        <v>OK</v>
      </c>
    </row>
    <row r="509" spans="1:15">
      <c r="A509" t="str">
        <f>'Raw Data'!A509</f>
        <v>Houston RM-08</v>
      </c>
      <c r="B509" t="str">
        <f>'Raw Data'!B509</f>
        <v>South</v>
      </c>
      <c r="C509" t="str">
        <f>'Raw Data'!C509</f>
        <v>Beauty</v>
      </c>
      <c r="D509" s="3">
        <f>'Raw Data'!D509</f>
        <v>45658</v>
      </c>
      <c r="E509" t="str">
        <f t="shared" si="35"/>
        <v>Jan</v>
      </c>
      <c r="F509" s="5">
        <f>'Raw Data'!E509</f>
        <v>89</v>
      </c>
      <c r="G509" s="4">
        <f>'Raw Data'!F509</f>
        <v>3393.23</v>
      </c>
      <c r="H509" s="4">
        <f>'Raw Data'!G509</f>
        <v>1515.52</v>
      </c>
      <c r="I509" s="4">
        <f t="shared" si="36"/>
        <v>1877.71</v>
      </c>
      <c r="J509" s="8">
        <f t="shared" si="37"/>
        <v>0.55336950339352187</v>
      </c>
      <c r="K509" s="6">
        <f>'Raw Data'!I509</f>
        <v>4.01</v>
      </c>
      <c r="L509" s="5">
        <f>'Raw Data'!J509</f>
        <v>25</v>
      </c>
      <c r="M509" s="5">
        <f>IF(COUNTIFS($A$2:A509,A509,$D$2:D509,D509)=1,L509,0)</f>
        <v>0</v>
      </c>
      <c r="N509" s="4">
        <f t="shared" si="38"/>
        <v>135.72919999999999</v>
      </c>
      <c r="O509" t="str">
        <f t="shared" si="39"/>
        <v>OK</v>
      </c>
    </row>
    <row r="510" spans="1:15">
      <c r="A510" t="str">
        <f>'Raw Data'!A510</f>
        <v>Houston RM-08</v>
      </c>
      <c r="B510" t="str">
        <f>'Raw Data'!B510</f>
        <v>South</v>
      </c>
      <c r="C510" t="str">
        <f>'Raw Data'!C510</f>
        <v>Grocery</v>
      </c>
      <c r="D510" s="3">
        <f>'Raw Data'!D510</f>
        <v>45658</v>
      </c>
      <c r="E510" t="str">
        <f t="shared" si="35"/>
        <v>Jan</v>
      </c>
      <c r="F510" s="5">
        <f>'Raw Data'!E510</f>
        <v>175</v>
      </c>
      <c r="G510" s="4">
        <f>'Raw Data'!F510</f>
        <v>3323.02</v>
      </c>
      <c r="H510" s="4">
        <f>'Raw Data'!G510</f>
        <v>2999.5</v>
      </c>
      <c r="I510" s="4">
        <f t="shared" si="36"/>
        <v>323.52</v>
      </c>
      <c r="J510" s="8">
        <f t="shared" si="37"/>
        <v>9.735722324873157E-2</v>
      </c>
      <c r="K510" s="6">
        <f>'Raw Data'!I510</f>
        <v>4.01</v>
      </c>
      <c r="L510" s="5">
        <f>'Raw Data'!J510</f>
        <v>25</v>
      </c>
      <c r="M510" s="5">
        <f>IF(COUNTIFS($A$2:A510,A510,$D$2:D510,D510)=1,L510,0)</f>
        <v>0</v>
      </c>
      <c r="N510" s="4">
        <f t="shared" si="38"/>
        <v>132.92079999999999</v>
      </c>
      <c r="O510" t="str">
        <f t="shared" si="39"/>
        <v>OK</v>
      </c>
    </row>
    <row r="511" spans="1:15">
      <c r="A511" t="str">
        <f>'Raw Data'!A511</f>
        <v>Houston RM-08</v>
      </c>
      <c r="B511" t="str">
        <f>'Raw Data'!B511</f>
        <v>South</v>
      </c>
      <c r="C511" t="str">
        <f>'Raw Data'!C511</f>
        <v>Sports</v>
      </c>
      <c r="D511" s="3">
        <f>'Raw Data'!D511</f>
        <v>45658</v>
      </c>
      <c r="E511" t="str">
        <f t="shared" si="35"/>
        <v>Jan</v>
      </c>
      <c r="F511" s="5">
        <f>'Raw Data'!E511</f>
        <v>81</v>
      </c>
      <c r="G511" s="4">
        <f>'Raw Data'!F511</f>
        <v>5117.1899999999996</v>
      </c>
      <c r="H511" s="4">
        <f>'Raw Data'!G511</f>
        <v>3185.35</v>
      </c>
      <c r="I511" s="4">
        <f t="shared" si="36"/>
        <v>1931.8399999999997</v>
      </c>
      <c r="J511" s="8">
        <f t="shared" si="37"/>
        <v>0.37751969342549324</v>
      </c>
      <c r="K511" s="6">
        <f>'Raw Data'!I511</f>
        <v>4.24</v>
      </c>
      <c r="L511" s="5">
        <f>'Raw Data'!J511</f>
        <v>25</v>
      </c>
      <c r="M511" s="5">
        <f>IF(COUNTIFS($A$2:A511,A511,$D$2:D511,D511)=1,L511,0)</f>
        <v>0</v>
      </c>
      <c r="N511" s="4">
        <f t="shared" si="38"/>
        <v>204.68759999999997</v>
      </c>
      <c r="O511" t="str">
        <f t="shared" si="39"/>
        <v>OK</v>
      </c>
    </row>
    <row r="512" spans="1:15">
      <c r="A512" t="str">
        <f>'Raw Data'!A512</f>
        <v>Houston RM-08</v>
      </c>
      <c r="B512" t="str">
        <f>'Raw Data'!B512</f>
        <v>South</v>
      </c>
      <c r="C512" t="str">
        <f>'Raw Data'!C512</f>
        <v>Electronics</v>
      </c>
      <c r="D512" s="3">
        <f>'Raw Data'!D512</f>
        <v>45689</v>
      </c>
      <c r="E512" t="str">
        <f t="shared" si="35"/>
        <v>Feb</v>
      </c>
      <c r="F512" s="5">
        <f>'Raw Data'!E512</f>
        <v>89</v>
      </c>
      <c r="G512" s="4">
        <f>'Raw Data'!F512</f>
        <v>13558.89</v>
      </c>
      <c r="H512" s="4">
        <f>'Raw Data'!G512</f>
        <v>10366.950000000001</v>
      </c>
      <c r="I512" s="4">
        <f t="shared" si="36"/>
        <v>3191.9399999999987</v>
      </c>
      <c r="J512" s="8">
        <f t="shared" si="37"/>
        <v>0.23541307584912916</v>
      </c>
      <c r="K512" s="6">
        <f>'Raw Data'!I512</f>
        <v>3.96</v>
      </c>
      <c r="L512" s="5">
        <f>'Raw Data'!J512</f>
        <v>26</v>
      </c>
      <c r="M512" s="5">
        <f>IF(COUNTIFS($A$2:A512,A512,$D$2:D512,D512)=1,L512,0)</f>
        <v>26</v>
      </c>
      <c r="N512" s="4">
        <f t="shared" si="38"/>
        <v>521.49576923076916</v>
      </c>
      <c r="O512" t="str">
        <f t="shared" si="39"/>
        <v>OK</v>
      </c>
    </row>
    <row r="513" spans="1:15">
      <c r="A513" t="str">
        <f>'Raw Data'!A513</f>
        <v>Houston RM-08</v>
      </c>
      <c r="B513" t="str">
        <f>'Raw Data'!B513</f>
        <v>South</v>
      </c>
      <c r="C513" t="str">
        <f>'Raw Data'!C513</f>
        <v>Home Goods</v>
      </c>
      <c r="D513" s="3">
        <f>'Raw Data'!D513</f>
        <v>45689</v>
      </c>
      <c r="E513" t="str">
        <f t="shared" si="35"/>
        <v>Feb</v>
      </c>
      <c r="F513" s="5">
        <f>'Raw Data'!E513</f>
        <v>99</v>
      </c>
      <c r="G513" s="4">
        <f>'Raw Data'!F513</f>
        <v>7857.79</v>
      </c>
      <c r="H513" s="4">
        <f>'Raw Data'!G513</f>
        <v>5029.1899999999996</v>
      </c>
      <c r="I513" s="4">
        <f t="shared" si="36"/>
        <v>2828.6000000000004</v>
      </c>
      <c r="J513" s="8">
        <f t="shared" si="37"/>
        <v>0.35997398759702159</v>
      </c>
      <c r="K513" s="6">
        <f>'Raw Data'!I513</f>
        <v>3.97</v>
      </c>
      <c r="L513" s="5">
        <f>'Raw Data'!J513</f>
        <v>26</v>
      </c>
      <c r="M513" s="5">
        <f>IF(COUNTIFS($A$2:A513,A513,$D$2:D513,D513)=1,L513,0)</f>
        <v>0</v>
      </c>
      <c r="N513" s="4">
        <f t="shared" si="38"/>
        <v>302.22269230769228</v>
      </c>
      <c r="O513" t="str">
        <f t="shared" si="39"/>
        <v>OK</v>
      </c>
    </row>
    <row r="514" spans="1:15">
      <c r="A514" t="str">
        <f>'Raw Data'!A514</f>
        <v>Houston RM-08</v>
      </c>
      <c r="B514" t="str">
        <f>'Raw Data'!B514</f>
        <v>South</v>
      </c>
      <c r="C514" t="str">
        <f>'Raw Data'!C514</f>
        <v>Apparel</v>
      </c>
      <c r="D514" s="3">
        <f>'Raw Data'!D514</f>
        <v>45689</v>
      </c>
      <c r="E514" t="str">
        <f t="shared" ref="E514:E577" si="40">TEXT(D514,"mmm")</f>
        <v>Feb</v>
      </c>
      <c r="F514" s="5">
        <f>'Raw Data'!E514</f>
        <v>115</v>
      </c>
      <c r="G514" s="4">
        <f>'Raw Data'!F514</f>
        <v>5656.47</v>
      </c>
      <c r="H514" s="4">
        <f>'Raw Data'!G514</f>
        <v>3337.34</v>
      </c>
      <c r="I514" s="4">
        <f t="shared" ref="I514:I577" si="41">G514-H514</f>
        <v>2319.13</v>
      </c>
      <c r="J514" s="8">
        <f t="shared" ref="J514:J577" si="42">IFERROR(I514/G514,0)</f>
        <v>0.40999598689642125</v>
      </c>
      <c r="K514" s="6">
        <f>'Raw Data'!I514</f>
        <v>4.1500000000000004</v>
      </c>
      <c r="L514" s="5">
        <f>'Raw Data'!J514</f>
        <v>26</v>
      </c>
      <c r="M514" s="5">
        <f>IF(COUNTIFS($A$2:A514,A514,$D$2:D514,D514)=1,L514,0)</f>
        <v>0</v>
      </c>
      <c r="N514" s="4">
        <f t="shared" ref="N514:N577" si="43">IFERROR(G514/L514,0)</f>
        <v>217.55653846153848</v>
      </c>
      <c r="O514" t="str">
        <f t="shared" ref="O514:O577" si="44">IF(OR(A514="",B514="",C514="",F514&lt;0,G514&lt;0,H514&lt;0,K514&lt;1,K514&gt;5),"Review","OK")</f>
        <v>OK</v>
      </c>
    </row>
    <row r="515" spans="1:15">
      <c r="A515" t="str">
        <f>'Raw Data'!A515</f>
        <v>Houston RM-08</v>
      </c>
      <c r="B515" t="str">
        <f>'Raw Data'!B515</f>
        <v>South</v>
      </c>
      <c r="C515" t="str">
        <f>'Raw Data'!C515</f>
        <v>Beauty</v>
      </c>
      <c r="D515" s="3">
        <f>'Raw Data'!D515</f>
        <v>45689</v>
      </c>
      <c r="E515" t="str">
        <f t="shared" si="40"/>
        <v>Feb</v>
      </c>
      <c r="F515" s="5">
        <f>'Raw Data'!E515</f>
        <v>99</v>
      </c>
      <c r="G515" s="4">
        <f>'Raw Data'!F515</f>
        <v>3833.61</v>
      </c>
      <c r="H515" s="4">
        <f>'Raw Data'!G515</f>
        <v>1767.85</v>
      </c>
      <c r="I515" s="4">
        <f t="shared" si="41"/>
        <v>2065.7600000000002</v>
      </c>
      <c r="J515" s="8">
        <f t="shared" si="42"/>
        <v>0.53885502176799416</v>
      </c>
      <c r="K515" s="6">
        <f>'Raw Data'!I515</f>
        <v>4.16</v>
      </c>
      <c r="L515" s="5">
        <f>'Raw Data'!J515</f>
        <v>26</v>
      </c>
      <c r="M515" s="5">
        <f>IF(COUNTIFS($A$2:A515,A515,$D$2:D515,D515)=1,L515,0)</f>
        <v>0</v>
      </c>
      <c r="N515" s="4">
        <f t="shared" si="43"/>
        <v>147.44653846153847</v>
      </c>
      <c r="O515" t="str">
        <f t="shared" si="44"/>
        <v>OK</v>
      </c>
    </row>
    <row r="516" spans="1:15">
      <c r="A516" t="str">
        <f>'Raw Data'!A516</f>
        <v>Houston RM-08</v>
      </c>
      <c r="B516" t="str">
        <f>'Raw Data'!B516</f>
        <v>South</v>
      </c>
      <c r="C516" t="str">
        <f>'Raw Data'!C516</f>
        <v>Grocery</v>
      </c>
      <c r="D516" s="3">
        <f>'Raw Data'!D516</f>
        <v>45689</v>
      </c>
      <c r="E516" t="str">
        <f t="shared" si="40"/>
        <v>Feb</v>
      </c>
      <c r="F516" s="5">
        <f>'Raw Data'!E516</f>
        <v>161</v>
      </c>
      <c r="G516" s="4">
        <f>'Raw Data'!F516</f>
        <v>2816.68</v>
      </c>
      <c r="H516" s="4">
        <f>'Raw Data'!G516</f>
        <v>2503.52</v>
      </c>
      <c r="I516" s="4">
        <f t="shared" si="41"/>
        <v>313.15999999999985</v>
      </c>
      <c r="J516" s="8">
        <f t="shared" si="42"/>
        <v>0.11118053879034888</v>
      </c>
      <c r="K516" s="6">
        <f>'Raw Data'!I516</f>
        <v>4.04</v>
      </c>
      <c r="L516" s="5">
        <f>'Raw Data'!J516</f>
        <v>26</v>
      </c>
      <c r="M516" s="5">
        <f>IF(COUNTIFS($A$2:A516,A516,$D$2:D516,D516)=1,L516,0)</f>
        <v>0</v>
      </c>
      <c r="N516" s="4">
        <f t="shared" si="43"/>
        <v>108.33384615384615</v>
      </c>
      <c r="O516" t="str">
        <f t="shared" si="44"/>
        <v>OK</v>
      </c>
    </row>
    <row r="517" spans="1:15">
      <c r="A517" t="str">
        <f>'Raw Data'!A517</f>
        <v>Houston RM-08</v>
      </c>
      <c r="B517" t="str">
        <f>'Raw Data'!B517</f>
        <v>South</v>
      </c>
      <c r="C517" t="str">
        <f>'Raw Data'!C517</f>
        <v>Sports</v>
      </c>
      <c r="D517" s="3">
        <f>'Raw Data'!D517</f>
        <v>45689</v>
      </c>
      <c r="E517" t="str">
        <f t="shared" si="40"/>
        <v>Feb</v>
      </c>
      <c r="F517" s="5">
        <f>'Raw Data'!E517</f>
        <v>65</v>
      </c>
      <c r="G517" s="4">
        <f>'Raw Data'!F517</f>
        <v>3892.99</v>
      </c>
      <c r="H517" s="4">
        <f>'Raw Data'!G517</f>
        <v>2449.5700000000002</v>
      </c>
      <c r="I517" s="4">
        <f t="shared" si="41"/>
        <v>1443.4199999999996</v>
      </c>
      <c r="J517" s="8">
        <f t="shared" si="42"/>
        <v>0.37077413504786799</v>
      </c>
      <c r="K517" s="6">
        <f>'Raw Data'!I517</f>
        <v>4.07</v>
      </c>
      <c r="L517" s="5">
        <f>'Raw Data'!J517</f>
        <v>26</v>
      </c>
      <c r="M517" s="5">
        <f>IF(COUNTIFS($A$2:A517,A517,$D$2:D517,D517)=1,L517,0)</f>
        <v>0</v>
      </c>
      <c r="N517" s="4">
        <f t="shared" si="43"/>
        <v>149.73038461538459</v>
      </c>
      <c r="O517" t="str">
        <f t="shared" si="44"/>
        <v>OK</v>
      </c>
    </row>
    <row r="518" spans="1:15">
      <c r="A518" t="str">
        <f>'Raw Data'!A518</f>
        <v>Houston RM-08</v>
      </c>
      <c r="B518" t="str">
        <f>'Raw Data'!B518</f>
        <v>South</v>
      </c>
      <c r="C518" t="str">
        <f>'Raw Data'!C518</f>
        <v>Electronics</v>
      </c>
      <c r="D518" s="3">
        <f>'Raw Data'!D518</f>
        <v>45717</v>
      </c>
      <c r="E518" t="str">
        <f t="shared" si="40"/>
        <v>Mar</v>
      </c>
      <c r="F518" s="5">
        <f>'Raw Data'!E518</f>
        <v>116</v>
      </c>
      <c r="G518" s="4">
        <f>'Raw Data'!F518</f>
        <v>16003.98</v>
      </c>
      <c r="H518" s="4">
        <f>'Raw Data'!G518</f>
        <v>11942.03</v>
      </c>
      <c r="I518" s="4">
        <f t="shared" si="41"/>
        <v>4061.9499999999989</v>
      </c>
      <c r="J518" s="8">
        <f t="shared" si="42"/>
        <v>0.25380874007590604</v>
      </c>
      <c r="K518" s="6">
        <f>'Raw Data'!I518</f>
        <v>4.1900000000000004</v>
      </c>
      <c r="L518" s="5">
        <f>'Raw Data'!J518</f>
        <v>26</v>
      </c>
      <c r="M518" s="5">
        <f>IF(COUNTIFS($A$2:A518,A518,$D$2:D518,D518)=1,L518,0)</f>
        <v>26</v>
      </c>
      <c r="N518" s="4">
        <f t="shared" si="43"/>
        <v>615.53769230769228</v>
      </c>
      <c r="O518" t="str">
        <f t="shared" si="44"/>
        <v>OK</v>
      </c>
    </row>
    <row r="519" spans="1:15">
      <c r="A519" t="str">
        <f>'Raw Data'!A519</f>
        <v>Houston RM-08</v>
      </c>
      <c r="B519" t="str">
        <f>'Raw Data'!B519</f>
        <v>South</v>
      </c>
      <c r="C519" t="str">
        <f>'Raw Data'!C519</f>
        <v>Home Goods</v>
      </c>
      <c r="D519" s="3">
        <f>'Raw Data'!D519</f>
        <v>45717</v>
      </c>
      <c r="E519" t="str">
        <f t="shared" si="40"/>
        <v>Mar</v>
      </c>
      <c r="F519" s="5">
        <f>'Raw Data'!E519</f>
        <v>87</v>
      </c>
      <c r="G519" s="4">
        <f>'Raw Data'!F519</f>
        <v>6802.07</v>
      </c>
      <c r="H519" s="4">
        <f>'Raw Data'!G519</f>
        <v>4498.72</v>
      </c>
      <c r="I519" s="4">
        <f t="shared" si="41"/>
        <v>2303.3499999999995</v>
      </c>
      <c r="J519" s="8">
        <f t="shared" si="42"/>
        <v>0.33862485978532997</v>
      </c>
      <c r="K519" s="6">
        <f>'Raw Data'!I519</f>
        <v>4.05</v>
      </c>
      <c r="L519" s="5">
        <f>'Raw Data'!J519</f>
        <v>26</v>
      </c>
      <c r="M519" s="5">
        <f>IF(COUNTIFS($A$2:A519,A519,$D$2:D519,D519)=1,L519,0)</f>
        <v>0</v>
      </c>
      <c r="N519" s="4">
        <f t="shared" si="43"/>
        <v>261.6180769230769</v>
      </c>
      <c r="O519" t="str">
        <f t="shared" si="44"/>
        <v>OK</v>
      </c>
    </row>
    <row r="520" spans="1:15">
      <c r="A520" t="str">
        <f>'Raw Data'!A520</f>
        <v>Houston RM-08</v>
      </c>
      <c r="B520" t="str">
        <f>'Raw Data'!B520</f>
        <v>South</v>
      </c>
      <c r="C520" t="str">
        <f>'Raw Data'!C520</f>
        <v>Apparel</v>
      </c>
      <c r="D520" s="3">
        <f>'Raw Data'!D520</f>
        <v>45717</v>
      </c>
      <c r="E520" t="str">
        <f t="shared" si="40"/>
        <v>Mar</v>
      </c>
      <c r="F520" s="5">
        <f>'Raw Data'!E520</f>
        <v>151</v>
      </c>
      <c r="G520" s="4">
        <f>'Raw Data'!F520</f>
        <v>7125.93</v>
      </c>
      <c r="H520" s="4">
        <f>'Raw Data'!G520</f>
        <v>4183.09</v>
      </c>
      <c r="I520" s="4">
        <f t="shared" si="41"/>
        <v>2942.84</v>
      </c>
      <c r="J520" s="8">
        <f t="shared" si="42"/>
        <v>0.41297627116741253</v>
      </c>
      <c r="K520" s="6">
        <f>'Raw Data'!I520</f>
        <v>4.03</v>
      </c>
      <c r="L520" s="5">
        <f>'Raw Data'!J520</f>
        <v>26</v>
      </c>
      <c r="M520" s="5">
        <f>IF(COUNTIFS($A$2:A520,A520,$D$2:D520,D520)=1,L520,0)</f>
        <v>0</v>
      </c>
      <c r="N520" s="4">
        <f t="shared" si="43"/>
        <v>274.07423076923078</v>
      </c>
      <c r="O520" t="str">
        <f t="shared" si="44"/>
        <v>OK</v>
      </c>
    </row>
    <row r="521" spans="1:15">
      <c r="A521" t="str">
        <f>'Raw Data'!A521</f>
        <v>Houston RM-08</v>
      </c>
      <c r="B521" t="str">
        <f>'Raw Data'!B521</f>
        <v>South</v>
      </c>
      <c r="C521" t="str">
        <f>'Raw Data'!C521</f>
        <v>Beauty</v>
      </c>
      <c r="D521" s="3">
        <f>'Raw Data'!D521</f>
        <v>45717</v>
      </c>
      <c r="E521" t="str">
        <f t="shared" si="40"/>
        <v>Mar</v>
      </c>
      <c r="F521" s="5">
        <f>'Raw Data'!E521</f>
        <v>107</v>
      </c>
      <c r="G521" s="4">
        <f>'Raw Data'!F521</f>
        <v>3692.34</v>
      </c>
      <c r="H521" s="4">
        <f>'Raw Data'!G521</f>
        <v>1710.1</v>
      </c>
      <c r="I521" s="4">
        <f t="shared" si="41"/>
        <v>1982.2400000000002</v>
      </c>
      <c r="J521" s="8">
        <f t="shared" si="42"/>
        <v>0.53685196921193612</v>
      </c>
      <c r="K521" s="6">
        <f>'Raw Data'!I521</f>
        <v>4.0999999999999996</v>
      </c>
      <c r="L521" s="5">
        <f>'Raw Data'!J521</f>
        <v>26</v>
      </c>
      <c r="M521" s="5">
        <f>IF(COUNTIFS($A$2:A521,A521,$D$2:D521,D521)=1,L521,0)</f>
        <v>0</v>
      </c>
      <c r="N521" s="4">
        <f t="shared" si="43"/>
        <v>142.01307692307694</v>
      </c>
      <c r="O521" t="str">
        <f t="shared" si="44"/>
        <v>OK</v>
      </c>
    </row>
    <row r="522" spans="1:15">
      <c r="A522" t="str">
        <f>'Raw Data'!A522</f>
        <v>Houston RM-08</v>
      </c>
      <c r="B522" t="str">
        <f>'Raw Data'!B522</f>
        <v>South</v>
      </c>
      <c r="C522" t="str">
        <f>'Raw Data'!C522</f>
        <v>Grocery</v>
      </c>
      <c r="D522" s="3">
        <f>'Raw Data'!D522</f>
        <v>45717</v>
      </c>
      <c r="E522" t="str">
        <f t="shared" si="40"/>
        <v>Mar</v>
      </c>
      <c r="F522" s="5">
        <f>'Raw Data'!E522</f>
        <v>161</v>
      </c>
      <c r="G522" s="4">
        <f>'Raw Data'!F522</f>
        <v>2734.77</v>
      </c>
      <c r="H522" s="4">
        <f>'Raw Data'!G522</f>
        <v>2418.04</v>
      </c>
      <c r="I522" s="4">
        <f t="shared" si="41"/>
        <v>316.73</v>
      </c>
      <c r="J522" s="8">
        <f t="shared" si="42"/>
        <v>0.11581595527228981</v>
      </c>
      <c r="K522" s="6">
        <f>'Raw Data'!I522</f>
        <v>3.94</v>
      </c>
      <c r="L522" s="5">
        <f>'Raw Data'!J522</f>
        <v>26</v>
      </c>
      <c r="M522" s="5">
        <f>IF(COUNTIFS($A$2:A522,A522,$D$2:D522,D522)=1,L522,0)</f>
        <v>0</v>
      </c>
      <c r="N522" s="4">
        <f t="shared" si="43"/>
        <v>105.18346153846154</v>
      </c>
      <c r="O522" t="str">
        <f t="shared" si="44"/>
        <v>OK</v>
      </c>
    </row>
    <row r="523" spans="1:15">
      <c r="A523" t="str">
        <f>'Raw Data'!A523</f>
        <v>Houston RM-08</v>
      </c>
      <c r="B523" t="str">
        <f>'Raw Data'!B523</f>
        <v>South</v>
      </c>
      <c r="C523" t="str">
        <f>'Raw Data'!C523</f>
        <v>Sports</v>
      </c>
      <c r="D523" s="3">
        <f>'Raw Data'!D523</f>
        <v>45717</v>
      </c>
      <c r="E523" t="str">
        <f t="shared" si="40"/>
        <v>Mar</v>
      </c>
      <c r="F523" s="5">
        <f>'Raw Data'!E523</f>
        <v>77</v>
      </c>
      <c r="G523" s="4">
        <f>'Raw Data'!F523</f>
        <v>4887.2700000000004</v>
      </c>
      <c r="H523" s="4">
        <f>'Raw Data'!G523</f>
        <v>3056.22</v>
      </c>
      <c r="I523" s="4">
        <f t="shared" si="41"/>
        <v>1831.0500000000006</v>
      </c>
      <c r="J523" s="8">
        <f t="shared" si="42"/>
        <v>0.37465701710771054</v>
      </c>
      <c r="K523" s="6">
        <f>'Raw Data'!I523</f>
        <v>4.07</v>
      </c>
      <c r="L523" s="5">
        <f>'Raw Data'!J523</f>
        <v>26</v>
      </c>
      <c r="M523" s="5">
        <f>IF(COUNTIFS($A$2:A523,A523,$D$2:D523,D523)=1,L523,0)</f>
        <v>0</v>
      </c>
      <c r="N523" s="4">
        <f t="shared" si="43"/>
        <v>187.9719230769231</v>
      </c>
      <c r="O523" t="str">
        <f t="shared" si="44"/>
        <v>OK</v>
      </c>
    </row>
    <row r="524" spans="1:15">
      <c r="A524" t="str">
        <f>'Raw Data'!A524</f>
        <v>Houston RM-08</v>
      </c>
      <c r="B524" t="str">
        <f>'Raw Data'!B524</f>
        <v>South</v>
      </c>
      <c r="C524" t="str">
        <f>'Raw Data'!C524</f>
        <v>Electronics</v>
      </c>
      <c r="D524" s="3">
        <f>'Raw Data'!D524</f>
        <v>45748</v>
      </c>
      <c r="E524" t="str">
        <f t="shared" si="40"/>
        <v>Apr</v>
      </c>
      <c r="F524" s="5">
        <f>'Raw Data'!E524</f>
        <v>105</v>
      </c>
      <c r="G524" s="4">
        <f>'Raw Data'!F524</f>
        <v>15856.5</v>
      </c>
      <c r="H524" s="4">
        <f>'Raw Data'!G524</f>
        <v>12221.3</v>
      </c>
      <c r="I524" s="4">
        <f t="shared" si="41"/>
        <v>3635.2000000000007</v>
      </c>
      <c r="J524" s="8">
        <f t="shared" si="42"/>
        <v>0.22925614101472586</v>
      </c>
      <c r="K524" s="6">
        <f>'Raw Data'!I524</f>
        <v>4.29</v>
      </c>
      <c r="L524" s="5">
        <f>'Raw Data'!J524</f>
        <v>26</v>
      </c>
      <c r="M524" s="5">
        <f>IF(COUNTIFS($A$2:A524,A524,$D$2:D524,D524)=1,L524,0)</f>
        <v>26</v>
      </c>
      <c r="N524" s="4">
        <f t="shared" si="43"/>
        <v>609.86538461538464</v>
      </c>
      <c r="O524" t="str">
        <f t="shared" si="44"/>
        <v>OK</v>
      </c>
    </row>
    <row r="525" spans="1:15">
      <c r="A525" t="str">
        <f>'Raw Data'!A525</f>
        <v>Houston RM-08</v>
      </c>
      <c r="B525" t="str">
        <f>'Raw Data'!B525</f>
        <v>South</v>
      </c>
      <c r="C525" t="str">
        <f>'Raw Data'!C525</f>
        <v>Home Goods</v>
      </c>
      <c r="D525" s="3">
        <f>'Raw Data'!D525</f>
        <v>45748</v>
      </c>
      <c r="E525" t="str">
        <f t="shared" si="40"/>
        <v>Apr</v>
      </c>
      <c r="F525" s="5">
        <f>'Raw Data'!E525</f>
        <v>117</v>
      </c>
      <c r="G525" s="4">
        <f>'Raw Data'!F525</f>
        <v>8660.67</v>
      </c>
      <c r="H525" s="4">
        <f>'Raw Data'!G525</f>
        <v>5705.93</v>
      </c>
      <c r="I525" s="4">
        <f t="shared" si="41"/>
        <v>2954.74</v>
      </c>
      <c r="J525" s="8">
        <f t="shared" si="42"/>
        <v>0.34116760019721337</v>
      </c>
      <c r="K525" s="6">
        <f>'Raw Data'!I525</f>
        <v>4.18</v>
      </c>
      <c r="L525" s="5">
        <f>'Raw Data'!J525</f>
        <v>26</v>
      </c>
      <c r="M525" s="5">
        <f>IF(COUNTIFS($A$2:A525,A525,$D$2:D525,D525)=1,L525,0)</f>
        <v>0</v>
      </c>
      <c r="N525" s="4">
        <f t="shared" si="43"/>
        <v>333.10269230769234</v>
      </c>
      <c r="O525" t="str">
        <f t="shared" si="44"/>
        <v>OK</v>
      </c>
    </row>
    <row r="526" spans="1:15">
      <c r="A526" t="str">
        <f>'Raw Data'!A526</f>
        <v>Houston RM-08</v>
      </c>
      <c r="B526" t="str">
        <f>'Raw Data'!B526</f>
        <v>South</v>
      </c>
      <c r="C526" t="str">
        <f>'Raw Data'!C526</f>
        <v>Apparel</v>
      </c>
      <c r="D526" s="3">
        <f>'Raw Data'!D526</f>
        <v>45748</v>
      </c>
      <c r="E526" t="str">
        <f t="shared" si="40"/>
        <v>Apr</v>
      </c>
      <c r="F526" s="5">
        <f>'Raw Data'!E526</f>
        <v>168</v>
      </c>
      <c r="G526" s="4">
        <f>'Raw Data'!F526</f>
        <v>7883.18</v>
      </c>
      <c r="H526" s="4">
        <f>'Raw Data'!G526</f>
        <v>4614</v>
      </c>
      <c r="I526" s="4">
        <f t="shared" si="41"/>
        <v>3269.1800000000003</v>
      </c>
      <c r="J526" s="8">
        <f t="shared" si="42"/>
        <v>0.41470320352954015</v>
      </c>
      <c r="K526" s="6">
        <f>'Raw Data'!I526</f>
        <v>3.99</v>
      </c>
      <c r="L526" s="5">
        <f>'Raw Data'!J526</f>
        <v>26</v>
      </c>
      <c r="M526" s="5">
        <f>IF(COUNTIFS($A$2:A526,A526,$D$2:D526,D526)=1,L526,0)</f>
        <v>0</v>
      </c>
      <c r="N526" s="4">
        <f t="shared" si="43"/>
        <v>303.19923076923078</v>
      </c>
      <c r="O526" t="str">
        <f t="shared" si="44"/>
        <v>OK</v>
      </c>
    </row>
    <row r="527" spans="1:15">
      <c r="A527" t="str">
        <f>'Raw Data'!A527</f>
        <v>Houston RM-08</v>
      </c>
      <c r="B527" t="str">
        <f>'Raw Data'!B527</f>
        <v>South</v>
      </c>
      <c r="C527" t="str">
        <f>'Raw Data'!C527</f>
        <v>Beauty</v>
      </c>
      <c r="D527" s="3">
        <f>'Raw Data'!D527</f>
        <v>45748</v>
      </c>
      <c r="E527" t="str">
        <f t="shared" si="40"/>
        <v>Apr</v>
      </c>
      <c r="F527" s="5">
        <f>'Raw Data'!E527</f>
        <v>122</v>
      </c>
      <c r="G527" s="4">
        <f>'Raw Data'!F527</f>
        <v>4298.16</v>
      </c>
      <c r="H527" s="4">
        <f>'Raw Data'!G527</f>
        <v>2029.84</v>
      </c>
      <c r="I527" s="4">
        <f t="shared" si="41"/>
        <v>2268.3199999999997</v>
      </c>
      <c r="J527" s="8">
        <f t="shared" si="42"/>
        <v>0.52774210359781859</v>
      </c>
      <c r="K527" s="6">
        <f>'Raw Data'!I527</f>
        <v>4.22</v>
      </c>
      <c r="L527" s="5">
        <f>'Raw Data'!J527</f>
        <v>26</v>
      </c>
      <c r="M527" s="5">
        <f>IF(COUNTIFS($A$2:A527,A527,$D$2:D527,D527)=1,L527,0)</f>
        <v>0</v>
      </c>
      <c r="N527" s="4">
        <f t="shared" si="43"/>
        <v>165.31384615384616</v>
      </c>
      <c r="O527" t="str">
        <f t="shared" si="44"/>
        <v>OK</v>
      </c>
    </row>
    <row r="528" spans="1:15">
      <c r="A528" t="str">
        <f>'Raw Data'!A528</f>
        <v>Houston RM-08</v>
      </c>
      <c r="B528" t="str">
        <f>'Raw Data'!B528</f>
        <v>South</v>
      </c>
      <c r="C528" t="str">
        <f>'Raw Data'!C528</f>
        <v>Grocery</v>
      </c>
      <c r="D528" s="3">
        <f>'Raw Data'!D528</f>
        <v>45748</v>
      </c>
      <c r="E528" t="str">
        <f t="shared" si="40"/>
        <v>Apr</v>
      </c>
      <c r="F528" s="5">
        <f>'Raw Data'!E528</f>
        <v>165</v>
      </c>
      <c r="G528" s="4">
        <f>'Raw Data'!F528</f>
        <v>3091.55</v>
      </c>
      <c r="H528" s="4">
        <f>'Raw Data'!G528</f>
        <v>2775.51</v>
      </c>
      <c r="I528" s="4">
        <f t="shared" si="41"/>
        <v>316.03999999999996</v>
      </c>
      <c r="J528" s="8">
        <f t="shared" si="42"/>
        <v>0.10222703821707556</v>
      </c>
      <c r="K528" s="6">
        <f>'Raw Data'!I528</f>
        <v>4.13</v>
      </c>
      <c r="L528" s="5">
        <f>'Raw Data'!J528</f>
        <v>26</v>
      </c>
      <c r="M528" s="5">
        <f>IF(COUNTIFS($A$2:A528,A528,$D$2:D528,D528)=1,L528,0)</f>
        <v>0</v>
      </c>
      <c r="N528" s="4">
        <f t="shared" si="43"/>
        <v>118.90576923076924</v>
      </c>
      <c r="O528" t="str">
        <f t="shared" si="44"/>
        <v>OK</v>
      </c>
    </row>
    <row r="529" spans="1:15">
      <c r="A529" t="str">
        <f>'Raw Data'!A529</f>
        <v>Houston RM-08</v>
      </c>
      <c r="B529" t="str">
        <f>'Raw Data'!B529</f>
        <v>South</v>
      </c>
      <c r="C529" t="str">
        <f>'Raw Data'!C529</f>
        <v>Sports</v>
      </c>
      <c r="D529" s="3">
        <f>'Raw Data'!D529</f>
        <v>45748</v>
      </c>
      <c r="E529" t="str">
        <f t="shared" si="40"/>
        <v>Apr</v>
      </c>
      <c r="F529" s="5">
        <f>'Raw Data'!E529</f>
        <v>100</v>
      </c>
      <c r="G529" s="4">
        <f>'Raw Data'!F529</f>
        <v>6225.42</v>
      </c>
      <c r="H529" s="4">
        <f>'Raw Data'!G529</f>
        <v>3884.95</v>
      </c>
      <c r="I529" s="4">
        <f t="shared" si="41"/>
        <v>2340.4700000000003</v>
      </c>
      <c r="J529" s="8">
        <f t="shared" si="42"/>
        <v>0.37595375091158512</v>
      </c>
      <c r="K529" s="6">
        <f>'Raw Data'!I529</f>
        <v>3.94</v>
      </c>
      <c r="L529" s="5">
        <f>'Raw Data'!J529</f>
        <v>26</v>
      </c>
      <c r="M529" s="5">
        <f>IF(COUNTIFS($A$2:A529,A529,$D$2:D529,D529)=1,L529,0)</f>
        <v>0</v>
      </c>
      <c r="N529" s="4">
        <f t="shared" si="43"/>
        <v>239.43923076923076</v>
      </c>
      <c r="O529" t="str">
        <f t="shared" si="44"/>
        <v>OK</v>
      </c>
    </row>
    <row r="530" spans="1:15">
      <c r="A530" t="str">
        <f>'Raw Data'!A530</f>
        <v>Houston RM-08</v>
      </c>
      <c r="B530" t="str">
        <f>'Raw Data'!B530</f>
        <v>South</v>
      </c>
      <c r="C530" t="str">
        <f>'Raw Data'!C530</f>
        <v>Electronics</v>
      </c>
      <c r="D530" s="3">
        <f>'Raw Data'!D530</f>
        <v>45778</v>
      </c>
      <c r="E530" t="str">
        <f t="shared" si="40"/>
        <v>May</v>
      </c>
      <c r="F530" s="5">
        <f>'Raw Data'!E530</f>
        <v>121</v>
      </c>
      <c r="G530" s="4">
        <f>'Raw Data'!F530</f>
        <v>18467.349999999999</v>
      </c>
      <c r="H530" s="4">
        <f>'Raw Data'!G530</f>
        <v>14147.54</v>
      </c>
      <c r="I530" s="4">
        <f t="shared" si="41"/>
        <v>4319.8099999999977</v>
      </c>
      <c r="J530" s="8">
        <f t="shared" si="42"/>
        <v>0.23391607350269519</v>
      </c>
      <c r="K530" s="6">
        <f>'Raw Data'!I530</f>
        <v>4.0599999999999996</v>
      </c>
      <c r="L530" s="5">
        <f>'Raw Data'!J530</f>
        <v>27</v>
      </c>
      <c r="M530" s="5">
        <f>IF(COUNTIFS($A$2:A530,A530,$D$2:D530,D530)=1,L530,0)</f>
        <v>27</v>
      </c>
      <c r="N530" s="4">
        <f t="shared" si="43"/>
        <v>683.97592592592582</v>
      </c>
      <c r="O530" t="str">
        <f t="shared" si="44"/>
        <v>OK</v>
      </c>
    </row>
    <row r="531" spans="1:15">
      <c r="A531" t="str">
        <f>'Raw Data'!A531</f>
        <v>Houston RM-08</v>
      </c>
      <c r="B531" t="str">
        <f>'Raw Data'!B531</f>
        <v>South</v>
      </c>
      <c r="C531" t="str">
        <f>'Raw Data'!C531</f>
        <v>Home Goods</v>
      </c>
      <c r="D531" s="3">
        <f>'Raw Data'!D531</f>
        <v>45778</v>
      </c>
      <c r="E531" t="str">
        <f t="shared" si="40"/>
        <v>May</v>
      </c>
      <c r="F531" s="5">
        <f>'Raw Data'!E531</f>
        <v>128</v>
      </c>
      <c r="G531" s="4">
        <f>'Raw Data'!F531</f>
        <v>10254.93</v>
      </c>
      <c r="H531" s="4">
        <f>'Raw Data'!G531</f>
        <v>6956.15</v>
      </c>
      <c r="I531" s="4">
        <f t="shared" si="41"/>
        <v>3298.7800000000007</v>
      </c>
      <c r="J531" s="8">
        <f t="shared" si="42"/>
        <v>0.32167747610173841</v>
      </c>
      <c r="K531" s="6">
        <f>'Raw Data'!I531</f>
        <v>4.29</v>
      </c>
      <c r="L531" s="5">
        <f>'Raw Data'!J531</f>
        <v>27</v>
      </c>
      <c r="M531" s="5">
        <f>IF(COUNTIFS($A$2:A531,A531,$D$2:D531,D531)=1,L531,0)</f>
        <v>0</v>
      </c>
      <c r="N531" s="4">
        <f t="shared" si="43"/>
        <v>379.81222222222226</v>
      </c>
      <c r="O531" t="str">
        <f t="shared" si="44"/>
        <v>OK</v>
      </c>
    </row>
    <row r="532" spans="1:15">
      <c r="A532" t="str">
        <f>'Raw Data'!A532</f>
        <v>Houston RM-08</v>
      </c>
      <c r="B532" t="str">
        <f>'Raw Data'!B532</f>
        <v>South</v>
      </c>
      <c r="C532" t="str">
        <f>'Raw Data'!C532</f>
        <v>Apparel</v>
      </c>
      <c r="D532" s="3">
        <f>'Raw Data'!D532</f>
        <v>45778</v>
      </c>
      <c r="E532" t="str">
        <f t="shared" si="40"/>
        <v>May</v>
      </c>
      <c r="F532" s="5">
        <f>'Raw Data'!E532</f>
        <v>154</v>
      </c>
      <c r="G532" s="4">
        <f>'Raw Data'!F532</f>
        <v>7928.8</v>
      </c>
      <c r="H532" s="4">
        <f>'Raw Data'!G532</f>
        <v>4703.04</v>
      </c>
      <c r="I532" s="4">
        <f t="shared" si="41"/>
        <v>3225.76</v>
      </c>
      <c r="J532" s="8">
        <f t="shared" si="42"/>
        <v>0.4068408838664111</v>
      </c>
      <c r="K532" s="6">
        <f>'Raw Data'!I532</f>
        <v>4.05</v>
      </c>
      <c r="L532" s="5">
        <f>'Raw Data'!J532</f>
        <v>27</v>
      </c>
      <c r="M532" s="5">
        <f>IF(COUNTIFS($A$2:A532,A532,$D$2:D532,D532)=1,L532,0)</f>
        <v>0</v>
      </c>
      <c r="N532" s="4">
        <f t="shared" si="43"/>
        <v>293.65925925925927</v>
      </c>
      <c r="O532" t="str">
        <f t="shared" si="44"/>
        <v>OK</v>
      </c>
    </row>
    <row r="533" spans="1:15">
      <c r="A533" t="str">
        <f>'Raw Data'!A533</f>
        <v>Houston RM-08</v>
      </c>
      <c r="B533" t="str">
        <f>'Raw Data'!B533</f>
        <v>South</v>
      </c>
      <c r="C533" t="str">
        <f>'Raw Data'!C533</f>
        <v>Beauty</v>
      </c>
      <c r="D533" s="3">
        <f>'Raw Data'!D533</f>
        <v>45778</v>
      </c>
      <c r="E533" t="str">
        <f t="shared" si="40"/>
        <v>May</v>
      </c>
      <c r="F533" s="5">
        <f>'Raw Data'!E533</f>
        <v>130</v>
      </c>
      <c r="G533" s="4">
        <f>'Raw Data'!F533</f>
        <v>5031.1899999999996</v>
      </c>
      <c r="H533" s="4">
        <f>'Raw Data'!G533</f>
        <v>2503.58</v>
      </c>
      <c r="I533" s="4">
        <f t="shared" si="41"/>
        <v>2527.6099999999997</v>
      </c>
      <c r="J533" s="8">
        <f t="shared" si="42"/>
        <v>0.50238810301340242</v>
      </c>
      <c r="K533" s="6">
        <f>'Raw Data'!I533</f>
        <v>4.04</v>
      </c>
      <c r="L533" s="5">
        <f>'Raw Data'!J533</f>
        <v>27</v>
      </c>
      <c r="M533" s="5">
        <f>IF(COUNTIFS($A$2:A533,A533,$D$2:D533,D533)=1,L533,0)</f>
        <v>0</v>
      </c>
      <c r="N533" s="4">
        <f t="shared" si="43"/>
        <v>186.34037037037035</v>
      </c>
      <c r="O533" t="str">
        <f t="shared" si="44"/>
        <v>OK</v>
      </c>
    </row>
    <row r="534" spans="1:15">
      <c r="A534" t="str">
        <f>'Raw Data'!A534</f>
        <v>Houston RM-08</v>
      </c>
      <c r="B534" t="str">
        <f>'Raw Data'!B534</f>
        <v>South</v>
      </c>
      <c r="C534" t="str">
        <f>'Raw Data'!C534</f>
        <v>Grocery</v>
      </c>
      <c r="D534" s="3">
        <f>'Raw Data'!D534</f>
        <v>45778</v>
      </c>
      <c r="E534" t="str">
        <f t="shared" si="40"/>
        <v>May</v>
      </c>
      <c r="F534" s="5">
        <f>'Raw Data'!E534</f>
        <v>196</v>
      </c>
      <c r="G534" s="4">
        <f>'Raw Data'!F534</f>
        <v>3600.76</v>
      </c>
      <c r="H534" s="4">
        <f>'Raw Data'!G534</f>
        <v>3204.78</v>
      </c>
      <c r="I534" s="4">
        <f t="shared" si="41"/>
        <v>395.98</v>
      </c>
      <c r="J534" s="8">
        <f t="shared" si="42"/>
        <v>0.10997122829624857</v>
      </c>
      <c r="K534" s="6">
        <f>'Raw Data'!I534</f>
        <v>4.04</v>
      </c>
      <c r="L534" s="5">
        <f>'Raw Data'!J534</f>
        <v>27</v>
      </c>
      <c r="M534" s="5">
        <f>IF(COUNTIFS($A$2:A534,A534,$D$2:D534,D534)=1,L534,0)</f>
        <v>0</v>
      </c>
      <c r="N534" s="4">
        <f t="shared" si="43"/>
        <v>133.36148148148149</v>
      </c>
      <c r="O534" t="str">
        <f t="shared" si="44"/>
        <v>OK</v>
      </c>
    </row>
    <row r="535" spans="1:15">
      <c r="A535" t="str">
        <f>'Raw Data'!A535</f>
        <v>Houston RM-08</v>
      </c>
      <c r="B535" t="str">
        <f>'Raw Data'!B535</f>
        <v>South</v>
      </c>
      <c r="C535" t="str">
        <f>'Raw Data'!C535</f>
        <v>Sports</v>
      </c>
      <c r="D535" s="3">
        <f>'Raw Data'!D535</f>
        <v>45778</v>
      </c>
      <c r="E535" t="str">
        <f t="shared" si="40"/>
        <v>May</v>
      </c>
      <c r="F535" s="5">
        <f>'Raw Data'!E535</f>
        <v>107</v>
      </c>
      <c r="G535" s="4">
        <f>'Raw Data'!F535</f>
        <v>6994.29</v>
      </c>
      <c r="H535" s="4">
        <f>'Raw Data'!G535</f>
        <v>4475.3900000000003</v>
      </c>
      <c r="I535" s="4">
        <f t="shared" si="41"/>
        <v>2518.8999999999996</v>
      </c>
      <c r="J535" s="8">
        <f t="shared" si="42"/>
        <v>0.36013662573327665</v>
      </c>
      <c r="K535" s="6">
        <f>'Raw Data'!I535</f>
        <v>3.98</v>
      </c>
      <c r="L535" s="5">
        <f>'Raw Data'!J535</f>
        <v>27</v>
      </c>
      <c r="M535" s="5">
        <f>IF(COUNTIFS($A$2:A535,A535,$D$2:D535,D535)=1,L535,0)</f>
        <v>0</v>
      </c>
      <c r="N535" s="4">
        <f t="shared" si="43"/>
        <v>259.04777777777775</v>
      </c>
      <c r="O535" t="str">
        <f t="shared" si="44"/>
        <v>OK</v>
      </c>
    </row>
    <row r="536" spans="1:15">
      <c r="A536" t="str">
        <f>'Raw Data'!A536</f>
        <v>Houston RM-08</v>
      </c>
      <c r="B536" t="str">
        <f>'Raw Data'!B536</f>
        <v>South</v>
      </c>
      <c r="C536" t="str">
        <f>'Raw Data'!C536</f>
        <v>Electronics</v>
      </c>
      <c r="D536" s="3">
        <f>'Raw Data'!D536</f>
        <v>45809</v>
      </c>
      <c r="E536" t="str">
        <f t="shared" si="40"/>
        <v>Jun</v>
      </c>
      <c r="F536" s="5">
        <f>'Raw Data'!E536</f>
        <v>123</v>
      </c>
      <c r="G536" s="4">
        <f>'Raw Data'!F536</f>
        <v>18467.07</v>
      </c>
      <c r="H536" s="4">
        <f>'Raw Data'!G536</f>
        <v>14447.61</v>
      </c>
      <c r="I536" s="4">
        <f t="shared" si="41"/>
        <v>4019.4599999999991</v>
      </c>
      <c r="J536" s="8">
        <f t="shared" si="42"/>
        <v>0.21765553496033746</v>
      </c>
      <c r="K536" s="6">
        <f>'Raw Data'!I536</f>
        <v>4.28</v>
      </c>
      <c r="L536" s="5">
        <f>'Raw Data'!J536</f>
        <v>27</v>
      </c>
      <c r="M536" s="5">
        <f>IF(COUNTIFS($A$2:A536,A536,$D$2:D536,D536)=1,L536,0)</f>
        <v>27</v>
      </c>
      <c r="N536" s="4">
        <f t="shared" si="43"/>
        <v>683.96555555555551</v>
      </c>
      <c r="O536" t="str">
        <f t="shared" si="44"/>
        <v>OK</v>
      </c>
    </row>
    <row r="537" spans="1:15">
      <c r="A537" t="str">
        <f>'Raw Data'!A537</f>
        <v>Houston RM-08</v>
      </c>
      <c r="B537" t="str">
        <f>'Raw Data'!B537</f>
        <v>South</v>
      </c>
      <c r="C537" t="str">
        <f>'Raw Data'!C537</f>
        <v>Home Goods</v>
      </c>
      <c r="D537" s="3">
        <f>'Raw Data'!D537</f>
        <v>45809</v>
      </c>
      <c r="E537" t="str">
        <f t="shared" si="40"/>
        <v>Jun</v>
      </c>
      <c r="F537" s="5">
        <f>'Raw Data'!E537</f>
        <v>115</v>
      </c>
      <c r="G537" s="4">
        <f>'Raw Data'!F537</f>
        <v>8780.44</v>
      </c>
      <c r="H537" s="4">
        <f>'Raw Data'!G537</f>
        <v>5956.44</v>
      </c>
      <c r="I537" s="4">
        <f t="shared" si="41"/>
        <v>2824.0000000000009</v>
      </c>
      <c r="J537" s="8">
        <f t="shared" si="42"/>
        <v>0.32162397328607689</v>
      </c>
      <c r="K537" s="6">
        <f>'Raw Data'!I537</f>
        <v>4.09</v>
      </c>
      <c r="L537" s="5">
        <f>'Raw Data'!J537</f>
        <v>27</v>
      </c>
      <c r="M537" s="5">
        <f>IF(COUNTIFS($A$2:A537,A537,$D$2:D537,D537)=1,L537,0)</f>
        <v>0</v>
      </c>
      <c r="N537" s="4">
        <f t="shared" si="43"/>
        <v>325.20148148148149</v>
      </c>
      <c r="O537" t="str">
        <f t="shared" si="44"/>
        <v>OK</v>
      </c>
    </row>
    <row r="538" spans="1:15">
      <c r="A538" t="str">
        <f>'Raw Data'!A538</f>
        <v>Houston RM-08</v>
      </c>
      <c r="B538" t="str">
        <f>'Raw Data'!B538</f>
        <v>South</v>
      </c>
      <c r="C538" t="str">
        <f>'Raw Data'!C538</f>
        <v>Apparel</v>
      </c>
      <c r="D538" s="3">
        <f>'Raw Data'!D538</f>
        <v>45809</v>
      </c>
      <c r="E538" t="str">
        <f t="shared" si="40"/>
        <v>Jun</v>
      </c>
      <c r="F538" s="5">
        <f>'Raw Data'!E538</f>
        <v>149</v>
      </c>
      <c r="G538" s="4">
        <f>'Raw Data'!F538</f>
        <v>7542.89</v>
      </c>
      <c r="H538" s="4">
        <f>'Raw Data'!G538</f>
        <v>4682.79</v>
      </c>
      <c r="I538" s="4">
        <f t="shared" si="41"/>
        <v>2860.1000000000004</v>
      </c>
      <c r="J538" s="8">
        <f t="shared" si="42"/>
        <v>0.37917827251888869</v>
      </c>
      <c r="K538" s="6">
        <f>'Raw Data'!I538</f>
        <v>4.08</v>
      </c>
      <c r="L538" s="5">
        <f>'Raw Data'!J538</f>
        <v>27</v>
      </c>
      <c r="M538" s="5">
        <f>IF(COUNTIFS($A$2:A538,A538,$D$2:D538,D538)=1,L538,0)</f>
        <v>0</v>
      </c>
      <c r="N538" s="4">
        <f t="shared" si="43"/>
        <v>279.3662962962963</v>
      </c>
      <c r="O538" t="str">
        <f t="shared" si="44"/>
        <v>OK</v>
      </c>
    </row>
    <row r="539" spans="1:15">
      <c r="A539" t="str">
        <f>'Raw Data'!A539</f>
        <v>Houston RM-08</v>
      </c>
      <c r="B539" t="str">
        <f>'Raw Data'!B539</f>
        <v>South</v>
      </c>
      <c r="C539" t="str">
        <f>'Raw Data'!C539</f>
        <v>Beauty</v>
      </c>
      <c r="D539" s="3">
        <f>'Raw Data'!D539</f>
        <v>45809</v>
      </c>
      <c r="E539" t="str">
        <f t="shared" si="40"/>
        <v>Jun</v>
      </c>
      <c r="F539" s="5">
        <f>'Raw Data'!E539</f>
        <v>144</v>
      </c>
      <c r="G539" s="4">
        <f>'Raw Data'!F539</f>
        <v>5235.33</v>
      </c>
      <c r="H539" s="4">
        <f>'Raw Data'!G539</f>
        <v>2585.84</v>
      </c>
      <c r="I539" s="4">
        <f t="shared" si="41"/>
        <v>2649.49</v>
      </c>
      <c r="J539" s="8">
        <f t="shared" si="42"/>
        <v>0.50607889091996106</v>
      </c>
      <c r="K539" s="6">
        <f>'Raw Data'!I539</f>
        <v>4.0199999999999996</v>
      </c>
      <c r="L539" s="5">
        <f>'Raw Data'!J539</f>
        <v>27</v>
      </c>
      <c r="M539" s="5">
        <f>IF(COUNTIFS($A$2:A539,A539,$D$2:D539,D539)=1,L539,0)</f>
        <v>0</v>
      </c>
      <c r="N539" s="4">
        <f t="shared" si="43"/>
        <v>193.90111111111111</v>
      </c>
      <c r="O539" t="str">
        <f t="shared" si="44"/>
        <v>OK</v>
      </c>
    </row>
    <row r="540" spans="1:15">
      <c r="A540" t="str">
        <f>'Raw Data'!A540</f>
        <v>Houston RM-08</v>
      </c>
      <c r="B540" t="str">
        <f>'Raw Data'!B540</f>
        <v>South</v>
      </c>
      <c r="C540" t="str">
        <f>'Raw Data'!C540</f>
        <v>Grocery</v>
      </c>
      <c r="D540" s="3">
        <f>'Raw Data'!D540</f>
        <v>45809</v>
      </c>
      <c r="E540" t="str">
        <f t="shared" si="40"/>
        <v>Jun</v>
      </c>
      <c r="F540" s="5">
        <f>'Raw Data'!E540</f>
        <v>197</v>
      </c>
      <c r="G540" s="4">
        <f>'Raw Data'!F540</f>
        <v>3724.97</v>
      </c>
      <c r="H540" s="4">
        <f>'Raw Data'!G540</f>
        <v>3303.07</v>
      </c>
      <c r="I540" s="4">
        <f t="shared" si="41"/>
        <v>421.89999999999964</v>
      </c>
      <c r="J540" s="8">
        <f t="shared" si="42"/>
        <v>0.11326265714891655</v>
      </c>
      <c r="K540" s="6">
        <f>'Raw Data'!I540</f>
        <v>4.26</v>
      </c>
      <c r="L540" s="5">
        <f>'Raw Data'!J540</f>
        <v>27</v>
      </c>
      <c r="M540" s="5">
        <f>IF(COUNTIFS($A$2:A540,A540,$D$2:D540,D540)=1,L540,0)</f>
        <v>0</v>
      </c>
      <c r="N540" s="4">
        <f t="shared" si="43"/>
        <v>137.96185185185183</v>
      </c>
      <c r="O540" t="str">
        <f t="shared" si="44"/>
        <v>OK</v>
      </c>
    </row>
    <row r="541" spans="1:15">
      <c r="A541" t="str">
        <f>'Raw Data'!A541</f>
        <v>Houston RM-08</v>
      </c>
      <c r="B541" t="str">
        <f>'Raw Data'!B541</f>
        <v>South</v>
      </c>
      <c r="C541" t="str">
        <f>'Raw Data'!C541</f>
        <v>Sports</v>
      </c>
      <c r="D541" s="3">
        <f>'Raw Data'!D541</f>
        <v>45809</v>
      </c>
      <c r="E541" t="str">
        <f t="shared" si="40"/>
        <v>Jun</v>
      </c>
      <c r="F541" s="5">
        <f>'Raw Data'!E541</f>
        <v>110</v>
      </c>
      <c r="G541" s="4">
        <f>'Raw Data'!F541</f>
        <v>6868.37</v>
      </c>
      <c r="H541" s="4">
        <f>'Raw Data'!G541</f>
        <v>4437.87</v>
      </c>
      <c r="I541" s="4">
        <f t="shared" si="41"/>
        <v>2430.5</v>
      </c>
      <c r="J541" s="8">
        <f t="shared" si="42"/>
        <v>0.3538685306703046</v>
      </c>
      <c r="K541" s="6">
        <f>'Raw Data'!I541</f>
        <v>4.12</v>
      </c>
      <c r="L541" s="5">
        <f>'Raw Data'!J541</f>
        <v>27</v>
      </c>
      <c r="M541" s="5">
        <f>IF(COUNTIFS($A$2:A541,A541,$D$2:D541,D541)=1,L541,0)</f>
        <v>0</v>
      </c>
      <c r="N541" s="4">
        <f t="shared" si="43"/>
        <v>254.38407407407408</v>
      </c>
      <c r="O541" t="str">
        <f t="shared" si="44"/>
        <v>OK</v>
      </c>
    </row>
    <row r="542" spans="1:15">
      <c r="A542" t="str">
        <f>'Raw Data'!A542</f>
        <v>Houston RM-08</v>
      </c>
      <c r="B542" t="str">
        <f>'Raw Data'!B542</f>
        <v>South</v>
      </c>
      <c r="C542" t="str">
        <f>'Raw Data'!C542</f>
        <v>Electronics</v>
      </c>
      <c r="D542" s="3">
        <f>'Raw Data'!D542</f>
        <v>45839</v>
      </c>
      <c r="E542" t="str">
        <f t="shared" si="40"/>
        <v>Jul</v>
      </c>
      <c r="F542" s="5">
        <f>'Raw Data'!E542</f>
        <v>121</v>
      </c>
      <c r="G542" s="4">
        <f>'Raw Data'!F542</f>
        <v>17375.41</v>
      </c>
      <c r="H542" s="4">
        <f>'Raw Data'!G542</f>
        <v>13981.16</v>
      </c>
      <c r="I542" s="4">
        <f t="shared" si="41"/>
        <v>3394.25</v>
      </c>
      <c r="J542" s="8">
        <f t="shared" si="42"/>
        <v>0.19534790833712701</v>
      </c>
      <c r="K542" s="6">
        <f>'Raw Data'!I542</f>
        <v>4.13</v>
      </c>
      <c r="L542" s="5">
        <f>'Raw Data'!J542</f>
        <v>28</v>
      </c>
      <c r="M542" s="5">
        <f>IF(COUNTIFS($A$2:A542,A542,$D$2:D542,D542)=1,L542,0)</f>
        <v>28</v>
      </c>
      <c r="N542" s="4">
        <f t="shared" si="43"/>
        <v>620.55035714285714</v>
      </c>
      <c r="O542" t="str">
        <f t="shared" si="44"/>
        <v>OK</v>
      </c>
    </row>
    <row r="543" spans="1:15">
      <c r="A543" t="str">
        <f>'Raw Data'!A543</f>
        <v>Houston RM-08</v>
      </c>
      <c r="B543" t="str">
        <f>'Raw Data'!B543</f>
        <v>South</v>
      </c>
      <c r="C543" t="str">
        <f>'Raw Data'!C543</f>
        <v>Home Goods</v>
      </c>
      <c r="D543" s="3">
        <f>'Raw Data'!D543</f>
        <v>45839</v>
      </c>
      <c r="E543" t="str">
        <f t="shared" si="40"/>
        <v>Jul</v>
      </c>
      <c r="F543" s="5">
        <f>'Raw Data'!E543</f>
        <v>122</v>
      </c>
      <c r="G543" s="4">
        <f>'Raw Data'!F543</f>
        <v>9544.09</v>
      </c>
      <c r="H543" s="4">
        <f>'Raw Data'!G543</f>
        <v>6291.15</v>
      </c>
      <c r="I543" s="4">
        <f t="shared" si="41"/>
        <v>3252.9400000000005</v>
      </c>
      <c r="J543" s="8">
        <f t="shared" si="42"/>
        <v>0.34083291335266125</v>
      </c>
      <c r="K543" s="6">
        <f>'Raw Data'!I543</f>
        <v>4.21</v>
      </c>
      <c r="L543" s="5">
        <f>'Raw Data'!J543</f>
        <v>28</v>
      </c>
      <c r="M543" s="5">
        <f>IF(COUNTIFS($A$2:A543,A543,$D$2:D543,D543)=1,L543,0)</f>
        <v>0</v>
      </c>
      <c r="N543" s="4">
        <f t="shared" si="43"/>
        <v>340.86035714285714</v>
      </c>
      <c r="O543" t="str">
        <f t="shared" si="44"/>
        <v>OK</v>
      </c>
    </row>
    <row r="544" spans="1:15">
      <c r="A544" t="str">
        <f>'Raw Data'!A544</f>
        <v>Houston RM-08</v>
      </c>
      <c r="B544" t="str">
        <f>'Raw Data'!B544</f>
        <v>South</v>
      </c>
      <c r="C544" t="str">
        <f>'Raw Data'!C544</f>
        <v>Apparel</v>
      </c>
      <c r="D544" s="3">
        <f>'Raw Data'!D544</f>
        <v>45839</v>
      </c>
      <c r="E544" t="str">
        <f t="shared" si="40"/>
        <v>Jul</v>
      </c>
      <c r="F544" s="5">
        <f>'Raw Data'!E544</f>
        <v>154</v>
      </c>
      <c r="G544" s="4">
        <f>'Raw Data'!F544</f>
        <v>7618.05</v>
      </c>
      <c r="H544" s="4">
        <f>'Raw Data'!G544</f>
        <v>4564.41</v>
      </c>
      <c r="I544" s="4">
        <f t="shared" si="41"/>
        <v>3053.6400000000003</v>
      </c>
      <c r="J544" s="8">
        <f t="shared" si="42"/>
        <v>0.40084273534565934</v>
      </c>
      <c r="K544" s="6">
        <f>'Raw Data'!I544</f>
        <v>4.29</v>
      </c>
      <c r="L544" s="5">
        <f>'Raw Data'!J544</f>
        <v>28</v>
      </c>
      <c r="M544" s="5">
        <f>IF(COUNTIFS($A$2:A544,A544,$D$2:D544,D544)=1,L544,0)</f>
        <v>0</v>
      </c>
      <c r="N544" s="4">
        <f t="shared" si="43"/>
        <v>272.0732142857143</v>
      </c>
      <c r="O544" t="str">
        <f t="shared" si="44"/>
        <v>OK</v>
      </c>
    </row>
    <row r="545" spans="1:15">
      <c r="A545" t="str">
        <f>'Raw Data'!A545</f>
        <v>Houston RM-08</v>
      </c>
      <c r="B545" t="str">
        <f>'Raw Data'!B545</f>
        <v>South</v>
      </c>
      <c r="C545" t="str">
        <f>'Raw Data'!C545</f>
        <v>Beauty</v>
      </c>
      <c r="D545" s="3">
        <f>'Raw Data'!D545</f>
        <v>45839</v>
      </c>
      <c r="E545" t="str">
        <f t="shared" si="40"/>
        <v>Jul</v>
      </c>
      <c r="F545" s="5">
        <f>'Raw Data'!E545</f>
        <v>126</v>
      </c>
      <c r="G545" s="4">
        <f>'Raw Data'!F545</f>
        <v>4694.0600000000004</v>
      </c>
      <c r="H545" s="4">
        <f>'Raw Data'!G545</f>
        <v>2314.23</v>
      </c>
      <c r="I545" s="4">
        <f t="shared" si="41"/>
        <v>2379.8300000000004</v>
      </c>
      <c r="J545" s="8">
        <f t="shared" si="42"/>
        <v>0.50698755448375188</v>
      </c>
      <c r="K545" s="6">
        <f>'Raw Data'!I545</f>
        <v>4.21</v>
      </c>
      <c r="L545" s="5">
        <f>'Raw Data'!J545</f>
        <v>28</v>
      </c>
      <c r="M545" s="5">
        <f>IF(COUNTIFS($A$2:A545,A545,$D$2:D545,D545)=1,L545,0)</f>
        <v>0</v>
      </c>
      <c r="N545" s="4">
        <f t="shared" si="43"/>
        <v>167.64500000000001</v>
      </c>
      <c r="O545" t="str">
        <f t="shared" si="44"/>
        <v>OK</v>
      </c>
    </row>
    <row r="546" spans="1:15">
      <c r="A546" t="str">
        <f>'Raw Data'!A546</f>
        <v>Houston RM-08</v>
      </c>
      <c r="B546" t="str">
        <f>'Raw Data'!B546</f>
        <v>South</v>
      </c>
      <c r="C546" t="str">
        <f>'Raw Data'!C546</f>
        <v>Grocery</v>
      </c>
      <c r="D546" s="3">
        <f>'Raw Data'!D546</f>
        <v>45839</v>
      </c>
      <c r="E546" t="str">
        <f t="shared" si="40"/>
        <v>Jul</v>
      </c>
      <c r="F546" s="5">
        <f>'Raw Data'!E546</f>
        <v>240</v>
      </c>
      <c r="G546" s="4">
        <f>'Raw Data'!F546</f>
        <v>4067.18</v>
      </c>
      <c r="H546" s="4">
        <f>'Raw Data'!G546</f>
        <v>3671.61</v>
      </c>
      <c r="I546" s="4">
        <f t="shared" si="41"/>
        <v>395.56999999999971</v>
      </c>
      <c r="J546" s="8">
        <f t="shared" si="42"/>
        <v>9.7259034515315215E-2</v>
      </c>
      <c r="K546" s="6">
        <f>'Raw Data'!I546</f>
        <v>4.09</v>
      </c>
      <c r="L546" s="5">
        <f>'Raw Data'!J546</f>
        <v>28</v>
      </c>
      <c r="M546" s="5">
        <f>IF(COUNTIFS($A$2:A546,A546,$D$2:D546,D546)=1,L546,0)</f>
        <v>0</v>
      </c>
      <c r="N546" s="4">
        <f t="shared" si="43"/>
        <v>145.25642857142856</v>
      </c>
      <c r="O546" t="str">
        <f t="shared" si="44"/>
        <v>OK</v>
      </c>
    </row>
    <row r="547" spans="1:15">
      <c r="A547" t="str">
        <f>'Raw Data'!A547</f>
        <v>Houston RM-08</v>
      </c>
      <c r="B547" t="str">
        <f>'Raw Data'!B547</f>
        <v>South</v>
      </c>
      <c r="C547" t="str">
        <f>'Raw Data'!C547</f>
        <v>Sports</v>
      </c>
      <c r="D547" s="3">
        <f>'Raw Data'!D547</f>
        <v>45839</v>
      </c>
      <c r="E547" t="str">
        <f t="shared" si="40"/>
        <v>Jul</v>
      </c>
      <c r="F547" s="5">
        <f>'Raw Data'!E547</f>
        <v>126</v>
      </c>
      <c r="G547" s="4">
        <f>'Raw Data'!F547</f>
        <v>7910.68</v>
      </c>
      <c r="H547" s="4">
        <f>'Raw Data'!G547</f>
        <v>5214.4799999999996</v>
      </c>
      <c r="I547" s="4">
        <f t="shared" si="41"/>
        <v>2696.2000000000007</v>
      </c>
      <c r="J547" s="8">
        <f t="shared" si="42"/>
        <v>0.34083037109325631</v>
      </c>
      <c r="K547" s="6">
        <f>'Raw Data'!I547</f>
        <v>4.1399999999999997</v>
      </c>
      <c r="L547" s="5">
        <f>'Raw Data'!J547</f>
        <v>28</v>
      </c>
      <c r="M547" s="5">
        <f>IF(COUNTIFS($A$2:A547,A547,$D$2:D547,D547)=1,L547,0)</f>
        <v>0</v>
      </c>
      <c r="N547" s="4">
        <f t="shared" si="43"/>
        <v>282.52428571428572</v>
      </c>
      <c r="O547" t="str">
        <f t="shared" si="44"/>
        <v>OK</v>
      </c>
    </row>
    <row r="548" spans="1:15">
      <c r="A548" t="str">
        <f>'Raw Data'!A548</f>
        <v>Houston RM-08</v>
      </c>
      <c r="B548" t="str">
        <f>'Raw Data'!B548</f>
        <v>South</v>
      </c>
      <c r="C548" t="str">
        <f>'Raw Data'!C548</f>
        <v>Electronics</v>
      </c>
      <c r="D548" s="3">
        <f>'Raw Data'!D548</f>
        <v>45870</v>
      </c>
      <c r="E548" t="str">
        <f t="shared" si="40"/>
        <v>Aug</v>
      </c>
      <c r="F548" s="5">
        <f>'Raw Data'!E548</f>
        <v>126</v>
      </c>
      <c r="G548" s="4">
        <f>'Raw Data'!F548</f>
        <v>18911.97</v>
      </c>
      <c r="H548" s="4">
        <f>'Raw Data'!G548</f>
        <v>15149.42</v>
      </c>
      <c r="I548" s="4">
        <f t="shared" si="41"/>
        <v>3762.5500000000011</v>
      </c>
      <c r="J548" s="8">
        <f t="shared" si="42"/>
        <v>0.19895071745566437</v>
      </c>
      <c r="K548" s="6">
        <f>'Raw Data'!I548</f>
        <v>3.99</v>
      </c>
      <c r="L548" s="5">
        <f>'Raw Data'!J548</f>
        <v>28</v>
      </c>
      <c r="M548" s="5">
        <f>IF(COUNTIFS($A$2:A548,A548,$D$2:D548,D548)=1,L548,0)</f>
        <v>28</v>
      </c>
      <c r="N548" s="4">
        <f t="shared" si="43"/>
        <v>675.42750000000001</v>
      </c>
      <c r="O548" t="str">
        <f t="shared" si="44"/>
        <v>OK</v>
      </c>
    </row>
    <row r="549" spans="1:15">
      <c r="A549" t="str">
        <f>'Raw Data'!A549</f>
        <v>Houston RM-08</v>
      </c>
      <c r="B549" t="str">
        <f>'Raw Data'!B549</f>
        <v>South</v>
      </c>
      <c r="C549" t="str">
        <f>'Raw Data'!C549</f>
        <v>Home Goods</v>
      </c>
      <c r="D549" s="3">
        <f>'Raw Data'!D549</f>
        <v>45870</v>
      </c>
      <c r="E549" t="str">
        <f t="shared" si="40"/>
        <v>Aug</v>
      </c>
      <c r="F549" s="5">
        <f>'Raw Data'!E549</f>
        <v>129</v>
      </c>
      <c r="G549" s="4">
        <f>'Raw Data'!F549</f>
        <v>10585.17</v>
      </c>
      <c r="H549" s="4">
        <f>'Raw Data'!G549</f>
        <v>7211.62</v>
      </c>
      <c r="I549" s="4">
        <f t="shared" si="41"/>
        <v>3373.55</v>
      </c>
      <c r="J549" s="8">
        <f t="shared" si="42"/>
        <v>0.31870532074591151</v>
      </c>
      <c r="K549" s="6">
        <f>'Raw Data'!I549</f>
        <v>4.04</v>
      </c>
      <c r="L549" s="5">
        <f>'Raw Data'!J549</f>
        <v>28</v>
      </c>
      <c r="M549" s="5">
        <f>IF(COUNTIFS($A$2:A549,A549,$D$2:D549,D549)=1,L549,0)</f>
        <v>0</v>
      </c>
      <c r="N549" s="4">
        <f t="shared" si="43"/>
        <v>378.04178571428571</v>
      </c>
      <c r="O549" t="str">
        <f t="shared" si="44"/>
        <v>OK</v>
      </c>
    </row>
    <row r="550" spans="1:15">
      <c r="A550" t="str">
        <f>'Raw Data'!A550</f>
        <v>Houston RM-08</v>
      </c>
      <c r="B550" t="str">
        <f>'Raw Data'!B550</f>
        <v>South</v>
      </c>
      <c r="C550" t="str">
        <f>'Raw Data'!C550</f>
        <v>Apparel</v>
      </c>
      <c r="D550" s="3">
        <f>'Raw Data'!D550</f>
        <v>45870</v>
      </c>
      <c r="E550" t="str">
        <f t="shared" si="40"/>
        <v>Aug</v>
      </c>
      <c r="F550" s="5">
        <f>'Raw Data'!E550</f>
        <v>186</v>
      </c>
      <c r="G550" s="4">
        <f>'Raw Data'!F550</f>
        <v>9431.4</v>
      </c>
      <c r="H550" s="4">
        <f>'Raw Data'!G550</f>
        <v>5947.34</v>
      </c>
      <c r="I550" s="4">
        <f t="shared" si="41"/>
        <v>3484.0599999999995</v>
      </c>
      <c r="J550" s="8">
        <f t="shared" si="42"/>
        <v>0.36941069194393195</v>
      </c>
      <c r="K550" s="6">
        <f>'Raw Data'!I550</f>
        <v>4.0599999999999996</v>
      </c>
      <c r="L550" s="5">
        <f>'Raw Data'!J550</f>
        <v>28</v>
      </c>
      <c r="M550" s="5">
        <f>IF(COUNTIFS($A$2:A550,A550,$D$2:D550,D550)=1,L550,0)</f>
        <v>0</v>
      </c>
      <c r="N550" s="4">
        <f t="shared" si="43"/>
        <v>336.83571428571429</v>
      </c>
      <c r="O550" t="str">
        <f t="shared" si="44"/>
        <v>OK</v>
      </c>
    </row>
    <row r="551" spans="1:15">
      <c r="A551" t="str">
        <f>'Raw Data'!A551</f>
        <v>Houston RM-08</v>
      </c>
      <c r="B551" t="str">
        <f>'Raw Data'!B551</f>
        <v>South</v>
      </c>
      <c r="C551" t="str">
        <f>'Raw Data'!C551</f>
        <v>Beauty</v>
      </c>
      <c r="D551" s="3">
        <f>'Raw Data'!D551</f>
        <v>45870</v>
      </c>
      <c r="E551" t="str">
        <f t="shared" si="40"/>
        <v>Aug</v>
      </c>
      <c r="F551" s="5">
        <f>'Raw Data'!E551</f>
        <v>126</v>
      </c>
      <c r="G551" s="4">
        <f>'Raw Data'!F551</f>
        <v>4481.7</v>
      </c>
      <c r="H551" s="4">
        <f>'Raw Data'!G551</f>
        <v>2288.19</v>
      </c>
      <c r="I551" s="4">
        <f t="shared" si="41"/>
        <v>2193.5099999999998</v>
      </c>
      <c r="J551" s="8">
        <f t="shared" si="42"/>
        <v>0.4894370439788473</v>
      </c>
      <c r="K551" s="6">
        <f>'Raw Data'!I551</f>
        <v>4.12</v>
      </c>
      <c r="L551" s="5">
        <f>'Raw Data'!J551</f>
        <v>28</v>
      </c>
      <c r="M551" s="5">
        <f>IF(COUNTIFS($A$2:A551,A551,$D$2:D551,D551)=1,L551,0)</f>
        <v>0</v>
      </c>
      <c r="N551" s="4">
        <f t="shared" si="43"/>
        <v>160.06071428571428</v>
      </c>
      <c r="O551" t="str">
        <f t="shared" si="44"/>
        <v>OK</v>
      </c>
    </row>
    <row r="552" spans="1:15">
      <c r="A552" t="str">
        <f>'Raw Data'!A552</f>
        <v>Houston RM-08</v>
      </c>
      <c r="B552" t="str">
        <f>'Raw Data'!B552</f>
        <v>South</v>
      </c>
      <c r="C552" t="str">
        <f>'Raw Data'!C552</f>
        <v>Grocery</v>
      </c>
      <c r="D552" s="3">
        <f>'Raw Data'!D552</f>
        <v>45870</v>
      </c>
      <c r="E552" t="str">
        <f t="shared" si="40"/>
        <v>Aug</v>
      </c>
      <c r="F552" s="5">
        <f>'Raw Data'!E552</f>
        <v>206</v>
      </c>
      <c r="G552" s="4">
        <f>'Raw Data'!F552</f>
        <v>3860.32</v>
      </c>
      <c r="H552" s="4">
        <f>'Raw Data'!G552</f>
        <v>3549.06</v>
      </c>
      <c r="I552" s="4">
        <f t="shared" si="41"/>
        <v>311.26000000000022</v>
      </c>
      <c r="J552" s="8">
        <f t="shared" si="42"/>
        <v>8.0630621295643939E-2</v>
      </c>
      <c r="K552" s="6">
        <f>'Raw Data'!I552</f>
        <v>3.93</v>
      </c>
      <c r="L552" s="5">
        <f>'Raw Data'!J552</f>
        <v>28</v>
      </c>
      <c r="M552" s="5">
        <f>IF(COUNTIFS($A$2:A552,A552,$D$2:D552,D552)=1,L552,0)</f>
        <v>0</v>
      </c>
      <c r="N552" s="4">
        <f t="shared" si="43"/>
        <v>137.86857142857144</v>
      </c>
      <c r="O552" t="str">
        <f t="shared" si="44"/>
        <v>OK</v>
      </c>
    </row>
    <row r="553" spans="1:15">
      <c r="A553" t="str">
        <f>'Raw Data'!A553</f>
        <v>Houston RM-08</v>
      </c>
      <c r="B553" t="str">
        <f>'Raw Data'!B553</f>
        <v>South</v>
      </c>
      <c r="C553" t="str">
        <f>'Raw Data'!C553</f>
        <v>Sports</v>
      </c>
      <c r="D553" s="3">
        <f>'Raw Data'!D553</f>
        <v>45870</v>
      </c>
      <c r="E553" t="str">
        <f t="shared" si="40"/>
        <v>Aug</v>
      </c>
      <c r="F553" s="5">
        <f>'Raw Data'!E553</f>
        <v>126</v>
      </c>
      <c r="G553" s="4">
        <f>'Raw Data'!F553</f>
        <v>7392.15</v>
      </c>
      <c r="H553" s="4">
        <f>'Raw Data'!G553</f>
        <v>4955.49</v>
      </c>
      <c r="I553" s="4">
        <f t="shared" si="41"/>
        <v>2436.66</v>
      </c>
      <c r="J553" s="8">
        <f t="shared" si="42"/>
        <v>0.32962805137882756</v>
      </c>
      <c r="K553" s="6">
        <f>'Raw Data'!I553</f>
        <v>3.94</v>
      </c>
      <c r="L553" s="5">
        <f>'Raw Data'!J553</f>
        <v>28</v>
      </c>
      <c r="M553" s="5">
        <f>IF(COUNTIFS($A$2:A553,A553,$D$2:D553,D553)=1,L553,0)</f>
        <v>0</v>
      </c>
      <c r="N553" s="4">
        <f t="shared" si="43"/>
        <v>264.00535714285712</v>
      </c>
      <c r="O553" t="str">
        <f t="shared" si="44"/>
        <v>OK</v>
      </c>
    </row>
    <row r="554" spans="1:15">
      <c r="A554" t="str">
        <f>'Raw Data'!A554</f>
        <v>Houston RM-08</v>
      </c>
      <c r="B554" t="str">
        <f>'Raw Data'!B554</f>
        <v>South</v>
      </c>
      <c r="C554" t="str">
        <f>'Raw Data'!C554</f>
        <v>Electronics</v>
      </c>
      <c r="D554" s="3">
        <f>'Raw Data'!D554</f>
        <v>45901</v>
      </c>
      <c r="E554" t="str">
        <f t="shared" si="40"/>
        <v>Sep</v>
      </c>
      <c r="F554" s="5">
        <f>'Raw Data'!E554</f>
        <v>119</v>
      </c>
      <c r="G554" s="4">
        <f>'Raw Data'!F554</f>
        <v>16616.73</v>
      </c>
      <c r="H554" s="4">
        <f>'Raw Data'!G554</f>
        <v>13645.15</v>
      </c>
      <c r="I554" s="4">
        <f t="shared" si="41"/>
        <v>2971.58</v>
      </c>
      <c r="J554" s="8">
        <f t="shared" si="42"/>
        <v>0.17883061228051489</v>
      </c>
      <c r="K554" s="6">
        <f>'Raw Data'!I554</f>
        <v>4.0199999999999996</v>
      </c>
      <c r="L554" s="5">
        <f>'Raw Data'!J554</f>
        <v>26</v>
      </c>
      <c r="M554" s="5">
        <f>IF(COUNTIFS($A$2:A554,A554,$D$2:D554,D554)=1,L554,0)</f>
        <v>26</v>
      </c>
      <c r="N554" s="4">
        <f t="shared" si="43"/>
        <v>639.10500000000002</v>
      </c>
      <c r="O554" t="str">
        <f t="shared" si="44"/>
        <v>OK</v>
      </c>
    </row>
    <row r="555" spans="1:15">
      <c r="A555" t="str">
        <f>'Raw Data'!A555</f>
        <v>Houston RM-08</v>
      </c>
      <c r="B555" t="str">
        <f>'Raw Data'!B555</f>
        <v>South</v>
      </c>
      <c r="C555" t="str">
        <f>'Raw Data'!C555</f>
        <v>Home Goods</v>
      </c>
      <c r="D555" s="3">
        <f>'Raw Data'!D555</f>
        <v>45901</v>
      </c>
      <c r="E555" t="str">
        <f t="shared" si="40"/>
        <v>Sep</v>
      </c>
      <c r="F555" s="5">
        <f>'Raw Data'!E555</f>
        <v>105</v>
      </c>
      <c r="G555" s="4">
        <f>'Raw Data'!F555</f>
        <v>7696.1</v>
      </c>
      <c r="H555" s="4">
        <f>'Raw Data'!G555</f>
        <v>5186.9399999999996</v>
      </c>
      <c r="I555" s="4">
        <f t="shared" si="41"/>
        <v>2509.1600000000008</v>
      </c>
      <c r="J555" s="8">
        <f t="shared" si="42"/>
        <v>0.32603006717688188</v>
      </c>
      <c r="K555" s="6">
        <f>'Raw Data'!I555</f>
        <v>4.1399999999999997</v>
      </c>
      <c r="L555" s="5">
        <f>'Raw Data'!J555</f>
        <v>26</v>
      </c>
      <c r="M555" s="5">
        <f>IF(COUNTIFS($A$2:A555,A555,$D$2:D555,D555)=1,L555,0)</f>
        <v>0</v>
      </c>
      <c r="N555" s="4">
        <f t="shared" si="43"/>
        <v>296.00384615384615</v>
      </c>
      <c r="O555" t="str">
        <f t="shared" si="44"/>
        <v>OK</v>
      </c>
    </row>
    <row r="556" spans="1:15">
      <c r="A556" t="str">
        <f>'Raw Data'!A556</f>
        <v>Houston RM-08</v>
      </c>
      <c r="B556" t="str">
        <f>'Raw Data'!B556</f>
        <v>South</v>
      </c>
      <c r="C556" t="str">
        <f>'Raw Data'!C556</f>
        <v>Apparel</v>
      </c>
      <c r="D556" s="3">
        <f>'Raw Data'!D556</f>
        <v>45901</v>
      </c>
      <c r="E556" t="str">
        <f t="shared" si="40"/>
        <v>Sep</v>
      </c>
      <c r="F556" s="5">
        <f>'Raw Data'!E556</f>
        <v>155</v>
      </c>
      <c r="G556" s="4">
        <f>'Raw Data'!F556</f>
        <v>7415.5</v>
      </c>
      <c r="H556" s="4">
        <f>'Raw Data'!G556</f>
        <v>4568.76</v>
      </c>
      <c r="I556" s="4">
        <f t="shared" si="41"/>
        <v>2846.74</v>
      </c>
      <c r="J556" s="8">
        <f t="shared" si="42"/>
        <v>0.38389049962915511</v>
      </c>
      <c r="K556" s="6">
        <f>'Raw Data'!I556</f>
        <v>4.17</v>
      </c>
      <c r="L556" s="5">
        <f>'Raw Data'!J556</f>
        <v>26</v>
      </c>
      <c r="M556" s="5">
        <f>IF(COUNTIFS($A$2:A556,A556,$D$2:D556,D556)=1,L556,0)</f>
        <v>0</v>
      </c>
      <c r="N556" s="4">
        <f t="shared" si="43"/>
        <v>285.21153846153845</v>
      </c>
      <c r="O556" t="str">
        <f t="shared" si="44"/>
        <v>OK</v>
      </c>
    </row>
    <row r="557" spans="1:15">
      <c r="A557" t="str">
        <f>'Raw Data'!A557</f>
        <v>Houston RM-08</v>
      </c>
      <c r="B557" t="str">
        <f>'Raw Data'!B557</f>
        <v>South</v>
      </c>
      <c r="C557" t="str">
        <f>'Raw Data'!C557</f>
        <v>Beauty</v>
      </c>
      <c r="D557" s="3">
        <f>'Raw Data'!D557</f>
        <v>45901</v>
      </c>
      <c r="E557" t="str">
        <f t="shared" si="40"/>
        <v>Sep</v>
      </c>
      <c r="F557" s="5">
        <f>'Raw Data'!E557</f>
        <v>120</v>
      </c>
      <c r="G557" s="4">
        <f>'Raw Data'!F557</f>
        <v>4322.1499999999996</v>
      </c>
      <c r="H557" s="4">
        <f>'Raw Data'!G557</f>
        <v>2133.63</v>
      </c>
      <c r="I557" s="4">
        <f t="shared" si="41"/>
        <v>2188.5199999999995</v>
      </c>
      <c r="J557" s="8">
        <f t="shared" si="42"/>
        <v>0.50634984903346703</v>
      </c>
      <c r="K557" s="6">
        <f>'Raw Data'!I557</f>
        <v>4.16</v>
      </c>
      <c r="L557" s="5">
        <f>'Raw Data'!J557</f>
        <v>26</v>
      </c>
      <c r="M557" s="5">
        <f>IF(COUNTIFS($A$2:A557,A557,$D$2:D557,D557)=1,L557,0)</f>
        <v>0</v>
      </c>
      <c r="N557" s="4">
        <f t="shared" si="43"/>
        <v>166.23653846153846</v>
      </c>
      <c r="O557" t="str">
        <f t="shared" si="44"/>
        <v>OK</v>
      </c>
    </row>
    <row r="558" spans="1:15">
      <c r="A558" t="str">
        <f>'Raw Data'!A558</f>
        <v>Houston RM-08</v>
      </c>
      <c r="B558" t="str">
        <f>'Raw Data'!B558</f>
        <v>South</v>
      </c>
      <c r="C558" t="str">
        <f>'Raw Data'!C558</f>
        <v>Grocery</v>
      </c>
      <c r="D558" s="3">
        <f>'Raw Data'!D558</f>
        <v>45901</v>
      </c>
      <c r="E558" t="str">
        <f t="shared" si="40"/>
        <v>Sep</v>
      </c>
      <c r="F558" s="5">
        <f>'Raw Data'!E558</f>
        <v>209</v>
      </c>
      <c r="G558" s="4">
        <f>'Raw Data'!F558</f>
        <v>3741.07</v>
      </c>
      <c r="H558" s="4">
        <f>'Raw Data'!G558</f>
        <v>3514.36</v>
      </c>
      <c r="I558" s="4">
        <f t="shared" si="41"/>
        <v>226.71000000000004</v>
      </c>
      <c r="J558" s="8">
        <f t="shared" si="42"/>
        <v>6.0600309537111048E-2</v>
      </c>
      <c r="K558" s="6">
        <f>'Raw Data'!I558</f>
        <v>3.98</v>
      </c>
      <c r="L558" s="5">
        <f>'Raw Data'!J558</f>
        <v>26</v>
      </c>
      <c r="M558" s="5">
        <f>IF(COUNTIFS($A$2:A558,A558,$D$2:D558,D558)=1,L558,0)</f>
        <v>0</v>
      </c>
      <c r="N558" s="4">
        <f t="shared" si="43"/>
        <v>143.8873076923077</v>
      </c>
      <c r="O558" t="str">
        <f t="shared" si="44"/>
        <v>OK</v>
      </c>
    </row>
    <row r="559" spans="1:15">
      <c r="A559" t="str">
        <f>'Raw Data'!A559</f>
        <v>Houston RM-08</v>
      </c>
      <c r="B559" t="str">
        <f>'Raw Data'!B559</f>
        <v>South</v>
      </c>
      <c r="C559" t="str">
        <f>'Raw Data'!C559</f>
        <v>Sports</v>
      </c>
      <c r="D559" s="3">
        <f>'Raw Data'!D559</f>
        <v>45901</v>
      </c>
      <c r="E559" t="str">
        <f t="shared" si="40"/>
        <v>Sep</v>
      </c>
      <c r="F559" s="5">
        <f>'Raw Data'!E559</f>
        <v>101</v>
      </c>
      <c r="G559" s="4">
        <f>'Raw Data'!F559</f>
        <v>6545.83</v>
      </c>
      <c r="H559" s="4">
        <f>'Raw Data'!G559</f>
        <v>4453.6099999999997</v>
      </c>
      <c r="I559" s="4">
        <f t="shared" si="41"/>
        <v>2092.2200000000003</v>
      </c>
      <c r="J559" s="8">
        <f t="shared" si="42"/>
        <v>0.31962638809746058</v>
      </c>
      <c r="K559" s="6">
        <f>'Raw Data'!I559</f>
        <v>3.96</v>
      </c>
      <c r="L559" s="5">
        <f>'Raw Data'!J559</f>
        <v>26</v>
      </c>
      <c r="M559" s="5">
        <f>IF(COUNTIFS($A$2:A559,A559,$D$2:D559,D559)=1,L559,0)</f>
        <v>0</v>
      </c>
      <c r="N559" s="4">
        <f t="shared" si="43"/>
        <v>251.7626923076923</v>
      </c>
      <c r="O559" t="str">
        <f t="shared" si="44"/>
        <v>OK</v>
      </c>
    </row>
    <row r="560" spans="1:15">
      <c r="A560" t="str">
        <f>'Raw Data'!A560</f>
        <v>Houston RM-08</v>
      </c>
      <c r="B560" t="str">
        <f>'Raw Data'!B560</f>
        <v>South</v>
      </c>
      <c r="C560" t="str">
        <f>'Raw Data'!C560</f>
        <v>Electronics</v>
      </c>
      <c r="D560" s="3">
        <f>'Raw Data'!D560</f>
        <v>45931</v>
      </c>
      <c r="E560" t="str">
        <f t="shared" si="40"/>
        <v>Oct</v>
      </c>
      <c r="F560" s="5">
        <f>'Raw Data'!E560</f>
        <v>140</v>
      </c>
      <c r="G560" s="4">
        <f>'Raw Data'!F560</f>
        <v>20121.580000000002</v>
      </c>
      <c r="H560" s="4">
        <f>'Raw Data'!G560</f>
        <v>15883.71</v>
      </c>
      <c r="I560" s="4">
        <f t="shared" si="41"/>
        <v>4237.8700000000026</v>
      </c>
      <c r="J560" s="8">
        <f t="shared" si="42"/>
        <v>0.21061318246380265</v>
      </c>
      <c r="K560" s="6">
        <f>'Raw Data'!I560</f>
        <v>3.98</v>
      </c>
      <c r="L560" s="5">
        <f>'Raw Data'!J560</f>
        <v>25</v>
      </c>
      <c r="M560" s="5">
        <f>IF(COUNTIFS($A$2:A560,A560,$D$2:D560,D560)=1,L560,0)</f>
        <v>25</v>
      </c>
      <c r="N560" s="4">
        <f t="shared" si="43"/>
        <v>804.86320000000012</v>
      </c>
      <c r="O560" t="str">
        <f t="shared" si="44"/>
        <v>OK</v>
      </c>
    </row>
    <row r="561" spans="1:15">
      <c r="A561" t="str">
        <f>'Raw Data'!A561</f>
        <v>Houston RM-08</v>
      </c>
      <c r="B561" t="str">
        <f>'Raw Data'!B561</f>
        <v>South</v>
      </c>
      <c r="C561" t="str">
        <f>'Raw Data'!C561</f>
        <v>Home Goods</v>
      </c>
      <c r="D561" s="3">
        <f>'Raw Data'!D561</f>
        <v>45931</v>
      </c>
      <c r="E561" t="str">
        <f t="shared" si="40"/>
        <v>Oct</v>
      </c>
      <c r="F561" s="5">
        <f>'Raw Data'!E561</f>
        <v>111</v>
      </c>
      <c r="G561" s="4">
        <f>'Raw Data'!F561</f>
        <v>8721.9699999999993</v>
      </c>
      <c r="H561" s="4">
        <f>'Raw Data'!G561</f>
        <v>6049.22</v>
      </c>
      <c r="I561" s="4">
        <f t="shared" si="41"/>
        <v>2672.7499999999991</v>
      </c>
      <c r="J561" s="8">
        <f t="shared" si="42"/>
        <v>0.30643879765695126</v>
      </c>
      <c r="K561" s="6">
        <f>'Raw Data'!I561</f>
        <v>4.28</v>
      </c>
      <c r="L561" s="5">
        <f>'Raw Data'!J561</f>
        <v>25</v>
      </c>
      <c r="M561" s="5">
        <f>IF(COUNTIFS($A$2:A561,A561,$D$2:D561,D561)=1,L561,0)</f>
        <v>0</v>
      </c>
      <c r="N561" s="4">
        <f t="shared" si="43"/>
        <v>348.87879999999996</v>
      </c>
      <c r="O561" t="str">
        <f t="shared" si="44"/>
        <v>OK</v>
      </c>
    </row>
    <row r="562" spans="1:15">
      <c r="A562" t="str">
        <f>'Raw Data'!A562</f>
        <v>Houston RM-08</v>
      </c>
      <c r="B562" t="str">
        <f>'Raw Data'!B562</f>
        <v>South</v>
      </c>
      <c r="C562" t="str">
        <f>'Raw Data'!C562</f>
        <v>Apparel</v>
      </c>
      <c r="D562" s="3">
        <f>'Raw Data'!D562</f>
        <v>45931</v>
      </c>
      <c r="E562" t="str">
        <f t="shared" si="40"/>
        <v>Oct</v>
      </c>
      <c r="F562" s="5">
        <f>'Raw Data'!E562</f>
        <v>150</v>
      </c>
      <c r="G562" s="4">
        <f>'Raw Data'!F562</f>
        <v>7163.68</v>
      </c>
      <c r="H562" s="4">
        <f>'Raw Data'!G562</f>
        <v>4436.6499999999996</v>
      </c>
      <c r="I562" s="4">
        <f t="shared" si="41"/>
        <v>2727.0300000000007</v>
      </c>
      <c r="J562" s="8">
        <f t="shared" si="42"/>
        <v>0.38067445782056158</v>
      </c>
      <c r="K562" s="6">
        <f>'Raw Data'!I562</f>
        <v>4.0599999999999996</v>
      </c>
      <c r="L562" s="5">
        <f>'Raw Data'!J562</f>
        <v>25</v>
      </c>
      <c r="M562" s="5">
        <f>IF(COUNTIFS($A$2:A562,A562,$D$2:D562,D562)=1,L562,0)</f>
        <v>0</v>
      </c>
      <c r="N562" s="4">
        <f t="shared" si="43"/>
        <v>286.54720000000003</v>
      </c>
      <c r="O562" t="str">
        <f t="shared" si="44"/>
        <v>OK</v>
      </c>
    </row>
    <row r="563" spans="1:15">
      <c r="A563" t="str">
        <f>'Raw Data'!A563</f>
        <v>Houston RM-08</v>
      </c>
      <c r="B563" t="str">
        <f>'Raw Data'!B563</f>
        <v>South</v>
      </c>
      <c r="C563" t="str">
        <f>'Raw Data'!C563</f>
        <v>Beauty</v>
      </c>
      <c r="D563" s="3">
        <f>'Raw Data'!D563</f>
        <v>45931</v>
      </c>
      <c r="E563" t="str">
        <f t="shared" si="40"/>
        <v>Oct</v>
      </c>
      <c r="F563" s="5">
        <f>'Raw Data'!E563</f>
        <v>138</v>
      </c>
      <c r="G563" s="4">
        <f>'Raw Data'!F563</f>
        <v>4988.37</v>
      </c>
      <c r="H563" s="4">
        <f>'Raw Data'!G563</f>
        <v>2513.64</v>
      </c>
      <c r="I563" s="4">
        <f t="shared" si="41"/>
        <v>2474.73</v>
      </c>
      <c r="J563" s="8">
        <f t="shared" si="42"/>
        <v>0.4960999284335364</v>
      </c>
      <c r="K563" s="6">
        <f>'Raw Data'!I563</f>
        <v>4.18</v>
      </c>
      <c r="L563" s="5">
        <f>'Raw Data'!J563</f>
        <v>25</v>
      </c>
      <c r="M563" s="5">
        <f>IF(COUNTIFS($A$2:A563,A563,$D$2:D563,D563)=1,L563,0)</f>
        <v>0</v>
      </c>
      <c r="N563" s="4">
        <f t="shared" si="43"/>
        <v>199.53479999999999</v>
      </c>
      <c r="O563" t="str">
        <f t="shared" si="44"/>
        <v>OK</v>
      </c>
    </row>
    <row r="564" spans="1:15">
      <c r="A564" t="str">
        <f>'Raw Data'!A564</f>
        <v>Houston RM-08</v>
      </c>
      <c r="B564" t="str">
        <f>'Raw Data'!B564</f>
        <v>South</v>
      </c>
      <c r="C564" t="str">
        <f>'Raw Data'!C564</f>
        <v>Grocery</v>
      </c>
      <c r="D564" s="3">
        <f>'Raw Data'!D564</f>
        <v>45931</v>
      </c>
      <c r="E564" t="str">
        <f t="shared" si="40"/>
        <v>Oct</v>
      </c>
      <c r="F564" s="5">
        <f>'Raw Data'!E564</f>
        <v>225</v>
      </c>
      <c r="G564" s="4">
        <f>'Raw Data'!F564</f>
        <v>4141.63</v>
      </c>
      <c r="H564" s="4">
        <f>'Raw Data'!G564</f>
        <v>3908.22</v>
      </c>
      <c r="I564" s="4">
        <f t="shared" si="41"/>
        <v>233.41000000000031</v>
      </c>
      <c r="J564" s="8">
        <f t="shared" si="42"/>
        <v>5.635703817096175E-2</v>
      </c>
      <c r="K564" s="6">
        <f>'Raw Data'!I564</f>
        <v>4.0199999999999996</v>
      </c>
      <c r="L564" s="5">
        <f>'Raw Data'!J564</f>
        <v>25</v>
      </c>
      <c r="M564" s="5">
        <f>IF(COUNTIFS($A$2:A564,A564,$D$2:D564,D564)=1,L564,0)</f>
        <v>0</v>
      </c>
      <c r="N564" s="4">
        <f t="shared" si="43"/>
        <v>165.6652</v>
      </c>
      <c r="O564" t="str">
        <f t="shared" si="44"/>
        <v>OK</v>
      </c>
    </row>
    <row r="565" spans="1:15">
      <c r="A565" t="str">
        <f>'Raw Data'!A565</f>
        <v>Houston RM-08</v>
      </c>
      <c r="B565" t="str">
        <f>'Raw Data'!B565</f>
        <v>South</v>
      </c>
      <c r="C565" t="str">
        <f>'Raw Data'!C565</f>
        <v>Sports</v>
      </c>
      <c r="D565" s="3">
        <f>'Raw Data'!D565</f>
        <v>45931</v>
      </c>
      <c r="E565" t="str">
        <f t="shared" si="40"/>
        <v>Oct</v>
      </c>
      <c r="F565" s="5">
        <f>'Raw Data'!E565</f>
        <v>81</v>
      </c>
      <c r="G565" s="4">
        <f>'Raw Data'!F565</f>
        <v>4888.42</v>
      </c>
      <c r="H565" s="4">
        <f>'Raw Data'!G565</f>
        <v>3219.07</v>
      </c>
      <c r="I565" s="4">
        <f t="shared" si="41"/>
        <v>1669.35</v>
      </c>
      <c r="J565" s="8">
        <f t="shared" si="42"/>
        <v>0.34149070660867925</v>
      </c>
      <c r="K565" s="6">
        <f>'Raw Data'!I565</f>
        <v>4.07</v>
      </c>
      <c r="L565" s="5">
        <f>'Raw Data'!J565</f>
        <v>25</v>
      </c>
      <c r="M565" s="5">
        <f>IF(COUNTIFS($A$2:A565,A565,$D$2:D565,D565)=1,L565,0)</f>
        <v>0</v>
      </c>
      <c r="N565" s="4">
        <f t="shared" si="43"/>
        <v>195.5368</v>
      </c>
      <c r="O565" t="str">
        <f t="shared" si="44"/>
        <v>OK</v>
      </c>
    </row>
    <row r="566" spans="1:15">
      <c r="A566" t="str">
        <f>'Raw Data'!A566</f>
        <v>Houston RM-08</v>
      </c>
      <c r="B566" t="str">
        <f>'Raw Data'!B566</f>
        <v>South</v>
      </c>
      <c r="C566" t="str">
        <f>'Raw Data'!C566</f>
        <v>Electronics</v>
      </c>
      <c r="D566" s="3">
        <f>'Raw Data'!D566</f>
        <v>45962</v>
      </c>
      <c r="E566" t="str">
        <f t="shared" si="40"/>
        <v>Nov</v>
      </c>
      <c r="F566" s="5">
        <f>'Raw Data'!E566</f>
        <v>202</v>
      </c>
      <c r="G566" s="4">
        <f>'Raw Data'!F566</f>
        <v>28097.94</v>
      </c>
      <c r="H566" s="4">
        <f>'Raw Data'!G566</f>
        <v>22600.53</v>
      </c>
      <c r="I566" s="4">
        <f t="shared" si="41"/>
        <v>5497.41</v>
      </c>
      <c r="J566" s="8">
        <f t="shared" si="42"/>
        <v>0.19565170969829104</v>
      </c>
      <c r="K566" s="6">
        <f>'Raw Data'!I566</f>
        <v>4</v>
      </c>
      <c r="L566" s="5">
        <f>'Raw Data'!J566</f>
        <v>28</v>
      </c>
      <c r="M566" s="5">
        <f>IF(COUNTIFS($A$2:A566,A566,$D$2:D566,D566)=1,L566,0)</f>
        <v>28</v>
      </c>
      <c r="N566" s="4">
        <f t="shared" si="43"/>
        <v>1003.4978571428571</v>
      </c>
      <c r="O566" t="str">
        <f t="shared" si="44"/>
        <v>OK</v>
      </c>
    </row>
    <row r="567" spans="1:15">
      <c r="A567" t="str">
        <f>'Raw Data'!A567</f>
        <v>Houston RM-08</v>
      </c>
      <c r="B567" t="str">
        <f>'Raw Data'!B567</f>
        <v>South</v>
      </c>
      <c r="C567" t="str">
        <f>'Raw Data'!C567</f>
        <v>Home Goods</v>
      </c>
      <c r="D567" s="3">
        <f>'Raw Data'!D567</f>
        <v>45962</v>
      </c>
      <c r="E567" t="str">
        <f t="shared" si="40"/>
        <v>Nov</v>
      </c>
      <c r="F567" s="5">
        <f>'Raw Data'!E567</f>
        <v>146</v>
      </c>
      <c r="G567" s="4">
        <f>'Raw Data'!F567</f>
        <v>11417.45</v>
      </c>
      <c r="H567" s="4">
        <f>'Raw Data'!G567</f>
        <v>8084.98</v>
      </c>
      <c r="I567" s="4">
        <f t="shared" si="41"/>
        <v>3332.4700000000012</v>
      </c>
      <c r="J567" s="8">
        <f t="shared" si="42"/>
        <v>0.29187515601119346</v>
      </c>
      <c r="K567" s="6">
        <f>'Raw Data'!I567</f>
        <v>4.17</v>
      </c>
      <c r="L567" s="5">
        <f>'Raw Data'!J567</f>
        <v>28</v>
      </c>
      <c r="M567" s="5">
        <f>IF(COUNTIFS($A$2:A567,A567,$D$2:D567,D567)=1,L567,0)</f>
        <v>0</v>
      </c>
      <c r="N567" s="4">
        <f t="shared" si="43"/>
        <v>407.76607142857148</v>
      </c>
      <c r="O567" t="str">
        <f t="shared" si="44"/>
        <v>OK</v>
      </c>
    </row>
    <row r="568" spans="1:15">
      <c r="A568" t="str">
        <f>'Raw Data'!A568</f>
        <v>Houston RM-08</v>
      </c>
      <c r="B568" t="str">
        <f>'Raw Data'!B568</f>
        <v>South</v>
      </c>
      <c r="C568" t="str">
        <f>'Raw Data'!C568</f>
        <v>Apparel</v>
      </c>
      <c r="D568" s="3">
        <f>'Raw Data'!D568</f>
        <v>45962</v>
      </c>
      <c r="E568" t="str">
        <f t="shared" si="40"/>
        <v>Nov</v>
      </c>
      <c r="F568" s="5">
        <f>'Raw Data'!E568</f>
        <v>240</v>
      </c>
      <c r="G568" s="4">
        <f>'Raw Data'!F568</f>
        <v>11618.49</v>
      </c>
      <c r="H568" s="4">
        <f>'Raw Data'!G568</f>
        <v>7275.35</v>
      </c>
      <c r="I568" s="4">
        <f t="shared" si="41"/>
        <v>4343.1399999999994</v>
      </c>
      <c r="J568" s="8">
        <f t="shared" si="42"/>
        <v>0.3738127760147833</v>
      </c>
      <c r="K568" s="6">
        <f>'Raw Data'!I568</f>
        <v>4.05</v>
      </c>
      <c r="L568" s="5">
        <f>'Raw Data'!J568</f>
        <v>28</v>
      </c>
      <c r="M568" s="5">
        <f>IF(COUNTIFS($A$2:A568,A568,$D$2:D568,D568)=1,L568,0)</f>
        <v>0</v>
      </c>
      <c r="N568" s="4">
        <f t="shared" si="43"/>
        <v>414.94607142857143</v>
      </c>
      <c r="O568" t="str">
        <f t="shared" si="44"/>
        <v>OK</v>
      </c>
    </row>
    <row r="569" spans="1:15">
      <c r="A569" t="str">
        <f>'Raw Data'!A569</f>
        <v>Houston RM-08</v>
      </c>
      <c r="B569" t="str">
        <f>'Raw Data'!B569</f>
        <v>South</v>
      </c>
      <c r="C569" t="str">
        <f>'Raw Data'!C569</f>
        <v>Beauty</v>
      </c>
      <c r="D569" s="3">
        <f>'Raw Data'!D569</f>
        <v>45962</v>
      </c>
      <c r="E569" t="str">
        <f t="shared" si="40"/>
        <v>Nov</v>
      </c>
      <c r="F569" s="5">
        <f>'Raw Data'!E569</f>
        <v>154</v>
      </c>
      <c r="G569" s="4">
        <f>'Raw Data'!F569</f>
        <v>5561.41</v>
      </c>
      <c r="H569" s="4">
        <f>'Raw Data'!G569</f>
        <v>2814.48</v>
      </c>
      <c r="I569" s="4">
        <f t="shared" si="41"/>
        <v>2746.93</v>
      </c>
      <c r="J569" s="8">
        <f t="shared" si="42"/>
        <v>0.49392689983295601</v>
      </c>
      <c r="K569" s="6">
        <f>'Raw Data'!I569</f>
        <v>4.0599999999999996</v>
      </c>
      <c r="L569" s="5">
        <f>'Raw Data'!J569</f>
        <v>28</v>
      </c>
      <c r="M569" s="5">
        <f>IF(COUNTIFS($A$2:A569,A569,$D$2:D569,D569)=1,L569,0)</f>
        <v>0</v>
      </c>
      <c r="N569" s="4">
        <f t="shared" si="43"/>
        <v>198.62178571428572</v>
      </c>
      <c r="O569" t="str">
        <f t="shared" si="44"/>
        <v>OK</v>
      </c>
    </row>
    <row r="570" spans="1:15">
      <c r="A570" t="str">
        <f>'Raw Data'!A570</f>
        <v>Houston RM-08</v>
      </c>
      <c r="B570" t="str">
        <f>'Raw Data'!B570</f>
        <v>South</v>
      </c>
      <c r="C570" t="str">
        <f>'Raw Data'!C570</f>
        <v>Grocery</v>
      </c>
      <c r="D570" s="3">
        <f>'Raw Data'!D570</f>
        <v>45962</v>
      </c>
      <c r="E570" t="str">
        <f t="shared" si="40"/>
        <v>Nov</v>
      </c>
      <c r="F570" s="5">
        <f>'Raw Data'!E570</f>
        <v>276</v>
      </c>
      <c r="G570" s="4">
        <f>'Raw Data'!F570</f>
        <v>5236.92</v>
      </c>
      <c r="H570" s="4">
        <f>'Raw Data'!G570</f>
        <v>5059.7</v>
      </c>
      <c r="I570" s="4">
        <f t="shared" si="41"/>
        <v>177.22000000000025</v>
      </c>
      <c r="J570" s="8">
        <f t="shared" si="42"/>
        <v>3.3840501668919949E-2</v>
      </c>
      <c r="K570" s="6">
        <f>'Raw Data'!I570</f>
        <v>4.09</v>
      </c>
      <c r="L570" s="5">
        <f>'Raw Data'!J570</f>
        <v>28</v>
      </c>
      <c r="M570" s="5">
        <f>IF(COUNTIFS($A$2:A570,A570,$D$2:D570,D570)=1,L570,0)</f>
        <v>0</v>
      </c>
      <c r="N570" s="4">
        <f t="shared" si="43"/>
        <v>187.03285714285715</v>
      </c>
      <c r="O570" t="str">
        <f t="shared" si="44"/>
        <v>OK</v>
      </c>
    </row>
    <row r="571" spans="1:15">
      <c r="A571" t="str">
        <f>'Raw Data'!A571</f>
        <v>Houston RM-08</v>
      </c>
      <c r="B571" t="str">
        <f>'Raw Data'!B571</f>
        <v>South</v>
      </c>
      <c r="C571" t="str">
        <f>'Raw Data'!C571</f>
        <v>Sports</v>
      </c>
      <c r="D571" s="3">
        <f>'Raw Data'!D571</f>
        <v>45962</v>
      </c>
      <c r="E571" t="str">
        <f t="shared" si="40"/>
        <v>Nov</v>
      </c>
      <c r="F571" s="5">
        <f>'Raw Data'!E571</f>
        <v>116</v>
      </c>
      <c r="G571" s="4">
        <f>'Raw Data'!F571</f>
        <v>7258.86</v>
      </c>
      <c r="H571" s="4">
        <f>'Raw Data'!G571</f>
        <v>4990.72</v>
      </c>
      <c r="I571" s="4">
        <f t="shared" si="41"/>
        <v>2268.1399999999994</v>
      </c>
      <c r="J571" s="8">
        <f t="shared" si="42"/>
        <v>0.3124650427202067</v>
      </c>
      <c r="K571" s="6">
        <f>'Raw Data'!I571</f>
        <v>4.08</v>
      </c>
      <c r="L571" s="5">
        <f>'Raw Data'!J571</f>
        <v>28</v>
      </c>
      <c r="M571" s="5">
        <f>IF(COUNTIFS($A$2:A571,A571,$D$2:D571,D571)=1,L571,0)</f>
        <v>0</v>
      </c>
      <c r="N571" s="4">
        <f t="shared" si="43"/>
        <v>259.245</v>
      </c>
      <c r="O571" t="str">
        <f t="shared" si="44"/>
        <v>OK</v>
      </c>
    </row>
    <row r="572" spans="1:15">
      <c r="A572" t="str">
        <f>'Raw Data'!A572</f>
        <v>Houston RM-08</v>
      </c>
      <c r="B572" t="str">
        <f>'Raw Data'!B572</f>
        <v>South</v>
      </c>
      <c r="C572" t="str">
        <f>'Raw Data'!C572</f>
        <v>Electronics</v>
      </c>
      <c r="D572" s="3">
        <f>'Raw Data'!D572</f>
        <v>45992</v>
      </c>
      <c r="E572" t="str">
        <f t="shared" si="40"/>
        <v>Dec</v>
      </c>
      <c r="F572" s="5">
        <f>'Raw Data'!E572</f>
        <v>237</v>
      </c>
      <c r="G572" s="4">
        <f>'Raw Data'!F572</f>
        <v>32451.57</v>
      </c>
      <c r="H572" s="4">
        <f>'Raw Data'!G572</f>
        <v>27554.46</v>
      </c>
      <c r="I572" s="4">
        <f t="shared" si="41"/>
        <v>4897.1100000000006</v>
      </c>
      <c r="J572" s="8">
        <f t="shared" si="42"/>
        <v>0.15090517962613212</v>
      </c>
      <c r="K572" s="6">
        <f>'Raw Data'!I572</f>
        <v>4.04</v>
      </c>
      <c r="L572" s="5">
        <f>'Raw Data'!J572</f>
        <v>29</v>
      </c>
      <c r="M572" s="5">
        <f>IF(COUNTIFS($A$2:A572,A572,$D$2:D572,D572)=1,L572,0)</f>
        <v>29</v>
      </c>
      <c r="N572" s="4">
        <f t="shared" si="43"/>
        <v>1119.0196551724139</v>
      </c>
      <c r="O572" t="str">
        <f t="shared" si="44"/>
        <v>OK</v>
      </c>
    </row>
    <row r="573" spans="1:15">
      <c r="A573" t="str">
        <f>'Raw Data'!A573</f>
        <v>Houston RM-08</v>
      </c>
      <c r="B573" t="str">
        <f>'Raw Data'!B573</f>
        <v>South</v>
      </c>
      <c r="C573" t="str">
        <f>'Raw Data'!C573</f>
        <v>Home Goods</v>
      </c>
      <c r="D573" s="3">
        <f>'Raw Data'!D573</f>
        <v>45992</v>
      </c>
      <c r="E573" t="str">
        <f t="shared" si="40"/>
        <v>Dec</v>
      </c>
      <c r="F573" s="5">
        <f>'Raw Data'!E573</f>
        <v>164</v>
      </c>
      <c r="G573" s="4">
        <f>'Raw Data'!F573</f>
        <v>12195.77</v>
      </c>
      <c r="H573" s="4">
        <f>'Raw Data'!G573</f>
        <v>8874.11</v>
      </c>
      <c r="I573" s="4">
        <f t="shared" si="41"/>
        <v>3321.66</v>
      </c>
      <c r="J573" s="8">
        <f t="shared" si="42"/>
        <v>0.27236164670209423</v>
      </c>
      <c r="K573" s="6">
        <f>'Raw Data'!I573</f>
        <v>4</v>
      </c>
      <c r="L573" s="5">
        <f>'Raw Data'!J573</f>
        <v>29</v>
      </c>
      <c r="M573" s="5">
        <f>IF(COUNTIFS($A$2:A573,A573,$D$2:D573,D573)=1,L573,0)</f>
        <v>0</v>
      </c>
      <c r="N573" s="4">
        <f t="shared" si="43"/>
        <v>420.54379310344831</v>
      </c>
      <c r="O573" t="str">
        <f t="shared" si="44"/>
        <v>OK</v>
      </c>
    </row>
    <row r="574" spans="1:15">
      <c r="A574" t="str">
        <f>'Raw Data'!A574</f>
        <v>Houston RM-08</v>
      </c>
      <c r="B574" t="str">
        <f>'Raw Data'!B574</f>
        <v>South</v>
      </c>
      <c r="C574" t="str">
        <f>'Raw Data'!C574</f>
        <v>Apparel</v>
      </c>
      <c r="D574" s="3">
        <f>'Raw Data'!D574</f>
        <v>45992</v>
      </c>
      <c r="E574" t="str">
        <f t="shared" si="40"/>
        <v>Dec</v>
      </c>
      <c r="F574" s="5">
        <f>'Raw Data'!E574</f>
        <v>215</v>
      </c>
      <c r="G574" s="4">
        <f>'Raw Data'!F574</f>
        <v>10807.4</v>
      </c>
      <c r="H574" s="4">
        <f>'Raw Data'!G574</f>
        <v>7219.2</v>
      </c>
      <c r="I574" s="4">
        <f t="shared" si="41"/>
        <v>3588.2</v>
      </c>
      <c r="J574" s="8">
        <f t="shared" si="42"/>
        <v>0.33201325018043193</v>
      </c>
      <c r="K574" s="6">
        <f>'Raw Data'!I574</f>
        <v>3.98</v>
      </c>
      <c r="L574" s="5">
        <f>'Raw Data'!J574</f>
        <v>29</v>
      </c>
      <c r="M574" s="5">
        <f>IF(COUNTIFS($A$2:A574,A574,$D$2:D574,D574)=1,L574,0)</f>
        <v>0</v>
      </c>
      <c r="N574" s="4">
        <f t="shared" si="43"/>
        <v>372.66896551724136</v>
      </c>
      <c r="O574" t="str">
        <f t="shared" si="44"/>
        <v>OK</v>
      </c>
    </row>
    <row r="575" spans="1:15">
      <c r="A575" t="str">
        <f>'Raw Data'!A575</f>
        <v>Houston RM-08</v>
      </c>
      <c r="B575" t="str">
        <f>'Raw Data'!B575</f>
        <v>South</v>
      </c>
      <c r="C575" t="str">
        <f>'Raw Data'!C575</f>
        <v>Beauty</v>
      </c>
      <c r="D575" s="3">
        <f>'Raw Data'!D575</f>
        <v>45992</v>
      </c>
      <c r="E575" t="str">
        <f t="shared" si="40"/>
        <v>Dec</v>
      </c>
      <c r="F575" s="5">
        <f>'Raw Data'!E575</f>
        <v>178</v>
      </c>
      <c r="G575" s="4">
        <f>'Raw Data'!F575</f>
        <v>6125.98</v>
      </c>
      <c r="H575" s="4">
        <f>'Raw Data'!G575</f>
        <v>3400</v>
      </c>
      <c r="I575" s="4">
        <f t="shared" si="41"/>
        <v>2725.9799999999996</v>
      </c>
      <c r="J575" s="8">
        <f t="shared" si="42"/>
        <v>0.44498676130186515</v>
      </c>
      <c r="K575" s="6">
        <f>'Raw Data'!I575</f>
        <v>4.2300000000000004</v>
      </c>
      <c r="L575" s="5">
        <f>'Raw Data'!J575</f>
        <v>29</v>
      </c>
      <c r="M575" s="5">
        <f>IF(COUNTIFS($A$2:A575,A575,$D$2:D575,D575)=1,L575,0)</f>
        <v>0</v>
      </c>
      <c r="N575" s="4">
        <f t="shared" si="43"/>
        <v>211.24068965517239</v>
      </c>
      <c r="O575" t="str">
        <f t="shared" si="44"/>
        <v>OK</v>
      </c>
    </row>
    <row r="576" spans="1:15">
      <c r="A576" t="str">
        <f>'Raw Data'!A576</f>
        <v>Houston RM-08</v>
      </c>
      <c r="B576" t="str">
        <f>'Raw Data'!B576</f>
        <v>South</v>
      </c>
      <c r="C576" t="str">
        <f>'Raw Data'!C576</f>
        <v>Grocery</v>
      </c>
      <c r="D576" s="3">
        <f>'Raw Data'!D576</f>
        <v>45992</v>
      </c>
      <c r="E576" t="str">
        <f t="shared" si="40"/>
        <v>Dec</v>
      </c>
      <c r="F576" s="5">
        <f>'Raw Data'!E576</f>
        <v>269</v>
      </c>
      <c r="G576" s="4">
        <f>'Raw Data'!F576</f>
        <v>4579.6899999999996</v>
      </c>
      <c r="H576" s="4">
        <f>'Raw Data'!G576</f>
        <v>4454.26</v>
      </c>
      <c r="I576" s="4">
        <f t="shared" si="41"/>
        <v>125.42999999999938</v>
      </c>
      <c r="J576" s="8">
        <f t="shared" si="42"/>
        <v>2.7388316676456134E-2</v>
      </c>
      <c r="K576" s="6">
        <f>'Raw Data'!I576</f>
        <v>4.0999999999999996</v>
      </c>
      <c r="L576" s="5">
        <f>'Raw Data'!J576</f>
        <v>29</v>
      </c>
      <c r="M576" s="5">
        <f>IF(COUNTIFS($A$2:A576,A576,$D$2:D576,D576)=1,L576,0)</f>
        <v>0</v>
      </c>
      <c r="N576" s="4">
        <f t="shared" si="43"/>
        <v>157.92034482758621</v>
      </c>
      <c r="O576" t="str">
        <f t="shared" si="44"/>
        <v>OK</v>
      </c>
    </row>
    <row r="577" spans="1:15">
      <c r="A577" t="str">
        <f>'Raw Data'!A577</f>
        <v>Houston RM-08</v>
      </c>
      <c r="B577" t="str">
        <f>'Raw Data'!B577</f>
        <v>South</v>
      </c>
      <c r="C577" t="str">
        <f>'Raw Data'!C577</f>
        <v>Sports</v>
      </c>
      <c r="D577" s="3">
        <f>'Raw Data'!D577</f>
        <v>45992</v>
      </c>
      <c r="E577" t="str">
        <f t="shared" si="40"/>
        <v>Dec</v>
      </c>
      <c r="F577" s="5">
        <f>'Raw Data'!E577</f>
        <v>143</v>
      </c>
      <c r="G577" s="4">
        <f>'Raw Data'!F577</f>
        <v>9562.59</v>
      </c>
      <c r="H577" s="4">
        <f>'Raw Data'!G577</f>
        <v>6590.14</v>
      </c>
      <c r="I577" s="4">
        <f t="shared" si="41"/>
        <v>2972.45</v>
      </c>
      <c r="J577" s="8">
        <f t="shared" si="42"/>
        <v>0.31084151887720796</v>
      </c>
      <c r="K577" s="6">
        <f>'Raw Data'!I577</f>
        <v>4.2300000000000004</v>
      </c>
      <c r="L577" s="5">
        <f>'Raw Data'!J577</f>
        <v>29</v>
      </c>
      <c r="M577" s="5">
        <f>IF(COUNTIFS($A$2:A577,A577,$D$2:D577,D577)=1,L577,0)</f>
        <v>0</v>
      </c>
      <c r="N577" s="4">
        <f t="shared" si="43"/>
        <v>329.74448275862068</v>
      </c>
      <c r="O577" t="str">
        <f t="shared" si="44"/>
        <v>OK</v>
      </c>
    </row>
    <row r="578" spans="1:15">
      <c r="A578" t="str">
        <f>'Raw Data'!A578</f>
        <v>Atlanta RM-09</v>
      </c>
      <c r="B578" t="str">
        <f>'Raw Data'!B578</f>
        <v>South</v>
      </c>
      <c r="C578" t="str">
        <f>'Raw Data'!C578</f>
        <v>Electronics</v>
      </c>
      <c r="D578" s="3">
        <f>'Raw Data'!D578</f>
        <v>45658</v>
      </c>
      <c r="E578" t="str">
        <f t="shared" ref="E578:E641" si="45">TEXT(D578,"mmm")</f>
        <v>Jan</v>
      </c>
      <c r="F578" s="5">
        <f>'Raw Data'!E578</f>
        <v>75</v>
      </c>
      <c r="G578" s="4">
        <f>'Raw Data'!F578</f>
        <v>10907.22</v>
      </c>
      <c r="H578" s="4">
        <f>'Raw Data'!G578</f>
        <v>8106.09</v>
      </c>
      <c r="I578" s="4">
        <f t="shared" ref="I578:I641" si="46">G578-H578</f>
        <v>2801.1299999999992</v>
      </c>
      <c r="J578" s="8">
        <f t="shared" ref="J578:J641" si="47">IFERROR(I578/G578,0)</f>
        <v>0.25681429365136116</v>
      </c>
      <c r="K578" s="6">
        <f>'Raw Data'!I578</f>
        <v>3.8</v>
      </c>
      <c r="L578" s="5">
        <f>'Raw Data'!J578</f>
        <v>24</v>
      </c>
      <c r="M578" s="5">
        <f>IF(COUNTIFS($A$2:A578,A578,$D$2:D578,D578)=1,L578,0)</f>
        <v>24</v>
      </c>
      <c r="N578" s="4">
        <f t="shared" ref="N578:N641" si="48">IFERROR(G578/L578,0)</f>
        <v>454.46749999999997</v>
      </c>
      <c r="O578" t="str">
        <f t="shared" ref="O578:O641" si="49">IF(OR(A578="",B578="",C578="",F578&lt;0,G578&lt;0,H578&lt;0,K578&lt;1,K578&gt;5),"Review","OK")</f>
        <v>OK</v>
      </c>
    </row>
    <row r="579" spans="1:15">
      <c r="A579" t="str">
        <f>'Raw Data'!A579</f>
        <v>Atlanta RM-09</v>
      </c>
      <c r="B579" t="str">
        <f>'Raw Data'!B579</f>
        <v>South</v>
      </c>
      <c r="C579" t="str">
        <f>'Raw Data'!C579</f>
        <v>Home Goods</v>
      </c>
      <c r="D579" s="3">
        <f>'Raw Data'!D579</f>
        <v>45658</v>
      </c>
      <c r="E579" t="str">
        <f t="shared" si="45"/>
        <v>Jan</v>
      </c>
      <c r="F579" s="5">
        <f>'Raw Data'!E579</f>
        <v>101</v>
      </c>
      <c r="G579" s="4">
        <f>'Raw Data'!F579</f>
        <v>7687.28</v>
      </c>
      <c r="H579" s="4">
        <f>'Raw Data'!G579</f>
        <v>5065.67</v>
      </c>
      <c r="I579" s="4">
        <f t="shared" si="46"/>
        <v>2621.6099999999997</v>
      </c>
      <c r="J579" s="8">
        <f t="shared" si="47"/>
        <v>0.34103219864503437</v>
      </c>
      <c r="K579" s="6">
        <f>'Raw Data'!I579</f>
        <v>3.79</v>
      </c>
      <c r="L579" s="5">
        <f>'Raw Data'!J579</f>
        <v>24</v>
      </c>
      <c r="M579" s="5">
        <f>IF(COUNTIFS($A$2:A579,A579,$D$2:D579,D579)=1,L579,0)</f>
        <v>0</v>
      </c>
      <c r="N579" s="4">
        <f t="shared" si="48"/>
        <v>320.30333333333334</v>
      </c>
      <c r="O579" t="str">
        <f t="shared" si="49"/>
        <v>OK</v>
      </c>
    </row>
    <row r="580" spans="1:15">
      <c r="A580" t="str">
        <f>'Raw Data'!A580</f>
        <v>Atlanta RM-09</v>
      </c>
      <c r="B580" t="str">
        <f>'Raw Data'!B580</f>
        <v>South</v>
      </c>
      <c r="C580" t="str">
        <f>'Raw Data'!C580</f>
        <v>Apparel</v>
      </c>
      <c r="D580" s="3">
        <f>'Raw Data'!D580</f>
        <v>45658</v>
      </c>
      <c r="E580" t="str">
        <f t="shared" si="45"/>
        <v>Jan</v>
      </c>
      <c r="F580" s="5">
        <f>'Raw Data'!E580</f>
        <v>97</v>
      </c>
      <c r="G580" s="4">
        <f>'Raw Data'!F580</f>
        <v>4759.87</v>
      </c>
      <c r="H580" s="4">
        <f>'Raw Data'!G580</f>
        <v>2735.98</v>
      </c>
      <c r="I580" s="4">
        <f t="shared" si="46"/>
        <v>2023.8899999999999</v>
      </c>
      <c r="J580" s="8">
        <f t="shared" si="47"/>
        <v>0.42519858735637739</v>
      </c>
      <c r="K580" s="6">
        <f>'Raw Data'!I580</f>
        <v>3.76</v>
      </c>
      <c r="L580" s="5">
        <f>'Raw Data'!J580</f>
        <v>24</v>
      </c>
      <c r="M580" s="5">
        <f>IF(COUNTIFS($A$2:A580,A580,$D$2:D580,D580)=1,L580,0)</f>
        <v>0</v>
      </c>
      <c r="N580" s="4">
        <f t="shared" si="48"/>
        <v>198.32791666666665</v>
      </c>
      <c r="O580" t="str">
        <f t="shared" si="49"/>
        <v>OK</v>
      </c>
    </row>
    <row r="581" spans="1:15">
      <c r="A581" t="str">
        <f>'Raw Data'!A581</f>
        <v>Atlanta RM-09</v>
      </c>
      <c r="B581" t="str">
        <f>'Raw Data'!B581</f>
        <v>South</v>
      </c>
      <c r="C581" t="str">
        <f>'Raw Data'!C581</f>
        <v>Beauty</v>
      </c>
      <c r="D581" s="3">
        <f>'Raw Data'!D581</f>
        <v>45658</v>
      </c>
      <c r="E581" t="str">
        <f t="shared" si="45"/>
        <v>Jan</v>
      </c>
      <c r="F581" s="5">
        <f>'Raw Data'!E581</f>
        <v>93</v>
      </c>
      <c r="G581" s="4">
        <f>'Raw Data'!F581</f>
        <v>3443.71</v>
      </c>
      <c r="H581" s="4">
        <f>'Raw Data'!G581</f>
        <v>1552.36</v>
      </c>
      <c r="I581" s="4">
        <f t="shared" si="46"/>
        <v>1891.3500000000001</v>
      </c>
      <c r="J581" s="8">
        <f t="shared" si="47"/>
        <v>0.5492187205078245</v>
      </c>
      <c r="K581" s="6">
        <f>'Raw Data'!I581</f>
        <v>3.56</v>
      </c>
      <c r="L581" s="5">
        <f>'Raw Data'!J581</f>
        <v>24</v>
      </c>
      <c r="M581" s="5">
        <f>IF(COUNTIFS($A$2:A581,A581,$D$2:D581,D581)=1,L581,0)</f>
        <v>0</v>
      </c>
      <c r="N581" s="4">
        <f t="shared" si="48"/>
        <v>143.48791666666668</v>
      </c>
      <c r="O581" t="str">
        <f t="shared" si="49"/>
        <v>OK</v>
      </c>
    </row>
    <row r="582" spans="1:15">
      <c r="A582" t="str">
        <f>'Raw Data'!A582</f>
        <v>Atlanta RM-09</v>
      </c>
      <c r="B582" t="str">
        <f>'Raw Data'!B582</f>
        <v>South</v>
      </c>
      <c r="C582" t="str">
        <f>'Raw Data'!C582</f>
        <v>Grocery</v>
      </c>
      <c r="D582" s="3">
        <f>'Raw Data'!D582</f>
        <v>45658</v>
      </c>
      <c r="E582" t="str">
        <f t="shared" si="45"/>
        <v>Jan</v>
      </c>
      <c r="F582" s="5">
        <f>'Raw Data'!E582</f>
        <v>134</v>
      </c>
      <c r="G582" s="4">
        <f>'Raw Data'!F582</f>
        <v>2287.3200000000002</v>
      </c>
      <c r="H582" s="4">
        <f>'Raw Data'!G582</f>
        <v>1994.83</v>
      </c>
      <c r="I582" s="4">
        <f t="shared" si="46"/>
        <v>292.49000000000024</v>
      </c>
      <c r="J582" s="8">
        <f t="shared" si="47"/>
        <v>0.12787454313344884</v>
      </c>
      <c r="K582" s="6">
        <f>'Raw Data'!I582</f>
        <v>3.58</v>
      </c>
      <c r="L582" s="5">
        <f>'Raw Data'!J582</f>
        <v>24</v>
      </c>
      <c r="M582" s="5">
        <f>IF(COUNTIFS($A$2:A582,A582,$D$2:D582,D582)=1,L582,0)</f>
        <v>0</v>
      </c>
      <c r="N582" s="4">
        <f t="shared" si="48"/>
        <v>95.305000000000007</v>
      </c>
      <c r="O582" t="str">
        <f t="shared" si="49"/>
        <v>OK</v>
      </c>
    </row>
    <row r="583" spans="1:15">
      <c r="A583" t="str">
        <f>'Raw Data'!A583</f>
        <v>Atlanta RM-09</v>
      </c>
      <c r="B583" t="str">
        <f>'Raw Data'!B583</f>
        <v>South</v>
      </c>
      <c r="C583" t="str">
        <f>'Raw Data'!C583</f>
        <v>Sports</v>
      </c>
      <c r="D583" s="3">
        <f>'Raw Data'!D583</f>
        <v>45658</v>
      </c>
      <c r="E583" t="str">
        <f t="shared" si="45"/>
        <v>Jan</v>
      </c>
      <c r="F583" s="5">
        <f>'Raw Data'!E583</f>
        <v>63</v>
      </c>
      <c r="G583" s="4">
        <f>'Raw Data'!F583</f>
        <v>3966.26</v>
      </c>
      <c r="H583" s="4">
        <f>'Raw Data'!G583</f>
        <v>2433.06</v>
      </c>
      <c r="I583" s="4">
        <f t="shared" si="46"/>
        <v>1533.2000000000003</v>
      </c>
      <c r="J583" s="8">
        <f t="shared" si="47"/>
        <v>0.38656063898987969</v>
      </c>
      <c r="K583" s="6">
        <f>'Raw Data'!I583</f>
        <v>3.76</v>
      </c>
      <c r="L583" s="5">
        <f>'Raw Data'!J583</f>
        <v>24</v>
      </c>
      <c r="M583" s="5">
        <f>IF(COUNTIFS($A$2:A583,A583,$D$2:D583,D583)=1,L583,0)</f>
        <v>0</v>
      </c>
      <c r="N583" s="4">
        <f t="shared" si="48"/>
        <v>165.26083333333335</v>
      </c>
      <c r="O583" t="str">
        <f t="shared" si="49"/>
        <v>OK</v>
      </c>
    </row>
    <row r="584" spans="1:15">
      <c r="A584" t="str">
        <f>'Raw Data'!A584</f>
        <v>Atlanta RM-09</v>
      </c>
      <c r="B584" t="str">
        <f>'Raw Data'!B584</f>
        <v>South</v>
      </c>
      <c r="C584" t="str">
        <f>'Raw Data'!C584</f>
        <v>Electronics</v>
      </c>
      <c r="D584" s="3">
        <f>'Raw Data'!D584</f>
        <v>45689</v>
      </c>
      <c r="E584" t="str">
        <f t="shared" si="45"/>
        <v>Feb</v>
      </c>
      <c r="F584" s="5">
        <f>'Raw Data'!E584</f>
        <v>67</v>
      </c>
      <c r="G584" s="4">
        <f>'Raw Data'!F584</f>
        <v>9831.76</v>
      </c>
      <c r="H584" s="4">
        <f>'Raw Data'!G584</f>
        <v>7611.26</v>
      </c>
      <c r="I584" s="4">
        <f t="shared" si="46"/>
        <v>2220.5</v>
      </c>
      <c r="J584" s="8">
        <f t="shared" si="47"/>
        <v>0.22584969527327761</v>
      </c>
      <c r="K584" s="6">
        <f>'Raw Data'!I584</f>
        <v>3.8</v>
      </c>
      <c r="L584" s="5">
        <f>'Raw Data'!J584</f>
        <v>24</v>
      </c>
      <c r="M584" s="5">
        <f>IF(COUNTIFS($A$2:A584,A584,$D$2:D584,D584)=1,L584,0)</f>
        <v>24</v>
      </c>
      <c r="N584" s="4">
        <f t="shared" si="48"/>
        <v>409.65666666666669</v>
      </c>
      <c r="O584" t="str">
        <f t="shared" si="49"/>
        <v>OK</v>
      </c>
    </row>
    <row r="585" spans="1:15">
      <c r="A585" t="str">
        <f>'Raw Data'!A585</f>
        <v>Atlanta RM-09</v>
      </c>
      <c r="B585" t="str">
        <f>'Raw Data'!B585</f>
        <v>South</v>
      </c>
      <c r="C585" t="str">
        <f>'Raw Data'!C585</f>
        <v>Home Goods</v>
      </c>
      <c r="D585" s="3">
        <f>'Raw Data'!D585</f>
        <v>45689</v>
      </c>
      <c r="E585" t="str">
        <f t="shared" si="45"/>
        <v>Feb</v>
      </c>
      <c r="F585" s="5">
        <f>'Raw Data'!E585</f>
        <v>68</v>
      </c>
      <c r="G585" s="4">
        <f>'Raw Data'!F585</f>
        <v>4956.0200000000004</v>
      </c>
      <c r="H585" s="4">
        <f>'Raw Data'!G585</f>
        <v>3249.63</v>
      </c>
      <c r="I585" s="4">
        <f t="shared" si="46"/>
        <v>1706.3900000000003</v>
      </c>
      <c r="J585" s="8">
        <f t="shared" si="47"/>
        <v>0.34430652015125046</v>
      </c>
      <c r="K585" s="6">
        <f>'Raw Data'!I585</f>
        <v>3.66</v>
      </c>
      <c r="L585" s="5">
        <f>'Raw Data'!J585</f>
        <v>24</v>
      </c>
      <c r="M585" s="5">
        <f>IF(COUNTIFS($A$2:A585,A585,$D$2:D585,D585)=1,L585,0)</f>
        <v>0</v>
      </c>
      <c r="N585" s="4">
        <f t="shared" si="48"/>
        <v>206.50083333333336</v>
      </c>
      <c r="O585" t="str">
        <f t="shared" si="49"/>
        <v>OK</v>
      </c>
    </row>
    <row r="586" spans="1:15">
      <c r="A586" t="str">
        <f>'Raw Data'!A586</f>
        <v>Atlanta RM-09</v>
      </c>
      <c r="B586" t="str">
        <f>'Raw Data'!B586</f>
        <v>South</v>
      </c>
      <c r="C586" t="str">
        <f>'Raw Data'!C586</f>
        <v>Apparel</v>
      </c>
      <c r="D586" s="3">
        <f>'Raw Data'!D586</f>
        <v>45689</v>
      </c>
      <c r="E586" t="str">
        <f t="shared" si="45"/>
        <v>Feb</v>
      </c>
      <c r="F586" s="5">
        <f>'Raw Data'!E586</f>
        <v>102</v>
      </c>
      <c r="G586" s="4">
        <f>'Raw Data'!F586</f>
        <v>5051.82</v>
      </c>
      <c r="H586" s="4">
        <f>'Raw Data'!G586</f>
        <v>2996.14</v>
      </c>
      <c r="I586" s="4">
        <f t="shared" si="46"/>
        <v>2055.6799999999998</v>
      </c>
      <c r="J586" s="8">
        <f t="shared" si="47"/>
        <v>0.40691869464866126</v>
      </c>
      <c r="K586" s="6">
        <f>'Raw Data'!I586</f>
        <v>3.56</v>
      </c>
      <c r="L586" s="5">
        <f>'Raw Data'!J586</f>
        <v>24</v>
      </c>
      <c r="M586" s="5">
        <f>IF(COUNTIFS($A$2:A586,A586,$D$2:D586,D586)=1,L586,0)</f>
        <v>0</v>
      </c>
      <c r="N586" s="4">
        <f t="shared" si="48"/>
        <v>210.49249999999998</v>
      </c>
      <c r="O586" t="str">
        <f t="shared" si="49"/>
        <v>OK</v>
      </c>
    </row>
    <row r="587" spans="1:15">
      <c r="A587" t="str">
        <f>'Raw Data'!A587</f>
        <v>Atlanta RM-09</v>
      </c>
      <c r="B587" t="str">
        <f>'Raw Data'!B587</f>
        <v>South</v>
      </c>
      <c r="C587" t="str">
        <f>'Raw Data'!C587</f>
        <v>Beauty</v>
      </c>
      <c r="D587" s="3">
        <f>'Raw Data'!D587</f>
        <v>45689</v>
      </c>
      <c r="E587" t="str">
        <f t="shared" si="45"/>
        <v>Feb</v>
      </c>
      <c r="F587" s="5">
        <f>'Raw Data'!E587</f>
        <v>81</v>
      </c>
      <c r="G587" s="4">
        <f>'Raw Data'!F587</f>
        <v>2800.74</v>
      </c>
      <c r="H587" s="4">
        <f>'Raw Data'!G587</f>
        <v>1291.21</v>
      </c>
      <c r="I587" s="4">
        <f t="shared" si="46"/>
        <v>1509.5299999999997</v>
      </c>
      <c r="J587" s="8">
        <f t="shared" si="47"/>
        <v>0.53897541364068058</v>
      </c>
      <c r="K587" s="6">
        <f>'Raw Data'!I587</f>
        <v>3.6</v>
      </c>
      <c r="L587" s="5">
        <f>'Raw Data'!J587</f>
        <v>24</v>
      </c>
      <c r="M587" s="5">
        <f>IF(COUNTIFS($A$2:A587,A587,$D$2:D587,D587)=1,L587,0)</f>
        <v>0</v>
      </c>
      <c r="N587" s="4">
        <f t="shared" si="48"/>
        <v>116.69749999999999</v>
      </c>
      <c r="O587" t="str">
        <f t="shared" si="49"/>
        <v>OK</v>
      </c>
    </row>
    <row r="588" spans="1:15">
      <c r="A588" t="str">
        <f>'Raw Data'!A588</f>
        <v>Atlanta RM-09</v>
      </c>
      <c r="B588" t="str">
        <f>'Raw Data'!B588</f>
        <v>South</v>
      </c>
      <c r="C588" t="str">
        <f>'Raw Data'!C588</f>
        <v>Grocery</v>
      </c>
      <c r="D588" s="3">
        <f>'Raw Data'!D588</f>
        <v>45689</v>
      </c>
      <c r="E588" t="str">
        <f t="shared" si="45"/>
        <v>Feb</v>
      </c>
      <c r="F588" s="5">
        <f>'Raw Data'!E588</f>
        <v>138</v>
      </c>
      <c r="G588" s="4">
        <f>'Raw Data'!F588</f>
        <v>2384.4</v>
      </c>
      <c r="H588" s="4">
        <f>'Raw Data'!G588</f>
        <v>2129.36</v>
      </c>
      <c r="I588" s="4">
        <f t="shared" si="46"/>
        <v>255.03999999999996</v>
      </c>
      <c r="J588" s="8">
        <f t="shared" si="47"/>
        <v>0.10696191914108369</v>
      </c>
      <c r="K588" s="6">
        <f>'Raw Data'!I588</f>
        <v>3.7</v>
      </c>
      <c r="L588" s="5">
        <f>'Raw Data'!J588</f>
        <v>24</v>
      </c>
      <c r="M588" s="5">
        <f>IF(COUNTIFS($A$2:A588,A588,$D$2:D588,D588)=1,L588,0)</f>
        <v>0</v>
      </c>
      <c r="N588" s="4">
        <f t="shared" si="48"/>
        <v>99.350000000000009</v>
      </c>
      <c r="O588" t="str">
        <f t="shared" si="49"/>
        <v>OK</v>
      </c>
    </row>
    <row r="589" spans="1:15">
      <c r="A589" t="str">
        <f>'Raw Data'!A589</f>
        <v>Atlanta RM-09</v>
      </c>
      <c r="B589" t="str">
        <f>'Raw Data'!B589</f>
        <v>South</v>
      </c>
      <c r="C589" t="str">
        <f>'Raw Data'!C589</f>
        <v>Sports</v>
      </c>
      <c r="D589" s="3">
        <f>'Raw Data'!D589</f>
        <v>45689</v>
      </c>
      <c r="E589" t="str">
        <f t="shared" si="45"/>
        <v>Feb</v>
      </c>
      <c r="F589" s="5">
        <f>'Raw Data'!E589</f>
        <v>55</v>
      </c>
      <c r="G589" s="4">
        <f>'Raw Data'!F589</f>
        <v>3384.51</v>
      </c>
      <c r="H589" s="4">
        <f>'Raw Data'!G589</f>
        <v>2064.7399999999998</v>
      </c>
      <c r="I589" s="4">
        <f t="shared" si="46"/>
        <v>1319.7700000000004</v>
      </c>
      <c r="J589" s="8">
        <f t="shared" si="47"/>
        <v>0.38994418689854671</v>
      </c>
      <c r="K589" s="6">
        <f>'Raw Data'!I589</f>
        <v>3.79</v>
      </c>
      <c r="L589" s="5">
        <f>'Raw Data'!J589</f>
        <v>24</v>
      </c>
      <c r="M589" s="5">
        <f>IF(COUNTIFS($A$2:A589,A589,$D$2:D589,D589)=1,L589,0)</f>
        <v>0</v>
      </c>
      <c r="N589" s="4">
        <f t="shared" si="48"/>
        <v>141.02125000000001</v>
      </c>
      <c r="O589" t="str">
        <f t="shared" si="49"/>
        <v>OK</v>
      </c>
    </row>
    <row r="590" spans="1:15">
      <c r="A590" t="str">
        <f>'Raw Data'!A590</f>
        <v>Atlanta RM-09</v>
      </c>
      <c r="B590" t="str">
        <f>'Raw Data'!B590</f>
        <v>South</v>
      </c>
      <c r="C590" t="str">
        <f>'Raw Data'!C590</f>
        <v>Electronics</v>
      </c>
      <c r="D590" s="3">
        <f>'Raw Data'!D590</f>
        <v>45717</v>
      </c>
      <c r="E590" t="str">
        <f t="shared" si="45"/>
        <v>Mar</v>
      </c>
      <c r="F590" s="5">
        <f>'Raw Data'!E590</f>
        <v>82</v>
      </c>
      <c r="G590" s="4">
        <f>'Raw Data'!F590</f>
        <v>12333</v>
      </c>
      <c r="H590" s="4">
        <f>'Raw Data'!G590</f>
        <v>9610.5</v>
      </c>
      <c r="I590" s="4">
        <f t="shared" si="46"/>
        <v>2722.5</v>
      </c>
      <c r="J590" s="8">
        <f t="shared" si="47"/>
        <v>0.22074920943809292</v>
      </c>
      <c r="K590" s="6">
        <f>'Raw Data'!I590</f>
        <v>3.67</v>
      </c>
      <c r="L590" s="5">
        <f>'Raw Data'!J590</f>
        <v>23</v>
      </c>
      <c r="M590" s="5">
        <f>IF(COUNTIFS($A$2:A590,A590,$D$2:D590,D590)=1,L590,0)</f>
        <v>23</v>
      </c>
      <c r="N590" s="4">
        <f t="shared" si="48"/>
        <v>536.21739130434787</v>
      </c>
      <c r="O590" t="str">
        <f t="shared" si="49"/>
        <v>OK</v>
      </c>
    </row>
    <row r="591" spans="1:15">
      <c r="A591" t="str">
        <f>'Raw Data'!A591</f>
        <v>Atlanta RM-09</v>
      </c>
      <c r="B591" t="str">
        <f>'Raw Data'!B591</f>
        <v>South</v>
      </c>
      <c r="C591" t="str">
        <f>'Raw Data'!C591</f>
        <v>Home Goods</v>
      </c>
      <c r="D591" s="3">
        <f>'Raw Data'!D591</f>
        <v>45717</v>
      </c>
      <c r="E591" t="str">
        <f t="shared" si="45"/>
        <v>Mar</v>
      </c>
      <c r="F591" s="5">
        <f>'Raw Data'!E591</f>
        <v>91</v>
      </c>
      <c r="G591" s="4">
        <f>'Raw Data'!F591</f>
        <v>6973.58</v>
      </c>
      <c r="H591" s="4">
        <f>'Raw Data'!G591</f>
        <v>4569.13</v>
      </c>
      <c r="I591" s="4">
        <f t="shared" si="46"/>
        <v>2404.4499999999998</v>
      </c>
      <c r="J591" s="8">
        <f t="shared" si="47"/>
        <v>0.3447942090002552</v>
      </c>
      <c r="K591" s="6">
        <f>'Raw Data'!I591</f>
        <v>3.82</v>
      </c>
      <c r="L591" s="5">
        <f>'Raw Data'!J591</f>
        <v>23</v>
      </c>
      <c r="M591" s="5">
        <f>IF(COUNTIFS($A$2:A591,A591,$D$2:D591,D591)=1,L591,0)</f>
        <v>0</v>
      </c>
      <c r="N591" s="4">
        <f t="shared" si="48"/>
        <v>303.1991304347826</v>
      </c>
      <c r="O591" t="str">
        <f t="shared" si="49"/>
        <v>OK</v>
      </c>
    </row>
    <row r="592" spans="1:15">
      <c r="A592" t="str">
        <f>'Raw Data'!A592</f>
        <v>Atlanta RM-09</v>
      </c>
      <c r="B592" t="str">
        <f>'Raw Data'!B592</f>
        <v>South</v>
      </c>
      <c r="C592" t="str">
        <f>'Raw Data'!C592</f>
        <v>Apparel</v>
      </c>
      <c r="D592" s="3">
        <f>'Raw Data'!D592</f>
        <v>45717</v>
      </c>
      <c r="E592" t="str">
        <f t="shared" si="45"/>
        <v>Mar</v>
      </c>
      <c r="F592" s="5">
        <f>'Raw Data'!E592</f>
        <v>128</v>
      </c>
      <c r="G592" s="4">
        <f>'Raw Data'!F592</f>
        <v>6611.56</v>
      </c>
      <c r="H592" s="4">
        <f>'Raw Data'!G592</f>
        <v>3945.71</v>
      </c>
      <c r="I592" s="4">
        <f t="shared" si="46"/>
        <v>2665.8500000000004</v>
      </c>
      <c r="J592" s="8">
        <f t="shared" si="47"/>
        <v>0.40321043747617813</v>
      </c>
      <c r="K592" s="6">
        <f>'Raw Data'!I592</f>
        <v>3.76</v>
      </c>
      <c r="L592" s="5">
        <f>'Raw Data'!J592</f>
        <v>23</v>
      </c>
      <c r="M592" s="5">
        <f>IF(COUNTIFS($A$2:A592,A592,$D$2:D592,D592)=1,L592,0)</f>
        <v>0</v>
      </c>
      <c r="N592" s="4">
        <f t="shared" si="48"/>
        <v>287.45913043478265</v>
      </c>
      <c r="O592" t="str">
        <f t="shared" si="49"/>
        <v>OK</v>
      </c>
    </row>
    <row r="593" spans="1:15">
      <c r="A593" t="str">
        <f>'Raw Data'!A593</f>
        <v>Atlanta RM-09</v>
      </c>
      <c r="B593" t="str">
        <f>'Raw Data'!B593</f>
        <v>South</v>
      </c>
      <c r="C593" t="str">
        <f>'Raw Data'!C593</f>
        <v>Beauty</v>
      </c>
      <c r="D593" s="3">
        <f>'Raw Data'!D593</f>
        <v>45717</v>
      </c>
      <c r="E593" t="str">
        <f t="shared" si="45"/>
        <v>Mar</v>
      </c>
      <c r="F593" s="5">
        <f>'Raw Data'!E593</f>
        <v>85</v>
      </c>
      <c r="G593" s="4">
        <f>'Raw Data'!F593</f>
        <v>3240.59</v>
      </c>
      <c r="H593" s="4">
        <f>'Raw Data'!G593</f>
        <v>1556.69</v>
      </c>
      <c r="I593" s="4">
        <f t="shared" si="46"/>
        <v>1683.9</v>
      </c>
      <c r="J593" s="8">
        <f t="shared" si="47"/>
        <v>0.51962759867801855</v>
      </c>
      <c r="K593" s="6">
        <f>'Raw Data'!I593</f>
        <v>3.65</v>
      </c>
      <c r="L593" s="5">
        <f>'Raw Data'!J593</f>
        <v>23</v>
      </c>
      <c r="M593" s="5">
        <f>IF(COUNTIFS($A$2:A593,A593,$D$2:D593,D593)=1,L593,0)</f>
        <v>0</v>
      </c>
      <c r="N593" s="4">
        <f t="shared" si="48"/>
        <v>140.89521739130436</v>
      </c>
      <c r="O593" t="str">
        <f t="shared" si="49"/>
        <v>OK</v>
      </c>
    </row>
    <row r="594" spans="1:15">
      <c r="A594" t="str">
        <f>'Raw Data'!A594</f>
        <v>Atlanta RM-09</v>
      </c>
      <c r="B594" t="str">
        <f>'Raw Data'!B594</f>
        <v>South</v>
      </c>
      <c r="C594" t="str">
        <f>'Raw Data'!C594</f>
        <v>Grocery</v>
      </c>
      <c r="D594" s="3">
        <f>'Raw Data'!D594</f>
        <v>45717</v>
      </c>
      <c r="E594" t="str">
        <f t="shared" si="45"/>
        <v>Mar</v>
      </c>
      <c r="F594" s="5">
        <f>'Raw Data'!E594</f>
        <v>169</v>
      </c>
      <c r="G594" s="4">
        <f>'Raw Data'!F594</f>
        <v>3070.17</v>
      </c>
      <c r="H594" s="4">
        <f>'Raw Data'!G594</f>
        <v>2709.48</v>
      </c>
      <c r="I594" s="4">
        <f t="shared" si="46"/>
        <v>360.69000000000005</v>
      </c>
      <c r="J594" s="8">
        <f t="shared" si="47"/>
        <v>0.11748209382542336</v>
      </c>
      <c r="K594" s="6">
        <f>'Raw Data'!I594</f>
        <v>3.58</v>
      </c>
      <c r="L594" s="5">
        <f>'Raw Data'!J594</f>
        <v>23</v>
      </c>
      <c r="M594" s="5">
        <f>IF(COUNTIFS($A$2:A594,A594,$D$2:D594,D594)=1,L594,0)</f>
        <v>0</v>
      </c>
      <c r="N594" s="4">
        <f t="shared" si="48"/>
        <v>133.48565217391305</v>
      </c>
      <c r="O594" t="str">
        <f t="shared" si="49"/>
        <v>OK</v>
      </c>
    </row>
    <row r="595" spans="1:15">
      <c r="A595" t="str">
        <f>'Raw Data'!A595</f>
        <v>Atlanta RM-09</v>
      </c>
      <c r="B595" t="str">
        <f>'Raw Data'!B595</f>
        <v>South</v>
      </c>
      <c r="C595" t="str">
        <f>'Raw Data'!C595</f>
        <v>Sports</v>
      </c>
      <c r="D595" s="3">
        <f>'Raw Data'!D595</f>
        <v>45717</v>
      </c>
      <c r="E595" t="str">
        <f t="shared" si="45"/>
        <v>Mar</v>
      </c>
      <c r="F595" s="5">
        <f>'Raw Data'!E595</f>
        <v>64</v>
      </c>
      <c r="G595" s="4">
        <f>'Raw Data'!F595</f>
        <v>4033.96</v>
      </c>
      <c r="H595" s="4">
        <f>'Raw Data'!G595</f>
        <v>2492.96</v>
      </c>
      <c r="I595" s="4">
        <f t="shared" si="46"/>
        <v>1541</v>
      </c>
      <c r="J595" s="8">
        <f t="shared" si="47"/>
        <v>0.38200676258564786</v>
      </c>
      <c r="K595" s="6">
        <f>'Raw Data'!I595</f>
        <v>3.82</v>
      </c>
      <c r="L595" s="5">
        <f>'Raw Data'!J595</f>
        <v>23</v>
      </c>
      <c r="M595" s="5">
        <f>IF(COUNTIFS($A$2:A595,A595,$D$2:D595,D595)=1,L595,0)</f>
        <v>0</v>
      </c>
      <c r="N595" s="4">
        <f t="shared" si="48"/>
        <v>175.38956521739129</v>
      </c>
      <c r="O595" t="str">
        <f t="shared" si="49"/>
        <v>OK</v>
      </c>
    </row>
    <row r="596" spans="1:15">
      <c r="A596" t="str">
        <f>'Raw Data'!A596</f>
        <v>Atlanta RM-09</v>
      </c>
      <c r="B596" t="str">
        <f>'Raw Data'!B596</f>
        <v>South</v>
      </c>
      <c r="C596" t="str">
        <f>'Raw Data'!C596</f>
        <v>Electronics</v>
      </c>
      <c r="D596" s="3">
        <f>'Raw Data'!D596</f>
        <v>45748</v>
      </c>
      <c r="E596" t="str">
        <f t="shared" si="45"/>
        <v>Apr</v>
      </c>
      <c r="F596" s="5">
        <f>'Raw Data'!E596</f>
        <v>112</v>
      </c>
      <c r="G596" s="4">
        <f>'Raw Data'!F596</f>
        <v>15370.06</v>
      </c>
      <c r="H596" s="4">
        <f>'Raw Data'!G596</f>
        <v>11893.57</v>
      </c>
      <c r="I596" s="4">
        <f t="shared" si="46"/>
        <v>3476.49</v>
      </c>
      <c r="J596" s="8">
        <f t="shared" si="47"/>
        <v>0.22618584442741277</v>
      </c>
      <c r="K596" s="6">
        <f>'Raw Data'!I596</f>
        <v>3.81</v>
      </c>
      <c r="L596" s="5">
        <f>'Raw Data'!J596</f>
        <v>24</v>
      </c>
      <c r="M596" s="5">
        <f>IF(COUNTIFS($A$2:A596,A596,$D$2:D596,D596)=1,L596,0)</f>
        <v>24</v>
      </c>
      <c r="N596" s="4">
        <f t="shared" si="48"/>
        <v>640.41916666666668</v>
      </c>
      <c r="O596" t="str">
        <f t="shared" si="49"/>
        <v>OK</v>
      </c>
    </row>
    <row r="597" spans="1:15">
      <c r="A597" t="str">
        <f>'Raw Data'!A597</f>
        <v>Atlanta RM-09</v>
      </c>
      <c r="B597" t="str">
        <f>'Raw Data'!B597</f>
        <v>South</v>
      </c>
      <c r="C597" t="str">
        <f>'Raw Data'!C597</f>
        <v>Home Goods</v>
      </c>
      <c r="D597" s="3">
        <f>'Raw Data'!D597</f>
        <v>45748</v>
      </c>
      <c r="E597" t="str">
        <f t="shared" si="45"/>
        <v>Apr</v>
      </c>
      <c r="F597" s="5">
        <f>'Raw Data'!E597</f>
        <v>83</v>
      </c>
      <c r="G597" s="4">
        <f>'Raw Data'!F597</f>
        <v>5943.9</v>
      </c>
      <c r="H597" s="4">
        <f>'Raw Data'!G597</f>
        <v>4011.86</v>
      </c>
      <c r="I597" s="4">
        <f t="shared" si="46"/>
        <v>1932.0399999999995</v>
      </c>
      <c r="J597" s="8">
        <f t="shared" si="47"/>
        <v>0.32504584532041247</v>
      </c>
      <c r="K597" s="6">
        <f>'Raw Data'!I597</f>
        <v>3.57</v>
      </c>
      <c r="L597" s="5">
        <f>'Raw Data'!J597</f>
        <v>24</v>
      </c>
      <c r="M597" s="5">
        <f>IF(COUNTIFS($A$2:A597,A597,$D$2:D597,D597)=1,L597,0)</f>
        <v>0</v>
      </c>
      <c r="N597" s="4">
        <f t="shared" si="48"/>
        <v>247.66249999999999</v>
      </c>
      <c r="O597" t="str">
        <f t="shared" si="49"/>
        <v>OK</v>
      </c>
    </row>
    <row r="598" spans="1:15">
      <c r="A598" t="str">
        <f>'Raw Data'!A598</f>
        <v>Atlanta RM-09</v>
      </c>
      <c r="B598" t="str">
        <f>'Raw Data'!B598</f>
        <v>South</v>
      </c>
      <c r="C598" t="str">
        <f>'Raw Data'!C598</f>
        <v>Apparel</v>
      </c>
      <c r="D598" s="3">
        <f>'Raw Data'!D598</f>
        <v>45748</v>
      </c>
      <c r="E598" t="str">
        <f t="shared" si="45"/>
        <v>Apr</v>
      </c>
      <c r="F598" s="5">
        <f>'Raw Data'!E598</f>
        <v>101</v>
      </c>
      <c r="G598" s="4">
        <f>'Raw Data'!F598</f>
        <v>4847.4799999999996</v>
      </c>
      <c r="H598" s="4">
        <f>'Raw Data'!G598</f>
        <v>2985.01</v>
      </c>
      <c r="I598" s="4">
        <f t="shared" si="46"/>
        <v>1862.4699999999993</v>
      </c>
      <c r="J598" s="8">
        <f t="shared" si="47"/>
        <v>0.38421406586515044</v>
      </c>
      <c r="K598" s="6">
        <f>'Raw Data'!I598</f>
        <v>3.84</v>
      </c>
      <c r="L598" s="5">
        <f>'Raw Data'!J598</f>
        <v>24</v>
      </c>
      <c r="M598" s="5">
        <f>IF(COUNTIFS($A$2:A598,A598,$D$2:D598,D598)=1,L598,0)</f>
        <v>0</v>
      </c>
      <c r="N598" s="4">
        <f t="shared" si="48"/>
        <v>201.97833333333332</v>
      </c>
      <c r="O598" t="str">
        <f t="shared" si="49"/>
        <v>OK</v>
      </c>
    </row>
    <row r="599" spans="1:15">
      <c r="A599" t="str">
        <f>'Raw Data'!A599</f>
        <v>Atlanta RM-09</v>
      </c>
      <c r="B599" t="str">
        <f>'Raw Data'!B599</f>
        <v>South</v>
      </c>
      <c r="C599" t="str">
        <f>'Raw Data'!C599</f>
        <v>Beauty</v>
      </c>
      <c r="D599" s="3">
        <f>'Raw Data'!D599</f>
        <v>45748</v>
      </c>
      <c r="E599" t="str">
        <f t="shared" si="45"/>
        <v>Apr</v>
      </c>
      <c r="F599" s="5">
        <f>'Raw Data'!E599</f>
        <v>102</v>
      </c>
      <c r="G599" s="4">
        <f>'Raw Data'!F599</f>
        <v>3905.17</v>
      </c>
      <c r="H599" s="4">
        <f>'Raw Data'!G599</f>
        <v>1844.48</v>
      </c>
      <c r="I599" s="4">
        <f t="shared" si="46"/>
        <v>2060.69</v>
      </c>
      <c r="J599" s="8">
        <f t="shared" si="47"/>
        <v>0.5276825336669082</v>
      </c>
      <c r="K599" s="6">
        <f>'Raw Data'!I599</f>
        <v>3.82</v>
      </c>
      <c r="L599" s="5">
        <f>'Raw Data'!J599</f>
        <v>24</v>
      </c>
      <c r="M599" s="5">
        <f>IF(COUNTIFS($A$2:A599,A599,$D$2:D599,D599)=1,L599,0)</f>
        <v>0</v>
      </c>
      <c r="N599" s="4">
        <f t="shared" si="48"/>
        <v>162.71541666666667</v>
      </c>
      <c r="O599" t="str">
        <f t="shared" si="49"/>
        <v>OK</v>
      </c>
    </row>
    <row r="600" spans="1:15">
      <c r="A600" t="str">
        <f>'Raw Data'!A600</f>
        <v>Atlanta RM-09</v>
      </c>
      <c r="B600" t="str">
        <f>'Raw Data'!B600</f>
        <v>South</v>
      </c>
      <c r="C600" t="str">
        <f>'Raw Data'!C600</f>
        <v>Grocery</v>
      </c>
      <c r="D600" s="3">
        <f>'Raw Data'!D600</f>
        <v>45748</v>
      </c>
      <c r="E600" t="str">
        <f t="shared" si="45"/>
        <v>Apr</v>
      </c>
      <c r="F600" s="5">
        <f>'Raw Data'!E600</f>
        <v>162</v>
      </c>
      <c r="G600" s="4">
        <f>'Raw Data'!F600</f>
        <v>2888.18</v>
      </c>
      <c r="H600" s="4">
        <f>'Raw Data'!G600</f>
        <v>2528.61</v>
      </c>
      <c r="I600" s="4">
        <f t="shared" si="46"/>
        <v>359.56999999999971</v>
      </c>
      <c r="J600" s="8">
        <f t="shared" si="47"/>
        <v>0.12449708813162605</v>
      </c>
      <c r="K600" s="6">
        <f>'Raw Data'!I600</f>
        <v>3.72</v>
      </c>
      <c r="L600" s="5">
        <f>'Raw Data'!J600</f>
        <v>24</v>
      </c>
      <c r="M600" s="5">
        <f>IF(COUNTIFS($A$2:A600,A600,$D$2:D600,D600)=1,L600,0)</f>
        <v>0</v>
      </c>
      <c r="N600" s="4">
        <f t="shared" si="48"/>
        <v>120.34083333333332</v>
      </c>
      <c r="O600" t="str">
        <f t="shared" si="49"/>
        <v>OK</v>
      </c>
    </row>
    <row r="601" spans="1:15">
      <c r="A601" t="str">
        <f>'Raw Data'!A601</f>
        <v>Atlanta RM-09</v>
      </c>
      <c r="B601" t="str">
        <f>'Raw Data'!B601</f>
        <v>South</v>
      </c>
      <c r="C601" t="str">
        <f>'Raw Data'!C601</f>
        <v>Sports</v>
      </c>
      <c r="D601" s="3">
        <f>'Raw Data'!D601</f>
        <v>45748</v>
      </c>
      <c r="E601" t="str">
        <f t="shared" si="45"/>
        <v>Apr</v>
      </c>
      <c r="F601" s="5">
        <f>'Raw Data'!E601</f>
        <v>70</v>
      </c>
      <c r="G601" s="4">
        <f>'Raw Data'!F601</f>
        <v>4473.88</v>
      </c>
      <c r="H601" s="4">
        <f>'Raw Data'!G601</f>
        <v>2777.57</v>
      </c>
      <c r="I601" s="4">
        <f t="shared" si="46"/>
        <v>1696.31</v>
      </c>
      <c r="J601" s="8">
        <f t="shared" si="47"/>
        <v>0.3791585827067333</v>
      </c>
      <c r="K601" s="6">
        <f>'Raw Data'!I601</f>
        <v>3.73</v>
      </c>
      <c r="L601" s="5">
        <f>'Raw Data'!J601</f>
        <v>24</v>
      </c>
      <c r="M601" s="5">
        <f>IF(COUNTIFS($A$2:A601,A601,$D$2:D601,D601)=1,L601,0)</f>
        <v>0</v>
      </c>
      <c r="N601" s="4">
        <f t="shared" si="48"/>
        <v>186.41166666666666</v>
      </c>
      <c r="O601" t="str">
        <f t="shared" si="49"/>
        <v>OK</v>
      </c>
    </row>
    <row r="602" spans="1:15">
      <c r="A602" t="str">
        <f>'Raw Data'!A602</f>
        <v>Atlanta RM-09</v>
      </c>
      <c r="B602" t="str">
        <f>'Raw Data'!B602</f>
        <v>South</v>
      </c>
      <c r="C602" t="str">
        <f>'Raw Data'!C602</f>
        <v>Electronics</v>
      </c>
      <c r="D602" s="3">
        <f>'Raw Data'!D602</f>
        <v>45778</v>
      </c>
      <c r="E602" t="str">
        <f t="shared" si="45"/>
        <v>May</v>
      </c>
      <c r="F602" s="5">
        <f>'Raw Data'!E602</f>
        <v>104</v>
      </c>
      <c r="G602" s="4">
        <f>'Raw Data'!F602</f>
        <v>14376.15</v>
      </c>
      <c r="H602" s="4">
        <f>'Raw Data'!G602</f>
        <v>10935.81</v>
      </c>
      <c r="I602" s="4">
        <f t="shared" si="46"/>
        <v>3440.34</v>
      </c>
      <c r="J602" s="8">
        <f t="shared" si="47"/>
        <v>0.23930885529157669</v>
      </c>
      <c r="K602" s="6">
        <f>'Raw Data'!I602</f>
        <v>3.54</v>
      </c>
      <c r="L602" s="5">
        <f>'Raw Data'!J602</f>
        <v>24</v>
      </c>
      <c r="M602" s="5">
        <f>IF(COUNTIFS($A$2:A602,A602,$D$2:D602,D602)=1,L602,0)</f>
        <v>24</v>
      </c>
      <c r="N602" s="4">
        <f t="shared" si="48"/>
        <v>599.00625000000002</v>
      </c>
      <c r="O602" t="str">
        <f t="shared" si="49"/>
        <v>OK</v>
      </c>
    </row>
    <row r="603" spans="1:15">
      <c r="A603" t="str">
        <f>'Raw Data'!A603</f>
        <v>Atlanta RM-09</v>
      </c>
      <c r="B603" t="str">
        <f>'Raw Data'!B603</f>
        <v>South</v>
      </c>
      <c r="C603" t="str">
        <f>'Raw Data'!C603</f>
        <v>Home Goods</v>
      </c>
      <c r="D603" s="3">
        <f>'Raw Data'!D603</f>
        <v>45778</v>
      </c>
      <c r="E603" t="str">
        <f t="shared" si="45"/>
        <v>May</v>
      </c>
      <c r="F603" s="5">
        <f>'Raw Data'!E603</f>
        <v>98</v>
      </c>
      <c r="G603" s="4">
        <f>'Raw Data'!F603</f>
        <v>7620.16</v>
      </c>
      <c r="H603" s="4">
        <f>'Raw Data'!G603</f>
        <v>5065.6899999999996</v>
      </c>
      <c r="I603" s="4">
        <f t="shared" si="46"/>
        <v>2554.4700000000003</v>
      </c>
      <c r="J603" s="8">
        <f t="shared" si="47"/>
        <v>0.33522524461428638</v>
      </c>
      <c r="K603" s="6">
        <f>'Raw Data'!I603</f>
        <v>3.67</v>
      </c>
      <c r="L603" s="5">
        <f>'Raw Data'!J603</f>
        <v>24</v>
      </c>
      <c r="M603" s="5">
        <f>IF(COUNTIFS($A$2:A603,A603,$D$2:D603,D603)=1,L603,0)</f>
        <v>0</v>
      </c>
      <c r="N603" s="4">
        <f t="shared" si="48"/>
        <v>317.50666666666666</v>
      </c>
      <c r="O603" t="str">
        <f t="shared" si="49"/>
        <v>OK</v>
      </c>
    </row>
    <row r="604" spans="1:15">
      <c r="A604" t="str">
        <f>'Raw Data'!A604</f>
        <v>Atlanta RM-09</v>
      </c>
      <c r="B604" t="str">
        <f>'Raw Data'!B604</f>
        <v>South</v>
      </c>
      <c r="C604" t="str">
        <f>'Raw Data'!C604</f>
        <v>Apparel</v>
      </c>
      <c r="D604" s="3">
        <f>'Raw Data'!D604</f>
        <v>45778</v>
      </c>
      <c r="E604" t="str">
        <f t="shared" si="45"/>
        <v>May</v>
      </c>
      <c r="F604" s="5">
        <f>'Raw Data'!E604</f>
        <v>132</v>
      </c>
      <c r="G604" s="4">
        <f>'Raw Data'!F604</f>
        <v>6062.81</v>
      </c>
      <c r="H604" s="4">
        <f>'Raw Data'!G604</f>
        <v>3741.11</v>
      </c>
      <c r="I604" s="4">
        <f t="shared" si="46"/>
        <v>2321.7000000000003</v>
      </c>
      <c r="J604" s="8">
        <f t="shared" si="47"/>
        <v>0.3829412434168315</v>
      </c>
      <c r="K604" s="6">
        <f>'Raw Data'!I604</f>
        <v>3.76</v>
      </c>
      <c r="L604" s="5">
        <f>'Raw Data'!J604</f>
        <v>24</v>
      </c>
      <c r="M604" s="5">
        <f>IF(COUNTIFS($A$2:A604,A604,$D$2:D604,D604)=1,L604,0)</f>
        <v>0</v>
      </c>
      <c r="N604" s="4">
        <f t="shared" si="48"/>
        <v>252.61708333333334</v>
      </c>
      <c r="O604" t="str">
        <f t="shared" si="49"/>
        <v>OK</v>
      </c>
    </row>
    <row r="605" spans="1:15">
      <c r="A605" t="str">
        <f>'Raw Data'!A605</f>
        <v>Atlanta RM-09</v>
      </c>
      <c r="B605" t="str">
        <f>'Raw Data'!B605</f>
        <v>South</v>
      </c>
      <c r="C605" t="str">
        <f>'Raw Data'!C605</f>
        <v>Beauty</v>
      </c>
      <c r="D605" s="3">
        <f>'Raw Data'!D605</f>
        <v>45778</v>
      </c>
      <c r="E605" t="str">
        <f t="shared" si="45"/>
        <v>May</v>
      </c>
      <c r="F605" s="5">
        <f>'Raw Data'!E605</f>
        <v>102</v>
      </c>
      <c r="G605" s="4">
        <f>'Raw Data'!F605</f>
        <v>3697.26</v>
      </c>
      <c r="H605" s="4">
        <f>'Raw Data'!G605</f>
        <v>1760.37</v>
      </c>
      <c r="I605" s="4">
        <f t="shared" si="46"/>
        <v>1936.8900000000003</v>
      </c>
      <c r="J605" s="8">
        <f t="shared" si="47"/>
        <v>0.52387173203940218</v>
      </c>
      <c r="K605" s="6">
        <f>'Raw Data'!I605</f>
        <v>3.54</v>
      </c>
      <c r="L605" s="5">
        <f>'Raw Data'!J605</f>
        <v>24</v>
      </c>
      <c r="M605" s="5">
        <f>IF(COUNTIFS($A$2:A605,A605,$D$2:D605,D605)=1,L605,0)</f>
        <v>0</v>
      </c>
      <c r="N605" s="4">
        <f t="shared" si="48"/>
        <v>154.05250000000001</v>
      </c>
      <c r="O605" t="str">
        <f t="shared" si="49"/>
        <v>OK</v>
      </c>
    </row>
    <row r="606" spans="1:15">
      <c r="A606" t="str">
        <f>'Raw Data'!A606</f>
        <v>Atlanta RM-09</v>
      </c>
      <c r="B606" t="str">
        <f>'Raw Data'!B606</f>
        <v>South</v>
      </c>
      <c r="C606" t="str">
        <f>'Raw Data'!C606</f>
        <v>Grocery</v>
      </c>
      <c r="D606" s="3">
        <f>'Raw Data'!D606</f>
        <v>45778</v>
      </c>
      <c r="E606" t="str">
        <f t="shared" si="45"/>
        <v>May</v>
      </c>
      <c r="F606" s="5">
        <f>'Raw Data'!E606</f>
        <v>171</v>
      </c>
      <c r="G606" s="4">
        <f>'Raw Data'!F606</f>
        <v>3051.71</v>
      </c>
      <c r="H606" s="4">
        <f>'Raw Data'!G606</f>
        <v>2725.52</v>
      </c>
      <c r="I606" s="4">
        <f t="shared" si="46"/>
        <v>326.19000000000005</v>
      </c>
      <c r="J606" s="8">
        <f t="shared" si="47"/>
        <v>0.1068876138296234</v>
      </c>
      <c r="K606" s="6">
        <f>'Raw Data'!I606</f>
        <v>3.62</v>
      </c>
      <c r="L606" s="5">
        <f>'Raw Data'!J606</f>
        <v>24</v>
      </c>
      <c r="M606" s="5">
        <f>IF(COUNTIFS($A$2:A606,A606,$D$2:D606,D606)=1,L606,0)</f>
        <v>0</v>
      </c>
      <c r="N606" s="4">
        <f t="shared" si="48"/>
        <v>127.15458333333333</v>
      </c>
      <c r="O606" t="str">
        <f t="shared" si="49"/>
        <v>OK</v>
      </c>
    </row>
    <row r="607" spans="1:15">
      <c r="A607" t="str">
        <f>'Raw Data'!A607</f>
        <v>Atlanta RM-09</v>
      </c>
      <c r="B607" t="str">
        <f>'Raw Data'!B607</f>
        <v>South</v>
      </c>
      <c r="C607" t="str">
        <f>'Raw Data'!C607</f>
        <v>Sports</v>
      </c>
      <c r="D607" s="3">
        <f>'Raw Data'!D607</f>
        <v>45778</v>
      </c>
      <c r="E607" t="str">
        <f t="shared" si="45"/>
        <v>May</v>
      </c>
      <c r="F607" s="5">
        <f>'Raw Data'!E607</f>
        <v>94</v>
      </c>
      <c r="G607" s="4">
        <f>'Raw Data'!F607</f>
        <v>6141.96</v>
      </c>
      <c r="H607" s="4">
        <f>'Raw Data'!G607</f>
        <v>4044.3</v>
      </c>
      <c r="I607" s="4">
        <f t="shared" si="46"/>
        <v>2097.66</v>
      </c>
      <c r="J607" s="8">
        <f t="shared" si="47"/>
        <v>0.34152941406326315</v>
      </c>
      <c r="K607" s="6">
        <f>'Raw Data'!I607</f>
        <v>3.74</v>
      </c>
      <c r="L607" s="5">
        <f>'Raw Data'!J607</f>
        <v>24</v>
      </c>
      <c r="M607" s="5">
        <f>IF(COUNTIFS($A$2:A607,A607,$D$2:D607,D607)=1,L607,0)</f>
        <v>0</v>
      </c>
      <c r="N607" s="4">
        <f t="shared" si="48"/>
        <v>255.91499999999999</v>
      </c>
      <c r="O607" t="str">
        <f t="shared" si="49"/>
        <v>OK</v>
      </c>
    </row>
    <row r="608" spans="1:15">
      <c r="A608" t="str">
        <f>'Raw Data'!A608</f>
        <v>Atlanta RM-09</v>
      </c>
      <c r="B608" t="str">
        <f>'Raw Data'!B608</f>
        <v>South</v>
      </c>
      <c r="C608" t="str">
        <f>'Raw Data'!C608</f>
        <v>Electronics</v>
      </c>
      <c r="D608" s="3">
        <f>'Raw Data'!D608</f>
        <v>45809</v>
      </c>
      <c r="E608" t="str">
        <f t="shared" si="45"/>
        <v>Jun</v>
      </c>
      <c r="F608" s="5">
        <f>'Raw Data'!E608</f>
        <v>123</v>
      </c>
      <c r="G608" s="4">
        <f>'Raw Data'!F608</f>
        <v>18288.810000000001</v>
      </c>
      <c r="H608" s="4">
        <f>'Raw Data'!G608</f>
        <v>13977.78</v>
      </c>
      <c r="I608" s="4">
        <f t="shared" si="46"/>
        <v>4311.0300000000007</v>
      </c>
      <c r="J608" s="8">
        <f t="shared" si="47"/>
        <v>0.23571954654239397</v>
      </c>
      <c r="K608" s="6">
        <f>'Raw Data'!I608</f>
        <v>3.63</v>
      </c>
      <c r="L608" s="5">
        <f>'Raw Data'!J608</f>
        <v>25</v>
      </c>
      <c r="M608" s="5">
        <f>IF(COUNTIFS($A$2:A608,A608,$D$2:D608,D608)=1,L608,0)</f>
        <v>25</v>
      </c>
      <c r="N608" s="4">
        <f t="shared" si="48"/>
        <v>731.55240000000003</v>
      </c>
      <c r="O608" t="str">
        <f t="shared" si="49"/>
        <v>OK</v>
      </c>
    </row>
    <row r="609" spans="1:15">
      <c r="A609" t="str">
        <f>'Raw Data'!A609</f>
        <v>Atlanta RM-09</v>
      </c>
      <c r="B609" t="str">
        <f>'Raw Data'!B609</f>
        <v>South</v>
      </c>
      <c r="C609" t="str">
        <f>'Raw Data'!C609</f>
        <v>Home Goods</v>
      </c>
      <c r="D609" s="3">
        <f>'Raw Data'!D609</f>
        <v>45809</v>
      </c>
      <c r="E609" t="str">
        <f t="shared" si="45"/>
        <v>Jun</v>
      </c>
      <c r="F609" s="5">
        <f>'Raw Data'!E609</f>
        <v>106</v>
      </c>
      <c r="G609" s="4">
        <f>'Raw Data'!F609</f>
        <v>7812.93</v>
      </c>
      <c r="H609" s="4">
        <f>'Raw Data'!G609</f>
        <v>5312.64</v>
      </c>
      <c r="I609" s="4">
        <f t="shared" si="46"/>
        <v>2500.29</v>
      </c>
      <c r="J609" s="8">
        <f t="shared" si="47"/>
        <v>0.3200195061263828</v>
      </c>
      <c r="K609" s="6">
        <f>'Raw Data'!I609</f>
        <v>3.84</v>
      </c>
      <c r="L609" s="5">
        <f>'Raw Data'!J609</f>
        <v>25</v>
      </c>
      <c r="M609" s="5">
        <f>IF(COUNTIFS($A$2:A609,A609,$D$2:D609,D609)=1,L609,0)</f>
        <v>0</v>
      </c>
      <c r="N609" s="4">
        <f t="shared" si="48"/>
        <v>312.5172</v>
      </c>
      <c r="O609" t="str">
        <f t="shared" si="49"/>
        <v>OK</v>
      </c>
    </row>
    <row r="610" spans="1:15">
      <c r="A610" t="str">
        <f>'Raw Data'!A610</f>
        <v>Atlanta RM-09</v>
      </c>
      <c r="B610" t="str">
        <f>'Raw Data'!B610</f>
        <v>South</v>
      </c>
      <c r="C610" t="str">
        <f>'Raw Data'!C610</f>
        <v>Apparel</v>
      </c>
      <c r="D610" s="3">
        <f>'Raw Data'!D610</f>
        <v>45809</v>
      </c>
      <c r="E610" t="str">
        <f t="shared" si="45"/>
        <v>Jun</v>
      </c>
      <c r="F610" s="5">
        <f>'Raw Data'!E610</f>
        <v>120</v>
      </c>
      <c r="G610" s="4">
        <f>'Raw Data'!F610</f>
        <v>5589.59</v>
      </c>
      <c r="H610" s="4">
        <f>'Raw Data'!G610</f>
        <v>3490.78</v>
      </c>
      <c r="I610" s="4">
        <f t="shared" si="46"/>
        <v>2098.81</v>
      </c>
      <c r="J610" s="8">
        <f t="shared" si="47"/>
        <v>0.37548550072545567</v>
      </c>
      <c r="K610" s="6">
        <f>'Raw Data'!I610</f>
        <v>3.56</v>
      </c>
      <c r="L610" s="5">
        <f>'Raw Data'!J610</f>
        <v>25</v>
      </c>
      <c r="M610" s="5">
        <f>IF(COUNTIFS($A$2:A610,A610,$D$2:D610,D610)=1,L610,0)</f>
        <v>0</v>
      </c>
      <c r="N610" s="4">
        <f t="shared" si="48"/>
        <v>223.58360000000002</v>
      </c>
      <c r="O610" t="str">
        <f t="shared" si="49"/>
        <v>OK</v>
      </c>
    </row>
    <row r="611" spans="1:15">
      <c r="A611" t="str">
        <f>'Raw Data'!A611</f>
        <v>Atlanta RM-09</v>
      </c>
      <c r="B611" t="str">
        <f>'Raw Data'!B611</f>
        <v>South</v>
      </c>
      <c r="C611" t="str">
        <f>'Raw Data'!C611</f>
        <v>Beauty</v>
      </c>
      <c r="D611" s="3">
        <f>'Raw Data'!D611</f>
        <v>45809</v>
      </c>
      <c r="E611" t="str">
        <f t="shared" si="45"/>
        <v>Jun</v>
      </c>
      <c r="F611" s="5">
        <f>'Raw Data'!E611</f>
        <v>100</v>
      </c>
      <c r="G611" s="4">
        <f>'Raw Data'!F611</f>
        <v>3446.07</v>
      </c>
      <c r="H611" s="4">
        <f>'Raw Data'!G611</f>
        <v>1711.88</v>
      </c>
      <c r="I611" s="4">
        <f t="shared" si="46"/>
        <v>1734.19</v>
      </c>
      <c r="J611" s="8">
        <f t="shared" si="47"/>
        <v>0.50323702072215593</v>
      </c>
      <c r="K611" s="6">
        <f>'Raw Data'!I611</f>
        <v>3.63</v>
      </c>
      <c r="L611" s="5">
        <f>'Raw Data'!J611</f>
        <v>25</v>
      </c>
      <c r="M611" s="5">
        <f>IF(COUNTIFS($A$2:A611,A611,$D$2:D611,D611)=1,L611,0)</f>
        <v>0</v>
      </c>
      <c r="N611" s="4">
        <f t="shared" si="48"/>
        <v>137.84280000000001</v>
      </c>
      <c r="O611" t="str">
        <f t="shared" si="49"/>
        <v>OK</v>
      </c>
    </row>
    <row r="612" spans="1:15">
      <c r="A612" t="str">
        <f>'Raw Data'!A612</f>
        <v>Atlanta RM-09</v>
      </c>
      <c r="B612" t="str">
        <f>'Raw Data'!B612</f>
        <v>South</v>
      </c>
      <c r="C612" t="str">
        <f>'Raw Data'!C612</f>
        <v>Grocery</v>
      </c>
      <c r="D612" s="3">
        <f>'Raw Data'!D612</f>
        <v>45809</v>
      </c>
      <c r="E612" t="str">
        <f t="shared" si="45"/>
        <v>Jun</v>
      </c>
      <c r="F612" s="5">
        <f>'Raw Data'!E612</f>
        <v>153</v>
      </c>
      <c r="G612" s="4">
        <f>'Raw Data'!F612</f>
        <v>2684.3</v>
      </c>
      <c r="H612" s="4">
        <f>'Raw Data'!G612</f>
        <v>2463.91</v>
      </c>
      <c r="I612" s="4">
        <f t="shared" si="46"/>
        <v>220.39000000000033</v>
      </c>
      <c r="J612" s="8">
        <f t="shared" si="47"/>
        <v>8.2103341653317549E-2</v>
      </c>
      <c r="K612" s="6">
        <f>'Raw Data'!I612</f>
        <v>3.57</v>
      </c>
      <c r="L612" s="5">
        <f>'Raw Data'!J612</f>
        <v>25</v>
      </c>
      <c r="M612" s="5">
        <f>IF(COUNTIFS($A$2:A612,A612,$D$2:D612,D612)=1,L612,0)</f>
        <v>0</v>
      </c>
      <c r="N612" s="4">
        <f t="shared" si="48"/>
        <v>107.37200000000001</v>
      </c>
      <c r="O612" t="str">
        <f t="shared" si="49"/>
        <v>OK</v>
      </c>
    </row>
    <row r="613" spans="1:15">
      <c r="A613" t="str">
        <f>'Raw Data'!A613</f>
        <v>Atlanta RM-09</v>
      </c>
      <c r="B613" t="str">
        <f>'Raw Data'!B613</f>
        <v>South</v>
      </c>
      <c r="C613" t="str">
        <f>'Raw Data'!C613</f>
        <v>Sports</v>
      </c>
      <c r="D613" s="3">
        <f>'Raw Data'!D613</f>
        <v>45809</v>
      </c>
      <c r="E613" t="str">
        <f t="shared" si="45"/>
        <v>Jun</v>
      </c>
      <c r="F613" s="5">
        <f>'Raw Data'!E613</f>
        <v>109</v>
      </c>
      <c r="G613" s="4">
        <f>'Raw Data'!F613</f>
        <v>6921.14</v>
      </c>
      <c r="H613" s="4">
        <f>'Raw Data'!G613</f>
        <v>4558.4399999999996</v>
      </c>
      <c r="I613" s="4">
        <f t="shared" si="46"/>
        <v>2362.7000000000007</v>
      </c>
      <c r="J613" s="8">
        <f t="shared" si="47"/>
        <v>0.34137439785931228</v>
      </c>
      <c r="K613" s="6">
        <f>'Raw Data'!I613</f>
        <v>3.61</v>
      </c>
      <c r="L613" s="5">
        <f>'Raw Data'!J613</f>
        <v>25</v>
      </c>
      <c r="M613" s="5">
        <f>IF(COUNTIFS($A$2:A613,A613,$D$2:D613,D613)=1,L613,0)</f>
        <v>0</v>
      </c>
      <c r="N613" s="4">
        <f t="shared" si="48"/>
        <v>276.84559999999999</v>
      </c>
      <c r="O613" t="str">
        <f t="shared" si="49"/>
        <v>OK</v>
      </c>
    </row>
    <row r="614" spans="1:15">
      <c r="A614" t="str">
        <f>'Raw Data'!A614</f>
        <v>Atlanta RM-09</v>
      </c>
      <c r="B614" t="str">
        <f>'Raw Data'!B614</f>
        <v>South</v>
      </c>
      <c r="C614" t="str">
        <f>'Raw Data'!C614</f>
        <v>Electronics</v>
      </c>
      <c r="D614" s="3">
        <f>'Raw Data'!D614</f>
        <v>45839</v>
      </c>
      <c r="E614" t="str">
        <f t="shared" si="45"/>
        <v>Jul</v>
      </c>
      <c r="F614" s="5">
        <f>'Raw Data'!E614</f>
        <v>125</v>
      </c>
      <c r="G614" s="4">
        <f>'Raw Data'!F614</f>
        <v>17802.939999999999</v>
      </c>
      <c r="H614" s="4">
        <f>'Raw Data'!G614</f>
        <v>14008.01</v>
      </c>
      <c r="I614" s="4">
        <f t="shared" si="46"/>
        <v>3794.9299999999985</v>
      </c>
      <c r="J614" s="8">
        <f t="shared" si="47"/>
        <v>0.21316310676775851</v>
      </c>
      <c r="K614" s="6">
        <f>'Raw Data'!I614</f>
        <v>3.69</v>
      </c>
      <c r="L614" s="5">
        <f>'Raw Data'!J614</f>
        <v>24</v>
      </c>
      <c r="M614" s="5">
        <f>IF(COUNTIFS($A$2:A614,A614,$D$2:D614,D614)=1,L614,0)</f>
        <v>24</v>
      </c>
      <c r="N614" s="4">
        <f t="shared" si="48"/>
        <v>741.78916666666657</v>
      </c>
      <c r="O614" t="str">
        <f t="shared" si="49"/>
        <v>OK</v>
      </c>
    </row>
    <row r="615" spans="1:15">
      <c r="A615" t="str">
        <f>'Raw Data'!A615</f>
        <v>Atlanta RM-09</v>
      </c>
      <c r="B615" t="str">
        <f>'Raw Data'!B615</f>
        <v>South</v>
      </c>
      <c r="C615" t="str">
        <f>'Raw Data'!C615</f>
        <v>Home Goods</v>
      </c>
      <c r="D615" s="3">
        <f>'Raw Data'!D615</f>
        <v>45839</v>
      </c>
      <c r="E615" t="str">
        <f t="shared" si="45"/>
        <v>Jul</v>
      </c>
      <c r="F615" s="5">
        <f>'Raw Data'!E615</f>
        <v>96</v>
      </c>
      <c r="G615" s="4">
        <f>'Raw Data'!F615</f>
        <v>7622.12</v>
      </c>
      <c r="H615" s="4">
        <f>'Raw Data'!G615</f>
        <v>5089.34</v>
      </c>
      <c r="I615" s="4">
        <f t="shared" si="46"/>
        <v>2532.7799999999997</v>
      </c>
      <c r="J615" s="8">
        <f t="shared" si="47"/>
        <v>0.33229337769544426</v>
      </c>
      <c r="K615" s="6">
        <f>'Raw Data'!I615</f>
        <v>3.53</v>
      </c>
      <c r="L615" s="5">
        <f>'Raw Data'!J615</f>
        <v>24</v>
      </c>
      <c r="M615" s="5">
        <f>IF(COUNTIFS($A$2:A615,A615,$D$2:D615,D615)=1,L615,0)</f>
        <v>0</v>
      </c>
      <c r="N615" s="4">
        <f t="shared" si="48"/>
        <v>317.58833333333331</v>
      </c>
      <c r="O615" t="str">
        <f t="shared" si="49"/>
        <v>OK</v>
      </c>
    </row>
    <row r="616" spans="1:15">
      <c r="A616" t="str">
        <f>'Raw Data'!A616</f>
        <v>Atlanta RM-09</v>
      </c>
      <c r="B616" t="str">
        <f>'Raw Data'!B616</f>
        <v>South</v>
      </c>
      <c r="C616" t="str">
        <f>'Raw Data'!C616</f>
        <v>Apparel</v>
      </c>
      <c r="D616" s="3">
        <f>'Raw Data'!D616</f>
        <v>45839</v>
      </c>
      <c r="E616" t="str">
        <f t="shared" si="45"/>
        <v>Jul</v>
      </c>
      <c r="F616" s="5">
        <f>'Raw Data'!E616</f>
        <v>156</v>
      </c>
      <c r="G616" s="4">
        <f>'Raw Data'!F616</f>
        <v>7557.52</v>
      </c>
      <c r="H616" s="4">
        <f>'Raw Data'!G616</f>
        <v>4547.26</v>
      </c>
      <c r="I616" s="4">
        <f t="shared" si="46"/>
        <v>3010.26</v>
      </c>
      <c r="J616" s="8">
        <f t="shared" si="47"/>
        <v>0.39831320327303138</v>
      </c>
      <c r="K616" s="6">
        <f>'Raw Data'!I616</f>
        <v>3.69</v>
      </c>
      <c r="L616" s="5">
        <f>'Raw Data'!J616</f>
        <v>24</v>
      </c>
      <c r="M616" s="5">
        <f>IF(COUNTIFS($A$2:A616,A616,$D$2:D616,D616)=1,L616,0)</f>
        <v>0</v>
      </c>
      <c r="N616" s="4">
        <f t="shared" si="48"/>
        <v>314.8966666666667</v>
      </c>
      <c r="O616" t="str">
        <f t="shared" si="49"/>
        <v>OK</v>
      </c>
    </row>
    <row r="617" spans="1:15">
      <c r="A617" t="str">
        <f>'Raw Data'!A617</f>
        <v>Atlanta RM-09</v>
      </c>
      <c r="B617" t="str">
        <f>'Raw Data'!B617</f>
        <v>South</v>
      </c>
      <c r="C617" t="str">
        <f>'Raw Data'!C617</f>
        <v>Beauty</v>
      </c>
      <c r="D617" s="3">
        <f>'Raw Data'!D617</f>
        <v>45839</v>
      </c>
      <c r="E617" t="str">
        <f t="shared" si="45"/>
        <v>Jul</v>
      </c>
      <c r="F617" s="5">
        <f>'Raw Data'!E617</f>
        <v>98</v>
      </c>
      <c r="G617" s="4">
        <f>'Raw Data'!F617</f>
        <v>3609.67</v>
      </c>
      <c r="H617" s="4">
        <f>'Raw Data'!G617</f>
        <v>1793.44</v>
      </c>
      <c r="I617" s="4">
        <f t="shared" si="46"/>
        <v>1816.23</v>
      </c>
      <c r="J617" s="8">
        <f t="shared" si="47"/>
        <v>0.50315679826687754</v>
      </c>
      <c r="K617" s="6">
        <f>'Raw Data'!I617</f>
        <v>3.86</v>
      </c>
      <c r="L617" s="5">
        <f>'Raw Data'!J617</f>
        <v>24</v>
      </c>
      <c r="M617" s="5">
        <f>IF(COUNTIFS($A$2:A617,A617,$D$2:D617,D617)=1,L617,0)</f>
        <v>0</v>
      </c>
      <c r="N617" s="4">
        <f t="shared" si="48"/>
        <v>150.40291666666667</v>
      </c>
      <c r="O617" t="str">
        <f t="shared" si="49"/>
        <v>OK</v>
      </c>
    </row>
    <row r="618" spans="1:15">
      <c r="A618" t="str">
        <f>'Raw Data'!A618</f>
        <v>Atlanta RM-09</v>
      </c>
      <c r="B618" t="str">
        <f>'Raw Data'!B618</f>
        <v>South</v>
      </c>
      <c r="C618" t="str">
        <f>'Raw Data'!C618</f>
        <v>Grocery</v>
      </c>
      <c r="D618" s="3">
        <f>'Raw Data'!D618</f>
        <v>45839</v>
      </c>
      <c r="E618" t="str">
        <f t="shared" si="45"/>
        <v>Jul</v>
      </c>
      <c r="F618" s="5">
        <f>'Raw Data'!E618</f>
        <v>219</v>
      </c>
      <c r="G618" s="4">
        <f>'Raw Data'!F618</f>
        <v>3778.32</v>
      </c>
      <c r="H618" s="4">
        <f>'Raw Data'!G618</f>
        <v>3535.87</v>
      </c>
      <c r="I618" s="4">
        <f t="shared" si="46"/>
        <v>242.45000000000027</v>
      </c>
      <c r="J618" s="8">
        <f t="shared" si="47"/>
        <v>6.41687310762456E-2</v>
      </c>
      <c r="K618" s="6">
        <f>'Raw Data'!I618</f>
        <v>3.68</v>
      </c>
      <c r="L618" s="5">
        <f>'Raw Data'!J618</f>
        <v>24</v>
      </c>
      <c r="M618" s="5">
        <f>IF(COUNTIFS($A$2:A618,A618,$D$2:D618,D618)=1,L618,0)</f>
        <v>0</v>
      </c>
      <c r="N618" s="4">
        <f t="shared" si="48"/>
        <v>157.43</v>
      </c>
      <c r="O618" t="str">
        <f t="shared" si="49"/>
        <v>OK</v>
      </c>
    </row>
    <row r="619" spans="1:15">
      <c r="A619" t="str">
        <f>'Raw Data'!A619</f>
        <v>Atlanta RM-09</v>
      </c>
      <c r="B619" t="str">
        <f>'Raw Data'!B619</f>
        <v>South</v>
      </c>
      <c r="C619" t="str">
        <f>'Raw Data'!C619</f>
        <v>Sports</v>
      </c>
      <c r="D619" s="3">
        <f>'Raw Data'!D619</f>
        <v>45839</v>
      </c>
      <c r="E619" t="str">
        <f t="shared" si="45"/>
        <v>Jul</v>
      </c>
      <c r="F619" s="5">
        <f>'Raw Data'!E619</f>
        <v>105</v>
      </c>
      <c r="G619" s="4">
        <f>'Raw Data'!F619</f>
        <v>6452.44</v>
      </c>
      <c r="H619" s="4">
        <f>'Raw Data'!G619</f>
        <v>4279.26</v>
      </c>
      <c r="I619" s="4">
        <f t="shared" si="46"/>
        <v>2173.1799999999994</v>
      </c>
      <c r="J619" s="8">
        <f t="shared" si="47"/>
        <v>0.33679972227560417</v>
      </c>
      <c r="K619" s="6">
        <f>'Raw Data'!I619</f>
        <v>3.78</v>
      </c>
      <c r="L619" s="5">
        <f>'Raw Data'!J619</f>
        <v>24</v>
      </c>
      <c r="M619" s="5">
        <f>IF(COUNTIFS($A$2:A619,A619,$D$2:D619,D619)=1,L619,0)</f>
        <v>0</v>
      </c>
      <c r="N619" s="4">
        <f t="shared" si="48"/>
        <v>268.85166666666663</v>
      </c>
      <c r="O619" t="str">
        <f t="shared" si="49"/>
        <v>OK</v>
      </c>
    </row>
    <row r="620" spans="1:15">
      <c r="A620" t="str">
        <f>'Raw Data'!A620</f>
        <v>Atlanta RM-09</v>
      </c>
      <c r="B620" t="str">
        <f>'Raw Data'!B620</f>
        <v>South</v>
      </c>
      <c r="C620" t="str">
        <f>'Raw Data'!C620</f>
        <v>Electronics</v>
      </c>
      <c r="D620" s="3">
        <f>'Raw Data'!D620</f>
        <v>45870</v>
      </c>
      <c r="E620" t="str">
        <f t="shared" si="45"/>
        <v>Aug</v>
      </c>
      <c r="F620" s="5">
        <f>'Raw Data'!E620</f>
        <v>115</v>
      </c>
      <c r="G620" s="4">
        <f>'Raw Data'!F620</f>
        <v>16286.57</v>
      </c>
      <c r="H620" s="4">
        <f>'Raw Data'!G620</f>
        <v>12542.82</v>
      </c>
      <c r="I620" s="4">
        <f t="shared" si="46"/>
        <v>3743.75</v>
      </c>
      <c r="J620" s="8">
        <f t="shared" si="47"/>
        <v>0.22986730784935072</v>
      </c>
      <c r="K620" s="6">
        <f>'Raw Data'!I620</f>
        <v>3.53</v>
      </c>
      <c r="L620" s="5">
        <f>'Raw Data'!J620</f>
        <v>24</v>
      </c>
      <c r="M620" s="5">
        <f>IF(COUNTIFS($A$2:A620,A620,$D$2:D620,D620)=1,L620,0)</f>
        <v>24</v>
      </c>
      <c r="N620" s="4">
        <f t="shared" si="48"/>
        <v>678.60708333333332</v>
      </c>
      <c r="O620" t="str">
        <f t="shared" si="49"/>
        <v>OK</v>
      </c>
    </row>
    <row r="621" spans="1:15">
      <c r="A621" t="str">
        <f>'Raw Data'!A621</f>
        <v>Atlanta RM-09</v>
      </c>
      <c r="B621" t="str">
        <f>'Raw Data'!B621</f>
        <v>South</v>
      </c>
      <c r="C621" t="str">
        <f>'Raw Data'!C621</f>
        <v>Home Goods</v>
      </c>
      <c r="D621" s="3">
        <f>'Raw Data'!D621</f>
        <v>45870</v>
      </c>
      <c r="E621" t="str">
        <f t="shared" si="45"/>
        <v>Aug</v>
      </c>
      <c r="F621" s="5">
        <f>'Raw Data'!E621</f>
        <v>101</v>
      </c>
      <c r="G621" s="4">
        <f>'Raw Data'!F621</f>
        <v>8063.64</v>
      </c>
      <c r="H621" s="4">
        <f>'Raw Data'!G621</f>
        <v>5501.59</v>
      </c>
      <c r="I621" s="4">
        <f t="shared" si="46"/>
        <v>2562.0500000000002</v>
      </c>
      <c r="J621" s="8">
        <f t="shared" si="47"/>
        <v>0.31772871804792874</v>
      </c>
      <c r="K621" s="6">
        <f>'Raw Data'!I621</f>
        <v>3.73</v>
      </c>
      <c r="L621" s="5">
        <f>'Raw Data'!J621</f>
        <v>24</v>
      </c>
      <c r="M621" s="5">
        <f>IF(COUNTIFS($A$2:A621,A621,$D$2:D621,D621)=1,L621,0)</f>
        <v>0</v>
      </c>
      <c r="N621" s="4">
        <f t="shared" si="48"/>
        <v>335.98500000000001</v>
      </c>
      <c r="O621" t="str">
        <f t="shared" si="49"/>
        <v>OK</v>
      </c>
    </row>
    <row r="622" spans="1:15">
      <c r="A622" t="str">
        <f>'Raw Data'!A622</f>
        <v>Atlanta RM-09</v>
      </c>
      <c r="B622" t="str">
        <f>'Raw Data'!B622</f>
        <v>South</v>
      </c>
      <c r="C622" t="str">
        <f>'Raw Data'!C622</f>
        <v>Apparel</v>
      </c>
      <c r="D622" s="3">
        <f>'Raw Data'!D622</f>
        <v>45870</v>
      </c>
      <c r="E622" t="str">
        <f t="shared" si="45"/>
        <v>Aug</v>
      </c>
      <c r="F622" s="5">
        <f>'Raw Data'!E622</f>
        <v>138</v>
      </c>
      <c r="G622" s="4">
        <f>'Raw Data'!F622</f>
        <v>6877.39</v>
      </c>
      <c r="H622" s="4">
        <f>'Raw Data'!G622</f>
        <v>4170.5600000000004</v>
      </c>
      <c r="I622" s="4">
        <f t="shared" si="46"/>
        <v>2706.83</v>
      </c>
      <c r="J622" s="8">
        <f t="shared" si="47"/>
        <v>0.39358390319583442</v>
      </c>
      <c r="K622" s="6">
        <f>'Raw Data'!I622</f>
        <v>3.7</v>
      </c>
      <c r="L622" s="5">
        <f>'Raw Data'!J622</f>
        <v>24</v>
      </c>
      <c r="M622" s="5">
        <f>IF(COUNTIFS($A$2:A622,A622,$D$2:D622,D622)=1,L622,0)</f>
        <v>0</v>
      </c>
      <c r="N622" s="4">
        <f t="shared" si="48"/>
        <v>286.5579166666667</v>
      </c>
      <c r="O622" t="str">
        <f t="shared" si="49"/>
        <v>OK</v>
      </c>
    </row>
    <row r="623" spans="1:15">
      <c r="A623" t="str">
        <f>'Raw Data'!A623</f>
        <v>Atlanta RM-09</v>
      </c>
      <c r="B623" t="str">
        <f>'Raw Data'!B623</f>
        <v>South</v>
      </c>
      <c r="C623" t="str">
        <f>'Raw Data'!C623</f>
        <v>Beauty</v>
      </c>
      <c r="D623" s="3">
        <f>'Raw Data'!D623</f>
        <v>45870</v>
      </c>
      <c r="E623" t="str">
        <f t="shared" si="45"/>
        <v>Aug</v>
      </c>
      <c r="F623" s="5">
        <f>'Raw Data'!E623</f>
        <v>106</v>
      </c>
      <c r="G623" s="4">
        <f>'Raw Data'!F623</f>
        <v>3916.16</v>
      </c>
      <c r="H623" s="4">
        <f>'Raw Data'!G623</f>
        <v>1939.66</v>
      </c>
      <c r="I623" s="4">
        <f t="shared" si="46"/>
        <v>1976.4999999999998</v>
      </c>
      <c r="J623" s="8">
        <f t="shared" si="47"/>
        <v>0.5047035871874489</v>
      </c>
      <c r="K623" s="6">
        <f>'Raw Data'!I623</f>
        <v>3.62</v>
      </c>
      <c r="L623" s="5">
        <f>'Raw Data'!J623</f>
        <v>24</v>
      </c>
      <c r="M623" s="5">
        <f>IF(COUNTIFS($A$2:A623,A623,$D$2:D623,D623)=1,L623,0)</f>
        <v>0</v>
      </c>
      <c r="N623" s="4">
        <f t="shared" si="48"/>
        <v>163.17333333333332</v>
      </c>
      <c r="O623" t="str">
        <f t="shared" si="49"/>
        <v>OK</v>
      </c>
    </row>
    <row r="624" spans="1:15">
      <c r="A624" t="str">
        <f>'Raw Data'!A624</f>
        <v>Atlanta RM-09</v>
      </c>
      <c r="B624" t="str">
        <f>'Raw Data'!B624</f>
        <v>South</v>
      </c>
      <c r="C624" t="str">
        <f>'Raw Data'!C624</f>
        <v>Grocery</v>
      </c>
      <c r="D624" s="3">
        <f>'Raw Data'!D624</f>
        <v>45870</v>
      </c>
      <c r="E624" t="str">
        <f t="shared" si="45"/>
        <v>Aug</v>
      </c>
      <c r="F624" s="5">
        <f>'Raw Data'!E624</f>
        <v>166</v>
      </c>
      <c r="G624" s="4">
        <f>'Raw Data'!F624</f>
        <v>3146.75</v>
      </c>
      <c r="H624" s="4">
        <f>'Raw Data'!G624</f>
        <v>2907.64</v>
      </c>
      <c r="I624" s="4">
        <f t="shared" si="46"/>
        <v>239.11000000000013</v>
      </c>
      <c r="J624" s="8">
        <f t="shared" si="47"/>
        <v>7.5986335107650793E-2</v>
      </c>
      <c r="K624" s="6">
        <f>'Raw Data'!I624</f>
        <v>3.62</v>
      </c>
      <c r="L624" s="5">
        <f>'Raw Data'!J624</f>
        <v>24</v>
      </c>
      <c r="M624" s="5">
        <f>IF(COUNTIFS($A$2:A624,A624,$D$2:D624,D624)=1,L624,0)</f>
        <v>0</v>
      </c>
      <c r="N624" s="4">
        <f t="shared" si="48"/>
        <v>131.11458333333334</v>
      </c>
      <c r="O624" t="str">
        <f t="shared" si="49"/>
        <v>OK</v>
      </c>
    </row>
    <row r="625" spans="1:15">
      <c r="A625" t="str">
        <f>'Raw Data'!A625</f>
        <v>Atlanta RM-09</v>
      </c>
      <c r="B625" t="str">
        <f>'Raw Data'!B625</f>
        <v>South</v>
      </c>
      <c r="C625" t="str">
        <f>'Raw Data'!C625</f>
        <v>Sports</v>
      </c>
      <c r="D625" s="3">
        <f>'Raw Data'!D625</f>
        <v>45870</v>
      </c>
      <c r="E625" t="str">
        <f t="shared" si="45"/>
        <v>Aug</v>
      </c>
      <c r="F625" s="5">
        <f>'Raw Data'!E625</f>
        <v>102</v>
      </c>
      <c r="G625" s="4">
        <f>'Raw Data'!F625</f>
        <v>6506.14</v>
      </c>
      <c r="H625" s="4">
        <f>'Raw Data'!G625</f>
        <v>4393.51</v>
      </c>
      <c r="I625" s="4">
        <f t="shared" si="46"/>
        <v>2112.63</v>
      </c>
      <c r="J625" s="8">
        <f t="shared" si="47"/>
        <v>0.3247132708487675</v>
      </c>
      <c r="K625" s="6">
        <f>'Raw Data'!I625</f>
        <v>3.75</v>
      </c>
      <c r="L625" s="5">
        <f>'Raw Data'!J625</f>
        <v>24</v>
      </c>
      <c r="M625" s="5">
        <f>IF(COUNTIFS($A$2:A625,A625,$D$2:D625,D625)=1,L625,0)</f>
        <v>0</v>
      </c>
      <c r="N625" s="4">
        <f t="shared" si="48"/>
        <v>271.0891666666667</v>
      </c>
      <c r="O625" t="str">
        <f t="shared" si="49"/>
        <v>OK</v>
      </c>
    </row>
    <row r="626" spans="1:15">
      <c r="A626" t="str">
        <f>'Raw Data'!A626</f>
        <v>Atlanta RM-09</v>
      </c>
      <c r="B626" t="str">
        <f>'Raw Data'!B626</f>
        <v>South</v>
      </c>
      <c r="C626" t="str">
        <f>'Raw Data'!C626</f>
        <v>Electronics</v>
      </c>
      <c r="D626" s="3">
        <f>'Raw Data'!D626</f>
        <v>45901</v>
      </c>
      <c r="E626" t="str">
        <f t="shared" si="45"/>
        <v>Sep</v>
      </c>
      <c r="F626" s="5">
        <f>'Raw Data'!E626</f>
        <v>103</v>
      </c>
      <c r="G626" s="4">
        <f>'Raw Data'!F626</f>
        <v>16032.42</v>
      </c>
      <c r="H626" s="4">
        <f>'Raw Data'!G626</f>
        <v>12593.24</v>
      </c>
      <c r="I626" s="4">
        <f t="shared" si="46"/>
        <v>3439.1800000000003</v>
      </c>
      <c r="J626" s="8">
        <f t="shared" si="47"/>
        <v>0.21451409082346895</v>
      </c>
      <c r="K626" s="6">
        <f>'Raw Data'!I626</f>
        <v>3.6</v>
      </c>
      <c r="L626" s="5">
        <f>'Raw Data'!J626</f>
        <v>23</v>
      </c>
      <c r="M626" s="5">
        <f>IF(COUNTIFS($A$2:A626,A626,$D$2:D626,D626)=1,L626,0)</f>
        <v>23</v>
      </c>
      <c r="N626" s="4">
        <f t="shared" si="48"/>
        <v>697.06173913043483</v>
      </c>
      <c r="O626" t="str">
        <f t="shared" si="49"/>
        <v>OK</v>
      </c>
    </row>
    <row r="627" spans="1:15">
      <c r="A627" t="str">
        <f>'Raw Data'!A627</f>
        <v>Atlanta RM-09</v>
      </c>
      <c r="B627" t="str">
        <f>'Raw Data'!B627</f>
        <v>South</v>
      </c>
      <c r="C627" t="str">
        <f>'Raw Data'!C627</f>
        <v>Home Goods</v>
      </c>
      <c r="D627" s="3">
        <f>'Raw Data'!D627</f>
        <v>45901</v>
      </c>
      <c r="E627" t="str">
        <f t="shared" si="45"/>
        <v>Sep</v>
      </c>
      <c r="F627" s="5">
        <f>'Raw Data'!E627</f>
        <v>104</v>
      </c>
      <c r="G627" s="4">
        <f>'Raw Data'!F627</f>
        <v>8452.92</v>
      </c>
      <c r="H627" s="4">
        <f>'Raw Data'!G627</f>
        <v>5681.61</v>
      </c>
      <c r="I627" s="4">
        <f t="shared" si="46"/>
        <v>2771.3100000000004</v>
      </c>
      <c r="J627" s="8">
        <f t="shared" si="47"/>
        <v>0.32785238710410136</v>
      </c>
      <c r="K627" s="6">
        <f>'Raw Data'!I627</f>
        <v>3.73</v>
      </c>
      <c r="L627" s="5">
        <f>'Raw Data'!J627</f>
        <v>23</v>
      </c>
      <c r="M627" s="5">
        <f>IF(COUNTIFS($A$2:A627,A627,$D$2:D627,D627)=1,L627,0)</f>
        <v>0</v>
      </c>
      <c r="N627" s="4">
        <f t="shared" si="48"/>
        <v>367.51826086956521</v>
      </c>
      <c r="O627" t="str">
        <f t="shared" si="49"/>
        <v>OK</v>
      </c>
    </row>
    <row r="628" spans="1:15">
      <c r="A628" t="str">
        <f>'Raw Data'!A628</f>
        <v>Atlanta RM-09</v>
      </c>
      <c r="B628" t="str">
        <f>'Raw Data'!B628</f>
        <v>South</v>
      </c>
      <c r="C628" t="str">
        <f>'Raw Data'!C628</f>
        <v>Apparel</v>
      </c>
      <c r="D628" s="3">
        <f>'Raw Data'!D628</f>
        <v>45901</v>
      </c>
      <c r="E628" t="str">
        <f t="shared" si="45"/>
        <v>Sep</v>
      </c>
      <c r="F628" s="5">
        <f>'Raw Data'!E628</f>
        <v>136</v>
      </c>
      <c r="G628" s="4">
        <f>'Raw Data'!F628</f>
        <v>6737.73</v>
      </c>
      <c r="H628" s="4">
        <f>'Raw Data'!G628</f>
        <v>4148.95</v>
      </c>
      <c r="I628" s="4">
        <f t="shared" si="46"/>
        <v>2588.7799999999997</v>
      </c>
      <c r="J628" s="8">
        <f t="shared" si="47"/>
        <v>0.38422139207121686</v>
      </c>
      <c r="K628" s="6">
        <f>'Raw Data'!I628</f>
        <v>3.51</v>
      </c>
      <c r="L628" s="5">
        <f>'Raw Data'!J628</f>
        <v>23</v>
      </c>
      <c r="M628" s="5">
        <f>IF(COUNTIFS($A$2:A628,A628,$D$2:D628,D628)=1,L628,0)</f>
        <v>0</v>
      </c>
      <c r="N628" s="4">
        <f t="shared" si="48"/>
        <v>292.94478260869562</v>
      </c>
      <c r="O628" t="str">
        <f t="shared" si="49"/>
        <v>OK</v>
      </c>
    </row>
    <row r="629" spans="1:15">
      <c r="A629" t="str">
        <f>'Raw Data'!A629</f>
        <v>Atlanta RM-09</v>
      </c>
      <c r="B629" t="str">
        <f>'Raw Data'!B629</f>
        <v>South</v>
      </c>
      <c r="C629" t="str">
        <f>'Raw Data'!C629</f>
        <v>Beauty</v>
      </c>
      <c r="D629" s="3">
        <f>'Raw Data'!D629</f>
        <v>45901</v>
      </c>
      <c r="E629" t="str">
        <f t="shared" si="45"/>
        <v>Sep</v>
      </c>
      <c r="F629" s="5">
        <f>'Raw Data'!E629</f>
        <v>106</v>
      </c>
      <c r="G629" s="4">
        <f>'Raw Data'!F629</f>
        <v>3660.34</v>
      </c>
      <c r="H629" s="4">
        <f>'Raw Data'!G629</f>
        <v>1804.94</v>
      </c>
      <c r="I629" s="4">
        <f t="shared" si="46"/>
        <v>1855.4</v>
      </c>
      <c r="J629" s="8">
        <f t="shared" si="47"/>
        <v>0.50689280230798228</v>
      </c>
      <c r="K629" s="6">
        <f>'Raw Data'!I629</f>
        <v>3.69</v>
      </c>
      <c r="L629" s="5">
        <f>'Raw Data'!J629</f>
        <v>23</v>
      </c>
      <c r="M629" s="5">
        <f>IF(COUNTIFS($A$2:A629,A629,$D$2:D629,D629)=1,L629,0)</f>
        <v>0</v>
      </c>
      <c r="N629" s="4">
        <f t="shared" si="48"/>
        <v>159.14521739130436</v>
      </c>
      <c r="O629" t="str">
        <f t="shared" si="49"/>
        <v>OK</v>
      </c>
    </row>
    <row r="630" spans="1:15">
      <c r="A630" t="str">
        <f>'Raw Data'!A630</f>
        <v>Atlanta RM-09</v>
      </c>
      <c r="B630" t="str">
        <f>'Raw Data'!B630</f>
        <v>South</v>
      </c>
      <c r="C630" t="str">
        <f>'Raw Data'!C630</f>
        <v>Grocery</v>
      </c>
      <c r="D630" s="3">
        <f>'Raw Data'!D630</f>
        <v>45901</v>
      </c>
      <c r="E630" t="str">
        <f t="shared" si="45"/>
        <v>Sep</v>
      </c>
      <c r="F630" s="5">
        <f>'Raw Data'!E630</f>
        <v>159</v>
      </c>
      <c r="G630" s="4">
        <f>'Raw Data'!F630</f>
        <v>3019.84</v>
      </c>
      <c r="H630" s="4">
        <f>'Raw Data'!G630</f>
        <v>2761.93</v>
      </c>
      <c r="I630" s="4">
        <f t="shared" si="46"/>
        <v>257.91000000000031</v>
      </c>
      <c r="J630" s="8">
        <f t="shared" si="47"/>
        <v>8.5405187029776508E-2</v>
      </c>
      <c r="K630" s="6">
        <f>'Raw Data'!I630</f>
        <v>3.61</v>
      </c>
      <c r="L630" s="5">
        <f>'Raw Data'!J630</f>
        <v>23</v>
      </c>
      <c r="M630" s="5">
        <f>IF(COUNTIFS($A$2:A630,A630,$D$2:D630,D630)=1,L630,0)</f>
        <v>0</v>
      </c>
      <c r="N630" s="4">
        <f t="shared" si="48"/>
        <v>131.29739130434783</v>
      </c>
      <c r="O630" t="str">
        <f t="shared" si="49"/>
        <v>OK</v>
      </c>
    </row>
    <row r="631" spans="1:15">
      <c r="A631" t="str">
        <f>'Raw Data'!A631</f>
        <v>Atlanta RM-09</v>
      </c>
      <c r="B631" t="str">
        <f>'Raw Data'!B631</f>
        <v>South</v>
      </c>
      <c r="C631" t="str">
        <f>'Raw Data'!C631</f>
        <v>Sports</v>
      </c>
      <c r="D631" s="3">
        <f>'Raw Data'!D631</f>
        <v>45901</v>
      </c>
      <c r="E631" t="str">
        <f t="shared" si="45"/>
        <v>Sep</v>
      </c>
      <c r="F631" s="5">
        <f>'Raw Data'!E631</f>
        <v>82</v>
      </c>
      <c r="G631" s="4">
        <f>'Raw Data'!F631</f>
        <v>5312.62</v>
      </c>
      <c r="H631" s="4">
        <f>'Raw Data'!G631</f>
        <v>3628.35</v>
      </c>
      <c r="I631" s="4">
        <f t="shared" si="46"/>
        <v>1684.27</v>
      </c>
      <c r="J631" s="8">
        <f t="shared" si="47"/>
        <v>0.31703189763242995</v>
      </c>
      <c r="K631" s="6">
        <f>'Raw Data'!I631</f>
        <v>3.77</v>
      </c>
      <c r="L631" s="5">
        <f>'Raw Data'!J631</f>
        <v>23</v>
      </c>
      <c r="M631" s="5">
        <f>IF(COUNTIFS($A$2:A631,A631,$D$2:D631,D631)=1,L631,0)</f>
        <v>0</v>
      </c>
      <c r="N631" s="4">
        <f t="shared" si="48"/>
        <v>230.98347826086956</v>
      </c>
      <c r="O631" t="str">
        <f t="shared" si="49"/>
        <v>OK</v>
      </c>
    </row>
    <row r="632" spans="1:15">
      <c r="A632" t="str">
        <f>'Raw Data'!A632</f>
        <v>Atlanta RM-09</v>
      </c>
      <c r="B632" t="str">
        <f>'Raw Data'!B632</f>
        <v>South</v>
      </c>
      <c r="C632" t="str">
        <f>'Raw Data'!C632</f>
        <v>Electronics</v>
      </c>
      <c r="D632" s="3">
        <f>'Raw Data'!D632</f>
        <v>45931</v>
      </c>
      <c r="E632" t="str">
        <f t="shared" si="45"/>
        <v>Oct</v>
      </c>
      <c r="F632" s="5">
        <f>'Raw Data'!E632</f>
        <v>113</v>
      </c>
      <c r="G632" s="4">
        <f>'Raw Data'!F632</f>
        <v>17253.32</v>
      </c>
      <c r="H632" s="4">
        <f>'Raw Data'!G632</f>
        <v>13681.89</v>
      </c>
      <c r="I632" s="4">
        <f t="shared" si="46"/>
        <v>3571.4300000000003</v>
      </c>
      <c r="J632" s="8">
        <f t="shared" si="47"/>
        <v>0.20699958037061855</v>
      </c>
      <c r="K632" s="6">
        <f>'Raw Data'!I632</f>
        <v>3.53</v>
      </c>
      <c r="L632" s="5">
        <f>'Raw Data'!J632</f>
        <v>23</v>
      </c>
      <c r="M632" s="5">
        <f>IF(COUNTIFS($A$2:A632,A632,$D$2:D632,D632)=1,L632,0)</f>
        <v>23</v>
      </c>
      <c r="N632" s="4">
        <f t="shared" si="48"/>
        <v>750.14434782608691</v>
      </c>
      <c r="O632" t="str">
        <f t="shared" si="49"/>
        <v>OK</v>
      </c>
    </row>
    <row r="633" spans="1:15">
      <c r="A633" t="str">
        <f>'Raw Data'!A633</f>
        <v>Atlanta RM-09</v>
      </c>
      <c r="B633" t="str">
        <f>'Raw Data'!B633</f>
        <v>South</v>
      </c>
      <c r="C633" t="str">
        <f>'Raw Data'!C633</f>
        <v>Home Goods</v>
      </c>
      <c r="D633" s="3">
        <f>'Raw Data'!D633</f>
        <v>45931</v>
      </c>
      <c r="E633" t="str">
        <f t="shared" si="45"/>
        <v>Oct</v>
      </c>
      <c r="F633" s="5">
        <f>'Raw Data'!E633</f>
        <v>100</v>
      </c>
      <c r="G633" s="4">
        <f>'Raw Data'!F633</f>
        <v>7901.91</v>
      </c>
      <c r="H633" s="4">
        <f>'Raw Data'!G633</f>
        <v>5509.15</v>
      </c>
      <c r="I633" s="4">
        <f t="shared" si="46"/>
        <v>2392.7600000000002</v>
      </c>
      <c r="J633" s="8">
        <f t="shared" si="47"/>
        <v>0.30280780216428688</v>
      </c>
      <c r="K633" s="6">
        <f>'Raw Data'!I633</f>
        <v>3.54</v>
      </c>
      <c r="L633" s="5">
        <f>'Raw Data'!J633</f>
        <v>23</v>
      </c>
      <c r="M633" s="5">
        <f>IF(COUNTIFS($A$2:A633,A633,$D$2:D633,D633)=1,L633,0)</f>
        <v>0</v>
      </c>
      <c r="N633" s="4">
        <f t="shared" si="48"/>
        <v>343.56130434782608</v>
      </c>
      <c r="O633" t="str">
        <f t="shared" si="49"/>
        <v>OK</v>
      </c>
    </row>
    <row r="634" spans="1:15">
      <c r="A634" t="str">
        <f>'Raw Data'!A634</f>
        <v>Atlanta RM-09</v>
      </c>
      <c r="B634" t="str">
        <f>'Raw Data'!B634</f>
        <v>South</v>
      </c>
      <c r="C634" t="str">
        <f>'Raw Data'!C634</f>
        <v>Apparel</v>
      </c>
      <c r="D634" s="3">
        <f>'Raw Data'!D634</f>
        <v>45931</v>
      </c>
      <c r="E634" t="str">
        <f t="shared" si="45"/>
        <v>Oct</v>
      </c>
      <c r="F634" s="5">
        <f>'Raw Data'!E634</f>
        <v>120</v>
      </c>
      <c r="G634" s="4">
        <f>'Raw Data'!F634</f>
        <v>5817.29</v>
      </c>
      <c r="H634" s="4">
        <f>'Raw Data'!G634</f>
        <v>3702.96</v>
      </c>
      <c r="I634" s="4">
        <f t="shared" si="46"/>
        <v>2114.33</v>
      </c>
      <c r="J634" s="8">
        <f t="shared" si="47"/>
        <v>0.36345617976755501</v>
      </c>
      <c r="K634" s="6">
        <f>'Raw Data'!I634</f>
        <v>3.64</v>
      </c>
      <c r="L634" s="5">
        <f>'Raw Data'!J634</f>
        <v>23</v>
      </c>
      <c r="M634" s="5">
        <f>IF(COUNTIFS($A$2:A634,A634,$D$2:D634,D634)=1,L634,0)</f>
        <v>0</v>
      </c>
      <c r="N634" s="4">
        <f t="shared" si="48"/>
        <v>252.92565217391305</v>
      </c>
      <c r="O634" t="str">
        <f t="shared" si="49"/>
        <v>OK</v>
      </c>
    </row>
    <row r="635" spans="1:15">
      <c r="A635" t="str">
        <f>'Raw Data'!A635</f>
        <v>Atlanta RM-09</v>
      </c>
      <c r="B635" t="str">
        <f>'Raw Data'!B635</f>
        <v>South</v>
      </c>
      <c r="C635" t="str">
        <f>'Raw Data'!C635</f>
        <v>Beauty</v>
      </c>
      <c r="D635" s="3">
        <f>'Raw Data'!D635</f>
        <v>45931</v>
      </c>
      <c r="E635" t="str">
        <f t="shared" si="45"/>
        <v>Oct</v>
      </c>
      <c r="F635" s="5">
        <f>'Raw Data'!E635</f>
        <v>110</v>
      </c>
      <c r="G635" s="4">
        <f>'Raw Data'!F635</f>
        <v>3863.84</v>
      </c>
      <c r="H635" s="4">
        <f>'Raw Data'!G635</f>
        <v>1938.69</v>
      </c>
      <c r="I635" s="4">
        <f t="shared" si="46"/>
        <v>1925.15</v>
      </c>
      <c r="J635" s="8">
        <f t="shared" si="47"/>
        <v>0.49824785705412233</v>
      </c>
      <c r="K635" s="6">
        <f>'Raw Data'!I635</f>
        <v>3.71</v>
      </c>
      <c r="L635" s="5">
        <f>'Raw Data'!J635</f>
        <v>23</v>
      </c>
      <c r="M635" s="5">
        <f>IF(COUNTIFS($A$2:A635,A635,$D$2:D635,D635)=1,L635,0)</f>
        <v>0</v>
      </c>
      <c r="N635" s="4">
        <f t="shared" si="48"/>
        <v>167.99304347826089</v>
      </c>
      <c r="O635" t="str">
        <f t="shared" si="49"/>
        <v>OK</v>
      </c>
    </row>
    <row r="636" spans="1:15">
      <c r="A636" t="str">
        <f>'Raw Data'!A636</f>
        <v>Atlanta RM-09</v>
      </c>
      <c r="B636" t="str">
        <f>'Raw Data'!B636</f>
        <v>South</v>
      </c>
      <c r="C636" t="str">
        <f>'Raw Data'!C636</f>
        <v>Grocery</v>
      </c>
      <c r="D636" s="3">
        <f>'Raw Data'!D636</f>
        <v>45931</v>
      </c>
      <c r="E636" t="str">
        <f t="shared" si="45"/>
        <v>Oct</v>
      </c>
      <c r="F636" s="5">
        <f>'Raw Data'!E636</f>
        <v>176</v>
      </c>
      <c r="G636" s="4">
        <f>'Raw Data'!F636</f>
        <v>3203.59</v>
      </c>
      <c r="H636" s="4">
        <f>'Raw Data'!G636</f>
        <v>2910.3</v>
      </c>
      <c r="I636" s="4">
        <f t="shared" si="46"/>
        <v>293.28999999999996</v>
      </c>
      <c r="J636" s="8">
        <f t="shared" si="47"/>
        <v>9.1550416876067145E-2</v>
      </c>
      <c r="K636" s="6">
        <f>'Raw Data'!I636</f>
        <v>3.79</v>
      </c>
      <c r="L636" s="5">
        <f>'Raw Data'!J636</f>
        <v>23</v>
      </c>
      <c r="M636" s="5">
        <f>IF(COUNTIFS($A$2:A636,A636,$D$2:D636,D636)=1,L636,0)</f>
        <v>0</v>
      </c>
      <c r="N636" s="4">
        <f t="shared" si="48"/>
        <v>139.28652173913045</v>
      </c>
      <c r="O636" t="str">
        <f t="shared" si="49"/>
        <v>OK</v>
      </c>
    </row>
    <row r="637" spans="1:15">
      <c r="A637" t="str">
        <f>'Raw Data'!A637</f>
        <v>Atlanta RM-09</v>
      </c>
      <c r="B637" t="str">
        <f>'Raw Data'!B637</f>
        <v>South</v>
      </c>
      <c r="C637" t="str">
        <f>'Raw Data'!C637</f>
        <v>Sports</v>
      </c>
      <c r="D637" s="3">
        <f>'Raw Data'!D637</f>
        <v>45931</v>
      </c>
      <c r="E637" t="str">
        <f t="shared" si="45"/>
        <v>Oct</v>
      </c>
      <c r="F637" s="5">
        <f>'Raw Data'!E637</f>
        <v>76</v>
      </c>
      <c r="G637" s="4">
        <f>'Raw Data'!F637</f>
        <v>4590.6099999999997</v>
      </c>
      <c r="H637" s="4">
        <f>'Raw Data'!G637</f>
        <v>3088.83</v>
      </c>
      <c r="I637" s="4">
        <f t="shared" si="46"/>
        <v>1501.7799999999997</v>
      </c>
      <c r="J637" s="8">
        <f t="shared" si="47"/>
        <v>0.32714170883608057</v>
      </c>
      <c r="K637" s="6">
        <f>'Raw Data'!I637</f>
        <v>3.65</v>
      </c>
      <c r="L637" s="5">
        <f>'Raw Data'!J637</f>
        <v>23</v>
      </c>
      <c r="M637" s="5">
        <f>IF(COUNTIFS($A$2:A637,A637,$D$2:D637,D637)=1,L637,0)</f>
        <v>0</v>
      </c>
      <c r="N637" s="4">
        <f t="shared" si="48"/>
        <v>199.59173913043477</v>
      </c>
      <c r="O637" t="str">
        <f t="shared" si="49"/>
        <v>OK</v>
      </c>
    </row>
    <row r="638" spans="1:15">
      <c r="A638" t="str">
        <f>'Raw Data'!A638</f>
        <v>Atlanta RM-09</v>
      </c>
      <c r="B638" t="str">
        <f>'Raw Data'!B638</f>
        <v>South</v>
      </c>
      <c r="C638" t="str">
        <f>'Raw Data'!C638</f>
        <v>Electronics</v>
      </c>
      <c r="D638" s="3">
        <f>'Raw Data'!D638</f>
        <v>45962</v>
      </c>
      <c r="E638" t="str">
        <f t="shared" si="45"/>
        <v>Nov</v>
      </c>
      <c r="F638" s="5">
        <f>'Raw Data'!E638</f>
        <v>198</v>
      </c>
      <c r="G638" s="4">
        <f>'Raw Data'!F638</f>
        <v>27129.54</v>
      </c>
      <c r="H638" s="4">
        <f>'Raw Data'!G638</f>
        <v>22374.58</v>
      </c>
      <c r="I638" s="4">
        <f t="shared" si="46"/>
        <v>4754.9599999999991</v>
      </c>
      <c r="J638" s="8">
        <f t="shared" si="47"/>
        <v>0.1752687292154603</v>
      </c>
      <c r="K638" s="6">
        <f>'Raw Data'!I638</f>
        <v>3.77</v>
      </c>
      <c r="L638" s="5">
        <f>'Raw Data'!J638</f>
        <v>26</v>
      </c>
      <c r="M638" s="5">
        <f>IF(COUNTIFS($A$2:A638,A638,$D$2:D638,D638)=1,L638,0)</f>
        <v>26</v>
      </c>
      <c r="N638" s="4">
        <f t="shared" si="48"/>
        <v>1043.4438461538462</v>
      </c>
      <c r="O638" t="str">
        <f t="shared" si="49"/>
        <v>OK</v>
      </c>
    </row>
    <row r="639" spans="1:15">
      <c r="A639" t="str">
        <f>'Raw Data'!A639</f>
        <v>Atlanta RM-09</v>
      </c>
      <c r="B639" t="str">
        <f>'Raw Data'!B639</f>
        <v>South</v>
      </c>
      <c r="C639" t="str">
        <f>'Raw Data'!C639</f>
        <v>Home Goods</v>
      </c>
      <c r="D639" s="3">
        <f>'Raw Data'!D639</f>
        <v>45962</v>
      </c>
      <c r="E639" t="str">
        <f t="shared" si="45"/>
        <v>Nov</v>
      </c>
      <c r="F639" s="5">
        <f>'Raw Data'!E639</f>
        <v>143</v>
      </c>
      <c r="G639" s="4">
        <f>'Raw Data'!F639</f>
        <v>11213.59</v>
      </c>
      <c r="H639" s="4">
        <f>'Raw Data'!G639</f>
        <v>7719.76</v>
      </c>
      <c r="I639" s="4">
        <f t="shared" si="46"/>
        <v>3493.83</v>
      </c>
      <c r="J639" s="8">
        <f t="shared" si="47"/>
        <v>0.31157104905743832</v>
      </c>
      <c r="K639" s="6">
        <f>'Raw Data'!I639</f>
        <v>3.6</v>
      </c>
      <c r="L639" s="5">
        <f>'Raw Data'!J639</f>
        <v>26</v>
      </c>
      <c r="M639" s="5">
        <f>IF(COUNTIFS($A$2:A639,A639,$D$2:D639,D639)=1,L639,0)</f>
        <v>0</v>
      </c>
      <c r="N639" s="4">
        <f t="shared" si="48"/>
        <v>431.29192307692307</v>
      </c>
      <c r="O639" t="str">
        <f t="shared" si="49"/>
        <v>OK</v>
      </c>
    </row>
    <row r="640" spans="1:15">
      <c r="A640" t="str">
        <f>'Raw Data'!A640</f>
        <v>Atlanta RM-09</v>
      </c>
      <c r="B640" t="str">
        <f>'Raw Data'!B640</f>
        <v>South</v>
      </c>
      <c r="C640" t="str">
        <f>'Raw Data'!C640</f>
        <v>Apparel</v>
      </c>
      <c r="D640" s="3">
        <f>'Raw Data'!D640</f>
        <v>45962</v>
      </c>
      <c r="E640" t="str">
        <f t="shared" si="45"/>
        <v>Nov</v>
      </c>
      <c r="F640" s="5">
        <f>'Raw Data'!E640</f>
        <v>193</v>
      </c>
      <c r="G640" s="4">
        <f>'Raw Data'!F640</f>
        <v>9779.4500000000007</v>
      </c>
      <c r="H640" s="4">
        <f>'Raw Data'!G640</f>
        <v>6285.71</v>
      </c>
      <c r="I640" s="4">
        <f t="shared" si="46"/>
        <v>3493.7400000000007</v>
      </c>
      <c r="J640" s="8">
        <f t="shared" si="47"/>
        <v>0.3572532197618476</v>
      </c>
      <c r="K640" s="6">
        <f>'Raw Data'!I640</f>
        <v>3.55</v>
      </c>
      <c r="L640" s="5">
        <f>'Raw Data'!J640</f>
        <v>26</v>
      </c>
      <c r="M640" s="5">
        <f>IF(COUNTIFS($A$2:A640,A640,$D$2:D640,D640)=1,L640,0)</f>
        <v>0</v>
      </c>
      <c r="N640" s="4">
        <f t="shared" si="48"/>
        <v>376.13269230769231</v>
      </c>
      <c r="O640" t="str">
        <f t="shared" si="49"/>
        <v>OK</v>
      </c>
    </row>
    <row r="641" spans="1:15">
      <c r="A641" t="str">
        <f>'Raw Data'!A641</f>
        <v>Atlanta RM-09</v>
      </c>
      <c r="B641" t="str">
        <f>'Raw Data'!B641</f>
        <v>South</v>
      </c>
      <c r="C641" t="str">
        <f>'Raw Data'!C641</f>
        <v>Beauty</v>
      </c>
      <c r="D641" s="3">
        <f>'Raw Data'!D641</f>
        <v>45962</v>
      </c>
      <c r="E641" t="str">
        <f t="shared" si="45"/>
        <v>Nov</v>
      </c>
      <c r="F641" s="5">
        <f>'Raw Data'!E641</f>
        <v>124</v>
      </c>
      <c r="G641" s="4">
        <f>'Raw Data'!F641</f>
        <v>4616.96</v>
      </c>
      <c r="H641" s="4">
        <f>'Raw Data'!G641</f>
        <v>2336.38</v>
      </c>
      <c r="I641" s="4">
        <f t="shared" si="46"/>
        <v>2280.58</v>
      </c>
      <c r="J641" s="8">
        <f t="shared" si="47"/>
        <v>0.49395706265594674</v>
      </c>
      <c r="K641" s="6">
        <f>'Raw Data'!I641</f>
        <v>3.59</v>
      </c>
      <c r="L641" s="5">
        <f>'Raw Data'!J641</f>
        <v>26</v>
      </c>
      <c r="M641" s="5">
        <f>IF(COUNTIFS($A$2:A641,A641,$D$2:D641,D641)=1,L641,0)</f>
        <v>0</v>
      </c>
      <c r="N641" s="4">
        <f t="shared" si="48"/>
        <v>177.57538461538462</v>
      </c>
      <c r="O641" t="str">
        <f t="shared" si="49"/>
        <v>OK</v>
      </c>
    </row>
    <row r="642" spans="1:15">
      <c r="A642" t="str">
        <f>'Raw Data'!A642</f>
        <v>Atlanta RM-09</v>
      </c>
      <c r="B642" t="str">
        <f>'Raw Data'!B642</f>
        <v>South</v>
      </c>
      <c r="C642" t="str">
        <f>'Raw Data'!C642</f>
        <v>Grocery</v>
      </c>
      <c r="D642" s="3">
        <f>'Raw Data'!D642</f>
        <v>45962</v>
      </c>
      <c r="E642" t="str">
        <f t="shared" ref="E642:E705" si="50">TEXT(D642,"mmm")</f>
        <v>Nov</v>
      </c>
      <c r="F642" s="5">
        <f>'Raw Data'!E642</f>
        <v>216</v>
      </c>
      <c r="G642" s="4">
        <f>'Raw Data'!F642</f>
        <v>3872.95</v>
      </c>
      <c r="H642" s="4">
        <f>'Raw Data'!G642</f>
        <v>3722.92</v>
      </c>
      <c r="I642" s="4">
        <f t="shared" ref="I642:I705" si="51">G642-H642</f>
        <v>150.02999999999975</v>
      </c>
      <c r="J642" s="8">
        <f t="shared" ref="J642:J705" si="52">IFERROR(I642/G642,0)</f>
        <v>3.8737912960404797E-2</v>
      </c>
      <c r="K642" s="6">
        <f>'Raw Data'!I642</f>
        <v>3.79</v>
      </c>
      <c r="L642" s="5">
        <f>'Raw Data'!J642</f>
        <v>26</v>
      </c>
      <c r="M642" s="5">
        <f>IF(COUNTIFS($A$2:A642,A642,$D$2:D642,D642)=1,L642,0)</f>
        <v>0</v>
      </c>
      <c r="N642" s="4">
        <f t="shared" ref="N642:N705" si="53">IFERROR(G642/L642,0)</f>
        <v>148.95961538461538</v>
      </c>
      <c r="O642" t="str">
        <f t="shared" ref="O642:O705" si="54">IF(OR(A642="",B642="",C642="",F642&lt;0,G642&lt;0,H642&lt;0,K642&lt;1,K642&gt;5),"Review","OK")</f>
        <v>OK</v>
      </c>
    </row>
    <row r="643" spans="1:15">
      <c r="A643" t="str">
        <f>'Raw Data'!A643</f>
        <v>Atlanta RM-09</v>
      </c>
      <c r="B643" t="str">
        <f>'Raw Data'!B643</f>
        <v>South</v>
      </c>
      <c r="C643" t="str">
        <f>'Raw Data'!C643</f>
        <v>Sports</v>
      </c>
      <c r="D643" s="3">
        <f>'Raw Data'!D643</f>
        <v>45962</v>
      </c>
      <c r="E643" t="str">
        <f t="shared" si="50"/>
        <v>Nov</v>
      </c>
      <c r="F643" s="5">
        <f>'Raw Data'!E643</f>
        <v>96</v>
      </c>
      <c r="G643" s="4">
        <f>'Raw Data'!F643</f>
        <v>6239.44</v>
      </c>
      <c r="H643" s="4">
        <f>'Raw Data'!G643</f>
        <v>4194.63</v>
      </c>
      <c r="I643" s="4">
        <f t="shared" si="51"/>
        <v>2044.8099999999995</v>
      </c>
      <c r="J643" s="8">
        <f t="shared" si="52"/>
        <v>0.32772332132370846</v>
      </c>
      <c r="K643" s="6">
        <f>'Raw Data'!I643</f>
        <v>3.54</v>
      </c>
      <c r="L643" s="5">
        <f>'Raw Data'!J643</f>
        <v>26</v>
      </c>
      <c r="M643" s="5">
        <f>IF(COUNTIFS($A$2:A643,A643,$D$2:D643,D643)=1,L643,0)</f>
        <v>0</v>
      </c>
      <c r="N643" s="4">
        <f t="shared" si="53"/>
        <v>239.97846153846152</v>
      </c>
      <c r="O643" t="str">
        <f t="shared" si="54"/>
        <v>OK</v>
      </c>
    </row>
    <row r="644" spans="1:15">
      <c r="A644" t="str">
        <f>'Raw Data'!A644</f>
        <v>Atlanta RM-09</v>
      </c>
      <c r="B644" t="str">
        <f>'Raw Data'!B644</f>
        <v>South</v>
      </c>
      <c r="C644" t="str">
        <f>'Raw Data'!C644</f>
        <v>Electronics</v>
      </c>
      <c r="D644" s="3">
        <f>'Raw Data'!D644</f>
        <v>45992</v>
      </c>
      <c r="E644" t="str">
        <f t="shared" si="50"/>
        <v>Dec</v>
      </c>
      <c r="F644" s="5">
        <f>'Raw Data'!E644</f>
        <v>214</v>
      </c>
      <c r="G644" s="4">
        <f>'Raw Data'!F644</f>
        <v>31617.49</v>
      </c>
      <c r="H644" s="4">
        <f>'Raw Data'!G644</f>
        <v>26121.23</v>
      </c>
      <c r="I644" s="4">
        <f t="shared" si="51"/>
        <v>5496.260000000002</v>
      </c>
      <c r="J644" s="8">
        <f t="shared" si="52"/>
        <v>0.17383606352053885</v>
      </c>
      <c r="K644" s="6">
        <f>'Raw Data'!I644</f>
        <v>3.73</v>
      </c>
      <c r="L644" s="5">
        <f>'Raw Data'!J644</f>
        <v>27</v>
      </c>
      <c r="M644" s="5">
        <f>IF(COUNTIFS($A$2:A644,A644,$D$2:D644,D644)=1,L644,0)</f>
        <v>27</v>
      </c>
      <c r="N644" s="4">
        <f t="shared" si="53"/>
        <v>1171.0181481481482</v>
      </c>
      <c r="O644" t="str">
        <f t="shared" si="54"/>
        <v>OK</v>
      </c>
    </row>
    <row r="645" spans="1:15">
      <c r="A645" t="str">
        <f>'Raw Data'!A645</f>
        <v>Atlanta RM-09</v>
      </c>
      <c r="B645" t="str">
        <f>'Raw Data'!B645</f>
        <v>South</v>
      </c>
      <c r="C645" t="str">
        <f>'Raw Data'!C645</f>
        <v>Home Goods</v>
      </c>
      <c r="D645" s="3">
        <f>'Raw Data'!D645</f>
        <v>45992</v>
      </c>
      <c r="E645" t="str">
        <f t="shared" si="50"/>
        <v>Dec</v>
      </c>
      <c r="F645" s="5">
        <f>'Raw Data'!E645</f>
        <v>137</v>
      </c>
      <c r="G645" s="4">
        <f>'Raw Data'!F645</f>
        <v>10463.540000000001</v>
      </c>
      <c r="H645" s="4">
        <f>'Raw Data'!G645</f>
        <v>7638.32</v>
      </c>
      <c r="I645" s="4">
        <f t="shared" si="51"/>
        <v>2825.2200000000012</v>
      </c>
      <c r="J645" s="8">
        <f t="shared" si="52"/>
        <v>0.27000613559082309</v>
      </c>
      <c r="K645" s="6">
        <f>'Raw Data'!I645</f>
        <v>3.69</v>
      </c>
      <c r="L645" s="5">
        <f>'Raw Data'!J645</f>
        <v>27</v>
      </c>
      <c r="M645" s="5">
        <f>IF(COUNTIFS($A$2:A645,A645,$D$2:D645,D645)=1,L645,0)</f>
        <v>0</v>
      </c>
      <c r="N645" s="4">
        <f t="shared" si="53"/>
        <v>387.53851851851857</v>
      </c>
      <c r="O645" t="str">
        <f t="shared" si="54"/>
        <v>OK</v>
      </c>
    </row>
    <row r="646" spans="1:15">
      <c r="A646" t="str">
        <f>'Raw Data'!A646</f>
        <v>Atlanta RM-09</v>
      </c>
      <c r="B646" t="str">
        <f>'Raw Data'!B646</f>
        <v>South</v>
      </c>
      <c r="C646" t="str">
        <f>'Raw Data'!C646</f>
        <v>Apparel</v>
      </c>
      <c r="D646" s="3">
        <f>'Raw Data'!D646</f>
        <v>45992</v>
      </c>
      <c r="E646" t="str">
        <f t="shared" si="50"/>
        <v>Dec</v>
      </c>
      <c r="F646" s="5">
        <f>'Raw Data'!E646</f>
        <v>205</v>
      </c>
      <c r="G646" s="4">
        <f>'Raw Data'!F646</f>
        <v>10490.05</v>
      </c>
      <c r="H646" s="4">
        <f>'Raw Data'!G646</f>
        <v>7095.56</v>
      </c>
      <c r="I646" s="4">
        <f t="shared" si="51"/>
        <v>3394.4899999999989</v>
      </c>
      <c r="J646" s="8">
        <f t="shared" si="52"/>
        <v>0.3235914032821578</v>
      </c>
      <c r="K646" s="6">
        <f>'Raw Data'!I646</f>
        <v>3.6</v>
      </c>
      <c r="L646" s="5">
        <f>'Raw Data'!J646</f>
        <v>27</v>
      </c>
      <c r="M646" s="5">
        <f>IF(COUNTIFS($A$2:A646,A646,$D$2:D646,D646)=1,L646,0)</f>
        <v>0</v>
      </c>
      <c r="N646" s="4">
        <f t="shared" si="53"/>
        <v>388.52037037037036</v>
      </c>
      <c r="O646" t="str">
        <f t="shared" si="54"/>
        <v>OK</v>
      </c>
    </row>
    <row r="647" spans="1:15">
      <c r="A647" t="str">
        <f>'Raw Data'!A647</f>
        <v>Atlanta RM-09</v>
      </c>
      <c r="B647" t="str">
        <f>'Raw Data'!B647</f>
        <v>South</v>
      </c>
      <c r="C647" t="str">
        <f>'Raw Data'!C647</f>
        <v>Beauty</v>
      </c>
      <c r="D647" s="3">
        <f>'Raw Data'!D647</f>
        <v>45992</v>
      </c>
      <c r="E647" t="str">
        <f t="shared" si="50"/>
        <v>Dec</v>
      </c>
      <c r="F647" s="5">
        <f>'Raw Data'!E647</f>
        <v>137</v>
      </c>
      <c r="G647" s="4">
        <f>'Raw Data'!F647</f>
        <v>4640.4799999999996</v>
      </c>
      <c r="H647" s="4">
        <f>'Raw Data'!G647</f>
        <v>2520.0300000000002</v>
      </c>
      <c r="I647" s="4">
        <f t="shared" si="51"/>
        <v>2120.4499999999994</v>
      </c>
      <c r="J647" s="8">
        <f t="shared" si="52"/>
        <v>0.45694626417956752</v>
      </c>
      <c r="K647" s="6">
        <f>'Raw Data'!I647</f>
        <v>3.59</v>
      </c>
      <c r="L647" s="5">
        <f>'Raw Data'!J647</f>
        <v>27</v>
      </c>
      <c r="M647" s="5">
        <f>IF(COUNTIFS($A$2:A647,A647,$D$2:D647,D647)=1,L647,0)</f>
        <v>0</v>
      </c>
      <c r="N647" s="4">
        <f t="shared" si="53"/>
        <v>171.8696296296296</v>
      </c>
      <c r="O647" t="str">
        <f t="shared" si="54"/>
        <v>OK</v>
      </c>
    </row>
    <row r="648" spans="1:15">
      <c r="A648" t="str">
        <f>'Raw Data'!A648</f>
        <v>Atlanta RM-09</v>
      </c>
      <c r="B648" t="str">
        <f>'Raw Data'!B648</f>
        <v>South</v>
      </c>
      <c r="C648" t="str">
        <f>'Raw Data'!C648</f>
        <v>Grocery</v>
      </c>
      <c r="D648" s="3">
        <f>'Raw Data'!D648</f>
        <v>45992</v>
      </c>
      <c r="E648" t="str">
        <f t="shared" si="50"/>
        <v>Dec</v>
      </c>
      <c r="F648" s="5">
        <f>'Raw Data'!E648</f>
        <v>226</v>
      </c>
      <c r="G648" s="4">
        <f>'Raw Data'!F648</f>
        <v>4323.5</v>
      </c>
      <c r="H648" s="4">
        <f>'Raw Data'!G648</f>
        <v>4262.87</v>
      </c>
      <c r="I648" s="4">
        <f t="shared" si="51"/>
        <v>60.630000000000109</v>
      </c>
      <c r="J648" s="8">
        <f t="shared" si="52"/>
        <v>1.402336070313406E-2</v>
      </c>
      <c r="K648" s="6">
        <f>'Raw Data'!I648</f>
        <v>3.48</v>
      </c>
      <c r="L648" s="5">
        <f>'Raw Data'!J648</f>
        <v>27</v>
      </c>
      <c r="M648" s="5">
        <f>IF(COUNTIFS($A$2:A648,A648,$D$2:D648,D648)=1,L648,0)</f>
        <v>0</v>
      </c>
      <c r="N648" s="4">
        <f t="shared" si="53"/>
        <v>160.12962962962962</v>
      </c>
      <c r="O648" t="str">
        <f t="shared" si="54"/>
        <v>OK</v>
      </c>
    </row>
    <row r="649" spans="1:15">
      <c r="A649" t="str">
        <f>'Raw Data'!A649</f>
        <v>Atlanta RM-09</v>
      </c>
      <c r="B649" t="str">
        <f>'Raw Data'!B649</f>
        <v>South</v>
      </c>
      <c r="C649" t="str">
        <f>'Raw Data'!C649</f>
        <v>Sports</v>
      </c>
      <c r="D649" s="3">
        <f>'Raw Data'!D649</f>
        <v>45992</v>
      </c>
      <c r="E649" t="str">
        <f t="shared" si="50"/>
        <v>Dec</v>
      </c>
      <c r="F649" s="5">
        <f>'Raw Data'!E649</f>
        <v>120</v>
      </c>
      <c r="G649" s="4">
        <f>'Raw Data'!F649</f>
        <v>7678.25</v>
      </c>
      <c r="H649" s="4">
        <f>'Raw Data'!G649</f>
        <v>5534.36</v>
      </c>
      <c r="I649" s="4">
        <f t="shared" si="51"/>
        <v>2143.8900000000003</v>
      </c>
      <c r="J649" s="8">
        <f t="shared" si="52"/>
        <v>0.27921596718002151</v>
      </c>
      <c r="K649" s="6">
        <f>'Raw Data'!I649</f>
        <v>3.77</v>
      </c>
      <c r="L649" s="5">
        <f>'Raw Data'!J649</f>
        <v>27</v>
      </c>
      <c r="M649" s="5">
        <f>IF(COUNTIFS($A$2:A649,A649,$D$2:D649,D649)=1,L649,0)</f>
        <v>0</v>
      </c>
      <c r="N649" s="4">
        <f t="shared" si="53"/>
        <v>284.37962962962962</v>
      </c>
      <c r="O649" t="str">
        <f t="shared" si="54"/>
        <v>OK</v>
      </c>
    </row>
    <row r="650" spans="1:15">
      <c r="A650" t="str">
        <f>'Raw Data'!A650</f>
        <v>Charlotte RM-10</v>
      </c>
      <c r="B650" t="str">
        <f>'Raw Data'!B650</f>
        <v>South</v>
      </c>
      <c r="C650" t="str">
        <f>'Raw Data'!C650</f>
        <v>Electronics</v>
      </c>
      <c r="D650" s="3">
        <f>'Raw Data'!D650</f>
        <v>45658</v>
      </c>
      <c r="E650" t="str">
        <f t="shared" si="50"/>
        <v>Jan</v>
      </c>
      <c r="F650" s="5">
        <f>'Raw Data'!E650</f>
        <v>90</v>
      </c>
      <c r="G650" s="4">
        <f>'Raw Data'!F650</f>
        <v>13034</v>
      </c>
      <c r="H650" s="4">
        <f>'Raw Data'!G650</f>
        <v>10046</v>
      </c>
      <c r="I650" s="4">
        <f t="shared" si="51"/>
        <v>2988</v>
      </c>
      <c r="J650" s="8">
        <f t="shared" si="52"/>
        <v>0.22924658585238605</v>
      </c>
      <c r="K650" s="6">
        <f>'Raw Data'!I650</f>
        <v>3.86</v>
      </c>
      <c r="L650" s="5">
        <f>'Raw Data'!J650</f>
        <v>26</v>
      </c>
      <c r="M650" s="5">
        <f>IF(COUNTIFS($A$2:A650,A650,$D$2:D650,D650)=1,L650,0)</f>
        <v>26</v>
      </c>
      <c r="N650" s="4">
        <f t="shared" si="53"/>
        <v>501.30769230769232</v>
      </c>
      <c r="O650" t="str">
        <f t="shared" si="54"/>
        <v>OK</v>
      </c>
    </row>
    <row r="651" spans="1:15">
      <c r="A651" t="str">
        <f>'Raw Data'!A651</f>
        <v>Charlotte RM-10</v>
      </c>
      <c r="B651" t="str">
        <f>'Raw Data'!B651</f>
        <v>South</v>
      </c>
      <c r="C651" t="str">
        <f>'Raw Data'!C651</f>
        <v>Home Goods</v>
      </c>
      <c r="D651" s="3">
        <f>'Raw Data'!D651</f>
        <v>45658</v>
      </c>
      <c r="E651" t="str">
        <f t="shared" si="50"/>
        <v>Jan</v>
      </c>
      <c r="F651" s="5">
        <f>'Raw Data'!E651</f>
        <v>94</v>
      </c>
      <c r="G651" s="4">
        <f>'Raw Data'!F651</f>
        <v>6857.76</v>
      </c>
      <c r="H651" s="4">
        <f>'Raw Data'!G651</f>
        <v>4330.9799999999996</v>
      </c>
      <c r="I651" s="4">
        <f t="shared" si="51"/>
        <v>2526.7800000000007</v>
      </c>
      <c r="J651" s="8">
        <f t="shared" si="52"/>
        <v>0.36845558899699038</v>
      </c>
      <c r="K651" s="6">
        <f>'Raw Data'!I651</f>
        <v>3.52</v>
      </c>
      <c r="L651" s="5">
        <f>'Raw Data'!J651</f>
        <v>26</v>
      </c>
      <c r="M651" s="5">
        <f>IF(COUNTIFS($A$2:A651,A651,$D$2:D651,D651)=1,L651,0)</f>
        <v>0</v>
      </c>
      <c r="N651" s="4">
        <f t="shared" si="53"/>
        <v>263.76</v>
      </c>
      <c r="O651" t="str">
        <f t="shared" si="54"/>
        <v>OK</v>
      </c>
    </row>
    <row r="652" spans="1:15">
      <c r="A652" t="str">
        <f>'Raw Data'!A652</f>
        <v>Charlotte RM-10</v>
      </c>
      <c r="B652" t="str">
        <f>'Raw Data'!B652</f>
        <v>South</v>
      </c>
      <c r="C652" t="str">
        <f>'Raw Data'!C652</f>
        <v>Apparel</v>
      </c>
      <c r="D652" s="3">
        <f>'Raw Data'!D652</f>
        <v>45658</v>
      </c>
      <c r="E652" t="str">
        <f t="shared" si="50"/>
        <v>Jan</v>
      </c>
      <c r="F652" s="5">
        <f>'Raw Data'!E652</f>
        <v>98</v>
      </c>
      <c r="G652" s="4">
        <f>'Raw Data'!F652</f>
        <v>4693.78</v>
      </c>
      <c r="H652" s="4">
        <f>'Raw Data'!G652</f>
        <v>2787.01</v>
      </c>
      <c r="I652" s="4">
        <f t="shared" si="51"/>
        <v>1906.7699999999995</v>
      </c>
      <c r="J652" s="8">
        <f t="shared" si="52"/>
        <v>0.40623335563234741</v>
      </c>
      <c r="K652" s="6">
        <f>'Raw Data'!I652</f>
        <v>3.67</v>
      </c>
      <c r="L652" s="5">
        <f>'Raw Data'!J652</f>
        <v>26</v>
      </c>
      <c r="M652" s="5">
        <f>IF(COUNTIFS($A$2:A652,A652,$D$2:D652,D652)=1,L652,0)</f>
        <v>0</v>
      </c>
      <c r="N652" s="4">
        <f t="shared" si="53"/>
        <v>180.53</v>
      </c>
      <c r="O652" t="str">
        <f t="shared" si="54"/>
        <v>OK</v>
      </c>
    </row>
    <row r="653" spans="1:15">
      <c r="A653" t="str">
        <f>'Raw Data'!A653</f>
        <v>Charlotte RM-10</v>
      </c>
      <c r="B653" t="str">
        <f>'Raw Data'!B653</f>
        <v>South</v>
      </c>
      <c r="C653" t="str">
        <f>'Raw Data'!C653</f>
        <v>Beauty</v>
      </c>
      <c r="D653" s="3">
        <f>'Raw Data'!D653</f>
        <v>45658</v>
      </c>
      <c r="E653" t="str">
        <f t="shared" si="50"/>
        <v>Jan</v>
      </c>
      <c r="F653" s="5">
        <f>'Raw Data'!E653</f>
        <v>93</v>
      </c>
      <c r="G653" s="4">
        <f>'Raw Data'!F653</f>
        <v>3497.68</v>
      </c>
      <c r="H653" s="4">
        <f>'Raw Data'!G653</f>
        <v>1616.73</v>
      </c>
      <c r="I653" s="4">
        <f t="shared" si="51"/>
        <v>1880.9499999999998</v>
      </c>
      <c r="J653" s="8">
        <f t="shared" si="52"/>
        <v>0.53777075089773785</v>
      </c>
      <c r="K653" s="6">
        <f>'Raw Data'!I653</f>
        <v>3.69</v>
      </c>
      <c r="L653" s="5">
        <f>'Raw Data'!J653</f>
        <v>26</v>
      </c>
      <c r="M653" s="5">
        <f>IF(COUNTIFS($A$2:A653,A653,$D$2:D653,D653)=1,L653,0)</f>
        <v>0</v>
      </c>
      <c r="N653" s="4">
        <f t="shared" si="53"/>
        <v>134.52615384615385</v>
      </c>
      <c r="O653" t="str">
        <f t="shared" si="54"/>
        <v>OK</v>
      </c>
    </row>
    <row r="654" spans="1:15">
      <c r="A654" t="str">
        <f>'Raw Data'!A654</f>
        <v>Charlotte RM-10</v>
      </c>
      <c r="B654" t="str">
        <f>'Raw Data'!B654</f>
        <v>South</v>
      </c>
      <c r="C654" t="str">
        <f>'Raw Data'!C654</f>
        <v>Grocery</v>
      </c>
      <c r="D654" s="3">
        <f>'Raw Data'!D654</f>
        <v>45658</v>
      </c>
      <c r="E654" t="str">
        <f t="shared" si="50"/>
        <v>Jan</v>
      </c>
      <c r="F654" s="5">
        <f>'Raw Data'!E654</f>
        <v>124</v>
      </c>
      <c r="G654" s="4">
        <f>'Raw Data'!F654</f>
        <v>2283.04</v>
      </c>
      <c r="H654" s="4">
        <f>'Raw Data'!G654</f>
        <v>1956.31</v>
      </c>
      <c r="I654" s="4">
        <f t="shared" si="51"/>
        <v>326.73</v>
      </c>
      <c r="J654" s="8">
        <f t="shared" si="52"/>
        <v>0.14311181582451468</v>
      </c>
      <c r="K654" s="6">
        <f>'Raw Data'!I654</f>
        <v>3.71</v>
      </c>
      <c r="L654" s="5">
        <f>'Raw Data'!J654</f>
        <v>26</v>
      </c>
      <c r="M654" s="5">
        <f>IF(COUNTIFS($A$2:A654,A654,$D$2:D654,D654)=1,L654,0)</f>
        <v>0</v>
      </c>
      <c r="N654" s="4">
        <f t="shared" si="53"/>
        <v>87.809230769230766</v>
      </c>
      <c r="O654" t="str">
        <f t="shared" si="54"/>
        <v>OK</v>
      </c>
    </row>
    <row r="655" spans="1:15">
      <c r="A655" t="str">
        <f>'Raw Data'!A655</f>
        <v>Charlotte RM-10</v>
      </c>
      <c r="B655" t="str">
        <f>'Raw Data'!B655</f>
        <v>South</v>
      </c>
      <c r="C655" t="str">
        <f>'Raw Data'!C655</f>
        <v>Sports</v>
      </c>
      <c r="D655" s="3">
        <f>'Raw Data'!D655</f>
        <v>45658</v>
      </c>
      <c r="E655" t="str">
        <f t="shared" si="50"/>
        <v>Jan</v>
      </c>
      <c r="F655" s="5">
        <f>'Raw Data'!E655</f>
        <v>55</v>
      </c>
      <c r="G655" s="4">
        <f>'Raw Data'!F655</f>
        <v>3267.8</v>
      </c>
      <c r="H655" s="4">
        <f>'Raw Data'!G655</f>
        <v>2000.71</v>
      </c>
      <c r="I655" s="4">
        <f t="shared" si="51"/>
        <v>1267.0900000000001</v>
      </c>
      <c r="J655" s="8">
        <f t="shared" si="52"/>
        <v>0.38775016830895404</v>
      </c>
      <c r="K655" s="6">
        <f>'Raw Data'!I655</f>
        <v>3.81</v>
      </c>
      <c r="L655" s="5">
        <f>'Raw Data'!J655</f>
        <v>26</v>
      </c>
      <c r="M655" s="5">
        <f>IF(COUNTIFS($A$2:A655,A655,$D$2:D655,D655)=1,L655,0)</f>
        <v>0</v>
      </c>
      <c r="N655" s="4">
        <f t="shared" si="53"/>
        <v>125.6846153846154</v>
      </c>
      <c r="O655" t="str">
        <f t="shared" si="54"/>
        <v>OK</v>
      </c>
    </row>
    <row r="656" spans="1:15">
      <c r="A656" t="str">
        <f>'Raw Data'!A656</f>
        <v>Charlotte RM-10</v>
      </c>
      <c r="B656" t="str">
        <f>'Raw Data'!B656</f>
        <v>South</v>
      </c>
      <c r="C656" t="str">
        <f>'Raw Data'!C656</f>
        <v>Electronics</v>
      </c>
      <c r="D656" s="3">
        <f>'Raw Data'!D656</f>
        <v>45689</v>
      </c>
      <c r="E656" t="str">
        <f t="shared" si="50"/>
        <v>Feb</v>
      </c>
      <c r="F656" s="5">
        <f>'Raw Data'!E656</f>
        <v>79</v>
      </c>
      <c r="G656" s="4">
        <f>'Raw Data'!F656</f>
        <v>11277.77</v>
      </c>
      <c r="H656" s="4">
        <f>'Raw Data'!G656</f>
        <v>8409.34</v>
      </c>
      <c r="I656" s="4">
        <f t="shared" si="51"/>
        <v>2868.4300000000003</v>
      </c>
      <c r="J656" s="8">
        <f t="shared" si="52"/>
        <v>0.25434372220749318</v>
      </c>
      <c r="K656" s="6">
        <f>'Raw Data'!I656</f>
        <v>3.53</v>
      </c>
      <c r="L656" s="5">
        <f>'Raw Data'!J656</f>
        <v>28</v>
      </c>
      <c r="M656" s="5">
        <f>IF(COUNTIFS($A$2:A656,A656,$D$2:D656,D656)=1,L656,0)</f>
        <v>28</v>
      </c>
      <c r="N656" s="4">
        <f t="shared" si="53"/>
        <v>402.77750000000003</v>
      </c>
      <c r="O656" t="str">
        <f t="shared" si="54"/>
        <v>OK</v>
      </c>
    </row>
    <row r="657" spans="1:15">
      <c r="A657" t="str">
        <f>'Raw Data'!A657</f>
        <v>Charlotte RM-10</v>
      </c>
      <c r="B657" t="str">
        <f>'Raw Data'!B657</f>
        <v>South</v>
      </c>
      <c r="C657" t="str">
        <f>'Raw Data'!C657</f>
        <v>Home Goods</v>
      </c>
      <c r="D657" s="3">
        <f>'Raw Data'!D657</f>
        <v>45689</v>
      </c>
      <c r="E657" t="str">
        <f t="shared" si="50"/>
        <v>Feb</v>
      </c>
      <c r="F657" s="5">
        <f>'Raw Data'!E657</f>
        <v>65</v>
      </c>
      <c r="G657" s="4">
        <f>'Raw Data'!F657</f>
        <v>4783.8</v>
      </c>
      <c r="H657" s="4">
        <f>'Raw Data'!G657</f>
        <v>3142.24</v>
      </c>
      <c r="I657" s="4">
        <f t="shared" si="51"/>
        <v>1641.5600000000004</v>
      </c>
      <c r="J657" s="8">
        <f t="shared" si="52"/>
        <v>0.34314979723232586</v>
      </c>
      <c r="K657" s="6">
        <f>'Raw Data'!I657</f>
        <v>3.72</v>
      </c>
      <c r="L657" s="5">
        <f>'Raw Data'!J657</f>
        <v>28</v>
      </c>
      <c r="M657" s="5">
        <f>IF(COUNTIFS($A$2:A657,A657,$D$2:D657,D657)=1,L657,0)</f>
        <v>0</v>
      </c>
      <c r="N657" s="4">
        <f t="shared" si="53"/>
        <v>170.85</v>
      </c>
      <c r="O657" t="str">
        <f t="shared" si="54"/>
        <v>OK</v>
      </c>
    </row>
    <row r="658" spans="1:15">
      <c r="A658" t="str">
        <f>'Raw Data'!A658</f>
        <v>Charlotte RM-10</v>
      </c>
      <c r="B658" t="str">
        <f>'Raw Data'!B658</f>
        <v>South</v>
      </c>
      <c r="C658" t="str">
        <f>'Raw Data'!C658</f>
        <v>Apparel</v>
      </c>
      <c r="D658" s="3">
        <f>'Raw Data'!D658</f>
        <v>45689</v>
      </c>
      <c r="E658" t="str">
        <f t="shared" si="50"/>
        <v>Feb</v>
      </c>
      <c r="F658" s="5">
        <f>'Raw Data'!E658</f>
        <v>98</v>
      </c>
      <c r="G658" s="4">
        <f>'Raw Data'!F658</f>
        <v>4728.6899999999996</v>
      </c>
      <c r="H658" s="4">
        <f>'Raw Data'!G658</f>
        <v>2755.47</v>
      </c>
      <c r="I658" s="4">
        <f t="shared" si="51"/>
        <v>1973.2199999999998</v>
      </c>
      <c r="J658" s="8">
        <f t="shared" si="52"/>
        <v>0.41728681727920419</v>
      </c>
      <c r="K658" s="6">
        <f>'Raw Data'!I658</f>
        <v>3.7</v>
      </c>
      <c r="L658" s="5">
        <f>'Raw Data'!J658</f>
        <v>28</v>
      </c>
      <c r="M658" s="5">
        <f>IF(COUNTIFS($A$2:A658,A658,$D$2:D658,D658)=1,L658,0)</f>
        <v>0</v>
      </c>
      <c r="N658" s="4">
        <f t="shared" si="53"/>
        <v>168.88178571428571</v>
      </c>
      <c r="O658" t="str">
        <f t="shared" si="54"/>
        <v>OK</v>
      </c>
    </row>
    <row r="659" spans="1:15">
      <c r="A659" t="str">
        <f>'Raw Data'!A659</f>
        <v>Charlotte RM-10</v>
      </c>
      <c r="B659" t="str">
        <f>'Raw Data'!B659</f>
        <v>South</v>
      </c>
      <c r="C659" t="str">
        <f>'Raw Data'!C659</f>
        <v>Beauty</v>
      </c>
      <c r="D659" s="3">
        <f>'Raw Data'!D659</f>
        <v>45689</v>
      </c>
      <c r="E659" t="str">
        <f t="shared" si="50"/>
        <v>Feb</v>
      </c>
      <c r="F659" s="5">
        <f>'Raw Data'!E659</f>
        <v>83</v>
      </c>
      <c r="G659" s="4">
        <f>'Raw Data'!F659</f>
        <v>3212.25</v>
      </c>
      <c r="H659" s="4">
        <f>'Raw Data'!G659</f>
        <v>1470.65</v>
      </c>
      <c r="I659" s="4">
        <f t="shared" si="51"/>
        <v>1741.6</v>
      </c>
      <c r="J659" s="8">
        <f t="shared" si="52"/>
        <v>0.54217448828702619</v>
      </c>
      <c r="K659" s="6">
        <f>'Raw Data'!I659</f>
        <v>3.62</v>
      </c>
      <c r="L659" s="5">
        <f>'Raw Data'!J659</f>
        <v>28</v>
      </c>
      <c r="M659" s="5">
        <f>IF(COUNTIFS($A$2:A659,A659,$D$2:D659,D659)=1,L659,0)</f>
        <v>0</v>
      </c>
      <c r="N659" s="4">
        <f t="shared" si="53"/>
        <v>114.72321428571429</v>
      </c>
      <c r="O659" t="str">
        <f t="shared" si="54"/>
        <v>OK</v>
      </c>
    </row>
    <row r="660" spans="1:15">
      <c r="A660" t="str">
        <f>'Raw Data'!A660</f>
        <v>Charlotte RM-10</v>
      </c>
      <c r="B660" t="str">
        <f>'Raw Data'!B660</f>
        <v>South</v>
      </c>
      <c r="C660" t="str">
        <f>'Raw Data'!C660</f>
        <v>Grocery</v>
      </c>
      <c r="D660" s="3">
        <f>'Raw Data'!D660</f>
        <v>45689</v>
      </c>
      <c r="E660" t="str">
        <f t="shared" si="50"/>
        <v>Feb</v>
      </c>
      <c r="F660" s="5">
        <f>'Raw Data'!E660</f>
        <v>130</v>
      </c>
      <c r="G660" s="4">
        <f>'Raw Data'!F660</f>
        <v>2251.23</v>
      </c>
      <c r="H660" s="4">
        <f>'Raw Data'!G660</f>
        <v>2016.86</v>
      </c>
      <c r="I660" s="4">
        <f t="shared" si="51"/>
        <v>234.37000000000012</v>
      </c>
      <c r="J660" s="8">
        <f t="shared" si="52"/>
        <v>0.10410753232677253</v>
      </c>
      <c r="K660" s="6">
        <f>'Raw Data'!I660</f>
        <v>3.77</v>
      </c>
      <c r="L660" s="5">
        <f>'Raw Data'!J660</f>
        <v>28</v>
      </c>
      <c r="M660" s="5">
        <f>IF(COUNTIFS($A$2:A660,A660,$D$2:D660,D660)=1,L660,0)</f>
        <v>0</v>
      </c>
      <c r="N660" s="4">
        <f t="shared" si="53"/>
        <v>80.401071428571427</v>
      </c>
      <c r="O660" t="str">
        <f t="shared" si="54"/>
        <v>OK</v>
      </c>
    </row>
    <row r="661" spans="1:15">
      <c r="A661" t="str">
        <f>'Raw Data'!A661</f>
        <v>Charlotte RM-10</v>
      </c>
      <c r="B661" t="str">
        <f>'Raw Data'!B661</f>
        <v>South</v>
      </c>
      <c r="C661" t="str">
        <f>'Raw Data'!C661</f>
        <v>Sports</v>
      </c>
      <c r="D661" s="3">
        <f>'Raw Data'!D661</f>
        <v>45689</v>
      </c>
      <c r="E661" t="str">
        <f t="shared" si="50"/>
        <v>Feb</v>
      </c>
      <c r="F661" s="5">
        <f>'Raw Data'!E661</f>
        <v>62</v>
      </c>
      <c r="G661" s="4">
        <f>'Raw Data'!F661</f>
        <v>3988.39</v>
      </c>
      <c r="H661" s="4">
        <f>'Raw Data'!G661</f>
        <v>2427.87</v>
      </c>
      <c r="I661" s="4">
        <f t="shared" si="51"/>
        <v>1560.52</v>
      </c>
      <c r="J661" s="8">
        <f t="shared" si="52"/>
        <v>0.39126564854490159</v>
      </c>
      <c r="K661" s="6">
        <f>'Raw Data'!I661</f>
        <v>3.81</v>
      </c>
      <c r="L661" s="5">
        <f>'Raw Data'!J661</f>
        <v>28</v>
      </c>
      <c r="M661" s="5">
        <f>IF(COUNTIFS($A$2:A661,A661,$D$2:D661,D661)=1,L661,0)</f>
        <v>0</v>
      </c>
      <c r="N661" s="4">
        <f t="shared" si="53"/>
        <v>142.4425</v>
      </c>
      <c r="O661" t="str">
        <f t="shared" si="54"/>
        <v>OK</v>
      </c>
    </row>
    <row r="662" spans="1:15">
      <c r="A662" t="str">
        <f>'Raw Data'!A662</f>
        <v>Charlotte RM-10</v>
      </c>
      <c r="B662" t="str">
        <f>'Raw Data'!B662</f>
        <v>South</v>
      </c>
      <c r="C662" t="str">
        <f>'Raw Data'!C662</f>
        <v>Electronics</v>
      </c>
      <c r="D662" s="3">
        <f>'Raw Data'!D662</f>
        <v>45717</v>
      </c>
      <c r="E662" t="str">
        <f t="shared" si="50"/>
        <v>Mar</v>
      </c>
      <c r="F662" s="5">
        <f>'Raw Data'!E662</f>
        <v>100</v>
      </c>
      <c r="G662" s="4">
        <f>'Raw Data'!F662</f>
        <v>15595.85</v>
      </c>
      <c r="H662" s="4">
        <f>'Raw Data'!G662</f>
        <v>11810.06</v>
      </c>
      <c r="I662" s="4">
        <f t="shared" si="51"/>
        <v>3785.7900000000009</v>
      </c>
      <c r="J662" s="8">
        <f t="shared" si="52"/>
        <v>0.24274342212832264</v>
      </c>
      <c r="K662" s="6">
        <f>'Raw Data'!I662</f>
        <v>3.52</v>
      </c>
      <c r="L662" s="5">
        <f>'Raw Data'!J662</f>
        <v>27</v>
      </c>
      <c r="M662" s="5">
        <f>IF(COUNTIFS($A$2:A662,A662,$D$2:D662,D662)=1,L662,0)</f>
        <v>27</v>
      </c>
      <c r="N662" s="4">
        <f t="shared" si="53"/>
        <v>577.62407407407409</v>
      </c>
      <c r="O662" t="str">
        <f t="shared" si="54"/>
        <v>OK</v>
      </c>
    </row>
    <row r="663" spans="1:15">
      <c r="A663" t="str">
        <f>'Raw Data'!A663</f>
        <v>Charlotte RM-10</v>
      </c>
      <c r="B663" t="str">
        <f>'Raw Data'!B663</f>
        <v>South</v>
      </c>
      <c r="C663" t="str">
        <f>'Raw Data'!C663</f>
        <v>Home Goods</v>
      </c>
      <c r="D663" s="3">
        <f>'Raw Data'!D663</f>
        <v>45717</v>
      </c>
      <c r="E663" t="str">
        <f t="shared" si="50"/>
        <v>Mar</v>
      </c>
      <c r="F663" s="5">
        <f>'Raw Data'!E663</f>
        <v>93</v>
      </c>
      <c r="G663" s="4">
        <f>'Raw Data'!F663</f>
        <v>6939.63</v>
      </c>
      <c r="H663" s="4">
        <f>'Raw Data'!G663</f>
        <v>4611.54</v>
      </c>
      <c r="I663" s="4">
        <f t="shared" si="51"/>
        <v>2328.09</v>
      </c>
      <c r="J663" s="8">
        <f t="shared" si="52"/>
        <v>0.33547753986884027</v>
      </c>
      <c r="K663" s="6">
        <f>'Raw Data'!I663</f>
        <v>3.57</v>
      </c>
      <c r="L663" s="5">
        <f>'Raw Data'!J663</f>
        <v>27</v>
      </c>
      <c r="M663" s="5">
        <f>IF(COUNTIFS($A$2:A663,A663,$D$2:D663,D663)=1,L663,0)</f>
        <v>0</v>
      </c>
      <c r="N663" s="4">
        <f t="shared" si="53"/>
        <v>257.02333333333331</v>
      </c>
      <c r="O663" t="str">
        <f t="shared" si="54"/>
        <v>OK</v>
      </c>
    </row>
    <row r="664" spans="1:15">
      <c r="A664" t="str">
        <f>'Raw Data'!A664</f>
        <v>Charlotte RM-10</v>
      </c>
      <c r="B664" t="str">
        <f>'Raw Data'!B664</f>
        <v>South</v>
      </c>
      <c r="C664" t="str">
        <f>'Raw Data'!C664</f>
        <v>Apparel</v>
      </c>
      <c r="D664" s="3">
        <f>'Raw Data'!D664</f>
        <v>45717</v>
      </c>
      <c r="E664" t="str">
        <f t="shared" si="50"/>
        <v>Mar</v>
      </c>
      <c r="F664" s="5">
        <f>'Raw Data'!E664</f>
        <v>145</v>
      </c>
      <c r="G664" s="4">
        <f>'Raw Data'!F664</f>
        <v>7084.12</v>
      </c>
      <c r="H664" s="4">
        <f>'Raw Data'!G664</f>
        <v>4206.41</v>
      </c>
      <c r="I664" s="4">
        <f t="shared" si="51"/>
        <v>2877.71</v>
      </c>
      <c r="J664" s="8">
        <f t="shared" si="52"/>
        <v>0.40621982688040292</v>
      </c>
      <c r="K664" s="6">
        <f>'Raw Data'!I664</f>
        <v>3.54</v>
      </c>
      <c r="L664" s="5">
        <f>'Raw Data'!J664</f>
        <v>27</v>
      </c>
      <c r="M664" s="5">
        <f>IF(COUNTIFS($A$2:A664,A664,$D$2:D664,D664)=1,L664,0)</f>
        <v>0</v>
      </c>
      <c r="N664" s="4">
        <f t="shared" si="53"/>
        <v>262.37481481481478</v>
      </c>
      <c r="O664" t="str">
        <f t="shared" si="54"/>
        <v>OK</v>
      </c>
    </row>
    <row r="665" spans="1:15">
      <c r="A665" t="str">
        <f>'Raw Data'!A665</f>
        <v>Charlotte RM-10</v>
      </c>
      <c r="B665" t="str">
        <f>'Raw Data'!B665</f>
        <v>South</v>
      </c>
      <c r="C665" t="str">
        <f>'Raw Data'!C665</f>
        <v>Beauty</v>
      </c>
      <c r="D665" s="3">
        <f>'Raw Data'!D665</f>
        <v>45717</v>
      </c>
      <c r="E665" t="str">
        <f t="shared" si="50"/>
        <v>Mar</v>
      </c>
      <c r="F665" s="5">
        <f>'Raw Data'!E665</f>
        <v>84</v>
      </c>
      <c r="G665" s="4">
        <f>'Raw Data'!F665</f>
        <v>2885.7</v>
      </c>
      <c r="H665" s="4">
        <f>'Raw Data'!G665</f>
        <v>1386.06</v>
      </c>
      <c r="I665" s="4">
        <f t="shared" si="51"/>
        <v>1499.6399999999999</v>
      </c>
      <c r="J665" s="8">
        <f t="shared" si="52"/>
        <v>0.51967980039505146</v>
      </c>
      <c r="K665" s="6">
        <f>'Raw Data'!I665</f>
        <v>3.55</v>
      </c>
      <c r="L665" s="5">
        <f>'Raw Data'!J665</f>
        <v>27</v>
      </c>
      <c r="M665" s="5">
        <f>IF(COUNTIFS($A$2:A665,A665,$D$2:D665,D665)=1,L665,0)</f>
        <v>0</v>
      </c>
      <c r="N665" s="4">
        <f t="shared" si="53"/>
        <v>106.87777777777777</v>
      </c>
      <c r="O665" t="str">
        <f t="shared" si="54"/>
        <v>OK</v>
      </c>
    </row>
    <row r="666" spans="1:15">
      <c r="A666" t="str">
        <f>'Raw Data'!A666</f>
        <v>Charlotte RM-10</v>
      </c>
      <c r="B666" t="str">
        <f>'Raw Data'!B666</f>
        <v>South</v>
      </c>
      <c r="C666" t="str">
        <f>'Raw Data'!C666</f>
        <v>Grocery</v>
      </c>
      <c r="D666" s="3">
        <f>'Raw Data'!D666</f>
        <v>45717</v>
      </c>
      <c r="E666" t="str">
        <f t="shared" si="50"/>
        <v>Mar</v>
      </c>
      <c r="F666" s="5">
        <f>'Raw Data'!E666</f>
        <v>166</v>
      </c>
      <c r="G666" s="4">
        <f>'Raw Data'!F666</f>
        <v>2901.71</v>
      </c>
      <c r="H666" s="4">
        <f>'Raw Data'!G666</f>
        <v>2541.44</v>
      </c>
      <c r="I666" s="4">
        <f t="shared" si="51"/>
        <v>360.27</v>
      </c>
      <c r="J666" s="8">
        <f t="shared" si="52"/>
        <v>0.12415782417953551</v>
      </c>
      <c r="K666" s="6">
        <f>'Raw Data'!I666</f>
        <v>3.62</v>
      </c>
      <c r="L666" s="5">
        <f>'Raw Data'!J666</f>
        <v>27</v>
      </c>
      <c r="M666" s="5">
        <f>IF(COUNTIFS($A$2:A666,A666,$D$2:D666,D666)=1,L666,0)</f>
        <v>0</v>
      </c>
      <c r="N666" s="4">
        <f t="shared" si="53"/>
        <v>107.47074074074074</v>
      </c>
      <c r="O666" t="str">
        <f t="shared" si="54"/>
        <v>OK</v>
      </c>
    </row>
    <row r="667" spans="1:15">
      <c r="A667" t="str">
        <f>'Raw Data'!A667</f>
        <v>Charlotte RM-10</v>
      </c>
      <c r="B667" t="str">
        <f>'Raw Data'!B667</f>
        <v>South</v>
      </c>
      <c r="C667" t="str">
        <f>'Raw Data'!C667</f>
        <v>Sports</v>
      </c>
      <c r="D667" s="3">
        <f>'Raw Data'!D667</f>
        <v>45717</v>
      </c>
      <c r="E667" t="str">
        <f t="shared" si="50"/>
        <v>Mar</v>
      </c>
      <c r="F667" s="5">
        <f>'Raw Data'!E667</f>
        <v>70</v>
      </c>
      <c r="G667" s="4">
        <f>'Raw Data'!F667</f>
        <v>4496.59</v>
      </c>
      <c r="H667" s="4">
        <f>'Raw Data'!G667</f>
        <v>2916.45</v>
      </c>
      <c r="I667" s="4">
        <f t="shared" si="51"/>
        <v>1580.1400000000003</v>
      </c>
      <c r="J667" s="8">
        <f t="shared" si="52"/>
        <v>0.35140851178337368</v>
      </c>
      <c r="K667" s="6">
        <f>'Raw Data'!I667</f>
        <v>3.54</v>
      </c>
      <c r="L667" s="5">
        <f>'Raw Data'!J667</f>
        <v>27</v>
      </c>
      <c r="M667" s="5">
        <f>IF(COUNTIFS($A$2:A667,A667,$D$2:D667,D667)=1,L667,0)</f>
        <v>0</v>
      </c>
      <c r="N667" s="4">
        <f t="shared" si="53"/>
        <v>166.54037037037037</v>
      </c>
      <c r="O667" t="str">
        <f t="shared" si="54"/>
        <v>OK</v>
      </c>
    </row>
    <row r="668" spans="1:15">
      <c r="A668" t="str">
        <f>'Raw Data'!A668</f>
        <v>Charlotte RM-10</v>
      </c>
      <c r="B668" t="str">
        <f>'Raw Data'!B668</f>
        <v>South</v>
      </c>
      <c r="C668" t="str">
        <f>'Raw Data'!C668</f>
        <v>Electronics</v>
      </c>
      <c r="D668" s="3">
        <f>'Raw Data'!D668</f>
        <v>45748</v>
      </c>
      <c r="E668" t="str">
        <f t="shared" si="50"/>
        <v>Apr</v>
      </c>
      <c r="F668" s="5">
        <f>'Raw Data'!E668</f>
        <v>103</v>
      </c>
      <c r="G668" s="4">
        <f>'Raw Data'!F668</f>
        <v>16123.86</v>
      </c>
      <c r="H668" s="4">
        <f>'Raw Data'!G668</f>
        <v>12158.56</v>
      </c>
      <c r="I668" s="4">
        <f t="shared" si="51"/>
        <v>3965.3000000000011</v>
      </c>
      <c r="J668" s="8">
        <f t="shared" si="52"/>
        <v>0.24592746401916171</v>
      </c>
      <c r="K668" s="6">
        <f>'Raw Data'!I668</f>
        <v>3.74</v>
      </c>
      <c r="L668" s="5">
        <f>'Raw Data'!J668</f>
        <v>27</v>
      </c>
      <c r="M668" s="5">
        <f>IF(COUNTIFS($A$2:A668,A668,$D$2:D668,D668)=1,L668,0)</f>
        <v>27</v>
      </c>
      <c r="N668" s="4">
        <f t="shared" si="53"/>
        <v>597.18000000000006</v>
      </c>
      <c r="O668" t="str">
        <f t="shared" si="54"/>
        <v>OK</v>
      </c>
    </row>
    <row r="669" spans="1:15">
      <c r="A669" t="str">
        <f>'Raw Data'!A669</f>
        <v>Charlotte RM-10</v>
      </c>
      <c r="B669" t="str">
        <f>'Raw Data'!B669</f>
        <v>South</v>
      </c>
      <c r="C669" t="str">
        <f>'Raw Data'!C669</f>
        <v>Home Goods</v>
      </c>
      <c r="D669" s="3">
        <f>'Raw Data'!D669</f>
        <v>45748</v>
      </c>
      <c r="E669" t="str">
        <f t="shared" si="50"/>
        <v>Apr</v>
      </c>
      <c r="F669" s="5">
        <f>'Raw Data'!E669</f>
        <v>89</v>
      </c>
      <c r="G669" s="4">
        <f>'Raw Data'!F669</f>
        <v>7124.53</v>
      </c>
      <c r="H669" s="4">
        <f>'Raw Data'!G669</f>
        <v>4573.18</v>
      </c>
      <c r="I669" s="4">
        <f t="shared" si="51"/>
        <v>2551.3499999999995</v>
      </c>
      <c r="J669" s="8">
        <f t="shared" si="52"/>
        <v>0.35810783307811178</v>
      </c>
      <c r="K669" s="6">
        <f>'Raw Data'!I669</f>
        <v>3.81</v>
      </c>
      <c r="L669" s="5">
        <f>'Raw Data'!J669</f>
        <v>27</v>
      </c>
      <c r="M669" s="5">
        <f>IF(COUNTIFS($A$2:A669,A669,$D$2:D669,D669)=1,L669,0)</f>
        <v>0</v>
      </c>
      <c r="N669" s="4">
        <f t="shared" si="53"/>
        <v>263.87148148148145</v>
      </c>
      <c r="O669" t="str">
        <f t="shared" si="54"/>
        <v>OK</v>
      </c>
    </row>
    <row r="670" spans="1:15">
      <c r="A670" t="str">
        <f>'Raw Data'!A670</f>
        <v>Charlotte RM-10</v>
      </c>
      <c r="B670" t="str">
        <f>'Raw Data'!B670</f>
        <v>South</v>
      </c>
      <c r="C670" t="str">
        <f>'Raw Data'!C670</f>
        <v>Apparel</v>
      </c>
      <c r="D670" s="3">
        <f>'Raw Data'!D670</f>
        <v>45748</v>
      </c>
      <c r="E670" t="str">
        <f t="shared" si="50"/>
        <v>Apr</v>
      </c>
      <c r="F670" s="5">
        <f>'Raw Data'!E670</f>
        <v>137</v>
      </c>
      <c r="G670" s="4">
        <f>'Raw Data'!F670</f>
        <v>7048.94</v>
      </c>
      <c r="H670" s="4">
        <f>'Raw Data'!G670</f>
        <v>4101.62</v>
      </c>
      <c r="I670" s="4">
        <f t="shared" si="51"/>
        <v>2947.3199999999997</v>
      </c>
      <c r="J670" s="8">
        <f t="shared" si="52"/>
        <v>0.41812244110461999</v>
      </c>
      <c r="K670" s="6">
        <f>'Raw Data'!I670</f>
        <v>3.84</v>
      </c>
      <c r="L670" s="5">
        <f>'Raw Data'!J670</f>
        <v>27</v>
      </c>
      <c r="M670" s="5">
        <f>IF(COUNTIFS($A$2:A670,A670,$D$2:D670,D670)=1,L670,0)</f>
        <v>0</v>
      </c>
      <c r="N670" s="4">
        <f t="shared" si="53"/>
        <v>261.07185185185182</v>
      </c>
      <c r="O670" t="str">
        <f t="shared" si="54"/>
        <v>OK</v>
      </c>
    </row>
    <row r="671" spans="1:15">
      <c r="A671" t="str">
        <f>'Raw Data'!A671</f>
        <v>Charlotte RM-10</v>
      </c>
      <c r="B671" t="str">
        <f>'Raw Data'!B671</f>
        <v>South</v>
      </c>
      <c r="C671" t="str">
        <f>'Raw Data'!C671</f>
        <v>Beauty</v>
      </c>
      <c r="D671" s="3">
        <f>'Raw Data'!D671</f>
        <v>45748</v>
      </c>
      <c r="E671" t="str">
        <f t="shared" si="50"/>
        <v>Apr</v>
      </c>
      <c r="F671" s="5">
        <f>'Raw Data'!E671</f>
        <v>91</v>
      </c>
      <c r="G671" s="4">
        <f>'Raw Data'!F671</f>
        <v>3278.1</v>
      </c>
      <c r="H671" s="4">
        <f>'Raw Data'!G671</f>
        <v>1588.03</v>
      </c>
      <c r="I671" s="4">
        <f t="shared" si="51"/>
        <v>1690.07</v>
      </c>
      <c r="J671" s="8">
        <f t="shared" si="52"/>
        <v>0.51556389371892253</v>
      </c>
      <c r="K671" s="6">
        <f>'Raw Data'!I671</f>
        <v>3.68</v>
      </c>
      <c r="L671" s="5">
        <f>'Raw Data'!J671</f>
        <v>27</v>
      </c>
      <c r="M671" s="5">
        <f>IF(COUNTIFS($A$2:A671,A671,$D$2:D671,D671)=1,L671,0)</f>
        <v>0</v>
      </c>
      <c r="N671" s="4">
        <f t="shared" si="53"/>
        <v>121.41111111111111</v>
      </c>
      <c r="O671" t="str">
        <f t="shared" si="54"/>
        <v>OK</v>
      </c>
    </row>
    <row r="672" spans="1:15">
      <c r="A672" t="str">
        <f>'Raw Data'!A672</f>
        <v>Charlotte RM-10</v>
      </c>
      <c r="B672" t="str">
        <f>'Raw Data'!B672</f>
        <v>South</v>
      </c>
      <c r="C672" t="str">
        <f>'Raw Data'!C672</f>
        <v>Grocery</v>
      </c>
      <c r="D672" s="3">
        <f>'Raw Data'!D672</f>
        <v>45748</v>
      </c>
      <c r="E672" t="str">
        <f t="shared" si="50"/>
        <v>Apr</v>
      </c>
      <c r="F672" s="5">
        <f>'Raw Data'!E672</f>
        <v>147</v>
      </c>
      <c r="G672" s="4">
        <f>'Raw Data'!F672</f>
        <v>2618.35</v>
      </c>
      <c r="H672" s="4">
        <f>'Raw Data'!G672</f>
        <v>2408.88</v>
      </c>
      <c r="I672" s="4">
        <f t="shared" si="51"/>
        <v>209.4699999999998</v>
      </c>
      <c r="J672" s="8">
        <f t="shared" si="52"/>
        <v>8.0000763839822714E-2</v>
      </c>
      <c r="K672" s="6">
        <f>'Raw Data'!I672</f>
        <v>3.57</v>
      </c>
      <c r="L672" s="5">
        <f>'Raw Data'!J672</f>
        <v>27</v>
      </c>
      <c r="M672" s="5">
        <f>IF(COUNTIFS($A$2:A672,A672,$D$2:D672,D672)=1,L672,0)</f>
        <v>0</v>
      </c>
      <c r="N672" s="4">
        <f t="shared" si="53"/>
        <v>96.975925925925921</v>
      </c>
      <c r="O672" t="str">
        <f t="shared" si="54"/>
        <v>OK</v>
      </c>
    </row>
    <row r="673" spans="1:15">
      <c r="A673" t="str">
        <f>'Raw Data'!A673</f>
        <v>Charlotte RM-10</v>
      </c>
      <c r="B673" t="str">
        <f>'Raw Data'!B673</f>
        <v>South</v>
      </c>
      <c r="C673" t="str">
        <f>'Raw Data'!C673</f>
        <v>Sports</v>
      </c>
      <c r="D673" s="3">
        <f>'Raw Data'!D673</f>
        <v>45748</v>
      </c>
      <c r="E673" t="str">
        <f t="shared" si="50"/>
        <v>Apr</v>
      </c>
      <c r="F673" s="5">
        <f>'Raw Data'!E673</f>
        <v>76</v>
      </c>
      <c r="G673" s="4">
        <f>'Raw Data'!F673</f>
        <v>4723.5</v>
      </c>
      <c r="H673" s="4">
        <f>'Raw Data'!G673</f>
        <v>2950.06</v>
      </c>
      <c r="I673" s="4">
        <f t="shared" si="51"/>
        <v>1773.44</v>
      </c>
      <c r="J673" s="8">
        <f t="shared" si="52"/>
        <v>0.37545040753678416</v>
      </c>
      <c r="K673" s="6">
        <f>'Raw Data'!I673</f>
        <v>3.73</v>
      </c>
      <c r="L673" s="5">
        <f>'Raw Data'!J673</f>
        <v>27</v>
      </c>
      <c r="M673" s="5">
        <f>IF(COUNTIFS($A$2:A673,A673,$D$2:D673,D673)=1,L673,0)</f>
        <v>0</v>
      </c>
      <c r="N673" s="4">
        <f t="shared" si="53"/>
        <v>174.94444444444446</v>
      </c>
      <c r="O673" t="str">
        <f t="shared" si="54"/>
        <v>OK</v>
      </c>
    </row>
    <row r="674" spans="1:15">
      <c r="A674" t="str">
        <f>'Raw Data'!A674</f>
        <v>Charlotte RM-10</v>
      </c>
      <c r="B674" t="str">
        <f>'Raw Data'!B674</f>
        <v>South</v>
      </c>
      <c r="C674" t="str">
        <f>'Raw Data'!C674</f>
        <v>Electronics</v>
      </c>
      <c r="D674" s="3">
        <f>'Raw Data'!D674</f>
        <v>45778</v>
      </c>
      <c r="E674" t="str">
        <f t="shared" si="50"/>
        <v>May</v>
      </c>
      <c r="F674" s="5">
        <f>'Raw Data'!E674</f>
        <v>101</v>
      </c>
      <c r="G674" s="4">
        <f>'Raw Data'!F674</f>
        <v>15576.26</v>
      </c>
      <c r="H674" s="4">
        <f>'Raw Data'!G674</f>
        <v>12040.86</v>
      </c>
      <c r="I674" s="4">
        <f t="shared" si="51"/>
        <v>3535.3999999999996</v>
      </c>
      <c r="J674" s="8">
        <f t="shared" si="52"/>
        <v>0.22697361240759975</v>
      </c>
      <c r="K674" s="6">
        <f>'Raw Data'!I674</f>
        <v>3.54</v>
      </c>
      <c r="L674" s="5">
        <f>'Raw Data'!J674</f>
        <v>27</v>
      </c>
      <c r="M674" s="5">
        <f>IF(COUNTIFS($A$2:A674,A674,$D$2:D674,D674)=1,L674,0)</f>
        <v>27</v>
      </c>
      <c r="N674" s="4">
        <f t="shared" si="53"/>
        <v>576.89851851851847</v>
      </c>
      <c r="O674" t="str">
        <f t="shared" si="54"/>
        <v>OK</v>
      </c>
    </row>
    <row r="675" spans="1:15">
      <c r="A675" t="str">
        <f>'Raw Data'!A675</f>
        <v>Charlotte RM-10</v>
      </c>
      <c r="B675" t="str">
        <f>'Raw Data'!B675</f>
        <v>South</v>
      </c>
      <c r="C675" t="str">
        <f>'Raw Data'!C675</f>
        <v>Home Goods</v>
      </c>
      <c r="D675" s="3">
        <f>'Raw Data'!D675</f>
        <v>45778</v>
      </c>
      <c r="E675" t="str">
        <f t="shared" si="50"/>
        <v>May</v>
      </c>
      <c r="F675" s="5">
        <f>'Raw Data'!E675</f>
        <v>89</v>
      </c>
      <c r="G675" s="4">
        <f>'Raw Data'!F675</f>
        <v>6720.86</v>
      </c>
      <c r="H675" s="4">
        <f>'Raw Data'!G675</f>
        <v>4441.03</v>
      </c>
      <c r="I675" s="4">
        <f t="shared" si="51"/>
        <v>2279.83</v>
      </c>
      <c r="J675" s="8">
        <f t="shared" si="52"/>
        <v>0.33921700496662632</v>
      </c>
      <c r="K675" s="6">
        <f>'Raw Data'!I675</f>
        <v>3.74</v>
      </c>
      <c r="L675" s="5">
        <f>'Raw Data'!J675</f>
        <v>27</v>
      </c>
      <c r="M675" s="5">
        <f>IF(COUNTIFS($A$2:A675,A675,$D$2:D675,D675)=1,L675,0)</f>
        <v>0</v>
      </c>
      <c r="N675" s="4">
        <f t="shared" si="53"/>
        <v>248.92074074074074</v>
      </c>
      <c r="O675" t="str">
        <f t="shared" si="54"/>
        <v>OK</v>
      </c>
    </row>
    <row r="676" spans="1:15">
      <c r="A676" t="str">
        <f>'Raw Data'!A676</f>
        <v>Charlotte RM-10</v>
      </c>
      <c r="B676" t="str">
        <f>'Raw Data'!B676</f>
        <v>South</v>
      </c>
      <c r="C676" t="str">
        <f>'Raw Data'!C676</f>
        <v>Apparel</v>
      </c>
      <c r="D676" s="3">
        <f>'Raw Data'!D676</f>
        <v>45778</v>
      </c>
      <c r="E676" t="str">
        <f t="shared" si="50"/>
        <v>May</v>
      </c>
      <c r="F676" s="5">
        <f>'Raw Data'!E676</f>
        <v>125</v>
      </c>
      <c r="G676" s="4">
        <f>'Raw Data'!F676</f>
        <v>6475.03</v>
      </c>
      <c r="H676" s="4">
        <f>'Raw Data'!G676</f>
        <v>3921.16</v>
      </c>
      <c r="I676" s="4">
        <f t="shared" si="51"/>
        <v>2553.87</v>
      </c>
      <c r="J676" s="8">
        <f t="shared" si="52"/>
        <v>0.39441824979961482</v>
      </c>
      <c r="K676" s="6">
        <f>'Raw Data'!I676</f>
        <v>3.51</v>
      </c>
      <c r="L676" s="5">
        <f>'Raw Data'!J676</f>
        <v>27</v>
      </c>
      <c r="M676" s="5">
        <f>IF(COUNTIFS($A$2:A676,A676,$D$2:D676,D676)=1,L676,0)</f>
        <v>0</v>
      </c>
      <c r="N676" s="4">
        <f t="shared" si="53"/>
        <v>239.81592592592591</v>
      </c>
      <c r="O676" t="str">
        <f t="shared" si="54"/>
        <v>OK</v>
      </c>
    </row>
    <row r="677" spans="1:15">
      <c r="A677" t="str">
        <f>'Raw Data'!A677</f>
        <v>Charlotte RM-10</v>
      </c>
      <c r="B677" t="str">
        <f>'Raw Data'!B677</f>
        <v>South</v>
      </c>
      <c r="C677" t="str">
        <f>'Raw Data'!C677</f>
        <v>Beauty</v>
      </c>
      <c r="D677" s="3">
        <f>'Raw Data'!D677</f>
        <v>45778</v>
      </c>
      <c r="E677" t="str">
        <f t="shared" si="50"/>
        <v>May</v>
      </c>
      <c r="F677" s="5">
        <f>'Raw Data'!E677</f>
        <v>96</v>
      </c>
      <c r="G677" s="4">
        <f>'Raw Data'!F677</f>
        <v>3433.71</v>
      </c>
      <c r="H677" s="4">
        <f>'Raw Data'!G677</f>
        <v>1683.19</v>
      </c>
      <c r="I677" s="4">
        <f t="shared" si="51"/>
        <v>1750.52</v>
      </c>
      <c r="J677" s="8">
        <f t="shared" si="52"/>
        <v>0.50980426419237501</v>
      </c>
      <c r="K677" s="6">
        <f>'Raw Data'!I677</f>
        <v>3.68</v>
      </c>
      <c r="L677" s="5">
        <f>'Raw Data'!J677</f>
        <v>27</v>
      </c>
      <c r="M677" s="5">
        <f>IF(COUNTIFS($A$2:A677,A677,$D$2:D677,D677)=1,L677,0)</f>
        <v>0</v>
      </c>
      <c r="N677" s="4">
        <f t="shared" si="53"/>
        <v>127.17444444444445</v>
      </c>
      <c r="O677" t="str">
        <f t="shared" si="54"/>
        <v>OK</v>
      </c>
    </row>
    <row r="678" spans="1:15">
      <c r="A678" t="str">
        <f>'Raw Data'!A678</f>
        <v>Charlotte RM-10</v>
      </c>
      <c r="B678" t="str">
        <f>'Raw Data'!B678</f>
        <v>South</v>
      </c>
      <c r="C678" t="str">
        <f>'Raw Data'!C678</f>
        <v>Grocery</v>
      </c>
      <c r="D678" s="3">
        <f>'Raw Data'!D678</f>
        <v>45778</v>
      </c>
      <c r="E678" t="str">
        <f t="shared" si="50"/>
        <v>May</v>
      </c>
      <c r="F678" s="5">
        <f>'Raw Data'!E678</f>
        <v>171</v>
      </c>
      <c r="G678" s="4">
        <f>'Raw Data'!F678</f>
        <v>3137.07</v>
      </c>
      <c r="H678" s="4">
        <f>'Raw Data'!G678</f>
        <v>2805.56</v>
      </c>
      <c r="I678" s="4">
        <f t="shared" si="51"/>
        <v>331.51000000000022</v>
      </c>
      <c r="J678" s="8">
        <f t="shared" si="52"/>
        <v>0.10567504072271267</v>
      </c>
      <c r="K678" s="6">
        <f>'Raw Data'!I678</f>
        <v>3.57</v>
      </c>
      <c r="L678" s="5">
        <f>'Raw Data'!J678</f>
        <v>27</v>
      </c>
      <c r="M678" s="5">
        <f>IF(COUNTIFS($A$2:A678,A678,$D$2:D678,D678)=1,L678,0)</f>
        <v>0</v>
      </c>
      <c r="N678" s="4">
        <f t="shared" si="53"/>
        <v>116.18777777777778</v>
      </c>
      <c r="O678" t="str">
        <f t="shared" si="54"/>
        <v>OK</v>
      </c>
    </row>
    <row r="679" spans="1:15">
      <c r="A679" t="str">
        <f>'Raw Data'!A679</f>
        <v>Charlotte RM-10</v>
      </c>
      <c r="B679" t="str">
        <f>'Raw Data'!B679</f>
        <v>South</v>
      </c>
      <c r="C679" t="str">
        <f>'Raw Data'!C679</f>
        <v>Sports</v>
      </c>
      <c r="D679" s="3">
        <f>'Raw Data'!D679</f>
        <v>45778</v>
      </c>
      <c r="E679" t="str">
        <f t="shared" si="50"/>
        <v>May</v>
      </c>
      <c r="F679" s="5">
        <f>'Raw Data'!E679</f>
        <v>90</v>
      </c>
      <c r="G679" s="4">
        <f>'Raw Data'!F679</f>
        <v>5265.56</v>
      </c>
      <c r="H679" s="4">
        <f>'Raw Data'!G679</f>
        <v>3410.78</v>
      </c>
      <c r="I679" s="4">
        <f t="shared" si="51"/>
        <v>1854.7800000000002</v>
      </c>
      <c r="J679" s="8">
        <f t="shared" si="52"/>
        <v>0.35224743427099875</v>
      </c>
      <c r="K679" s="6">
        <f>'Raw Data'!I679</f>
        <v>3.52</v>
      </c>
      <c r="L679" s="5">
        <f>'Raw Data'!J679</f>
        <v>27</v>
      </c>
      <c r="M679" s="5">
        <f>IF(COUNTIFS($A$2:A679,A679,$D$2:D679,D679)=1,L679,0)</f>
        <v>0</v>
      </c>
      <c r="N679" s="4">
        <f t="shared" si="53"/>
        <v>195.02074074074076</v>
      </c>
      <c r="O679" t="str">
        <f t="shared" si="54"/>
        <v>OK</v>
      </c>
    </row>
    <row r="680" spans="1:15">
      <c r="A680" t="str">
        <f>'Raw Data'!A680</f>
        <v>Charlotte RM-10</v>
      </c>
      <c r="B680" t="str">
        <f>'Raw Data'!B680</f>
        <v>South</v>
      </c>
      <c r="C680" t="str">
        <f>'Raw Data'!C680</f>
        <v>Electronics</v>
      </c>
      <c r="D680" s="3">
        <f>'Raw Data'!D680</f>
        <v>45809</v>
      </c>
      <c r="E680" t="str">
        <f t="shared" si="50"/>
        <v>Jun</v>
      </c>
      <c r="F680" s="5">
        <f>'Raw Data'!E680</f>
        <v>139</v>
      </c>
      <c r="G680" s="4">
        <f>'Raw Data'!F680</f>
        <v>20439.599999999999</v>
      </c>
      <c r="H680" s="4">
        <f>'Raw Data'!G680</f>
        <v>16198.14</v>
      </c>
      <c r="I680" s="4">
        <f t="shared" si="51"/>
        <v>4241.4599999999991</v>
      </c>
      <c r="J680" s="8">
        <f t="shared" si="52"/>
        <v>0.20751188868666703</v>
      </c>
      <c r="K680" s="6">
        <f>'Raw Data'!I680</f>
        <v>3.86</v>
      </c>
      <c r="L680" s="5">
        <f>'Raw Data'!J680</f>
        <v>28</v>
      </c>
      <c r="M680" s="5">
        <f>IF(COUNTIFS($A$2:A680,A680,$D$2:D680,D680)=1,L680,0)</f>
        <v>28</v>
      </c>
      <c r="N680" s="4">
        <f t="shared" si="53"/>
        <v>729.98571428571427</v>
      </c>
      <c r="O680" t="str">
        <f t="shared" si="54"/>
        <v>OK</v>
      </c>
    </row>
    <row r="681" spans="1:15">
      <c r="A681" t="str">
        <f>'Raw Data'!A681</f>
        <v>Charlotte RM-10</v>
      </c>
      <c r="B681" t="str">
        <f>'Raw Data'!B681</f>
        <v>South</v>
      </c>
      <c r="C681" t="str">
        <f>'Raw Data'!C681</f>
        <v>Home Goods</v>
      </c>
      <c r="D681" s="3">
        <f>'Raw Data'!D681</f>
        <v>45809</v>
      </c>
      <c r="E681" t="str">
        <f t="shared" si="50"/>
        <v>Jun</v>
      </c>
      <c r="F681" s="5">
        <f>'Raw Data'!E681</f>
        <v>111</v>
      </c>
      <c r="G681" s="4">
        <f>'Raw Data'!F681</f>
        <v>9080.15</v>
      </c>
      <c r="H681" s="4">
        <f>'Raw Data'!G681</f>
        <v>5937.74</v>
      </c>
      <c r="I681" s="4">
        <f t="shared" si="51"/>
        <v>3142.41</v>
      </c>
      <c r="J681" s="8">
        <f t="shared" si="52"/>
        <v>0.34607467938304981</v>
      </c>
      <c r="K681" s="6">
        <f>'Raw Data'!I681</f>
        <v>3.74</v>
      </c>
      <c r="L681" s="5">
        <f>'Raw Data'!J681</f>
        <v>28</v>
      </c>
      <c r="M681" s="5">
        <f>IF(COUNTIFS($A$2:A681,A681,$D$2:D681,D681)=1,L681,0)</f>
        <v>0</v>
      </c>
      <c r="N681" s="4">
        <f t="shared" si="53"/>
        <v>324.2910714285714</v>
      </c>
      <c r="O681" t="str">
        <f t="shared" si="54"/>
        <v>OK</v>
      </c>
    </row>
    <row r="682" spans="1:15">
      <c r="A682" t="str">
        <f>'Raw Data'!A682</f>
        <v>Charlotte RM-10</v>
      </c>
      <c r="B682" t="str">
        <f>'Raw Data'!B682</f>
        <v>South</v>
      </c>
      <c r="C682" t="str">
        <f>'Raw Data'!C682</f>
        <v>Apparel</v>
      </c>
      <c r="D682" s="3">
        <f>'Raw Data'!D682</f>
        <v>45809</v>
      </c>
      <c r="E682" t="str">
        <f t="shared" si="50"/>
        <v>Jun</v>
      </c>
      <c r="F682" s="5">
        <f>'Raw Data'!E682</f>
        <v>126</v>
      </c>
      <c r="G682" s="4">
        <f>'Raw Data'!F682</f>
        <v>6461.78</v>
      </c>
      <c r="H682" s="4">
        <f>'Raw Data'!G682</f>
        <v>3836.66</v>
      </c>
      <c r="I682" s="4">
        <f t="shared" si="51"/>
        <v>2625.12</v>
      </c>
      <c r="J682" s="8">
        <f t="shared" si="52"/>
        <v>0.40625338529012128</v>
      </c>
      <c r="K682" s="6">
        <f>'Raw Data'!I682</f>
        <v>3.86</v>
      </c>
      <c r="L682" s="5">
        <f>'Raw Data'!J682</f>
        <v>28</v>
      </c>
      <c r="M682" s="5">
        <f>IF(COUNTIFS($A$2:A682,A682,$D$2:D682,D682)=1,L682,0)</f>
        <v>0</v>
      </c>
      <c r="N682" s="4">
        <f t="shared" si="53"/>
        <v>230.77785714285713</v>
      </c>
      <c r="O682" t="str">
        <f t="shared" si="54"/>
        <v>OK</v>
      </c>
    </row>
    <row r="683" spans="1:15">
      <c r="A683" t="str">
        <f>'Raw Data'!A683</f>
        <v>Charlotte RM-10</v>
      </c>
      <c r="B683" t="str">
        <f>'Raw Data'!B683</f>
        <v>South</v>
      </c>
      <c r="C683" t="str">
        <f>'Raw Data'!C683</f>
        <v>Beauty</v>
      </c>
      <c r="D683" s="3">
        <f>'Raw Data'!D683</f>
        <v>45809</v>
      </c>
      <c r="E683" t="str">
        <f t="shared" si="50"/>
        <v>Jun</v>
      </c>
      <c r="F683" s="5">
        <f>'Raw Data'!E683</f>
        <v>123</v>
      </c>
      <c r="G683" s="4">
        <f>'Raw Data'!F683</f>
        <v>4298.34</v>
      </c>
      <c r="H683" s="4">
        <f>'Raw Data'!G683</f>
        <v>2149.9699999999998</v>
      </c>
      <c r="I683" s="4">
        <f t="shared" si="51"/>
        <v>2148.3700000000003</v>
      </c>
      <c r="J683" s="8">
        <f t="shared" si="52"/>
        <v>0.49981388163802776</v>
      </c>
      <c r="K683" s="6">
        <f>'Raw Data'!I683</f>
        <v>3.79</v>
      </c>
      <c r="L683" s="5">
        <f>'Raw Data'!J683</f>
        <v>28</v>
      </c>
      <c r="M683" s="5">
        <f>IF(COUNTIFS($A$2:A683,A683,$D$2:D683,D683)=1,L683,0)</f>
        <v>0</v>
      </c>
      <c r="N683" s="4">
        <f t="shared" si="53"/>
        <v>153.51214285714286</v>
      </c>
      <c r="O683" t="str">
        <f t="shared" si="54"/>
        <v>OK</v>
      </c>
    </row>
    <row r="684" spans="1:15">
      <c r="A684" t="str">
        <f>'Raw Data'!A684</f>
        <v>Charlotte RM-10</v>
      </c>
      <c r="B684" t="str">
        <f>'Raw Data'!B684</f>
        <v>South</v>
      </c>
      <c r="C684" t="str">
        <f>'Raw Data'!C684</f>
        <v>Grocery</v>
      </c>
      <c r="D684" s="3">
        <f>'Raw Data'!D684</f>
        <v>45809</v>
      </c>
      <c r="E684" t="str">
        <f t="shared" si="50"/>
        <v>Jun</v>
      </c>
      <c r="F684" s="5">
        <f>'Raw Data'!E684</f>
        <v>159</v>
      </c>
      <c r="G684" s="4">
        <f>'Raw Data'!F684</f>
        <v>3028.94</v>
      </c>
      <c r="H684" s="4">
        <f>'Raw Data'!G684</f>
        <v>2702.77</v>
      </c>
      <c r="I684" s="4">
        <f t="shared" si="51"/>
        <v>326.17000000000007</v>
      </c>
      <c r="J684" s="8">
        <f t="shared" si="52"/>
        <v>0.10768453650451976</v>
      </c>
      <c r="K684" s="6">
        <f>'Raw Data'!I684</f>
        <v>3.69</v>
      </c>
      <c r="L684" s="5">
        <f>'Raw Data'!J684</f>
        <v>28</v>
      </c>
      <c r="M684" s="5">
        <f>IF(COUNTIFS($A$2:A684,A684,$D$2:D684,D684)=1,L684,0)</f>
        <v>0</v>
      </c>
      <c r="N684" s="4">
        <f t="shared" si="53"/>
        <v>108.17642857142857</v>
      </c>
      <c r="O684" t="str">
        <f t="shared" si="54"/>
        <v>OK</v>
      </c>
    </row>
    <row r="685" spans="1:15">
      <c r="A685" t="str">
        <f>'Raw Data'!A685</f>
        <v>Charlotte RM-10</v>
      </c>
      <c r="B685" t="str">
        <f>'Raw Data'!B685</f>
        <v>South</v>
      </c>
      <c r="C685" t="str">
        <f>'Raw Data'!C685</f>
        <v>Sports</v>
      </c>
      <c r="D685" s="3">
        <f>'Raw Data'!D685</f>
        <v>45809</v>
      </c>
      <c r="E685" t="str">
        <f t="shared" si="50"/>
        <v>Jun</v>
      </c>
      <c r="F685" s="5">
        <f>'Raw Data'!E685</f>
        <v>115</v>
      </c>
      <c r="G685" s="4">
        <f>'Raw Data'!F685</f>
        <v>7506.96</v>
      </c>
      <c r="H685" s="4">
        <f>'Raw Data'!G685</f>
        <v>4937.38</v>
      </c>
      <c r="I685" s="4">
        <f t="shared" si="51"/>
        <v>2569.58</v>
      </c>
      <c r="J685" s="8">
        <f t="shared" si="52"/>
        <v>0.34229301874527107</v>
      </c>
      <c r="K685" s="6">
        <f>'Raw Data'!I685</f>
        <v>3.83</v>
      </c>
      <c r="L685" s="5">
        <f>'Raw Data'!J685</f>
        <v>28</v>
      </c>
      <c r="M685" s="5">
        <f>IF(COUNTIFS($A$2:A685,A685,$D$2:D685,D685)=1,L685,0)</f>
        <v>0</v>
      </c>
      <c r="N685" s="4">
        <f t="shared" si="53"/>
        <v>268.10571428571427</v>
      </c>
      <c r="O685" t="str">
        <f t="shared" si="54"/>
        <v>OK</v>
      </c>
    </row>
    <row r="686" spans="1:15">
      <c r="A686" t="str">
        <f>'Raw Data'!A686</f>
        <v>Charlotte RM-10</v>
      </c>
      <c r="B686" t="str">
        <f>'Raw Data'!B686</f>
        <v>South</v>
      </c>
      <c r="C686" t="str">
        <f>'Raw Data'!C686</f>
        <v>Electronics</v>
      </c>
      <c r="D686" s="3">
        <f>'Raw Data'!D686</f>
        <v>45839</v>
      </c>
      <c r="E686" t="str">
        <f t="shared" si="50"/>
        <v>Jul</v>
      </c>
      <c r="F686" s="5">
        <f>'Raw Data'!E686</f>
        <v>114</v>
      </c>
      <c r="G686" s="4">
        <f>'Raw Data'!F686</f>
        <v>16851.86</v>
      </c>
      <c r="H686" s="4">
        <f>'Raw Data'!G686</f>
        <v>12961.13</v>
      </c>
      <c r="I686" s="4">
        <f t="shared" si="51"/>
        <v>3890.7300000000014</v>
      </c>
      <c r="J686" s="8">
        <f t="shared" si="52"/>
        <v>0.2308783718829851</v>
      </c>
      <c r="K686" s="6">
        <f>'Raw Data'!I686</f>
        <v>3.85</v>
      </c>
      <c r="L686" s="5">
        <f>'Raw Data'!J686</f>
        <v>27</v>
      </c>
      <c r="M686" s="5">
        <f>IF(COUNTIFS($A$2:A686,A686,$D$2:D686,D686)=1,L686,0)</f>
        <v>27</v>
      </c>
      <c r="N686" s="4">
        <f t="shared" si="53"/>
        <v>624.142962962963</v>
      </c>
      <c r="O686" t="str">
        <f t="shared" si="54"/>
        <v>OK</v>
      </c>
    </row>
    <row r="687" spans="1:15">
      <c r="A687" t="str">
        <f>'Raw Data'!A687</f>
        <v>Charlotte RM-10</v>
      </c>
      <c r="B687" t="str">
        <f>'Raw Data'!B687</f>
        <v>South</v>
      </c>
      <c r="C687" t="str">
        <f>'Raw Data'!C687</f>
        <v>Home Goods</v>
      </c>
      <c r="D687" s="3">
        <f>'Raw Data'!D687</f>
        <v>45839</v>
      </c>
      <c r="E687" t="str">
        <f t="shared" si="50"/>
        <v>Jul</v>
      </c>
      <c r="F687" s="5">
        <f>'Raw Data'!E687</f>
        <v>98</v>
      </c>
      <c r="G687" s="4">
        <f>'Raw Data'!F687</f>
        <v>7873.56</v>
      </c>
      <c r="H687" s="4">
        <f>'Raw Data'!G687</f>
        <v>5421.65</v>
      </c>
      <c r="I687" s="4">
        <f t="shared" si="51"/>
        <v>2451.9100000000008</v>
      </c>
      <c r="J687" s="8">
        <f t="shared" si="52"/>
        <v>0.31141059444520658</v>
      </c>
      <c r="K687" s="6">
        <f>'Raw Data'!I687</f>
        <v>3.85</v>
      </c>
      <c r="L687" s="5">
        <f>'Raw Data'!J687</f>
        <v>27</v>
      </c>
      <c r="M687" s="5">
        <f>IF(COUNTIFS($A$2:A687,A687,$D$2:D687,D687)=1,L687,0)</f>
        <v>0</v>
      </c>
      <c r="N687" s="4">
        <f t="shared" si="53"/>
        <v>291.61333333333334</v>
      </c>
      <c r="O687" t="str">
        <f t="shared" si="54"/>
        <v>OK</v>
      </c>
    </row>
    <row r="688" spans="1:15">
      <c r="A688" t="str">
        <f>'Raw Data'!A688</f>
        <v>Charlotte RM-10</v>
      </c>
      <c r="B688" t="str">
        <f>'Raw Data'!B688</f>
        <v>South</v>
      </c>
      <c r="C688" t="str">
        <f>'Raw Data'!C688</f>
        <v>Apparel</v>
      </c>
      <c r="D688" s="3">
        <f>'Raw Data'!D688</f>
        <v>45839</v>
      </c>
      <c r="E688" t="str">
        <f t="shared" si="50"/>
        <v>Jul</v>
      </c>
      <c r="F688" s="5">
        <f>'Raw Data'!E688</f>
        <v>127</v>
      </c>
      <c r="G688" s="4">
        <f>'Raw Data'!F688</f>
        <v>5762.64</v>
      </c>
      <c r="H688" s="4">
        <f>'Raw Data'!G688</f>
        <v>3455.26</v>
      </c>
      <c r="I688" s="4">
        <f t="shared" si="51"/>
        <v>2307.38</v>
      </c>
      <c r="J688" s="8">
        <f t="shared" si="52"/>
        <v>0.40040328738217207</v>
      </c>
      <c r="K688" s="6">
        <f>'Raw Data'!I688</f>
        <v>3.72</v>
      </c>
      <c r="L688" s="5">
        <f>'Raw Data'!J688</f>
        <v>27</v>
      </c>
      <c r="M688" s="5">
        <f>IF(COUNTIFS($A$2:A688,A688,$D$2:D688,D688)=1,L688,0)</f>
        <v>0</v>
      </c>
      <c r="N688" s="4">
        <f t="shared" si="53"/>
        <v>213.43111111111114</v>
      </c>
      <c r="O688" t="str">
        <f t="shared" si="54"/>
        <v>OK</v>
      </c>
    </row>
    <row r="689" spans="1:15">
      <c r="A689" t="str">
        <f>'Raw Data'!A689</f>
        <v>Charlotte RM-10</v>
      </c>
      <c r="B689" t="str">
        <f>'Raw Data'!B689</f>
        <v>South</v>
      </c>
      <c r="C689" t="str">
        <f>'Raw Data'!C689</f>
        <v>Beauty</v>
      </c>
      <c r="D689" s="3">
        <f>'Raw Data'!D689</f>
        <v>45839</v>
      </c>
      <c r="E689" t="str">
        <f t="shared" si="50"/>
        <v>Jul</v>
      </c>
      <c r="F689" s="5">
        <f>'Raw Data'!E689</f>
        <v>110</v>
      </c>
      <c r="G689" s="4">
        <f>'Raw Data'!F689</f>
        <v>3733.45</v>
      </c>
      <c r="H689" s="4">
        <f>'Raw Data'!G689</f>
        <v>1849.34</v>
      </c>
      <c r="I689" s="4">
        <f t="shared" si="51"/>
        <v>1884.11</v>
      </c>
      <c r="J689" s="8">
        <f t="shared" si="52"/>
        <v>0.50465655091135542</v>
      </c>
      <c r="K689" s="6">
        <f>'Raw Data'!I689</f>
        <v>3.62</v>
      </c>
      <c r="L689" s="5">
        <f>'Raw Data'!J689</f>
        <v>27</v>
      </c>
      <c r="M689" s="5">
        <f>IF(COUNTIFS($A$2:A689,A689,$D$2:D689,D689)=1,L689,0)</f>
        <v>0</v>
      </c>
      <c r="N689" s="4">
        <f t="shared" si="53"/>
        <v>138.27592592592592</v>
      </c>
      <c r="O689" t="str">
        <f t="shared" si="54"/>
        <v>OK</v>
      </c>
    </row>
    <row r="690" spans="1:15">
      <c r="A690" t="str">
        <f>'Raw Data'!A690</f>
        <v>Charlotte RM-10</v>
      </c>
      <c r="B690" t="str">
        <f>'Raw Data'!B690</f>
        <v>South</v>
      </c>
      <c r="C690" t="str">
        <f>'Raw Data'!C690</f>
        <v>Grocery</v>
      </c>
      <c r="D690" s="3">
        <f>'Raw Data'!D690</f>
        <v>45839</v>
      </c>
      <c r="E690" t="str">
        <f t="shared" si="50"/>
        <v>Jul</v>
      </c>
      <c r="F690" s="5">
        <f>'Raw Data'!E690</f>
        <v>164</v>
      </c>
      <c r="G690" s="4">
        <f>'Raw Data'!F690</f>
        <v>2915.71</v>
      </c>
      <c r="H690" s="4">
        <f>'Raw Data'!G690</f>
        <v>2619.1</v>
      </c>
      <c r="I690" s="4">
        <f t="shared" si="51"/>
        <v>296.61000000000013</v>
      </c>
      <c r="J690" s="8">
        <f t="shared" si="52"/>
        <v>0.1017282240003293</v>
      </c>
      <c r="K690" s="6">
        <f>'Raw Data'!I690</f>
        <v>3.76</v>
      </c>
      <c r="L690" s="5">
        <f>'Raw Data'!J690</f>
        <v>27</v>
      </c>
      <c r="M690" s="5">
        <f>IF(COUNTIFS($A$2:A690,A690,$D$2:D690,D690)=1,L690,0)</f>
        <v>0</v>
      </c>
      <c r="N690" s="4">
        <f t="shared" si="53"/>
        <v>107.98925925925926</v>
      </c>
      <c r="O690" t="str">
        <f t="shared" si="54"/>
        <v>OK</v>
      </c>
    </row>
    <row r="691" spans="1:15">
      <c r="A691" t="str">
        <f>'Raw Data'!A691</f>
        <v>Charlotte RM-10</v>
      </c>
      <c r="B691" t="str">
        <f>'Raw Data'!B691</f>
        <v>South</v>
      </c>
      <c r="C691" t="str">
        <f>'Raw Data'!C691</f>
        <v>Sports</v>
      </c>
      <c r="D691" s="3">
        <f>'Raw Data'!D691</f>
        <v>45839</v>
      </c>
      <c r="E691" t="str">
        <f t="shared" si="50"/>
        <v>Jul</v>
      </c>
      <c r="F691" s="5">
        <f>'Raw Data'!E691</f>
        <v>97</v>
      </c>
      <c r="G691" s="4">
        <f>'Raw Data'!F691</f>
        <v>6384.16</v>
      </c>
      <c r="H691" s="4">
        <f>'Raw Data'!G691</f>
        <v>4077.34</v>
      </c>
      <c r="I691" s="4">
        <f t="shared" si="51"/>
        <v>2306.8199999999997</v>
      </c>
      <c r="J691" s="8">
        <f t="shared" si="52"/>
        <v>0.36133492894914909</v>
      </c>
      <c r="K691" s="6">
        <f>'Raw Data'!I691</f>
        <v>3.56</v>
      </c>
      <c r="L691" s="5">
        <f>'Raw Data'!J691</f>
        <v>27</v>
      </c>
      <c r="M691" s="5">
        <f>IF(COUNTIFS($A$2:A691,A691,$D$2:D691,D691)=1,L691,0)</f>
        <v>0</v>
      </c>
      <c r="N691" s="4">
        <f t="shared" si="53"/>
        <v>236.45037037037036</v>
      </c>
      <c r="O691" t="str">
        <f t="shared" si="54"/>
        <v>OK</v>
      </c>
    </row>
    <row r="692" spans="1:15">
      <c r="A692" t="str">
        <f>'Raw Data'!A692</f>
        <v>Charlotte RM-10</v>
      </c>
      <c r="B692" t="str">
        <f>'Raw Data'!B692</f>
        <v>South</v>
      </c>
      <c r="C692" t="str">
        <f>'Raw Data'!C692</f>
        <v>Electronics</v>
      </c>
      <c r="D692" s="3">
        <f>'Raw Data'!D692</f>
        <v>45870</v>
      </c>
      <c r="E692" t="str">
        <f t="shared" si="50"/>
        <v>Aug</v>
      </c>
      <c r="F692" s="5">
        <f>'Raw Data'!E692</f>
        <v>114</v>
      </c>
      <c r="G692" s="4">
        <f>'Raw Data'!F692</f>
        <v>17529.96</v>
      </c>
      <c r="H692" s="4">
        <f>'Raw Data'!G692</f>
        <v>14267.39</v>
      </c>
      <c r="I692" s="4">
        <f t="shared" si="51"/>
        <v>3262.5699999999997</v>
      </c>
      <c r="J692" s="8">
        <f t="shared" si="52"/>
        <v>0.18611394435583423</v>
      </c>
      <c r="K692" s="6">
        <f>'Raw Data'!I692</f>
        <v>3.64</v>
      </c>
      <c r="L692" s="5">
        <f>'Raw Data'!J692</f>
        <v>28</v>
      </c>
      <c r="M692" s="5">
        <f>IF(COUNTIFS($A$2:A692,A692,$D$2:D692,D692)=1,L692,0)</f>
        <v>28</v>
      </c>
      <c r="N692" s="4">
        <f t="shared" si="53"/>
        <v>626.06999999999994</v>
      </c>
      <c r="O692" t="str">
        <f t="shared" si="54"/>
        <v>OK</v>
      </c>
    </row>
    <row r="693" spans="1:15">
      <c r="A693" t="str">
        <f>'Raw Data'!A693</f>
        <v>Charlotte RM-10</v>
      </c>
      <c r="B693" t="str">
        <f>'Raw Data'!B693</f>
        <v>South</v>
      </c>
      <c r="C693" t="str">
        <f>'Raw Data'!C693</f>
        <v>Home Goods</v>
      </c>
      <c r="D693" s="3">
        <f>'Raw Data'!D693</f>
        <v>45870</v>
      </c>
      <c r="E693" t="str">
        <f t="shared" si="50"/>
        <v>Aug</v>
      </c>
      <c r="F693" s="5">
        <f>'Raw Data'!E693</f>
        <v>85</v>
      </c>
      <c r="G693" s="4">
        <f>'Raw Data'!F693</f>
        <v>6924.28</v>
      </c>
      <c r="H693" s="4">
        <f>'Raw Data'!G693</f>
        <v>4692.7700000000004</v>
      </c>
      <c r="I693" s="4">
        <f t="shared" si="51"/>
        <v>2231.5099999999993</v>
      </c>
      <c r="J693" s="8">
        <f t="shared" si="52"/>
        <v>0.32227321829850891</v>
      </c>
      <c r="K693" s="6">
        <f>'Raw Data'!I693</f>
        <v>3.54</v>
      </c>
      <c r="L693" s="5">
        <f>'Raw Data'!J693</f>
        <v>28</v>
      </c>
      <c r="M693" s="5">
        <f>IF(COUNTIFS($A$2:A693,A693,$D$2:D693,D693)=1,L693,0)</f>
        <v>0</v>
      </c>
      <c r="N693" s="4">
        <f t="shared" si="53"/>
        <v>247.29571428571427</v>
      </c>
      <c r="O693" t="str">
        <f t="shared" si="54"/>
        <v>OK</v>
      </c>
    </row>
    <row r="694" spans="1:15">
      <c r="A694" t="str">
        <f>'Raw Data'!A694</f>
        <v>Charlotte RM-10</v>
      </c>
      <c r="B694" t="str">
        <f>'Raw Data'!B694</f>
        <v>South</v>
      </c>
      <c r="C694" t="str">
        <f>'Raw Data'!C694</f>
        <v>Apparel</v>
      </c>
      <c r="D694" s="3">
        <f>'Raw Data'!D694</f>
        <v>45870</v>
      </c>
      <c r="E694" t="str">
        <f t="shared" si="50"/>
        <v>Aug</v>
      </c>
      <c r="F694" s="5">
        <f>'Raw Data'!E694</f>
        <v>148</v>
      </c>
      <c r="G694" s="4">
        <f>'Raw Data'!F694</f>
        <v>6834.41</v>
      </c>
      <c r="H694" s="4">
        <f>'Raw Data'!G694</f>
        <v>4365.4399999999996</v>
      </c>
      <c r="I694" s="4">
        <f t="shared" si="51"/>
        <v>2468.9700000000003</v>
      </c>
      <c r="J694" s="8">
        <f t="shared" si="52"/>
        <v>0.36125576311634805</v>
      </c>
      <c r="K694" s="6">
        <f>'Raw Data'!I694</f>
        <v>3.79</v>
      </c>
      <c r="L694" s="5">
        <f>'Raw Data'!J694</f>
        <v>28</v>
      </c>
      <c r="M694" s="5">
        <f>IF(COUNTIFS($A$2:A694,A694,$D$2:D694,D694)=1,L694,0)</f>
        <v>0</v>
      </c>
      <c r="N694" s="4">
        <f t="shared" si="53"/>
        <v>244.08607142857142</v>
      </c>
      <c r="O694" t="str">
        <f t="shared" si="54"/>
        <v>OK</v>
      </c>
    </row>
    <row r="695" spans="1:15">
      <c r="A695" t="str">
        <f>'Raw Data'!A695</f>
        <v>Charlotte RM-10</v>
      </c>
      <c r="B695" t="str">
        <f>'Raw Data'!B695</f>
        <v>South</v>
      </c>
      <c r="C695" t="str">
        <f>'Raw Data'!C695</f>
        <v>Beauty</v>
      </c>
      <c r="D695" s="3">
        <f>'Raw Data'!D695</f>
        <v>45870</v>
      </c>
      <c r="E695" t="str">
        <f t="shared" si="50"/>
        <v>Aug</v>
      </c>
      <c r="F695" s="5">
        <f>'Raw Data'!E695</f>
        <v>110</v>
      </c>
      <c r="G695" s="4">
        <f>'Raw Data'!F695</f>
        <v>4254.99</v>
      </c>
      <c r="H695" s="4">
        <f>'Raw Data'!G695</f>
        <v>2155.12</v>
      </c>
      <c r="I695" s="4">
        <f t="shared" si="51"/>
        <v>2099.87</v>
      </c>
      <c r="J695" s="8">
        <f t="shared" si="52"/>
        <v>0.49350762281462474</v>
      </c>
      <c r="K695" s="6">
        <f>'Raw Data'!I695</f>
        <v>3.57</v>
      </c>
      <c r="L695" s="5">
        <f>'Raw Data'!J695</f>
        <v>28</v>
      </c>
      <c r="M695" s="5">
        <f>IF(COUNTIFS($A$2:A695,A695,$D$2:D695,D695)=1,L695,0)</f>
        <v>0</v>
      </c>
      <c r="N695" s="4">
        <f t="shared" si="53"/>
        <v>151.96392857142857</v>
      </c>
      <c r="O695" t="str">
        <f t="shared" si="54"/>
        <v>OK</v>
      </c>
    </row>
    <row r="696" spans="1:15">
      <c r="A696" t="str">
        <f>'Raw Data'!A696</f>
        <v>Charlotte RM-10</v>
      </c>
      <c r="B696" t="str">
        <f>'Raw Data'!B696</f>
        <v>South</v>
      </c>
      <c r="C696" t="str">
        <f>'Raw Data'!C696</f>
        <v>Grocery</v>
      </c>
      <c r="D696" s="3">
        <f>'Raw Data'!D696</f>
        <v>45870</v>
      </c>
      <c r="E696" t="str">
        <f t="shared" si="50"/>
        <v>Aug</v>
      </c>
      <c r="F696" s="5">
        <f>'Raw Data'!E696</f>
        <v>197</v>
      </c>
      <c r="G696" s="4">
        <f>'Raw Data'!F696</f>
        <v>3794.36</v>
      </c>
      <c r="H696" s="4">
        <f>'Raw Data'!G696</f>
        <v>3558.64</v>
      </c>
      <c r="I696" s="4">
        <f t="shared" si="51"/>
        <v>235.72000000000025</v>
      </c>
      <c r="J696" s="8">
        <f t="shared" si="52"/>
        <v>6.2123783721101909E-2</v>
      </c>
      <c r="K696" s="6">
        <f>'Raw Data'!I696</f>
        <v>3.56</v>
      </c>
      <c r="L696" s="5">
        <f>'Raw Data'!J696</f>
        <v>28</v>
      </c>
      <c r="M696" s="5">
        <f>IF(COUNTIFS($A$2:A696,A696,$D$2:D696,D696)=1,L696,0)</f>
        <v>0</v>
      </c>
      <c r="N696" s="4">
        <f t="shared" si="53"/>
        <v>135.51285714285714</v>
      </c>
      <c r="O696" t="str">
        <f t="shared" si="54"/>
        <v>OK</v>
      </c>
    </row>
    <row r="697" spans="1:15">
      <c r="A697" t="str">
        <f>'Raw Data'!A697</f>
        <v>Charlotte RM-10</v>
      </c>
      <c r="B697" t="str">
        <f>'Raw Data'!B697</f>
        <v>South</v>
      </c>
      <c r="C697" t="str">
        <f>'Raw Data'!C697</f>
        <v>Sports</v>
      </c>
      <c r="D697" s="3">
        <f>'Raw Data'!D697</f>
        <v>45870</v>
      </c>
      <c r="E697" t="str">
        <f t="shared" si="50"/>
        <v>Aug</v>
      </c>
      <c r="F697" s="5">
        <f>'Raw Data'!E697</f>
        <v>99</v>
      </c>
      <c r="G697" s="4">
        <f>'Raw Data'!F697</f>
        <v>6275.82</v>
      </c>
      <c r="H697" s="4">
        <f>'Raw Data'!G697</f>
        <v>4073.66</v>
      </c>
      <c r="I697" s="4">
        <f t="shared" si="51"/>
        <v>2202.16</v>
      </c>
      <c r="J697" s="8">
        <f t="shared" si="52"/>
        <v>0.35089597853348248</v>
      </c>
      <c r="K697" s="6">
        <f>'Raw Data'!I697</f>
        <v>3.62</v>
      </c>
      <c r="L697" s="5">
        <f>'Raw Data'!J697</f>
        <v>28</v>
      </c>
      <c r="M697" s="5">
        <f>IF(COUNTIFS($A$2:A697,A697,$D$2:D697,D697)=1,L697,0)</f>
        <v>0</v>
      </c>
      <c r="N697" s="4">
        <f t="shared" si="53"/>
        <v>224.13642857142855</v>
      </c>
      <c r="O697" t="str">
        <f t="shared" si="54"/>
        <v>OK</v>
      </c>
    </row>
    <row r="698" spans="1:15">
      <c r="A698" t="str">
        <f>'Raw Data'!A698</f>
        <v>Charlotte RM-10</v>
      </c>
      <c r="B698" t="str">
        <f>'Raw Data'!B698</f>
        <v>South</v>
      </c>
      <c r="C698" t="str">
        <f>'Raw Data'!C698</f>
        <v>Electronics</v>
      </c>
      <c r="D698" s="3">
        <f>'Raw Data'!D698</f>
        <v>45901</v>
      </c>
      <c r="E698" t="str">
        <f t="shared" si="50"/>
        <v>Sep</v>
      </c>
      <c r="F698" s="5">
        <f>'Raw Data'!E698</f>
        <v>116</v>
      </c>
      <c r="G698" s="4">
        <f>'Raw Data'!F698</f>
        <v>18045.009999999998</v>
      </c>
      <c r="H698" s="4">
        <f>'Raw Data'!G698</f>
        <v>14787.59</v>
      </c>
      <c r="I698" s="4">
        <f t="shared" si="51"/>
        <v>3257.4199999999983</v>
      </c>
      <c r="J698" s="8">
        <f t="shared" si="52"/>
        <v>0.18051638652458482</v>
      </c>
      <c r="K698" s="6">
        <f>'Raw Data'!I698</f>
        <v>3.65</v>
      </c>
      <c r="L698" s="5">
        <f>'Raw Data'!J698</f>
        <v>27</v>
      </c>
      <c r="M698" s="5">
        <f>IF(COUNTIFS($A$2:A698,A698,$D$2:D698,D698)=1,L698,0)</f>
        <v>27</v>
      </c>
      <c r="N698" s="4">
        <f t="shared" si="53"/>
        <v>668.33370370370369</v>
      </c>
      <c r="O698" t="str">
        <f t="shared" si="54"/>
        <v>OK</v>
      </c>
    </row>
    <row r="699" spans="1:15">
      <c r="A699" t="str">
        <f>'Raw Data'!A699</f>
        <v>Charlotte RM-10</v>
      </c>
      <c r="B699" t="str">
        <f>'Raw Data'!B699</f>
        <v>South</v>
      </c>
      <c r="C699" t="str">
        <f>'Raw Data'!C699</f>
        <v>Home Goods</v>
      </c>
      <c r="D699" s="3">
        <f>'Raw Data'!D699</f>
        <v>45901</v>
      </c>
      <c r="E699" t="str">
        <f t="shared" si="50"/>
        <v>Sep</v>
      </c>
      <c r="F699" s="5">
        <f>'Raw Data'!E699</f>
        <v>105</v>
      </c>
      <c r="G699" s="4">
        <f>'Raw Data'!F699</f>
        <v>8612.01</v>
      </c>
      <c r="H699" s="4">
        <f>'Raw Data'!G699</f>
        <v>6090.44</v>
      </c>
      <c r="I699" s="4">
        <f t="shared" si="51"/>
        <v>2521.5700000000006</v>
      </c>
      <c r="J699" s="8">
        <f t="shared" si="52"/>
        <v>0.29279691965058108</v>
      </c>
      <c r="K699" s="6">
        <f>'Raw Data'!I699</f>
        <v>3.52</v>
      </c>
      <c r="L699" s="5">
        <f>'Raw Data'!J699</f>
        <v>27</v>
      </c>
      <c r="M699" s="5">
        <f>IF(COUNTIFS($A$2:A699,A699,$D$2:D699,D699)=1,L699,0)</f>
        <v>0</v>
      </c>
      <c r="N699" s="4">
        <f t="shared" si="53"/>
        <v>318.96333333333337</v>
      </c>
      <c r="O699" t="str">
        <f t="shared" si="54"/>
        <v>OK</v>
      </c>
    </row>
    <row r="700" spans="1:15">
      <c r="A700" t="str">
        <f>'Raw Data'!A700</f>
        <v>Charlotte RM-10</v>
      </c>
      <c r="B700" t="str">
        <f>'Raw Data'!B700</f>
        <v>South</v>
      </c>
      <c r="C700" t="str">
        <f>'Raw Data'!C700</f>
        <v>Apparel</v>
      </c>
      <c r="D700" s="3">
        <f>'Raw Data'!D700</f>
        <v>45901</v>
      </c>
      <c r="E700" t="str">
        <f t="shared" si="50"/>
        <v>Sep</v>
      </c>
      <c r="F700" s="5">
        <f>'Raw Data'!E700</f>
        <v>105</v>
      </c>
      <c r="G700" s="4">
        <f>'Raw Data'!F700</f>
        <v>5420.29</v>
      </c>
      <c r="H700" s="4">
        <f>'Raw Data'!G700</f>
        <v>3346.94</v>
      </c>
      <c r="I700" s="4">
        <f t="shared" si="51"/>
        <v>2073.35</v>
      </c>
      <c r="J700" s="8">
        <f t="shared" si="52"/>
        <v>0.38251643362255522</v>
      </c>
      <c r="K700" s="6">
        <f>'Raw Data'!I700</f>
        <v>3.71</v>
      </c>
      <c r="L700" s="5">
        <f>'Raw Data'!J700</f>
        <v>27</v>
      </c>
      <c r="M700" s="5">
        <f>IF(COUNTIFS($A$2:A700,A700,$D$2:D700,D700)=1,L700,0)</f>
        <v>0</v>
      </c>
      <c r="N700" s="4">
        <f t="shared" si="53"/>
        <v>200.75148148148148</v>
      </c>
      <c r="O700" t="str">
        <f t="shared" si="54"/>
        <v>OK</v>
      </c>
    </row>
    <row r="701" spans="1:15">
      <c r="A701" t="str">
        <f>'Raw Data'!A701</f>
        <v>Charlotte RM-10</v>
      </c>
      <c r="B701" t="str">
        <f>'Raw Data'!B701</f>
        <v>South</v>
      </c>
      <c r="C701" t="str">
        <f>'Raw Data'!C701</f>
        <v>Beauty</v>
      </c>
      <c r="D701" s="3">
        <f>'Raw Data'!D701</f>
        <v>45901</v>
      </c>
      <c r="E701" t="str">
        <f t="shared" si="50"/>
        <v>Sep</v>
      </c>
      <c r="F701" s="5">
        <f>'Raw Data'!E701</f>
        <v>91</v>
      </c>
      <c r="G701" s="4">
        <f>'Raw Data'!F701</f>
        <v>3509.04</v>
      </c>
      <c r="H701" s="4">
        <f>'Raw Data'!G701</f>
        <v>1744.16</v>
      </c>
      <c r="I701" s="4">
        <f t="shared" si="51"/>
        <v>1764.8799999999999</v>
      </c>
      <c r="J701" s="8">
        <f t="shared" si="52"/>
        <v>0.50295237443859286</v>
      </c>
      <c r="K701" s="6">
        <f>'Raw Data'!I701</f>
        <v>3.77</v>
      </c>
      <c r="L701" s="5">
        <f>'Raw Data'!J701</f>
        <v>27</v>
      </c>
      <c r="M701" s="5">
        <f>IF(COUNTIFS($A$2:A701,A701,$D$2:D701,D701)=1,L701,0)</f>
        <v>0</v>
      </c>
      <c r="N701" s="4">
        <f t="shared" si="53"/>
        <v>129.96444444444444</v>
      </c>
      <c r="O701" t="str">
        <f t="shared" si="54"/>
        <v>OK</v>
      </c>
    </row>
    <row r="702" spans="1:15">
      <c r="A702" t="str">
        <f>'Raw Data'!A702</f>
        <v>Charlotte RM-10</v>
      </c>
      <c r="B702" t="str">
        <f>'Raw Data'!B702</f>
        <v>South</v>
      </c>
      <c r="C702" t="str">
        <f>'Raw Data'!C702</f>
        <v>Grocery</v>
      </c>
      <c r="D702" s="3">
        <f>'Raw Data'!D702</f>
        <v>45901</v>
      </c>
      <c r="E702" t="str">
        <f t="shared" si="50"/>
        <v>Sep</v>
      </c>
      <c r="F702" s="5">
        <f>'Raw Data'!E702</f>
        <v>171</v>
      </c>
      <c r="G702" s="4">
        <f>'Raw Data'!F702</f>
        <v>2965.67</v>
      </c>
      <c r="H702" s="4">
        <f>'Raw Data'!G702</f>
        <v>2815.77</v>
      </c>
      <c r="I702" s="4">
        <f t="shared" si="51"/>
        <v>149.90000000000009</v>
      </c>
      <c r="J702" s="8">
        <f t="shared" si="52"/>
        <v>5.0545070759727175E-2</v>
      </c>
      <c r="K702" s="6">
        <f>'Raw Data'!I702</f>
        <v>3.51</v>
      </c>
      <c r="L702" s="5">
        <f>'Raw Data'!J702</f>
        <v>27</v>
      </c>
      <c r="M702" s="5">
        <f>IF(COUNTIFS($A$2:A702,A702,$D$2:D702,D702)=1,L702,0)</f>
        <v>0</v>
      </c>
      <c r="N702" s="4">
        <f t="shared" si="53"/>
        <v>109.83962962962963</v>
      </c>
      <c r="O702" t="str">
        <f t="shared" si="54"/>
        <v>OK</v>
      </c>
    </row>
    <row r="703" spans="1:15">
      <c r="A703" t="str">
        <f>'Raw Data'!A703</f>
        <v>Charlotte RM-10</v>
      </c>
      <c r="B703" t="str">
        <f>'Raw Data'!B703</f>
        <v>South</v>
      </c>
      <c r="C703" t="str">
        <f>'Raw Data'!C703</f>
        <v>Sports</v>
      </c>
      <c r="D703" s="3">
        <f>'Raw Data'!D703</f>
        <v>45901</v>
      </c>
      <c r="E703" t="str">
        <f t="shared" si="50"/>
        <v>Sep</v>
      </c>
      <c r="F703" s="5">
        <f>'Raw Data'!E703</f>
        <v>93</v>
      </c>
      <c r="G703" s="4">
        <f>'Raw Data'!F703</f>
        <v>5992.35</v>
      </c>
      <c r="H703" s="4">
        <f>'Raw Data'!G703</f>
        <v>4036.3</v>
      </c>
      <c r="I703" s="4">
        <f t="shared" si="51"/>
        <v>1956.0500000000002</v>
      </c>
      <c r="J703" s="8">
        <f t="shared" si="52"/>
        <v>0.32642452460220117</v>
      </c>
      <c r="K703" s="6">
        <f>'Raw Data'!I703</f>
        <v>3.82</v>
      </c>
      <c r="L703" s="5">
        <f>'Raw Data'!J703</f>
        <v>27</v>
      </c>
      <c r="M703" s="5">
        <f>IF(COUNTIFS($A$2:A703,A703,$D$2:D703,D703)=1,L703,0)</f>
        <v>0</v>
      </c>
      <c r="N703" s="4">
        <f t="shared" si="53"/>
        <v>221.9388888888889</v>
      </c>
      <c r="O703" t="str">
        <f t="shared" si="54"/>
        <v>OK</v>
      </c>
    </row>
    <row r="704" spans="1:15">
      <c r="A704" t="str">
        <f>'Raw Data'!A704</f>
        <v>Charlotte RM-10</v>
      </c>
      <c r="B704" t="str">
        <f>'Raw Data'!B704</f>
        <v>South</v>
      </c>
      <c r="C704" t="str">
        <f>'Raw Data'!C704</f>
        <v>Electronics</v>
      </c>
      <c r="D704" s="3">
        <f>'Raw Data'!D704</f>
        <v>45931</v>
      </c>
      <c r="E704" t="str">
        <f t="shared" si="50"/>
        <v>Oct</v>
      </c>
      <c r="F704" s="5">
        <f>'Raw Data'!E704</f>
        <v>119</v>
      </c>
      <c r="G704" s="4">
        <f>'Raw Data'!F704</f>
        <v>17894.21</v>
      </c>
      <c r="H704" s="4">
        <f>'Raw Data'!G704</f>
        <v>14257.87</v>
      </c>
      <c r="I704" s="4">
        <f t="shared" si="51"/>
        <v>3636.3399999999983</v>
      </c>
      <c r="J704" s="8">
        <f t="shared" si="52"/>
        <v>0.20321321813033369</v>
      </c>
      <c r="K704" s="6">
        <f>'Raw Data'!I704</f>
        <v>3.79</v>
      </c>
      <c r="L704" s="5">
        <f>'Raw Data'!J704</f>
        <v>28</v>
      </c>
      <c r="M704" s="5">
        <f>IF(COUNTIFS($A$2:A704,A704,$D$2:D704,D704)=1,L704,0)</f>
        <v>28</v>
      </c>
      <c r="N704" s="4">
        <f t="shared" si="53"/>
        <v>639.07892857142849</v>
      </c>
      <c r="O704" t="str">
        <f t="shared" si="54"/>
        <v>OK</v>
      </c>
    </row>
    <row r="705" spans="1:15">
      <c r="A705" t="str">
        <f>'Raw Data'!A705</f>
        <v>Charlotte RM-10</v>
      </c>
      <c r="B705" t="str">
        <f>'Raw Data'!B705</f>
        <v>South</v>
      </c>
      <c r="C705" t="str">
        <f>'Raw Data'!C705</f>
        <v>Home Goods</v>
      </c>
      <c r="D705" s="3">
        <f>'Raw Data'!D705</f>
        <v>45931</v>
      </c>
      <c r="E705" t="str">
        <f t="shared" si="50"/>
        <v>Oct</v>
      </c>
      <c r="F705" s="5">
        <f>'Raw Data'!E705</f>
        <v>102</v>
      </c>
      <c r="G705" s="4">
        <f>'Raw Data'!F705</f>
        <v>8068.73</v>
      </c>
      <c r="H705" s="4">
        <f>'Raw Data'!G705</f>
        <v>5447.88</v>
      </c>
      <c r="I705" s="4">
        <f t="shared" si="51"/>
        <v>2620.8499999999995</v>
      </c>
      <c r="J705" s="8">
        <f t="shared" si="52"/>
        <v>0.32481567731229072</v>
      </c>
      <c r="K705" s="6">
        <f>'Raw Data'!I705</f>
        <v>3.66</v>
      </c>
      <c r="L705" s="5">
        <f>'Raw Data'!J705</f>
        <v>28</v>
      </c>
      <c r="M705" s="5">
        <f>IF(COUNTIFS($A$2:A705,A705,$D$2:D705,D705)=1,L705,0)</f>
        <v>0</v>
      </c>
      <c r="N705" s="4">
        <f t="shared" si="53"/>
        <v>288.16892857142858</v>
      </c>
      <c r="O705" t="str">
        <f t="shared" si="54"/>
        <v>OK</v>
      </c>
    </row>
    <row r="706" spans="1:15">
      <c r="A706" t="str">
        <f>'Raw Data'!A706</f>
        <v>Charlotte RM-10</v>
      </c>
      <c r="B706" t="str">
        <f>'Raw Data'!B706</f>
        <v>South</v>
      </c>
      <c r="C706" t="str">
        <f>'Raw Data'!C706</f>
        <v>Apparel</v>
      </c>
      <c r="D706" s="3">
        <f>'Raw Data'!D706</f>
        <v>45931</v>
      </c>
      <c r="E706" t="str">
        <f t="shared" ref="E706:E769" si="55">TEXT(D706,"mmm")</f>
        <v>Oct</v>
      </c>
      <c r="F706" s="5">
        <f>'Raw Data'!E706</f>
        <v>124</v>
      </c>
      <c r="G706" s="4">
        <f>'Raw Data'!F706</f>
        <v>5939.87</v>
      </c>
      <c r="H706" s="4">
        <f>'Raw Data'!G706</f>
        <v>3852.14</v>
      </c>
      <c r="I706" s="4">
        <f t="shared" ref="I706:I769" si="56">G706-H706</f>
        <v>2087.73</v>
      </c>
      <c r="J706" s="8">
        <f t="shared" ref="J706:J769" si="57">IFERROR(I706/G706,0)</f>
        <v>0.35147738923579136</v>
      </c>
      <c r="K706" s="6">
        <f>'Raw Data'!I706</f>
        <v>3.63</v>
      </c>
      <c r="L706" s="5">
        <f>'Raw Data'!J706</f>
        <v>28</v>
      </c>
      <c r="M706" s="5">
        <f>IF(COUNTIFS($A$2:A706,A706,$D$2:D706,D706)=1,L706,0)</f>
        <v>0</v>
      </c>
      <c r="N706" s="4">
        <f t="shared" ref="N706:N769" si="58">IFERROR(G706/L706,0)</f>
        <v>212.13821428571427</v>
      </c>
      <c r="O706" t="str">
        <f t="shared" ref="O706:O769" si="59">IF(OR(A706="",B706="",C706="",F706&lt;0,G706&lt;0,H706&lt;0,K706&lt;1,K706&gt;5),"Review","OK")</f>
        <v>OK</v>
      </c>
    </row>
    <row r="707" spans="1:15">
      <c r="A707" t="str">
        <f>'Raw Data'!A707</f>
        <v>Charlotte RM-10</v>
      </c>
      <c r="B707" t="str">
        <f>'Raw Data'!B707</f>
        <v>South</v>
      </c>
      <c r="C707" t="str">
        <f>'Raw Data'!C707</f>
        <v>Beauty</v>
      </c>
      <c r="D707" s="3">
        <f>'Raw Data'!D707</f>
        <v>45931</v>
      </c>
      <c r="E707" t="str">
        <f t="shared" si="55"/>
        <v>Oct</v>
      </c>
      <c r="F707" s="5">
        <f>'Raw Data'!E707</f>
        <v>110</v>
      </c>
      <c r="G707" s="4">
        <f>'Raw Data'!F707</f>
        <v>3930.49</v>
      </c>
      <c r="H707" s="4">
        <f>'Raw Data'!G707</f>
        <v>2060.13</v>
      </c>
      <c r="I707" s="4">
        <f t="shared" si="56"/>
        <v>1870.3599999999997</v>
      </c>
      <c r="J707" s="8">
        <f t="shared" si="57"/>
        <v>0.47585924401283297</v>
      </c>
      <c r="K707" s="6">
        <f>'Raw Data'!I707</f>
        <v>3.79</v>
      </c>
      <c r="L707" s="5">
        <f>'Raw Data'!J707</f>
        <v>28</v>
      </c>
      <c r="M707" s="5">
        <f>IF(COUNTIFS($A$2:A707,A707,$D$2:D707,D707)=1,L707,0)</f>
        <v>0</v>
      </c>
      <c r="N707" s="4">
        <f t="shared" si="58"/>
        <v>140.37464285714285</v>
      </c>
      <c r="O707" t="str">
        <f t="shared" si="59"/>
        <v>OK</v>
      </c>
    </row>
    <row r="708" spans="1:15">
      <c r="A708" t="str">
        <f>'Raw Data'!A708</f>
        <v>Charlotte RM-10</v>
      </c>
      <c r="B708" t="str">
        <f>'Raw Data'!B708</f>
        <v>South</v>
      </c>
      <c r="C708" t="str">
        <f>'Raw Data'!C708</f>
        <v>Grocery</v>
      </c>
      <c r="D708" s="3">
        <f>'Raw Data'!D708</f>
        <v>45931</v>
      </c>
      <c r="E708" t="str">
        <f t="shared" si="55"/>
        <v>Oct</v>
      </c>
      <c r="F708" s="5">
        <f>'Raw Data'!E708</f>
        <v>157</v>
      </c>
      <c r="G708" s="4">
        <f>'Raw Data'!F708</f>
        <v>2745.69</v>
      </c>
      <c r="H708" s="4">
        <f>'Raw Data'!G708</f>
        <v>2556.98</v>
      </c>
      <c r="I708" s="4">
        <f t="shared" si="56"/>
        <v>188.71000000000004</v>
      </c>
      <c r="J708" s="8">
        <f t="shared" si="57"/>
        <v>6.8729536109320435E-2</v>
      </c>
      <c r="K708" s="6">
        <f>'Raw Data'!I708</f>
        <v>3.76</v>
      </c>
      <c r="L708" s="5">
        <f>'Raw Data'!J708</f>
        <v>28</v>
      </c>
      <c r="M708" s="5">
        <f>IF(COUNTIFS($A$2:A708,A708,$D$2:D708,D708)=1,L708,0)</f>
        <v>0</v>
      </c>
      <c r="N708" s="4">
        <f t="shared" si="58"/>
        <v>98.060357142857143</v>
      </c>
      <c r="O708" t="str">
        <f t="shared" si="59"/>
        <v>OK</v>
      </c>
    </row>
    <row r="709" spans="1:15">
      <c r="A709" t="str">
        <f>'Raw Data'!A709</f>
        <v>Charlotte RM-10</v>
      </c>
      <c r="B709" t="str">
        <f>'Raw Data'!B709</f>
        <v>South</v>
      </c>
      <c r="C709" t="str">
        <f>'Raw Data'!C709</f>
        <v>Sports</v>
      </c>
      <c r="D709" s="3">
        <f>'Raw Data'!D709</f>
        <v>45931</v>
      </c>
      <c r="E709" t="str">
        <f t="shared" si="55"/>
        <v>Oct</v>
      </c>
      <c r="F709" s="5">
        <f>'Raw Data'!E709</f>
        <v>75</v>
      </c>
      <c r="G709" s="4">
        <f>'Raw Data'!F709</f>
        <v>4392.75</v>
      </c>
      <c r="H709" s="4">
        <f>'Raw Data'!G709</f>
        <v>2875.46</v>
      </c>
      <c r="I709" s="4">
        <f t="shared" si="56"/>
        <v>1517.29</v>
      </c>
      <c r="J709" s="8">
        <f t="shared" si="57"/>
        <v>0.34540777417335383</v>
      </c>
      <c r="K709" s="6">
        <f>'Raw Data'!I709</f>
        <v>3.6</v>
      </c>
      <c r="L709" s="5">
        <f>'Raw Data'!J709</f>
        <v>28</v>
      </c>
      <c r="M709" s="5">
        <f>IF(COUNTIFS($A$2:A709,A709,$D$2:D709,D709)=1,L709,0)</f>
        <v>0</v>
      </c>
      <c r="N709" s="4">
        <f t="shared" si="58"/>
        <v>156.88392857142858</v>
      </c>
      <c r="O709" t="str">
        <f t="shared" si="59"/>
        <v>OK</v>
      </c>
    </row>
    <row r="710" spans="1:15">
      <c r="A710" t="str">
        <f>'Raw Data'!A710</f>
        <v>Charlotte RM-10</v>
      </c>
      <c r="B710" t="str">
        <f>'Raw Data'!B710</f>
        <v>South</v>
      </c>
      <c r="C710" t="str">
        <f>'Raw Data'!C710</f>
        <v>Electronics</v>
      </c>
      <c r="D710" s="3">
        <f>'Raw Data'!D710</f>
        <v>45962</v>
      </c>
      <c r="E710" t="str">
        <f t="shared" si="55"/>
        <v>Nov</v>
      </c>
      <c r="F710" s="5">
        <f>'Raw Data'!E710</f>
        <v>190</v>
      </c>
      <c r="G710" s="4">
        <f>'Raw Data'!F710</f>
        <v>27345.14</v>
      </c>
      <c r="H710" s="4">
        <f>'Raw Data'!G710</f>
        <v>22457.87</v>
      </c>
      <c r="I710" s="4">
        <f t="shared" si="56"/>
        <v>4887.2700000000004</v>
      </c>
      <c r="J710" s="8">
        <f t="shared" si="57"/>
        <v>0.1787253603382539</v>
      </c>
      <c r="K710" s="6">
        <f>'Raw Data'!I710</f>
        <v>3.7</v>
      </c>
      <c r="L710" s="5">
        <f>'Raw Data'!J710</f>
        <v>28</v>
      </c>
      <c r="M710" s="5">
        <f>IF(COUNTIFS($A$2:A710,A710,$D$2:D710,D710)=1,L710,0)</f>
        <v>28</v>
      </c>
      <c r="N710" s="4">
        <f t="shared" si="58"/>
        <v>976.61214285714289</v>
      </c>
      <c r="O710" t="str">
        <f t="shared" si="59"/>
        <v>OK</v>
      </c>
    </row>
    <row r="711" spans="1:15">
      <c r="A711" t="str">
        <f>'Raw Data'!A711</f>
        <v>Charlotte RM-10</v>
      </c>
      <c r="B711" t="str">
        <f>'Raw Data'!B711</f>
        <v>South</v>
      </c>
      <c r="C711" t="str">
        <f>'Raw Data'!C711</f>
        <v>Home Goods</v>
      </c>
      <c r="D711" s="3">
        <f>'Raw Data'!D711</f>
        <v>45962</v>
      </c>
      <c r="E711" t="str">
        <f t="shared" si="55"/>
        <v>Nov</v>
      </c>
      <c r="F711" s="5">
        <f>'Raw Data'!E711</f>
        <v>124</v>
      </c>
      <c r="G711" s="4">
        <f>'Raw Data'!F711</f>
        <v>10043.51</v>
      </c>
      <c r="H711" s="4">
        <f>'Raw Data'!G711</f>
        <v>6858.82</v>
      </c>
      <c r="I711" s="4">
        <f t="shared" si="56"/>
        <v>3184.6900000000005</v>
      </c>
      <c r="J711" s="8">
        <f t="shared" si="57"/>
        <v>0.31708934426311125</v>
      </c>
      <c r="K711" s="6">
        <f>'Raw Data'!I711</f>
        <v>3.72</v>
      </c>
      <c r="L711" s="5">
        <f>'Raw Data'!J711</f>
        <v>28</v>
      </c>
      <c r="M711" s="5">
        <f>IF(COUNTIFS($A$2:A711,A711,$D$2:D711,D711)=1,L711,0)</f>
        <v>0</v>
      </c>
      <c r="N711" s="4">
        <f t="shared" si="58"/>
        <v>358.69678571428574</v>
      </c>
      <c r="O711" t="str">
        <f t="shared" si="59"/>
        <v>OK</v>
      </c>
    </row>
    <row r="712" spans="1:15">
      <c r="A712" t="str">
        <f>'Raw Data'!A712</f>
        <v>Charlotte RM-10</v>
      </c>
      <c r="B712" t="str">
        <f>'Raw Data'!B712</f>
        <v>South</v>
      </c>
      <c r="C712" t="str">
        <f>'Raw Data'!C712</f>
        <v>Apparel</v>
      </c>
      <c r="D712" s="3">
        <f>'Raw Data'!D712</f>
        <v>45962</v>
      </c>
      <c r="E712" t="str">
        <f t="shared" si="55"/>
        <v>Nov</v>
      </c>
      <c r="F712" s="5">
        <f>'Raw Data'!E712</f>
        <v>170</v>
      </c>
      <c r="G712" s="4">
        <f>'Raw Data'!F712</f>
        <v>7705.81</v>
      </c>
      <c r="H712" s="4">
        <f>'Raw Data'!G712</f>
        <v>5062.6400000000003</v>
      </c>
      <c r="I712" s="4">
        <f t="shared" si="56"/>
        <v>2643.17</v>
      </c>
      <c r="J712" s="8">
        <f t="shared" si="57"/>
        <v>0.34301001452151036</v>
      </c>
      <c r="K712" s="6">
        <f>'Raw Data'!I712</f>
        <v>3.56</v>
      </c>
      <c r="L712" s="5">
        <f>'Raw Data'!J712</f>
        <v>28</v>
      </c>
      <c r="M712" s="5">
        <f>IF(COUNTIFS($A$2:A712,A712,$D$2:D712,D712)=1,L712,0)</f>
        <v>0</v>
      </c>
      <c r="N712" s="4">
        <f t="shared" si="58"/>
        <v>275.20750000000004</v>
      </c>
      <c r="O712" t="str">
        <f t="shared" si="59"/>
        <v>OK</v>
      </c>
    </row>
    <row r="713" spans="1:15">
      <c r="A713" t="str">
        <f>'Raw Data'!A713</f>
        <v>Charlotte RM-10</v>
      </c>
      <c r="B713" t="str">
        <f>'Raw Data'!B713</f>
        <v>South</v>
      </c>
      <c r="C713" t="str">
        <f>'Raw Data'!C713</f>
        <v>Beauty</v>
      </c>
      <c r="D713" s="3">
        <f>'Raw Data'!D713</f>
        <v>45962</v>
      </c>
      <c r="E713" t="str">
        <f t="shared" si="55"/>
        <v>Nov</v>
      </c>
      <c r="F713" s="5">
        <f>'Raw Data'!E713</f>
        <v>121</v>
      </c>
      <c r="G713" s="4">
        <f>'Raw Data'!F713</f>
        <v>4637.25</v>
      </c>
      <c r="H713" s="4">
        <f>'Raw Data'!G713</f>
        <v>2361.7600000000002</v>
      </c>
      <c r="I713" s="4">
        <f t="shared" si="56"/>
        <v>2275.4899999999998</v>
      </c>
      <c r="J713" s="8">
        <f t="shared" si="57"/>
        <v>0.49069815084371121</v>
      </c>
      <c r="K713" s="6">
        <f>'Raw Data'!I713</f>
        <v>3.54</v>
      </c>
      <c r="L713" s="5">
        <f>'Raw Data'!J713</f>
        <v>28</v>
      </c>
      <c r="M713" s="5">
        <f>IF(COUNTIFS($A$2:A713,A713,$D$2:D713,D713)=1,L713,0)</f>
        <v>0</v>
      </c>
      <c r="N713" s="4">
        <f t="shared" si="58"/>
        <v>165.61607142857142</v>
      </c>
      <c r="O713" t="str">
        <f t="shared" si="59"/>
        <v>OK</v>
      </c>
    </row>
    <row r="714" spans="1:15">
      <c r="A714" t="str">
        <f>'Raw Data'!A714</f>
        <v>Charlotte RM-10</v>
      </c>
      <c r="B714" t="str">
        <f>'Raw Data'!B714</f>
        <v>South</v>
      </c>
      <c r="C714" t="str">
        <f>'Raw Data'!C714</f>
        <v>Grocery</v>
      </c>
      <c r="D714" s="3">
        <f>'Raw Data'!D714</f>
        <v>45962</v>
      </c>
      <c r="E714" t="str">
        <f t="shared" si="55"/>
        <v>Nov</v>
      </c>
      <c r="F714" s="5">
        <f>'Raw Data'!E714</f>
        <v>224</v>
      </c>
      <c r="G714" s="4">
        <f>'Raw Data'!F714</f>
        <v>4183.63</v>
      </c>
      <c r="H714" s="4">
        <f>'Raw Data'!G714</f>
        <v>3985.01</v>
      </c>
      <c r="I714" s="4">
        <f t="shared" si="56"/>
        <v>198.61999999999989</v>
      </c>
      <c r="J714" s="8">
        <f t="shared" si="57"/>
        <v>4.7475517672451888E-2</v>
      </c>
      <c r="K714" s="6">
        <f>'Raw Data'!I714</f>
        <v>3.74</v>
      </c>
      <c r="L714" s="5">
        <f>'Raw Data'!J714</f>
        <v>28</v>
      </c>
      <c r="M714" s="5">
        <f>IF(COUNTIFS($A$2:A714,A714,$D$2:D714,D714)=1,L714,0)</f>
        <v>0</v>
      </c>
      <c r="N714" s="4">
        <f t="shared" si="58"/>
        <v>149.41535714285715</v>
      </c>
      <c r="O714" t="str">
        <f t="shared" si="59"/>
        <v>OK</v>
      </c>
    </row>
    <row r="715" spans="1:15">
      <c r="A715" t="str">
        <f>'Raw Data'!A715</f>
        <v>Charlotte RM-10</v>
      </c>
      <c r="B715" t="str">
        <f>'Raw Data'!B715</f>
        <v>South</v>
      </c>
      <c r="C715" t="str">
        <f>'Raw Data'!C715</f>
        <v>Sports</v>
      </c>
      <c r="D715" s="3">
        <f>'Raw Data'!D715</f>
        <v>45962</v>
      </c>
      <c r="E715" t="str">
        <f t="shared" si="55"/>
        <v>Nov</v>
      </c>
      <c r="F715" s="5">
        <f>'Raw Data'!E715</f>
        <v>101</v>
      </c>
      <c r="G715" s="4">
        <f>'Raw Data'!F715</f>
        <v>6118.83</v>
      </c>
      <c r="H715" s="4">
        <f>'Raw Data'!G715</f>
        <v>4106.26</v>
      </c>
      <c r="I715" s="4">
        <f t="shared" si="56"/>
        <v>2012.5699999999997</v>
      </c>
      <c r="J715" s="8">
        <f t="shared" si="57"/>
        <v>0.32891418784310067</v>
      </c>
      <c r="K715" s="6">
        <f>'Raw Data'!I715</f>
        <v>3.59</v>
      </c>
      <c r="L715" s="5">
        <f>'Raw Data'!J715</f>
        <v>28</v>
      </c>
      <c r="M715" s="5">
        <f>IF(COUNTIFS($A$2:A715,A715,$D$2:D715,D715)=1,L715,0)</f>
        <v>0</v>
      </c>
      <c r="N715" s="4">
        <f t="shared" si="58"/>
        <v>218.52964285714285</v>
      </c>
      <c r="O715" t="str">
        <f t="shared" si="59"/>
        <v>OK</v>
      </c>
    </row>
    <row r="716" spans="1:15">
      <c r="A716" t="str">
        <f>'Raw Data'!A716</f>
        <v>Charlotte RM-10</v>
      </c>
      <c r="B716" t="str">
        <f>'Raw Data'!B716</f>
        <v>South</v>
      </c>
      <c r="C716" t="str">
        <f>'Raw Data'!C716</f>
        <v>Electronics</v>
      </c>
      <c r="D716" s="3">
        <f>'Raw Data'!D716</f>
        <v>45992</v>
      </c>
      <c r="E716" t="str">
        <f t="shared" si="55"/>
        <v>Dec</v>
      </c>
      <c r="F716" s="5">
        <f>'Raw Data'!E716</f>
        <v>188</v>
      </c>
      <c r="G716" s="4">
        <f>'Raw Data'!F716</f>
        <v>27498.06</v>
      </c>
      <c r="H716" s="4">
        <f>'Raw Data'!G716</f>
        <v>22373.9</v>
      </c>
      <c r="I716" s="4">
        <f t="shared" si="56"/>
        <v>5124.16</v>
      </c>
      <c r="J716" s="8">
        <f t="shared" si="57"/>
        <v>0.186346236789068</v>
      </c>
      <c r="K716" s="6">
        <f>'Raw Data'!I716</f>
        <v>3.51</v>
      </c>
      <c r="L716" s="5">
        <f>'Raw Data'!J716</f>
        <v>28</v>
      </c>
      <c r="M716" s="5">
        <f>IF(COUNTIFS($A$2:A716,A716,$D$2:D716,D716)=1,L716,0)</f>
        <v>28</v>
      </c>
      <c r="N716" s="4">
        <f t="shared" si="58"/>
        <v>982.07357142857143</v>
      </c>
      <c r="O716" t="str">
        <f t="shared" si="59"/>
        <v>OK</v>
      </c>
    </row>
    <row r="717" spans="1:15">
      <c r="A717" t="str">
        <f>'Raw Data'!A717</f>
        <v>Charlotte RM-10</v>
      </c>
      <c r="B717" t="str">
        <f>'Raw Data'!B717</f>
        <v>South</v>
      </c>
      <c r="C717" t="str">
        <f>'Raw Data'!C717</f>
        <v>Home Goods</v>
      </c>
      <c r="D717" s="3">
        <f>'Raw Data'!D717</f>
        <v>45992</v>
      </c>
      <c r="E717" t="str">
        <f t="shared" si="55"/>
        <v>Dec</v>
      </c>
      <c r="F717" s="5">
        <f>'Raw Data'!E717</f>
        <v>144</v>
      </c>
      <c r="G717" s="4">
        <f>'Raw Data'!F717</f>
        <v>10421.620000000001</v>
      </c>
      <c r="H717" s="4">
        <f>'Raw Data'!G717</f>
        <v>7713.13</v>
      </c>
      <c r="I717" s="4">
        <f t="shared" si="56"/>
        <v>2708.4900000000007</v>
      </c>
      <c r="J717" s="8">
        <f t="shared" si="57"/>
        <v>0.25989145641464573</v>
      </c>
      <c r="K717" s="6">
        <f>'Raw Data'!I717</f>
        <v>3.73</v>
      </c>
      <c r="L717" s="5">
        <f>'Raw Data'!J717</f>
        <v>28</v>
      </c>
      <c r="M717" s="5">
        <f>IF(COUNTIFS($A$2:A717,A717,$D$2:D717,D717)=1,L717,0)</f>
        <v>0</v>
      </c>
      <c r="N717" s="4">
        <f t="shared" si="58"/>
        <v>372.2007142857143</v>
      </c>
      <c r="O717" t="str">
        <f t="shared" si="59"/>
        <v>OK</v>
      </c>
    </row>
    <row r="718" spans="1:15">
      <c r="A718" t="str">
        <f>'Raw Data'!A718</f>
        <v>Charlotte RM-10</v>
      </c>
      <c r="B718" t="str">
        <f>'Raw Data'!B718</f>
        <v>South</v>
      </c>
      <c r="C718" t="str">
        <f>'Raw Data'!C718</f>
        <v>Apparel</v>
      </c>
      <c r="D718" s="3">
        <f>'Raw Data'!D718</f>
        <v>45992</v>
      </c>
      <c r="E718" t="str">
        <f t="shared" si="55"/>
        <v>Dec</v>
      </c>
      <c r="F718" s="5">
        <f>'Raw Data'!E718</f>
        <v>196</v>
      </c>
      <c r="G718" s="4">
        <f>'Raw Data'!F718</f>
        <v>9116.1</v>
      </c>
      <c r="H718" s="4">
        <f>'Raw Data'!G718</f>
        <v>6121.66</v>
      </c>
      <c r="I718" s="4">
        <f t="shared" si="56"/>
        <v>2994.4400000000005</v>
      </c>
      <c r="J718" s="8">
        <f t="shared" si="57"/>
        <v>0.32847818694397829</v>
      </c>
      <c r="K718" s="6">
        <f>'Raw Data'!I718</f>
        <v>3.86</v>
      </c>
      <c r="L718" s="5">
        <f>'Raw Data'!J718</f>
        <v>28</v>
      </c>
      <c r="M718" s="5">
        <f>IF(COUNTIFS($A$2:A718,A718,$D$2:D718,D718)=1,L718,0)</f>
        <v>0</v>
      </c>
      <c r="N718" s="4">
        <f t="shared" si="58"/>
        <v>325.57499999999999</v>
      </c>
      <c r="O718" t="str">
        <f t="shared" si="59"/>
        <v>OK</v>
      </c>
    </row>
    <row r="719" spans="1:15">
      <c r="A719" t="str">
        <f>'Raw Data'!A719</f>
        <v>Charlotte RM-10</v>
      </c>
      <c r="B719" t="str">
        <f>'Raw Data'!B719</f>
        <v>South</v>
      </c>
      <c r="C719" t="str">
        <f>'Raw Data'!C719</f>
        <v>Beauty</v>
      </c>
      <c r="D719" s="3">
        <f>'Raw Data'!D719</f>
        <v>45992</v>
      </c>
      <c r="E719" t="str">
        <f t="shared" si="55"/>
        <v>Dec</v>
      </c>
      <c r="F719" s="5">
        <f>'Raw Data'!E719</f>
        <v>144</v>
      </c>
      <c r="G719" s="4">
        <f>'Raw Data'!F719</f>
        <v>5216.66</v>
      </c>
      <c r="H719" s="4">
        <f>'Raw Data'!G719</f>
        <v>2782.59</v>
      </c>
      <c r="I719" s="4">
        <f t="shared" si="56"/>
        <v>2434.0699999999997</v>
      </c>
      <c r="J719" s="8">
        <f t="shared" si="57"/>
        <v>0.46659548446707277</v>
      </c>
      <c r="K719" s="6">
        <f>'Raw Data'!I719</f>
        <v>3.79</v>
      </c>
      <c r="L719" s="5">
        <f>'Raw Data'!J719</f>
        <v>28</v>
      </c>
      <c r="M719" s="5">
        <f>IF(COUNTIFS($A$2:A719,A719,$D$2:D719,D719)=1,L719,0)</f>
        <v>0</v>
      </c>
      <c r="N719" s="4">
        <f t="shared" si="58"/>
        <v>186.30928571428572</v>
      </c>
      <c r="O719" t="str">
        <f t="shared" si="59"/>
        <v>OK</v>
      </c>
    </row>
    <row r="720" spans="1:15">
      <c r="A720" t="str">
        <f>'Raw Data'!A720</f>
        <v>Charlotte RM-10</v>
      </c>
      <c r="B720" t="str">
        <f>'Raw Data'!B720</f>
        <v>South</v>
      </c>
      <c r="C720" t="str">
        <f>'Raw Data'!C720</f>
        <v>Grocery</v>
      </c>
      <c r="D720" s="3">
        <f>'Raw Data'!D720</f>
        <v>45992</v>
      </c>
      <c r="E720" t="str">
        <f t="shared" si="55"/>
        <v>Dec</v>
      </c>
      <c r="F720" s="5">
        <f>'Raw Data'!E720</f>
        <v>208</v>
      </c>
      <c r="G720" s="4">
        <f>'Raw Data'!F720</f>
        <v>3658.26</v>
      </c>
      <c r="H720" s="4">
        <f>'Raw Data'!G720</f>
        <v>3541.83</v>
      </c>
      <c r="I720" s="4">
        <f t="shared" si="56"/>
        <v>116.43000000000029</v>
      </c>
      <c r="J720" s="8">
        <f t="shared" si="57"/>
        <v>3.1826606091420587E-2</v>
      </c>
      <c r="K720" s="6">
        <f>'Raw Data'!I720</f>
        <v>3.61</v>
      </c>
      <c r="L720" s="5">
        <f>'Raw Data'!J720</f>
        <v>28</v>
      </c>
      <c r="M720" s="5">
        <f>IF(COUNTIFS($A$2:A720,A720,$D$2:D720,D720)=1,L720,0)</f>
        <v>0</v>
      </c>
      <c r="N720" s="4">
        <f t="shared" si="58"/>
        <v>130.65214285714288</v>
      </c>
      <c r="O720" t="str">
        <f t="shared" si="59"/>
        <v>OK</v>
      </c>
    </row>
    <row r="721" spans="1:15">
      <c r="A721" t="str">
        <f>'Raw Data'!A721</f>
        <v>Charlotte RM-10</v>
      </c>
      <c r="B721" t="str">
        <f>'Raw Data'!B721</f>
        <v>South</v>
      </c>
      <c r="C721" t="str">
        <f>'Raw Data'!C721</f>
        <v>Sports</v>
      </c>
      <c r="D721" s="3">
        <f>'Raw Data'!D721</f>
        <v>45992</v>
      </c>
      <c r="E721" t="str">
        <f t="shared" si="55"/>
        <v>Dec</v>
      </c>
      <c r="F721" s="5">
        <f>'Raw Data'!E721</f>
        <v>111</v>
      </c>
      <c r="G721" s="4">
        <f>'Raw Data'!F721</f>
        <v>6826.55</v>
      </c>
      <c r="H721" s="4">
        <f>'Raw Data'!G721</f>
        <v>4785.26</v>
      </c>
      <c r="I721" s="4">
        <f t="shared" si="56"/>
        <v>2041.29</v>
      </c>
      <c r="J721" s="8">
        <f t="shared" si="57"/>
        <v>0.29902220008642727</v>
      </c>
      <c r="K721" s="6">
        <f>'Raw Data'!I721</f>
        <v>3.57</v>
      </c>
      <c r="L721" s="5">
        <f>'Raw Data'!J721</f>
        <v>28</v>
      </c>
      <c r="M721" s="5">
        <f>IF(COUNTIFS($A$2:A721,A721,$D$2:D721,D721)=1,L721,0)</f>
        <v>0</v>
      </c>
      <c r="N721" s="4">
        <f t="shared" si="58"/>
        <v>243.80535714285716</v>
      </c>
      <c r="O721" t="str">
        <f t="shared" si="59"/>
        <v>OK</v>
      </c>
    </row>
    <row r="722" spans="1:15">
      <c r="A722" t="str">
        <f>'Raw Data'!A722</f>
        <v>Chicago RM-11</v>
      </c>
      <c r="B722" t="str">
        <f>'Raw Data'!B722</f>
        <v>Midwest</v>
      </c>
      <c r="C722" t="str">
        <f>'Raw Data'!C722</f>
        <v>Electronics</v>
      </c>
      <c r="D722" s="3">
        <f>'Raw Data'!D722</f>
        <v>45658</v>
      </c>
      <c r="E722" t="str">
        <f t="shared" si="55"/>
        <v>Jan</v>
      </c>
      <c r="F722" s="5">
        <f>'Raw Data'!E722</f>
        <v>70</v>
      </c>
      <c r="G722" s="4">
        <f>'Raw Data'!F722</f>
        <v>9862.49</v>
      </c>
      <c r="H722" s="4">
        <f>'Raw Data'!G722</f>
        <v>7294.15</v>
      </c>
      <c r="I722" s="4">
        <f t="shared" si="56"/>
        <v>2568.34</v>
      </c>
      <c r="J722" s="8">
        <f t="shared" si="57"/>
        <v>0.26041496620021926</v>
      </c>
      <c r="K722" s="6">
        <f>'Raw Data'!I722</f>
        <v>3.43</v>
      </c>
      <c r="L722" s="5">
        <f>'Raw Data'!J722</f>
        <v>17</v>
      </c>
      <c r="M722" s="5">
        <f>IF(COUNTIFS($A$2:A722,A722,$D$2:D722,D722)=1,L722,0)</f>
        <v>17</v>
      </c>
      <c r="N722" s="4">
        <f t="shared" si="58"/>
        <v>580.14647058823527</v>
      </c>
      <c r="O722" t="str">
        <f t="shared" si="59"/>
        <v>OK</v>
      </c>
    </row>
    <row r="723" spans="1:15">
      <c r="A723" t="str">
        <f>'Raw Data'!A723</f>
        <v>Chicago RM-11</v>
      </c>
      <c r="B723" t="str">
        <f>'Raw Data'!B723</f>
        <v>Midwest</v>
      </c>
      <c r="C723" t="str">
        <f>'Raw Data'!C723</f>
        <v>Home Goods</v>
      </c>
      <c r="D723" s="3">
        <f>'Raw Data'!D723</f>
        <v>45658</v>
      </c>
      <c r="E723" t="str">
        <f t="shared" si="55"/>
        <v>Jan</v>
      </c>
      <c r="F723" s="5">
        <f>'Raw Data'!E723</f>
        <v>71</v>
      </c>
      <c r="G723" s="4">
        <f>'Raw Data'!F723</f>
        <v>5640.51</v>
      </c>
      <c r="H723" s="4">
        <f>'Raw Data'!G723</f>
        <v>3646.2</v>
      </c>
      <c r="I723" s="4">
        <f t="shared" si="56"/>
        <v>1994.3100000000004</v>
      </c>
      <c r="J723" s="8">
        <f t="shared" si="57"/>
        <v>0.35356909215656035</v>
      </c>
      <c r="K723" s="6">
        <f>'Raw Data'!I723</f>
        <v>3.44</v>
      </c>
      <c r="L723" s="5">
        <f>'Raw Data'!J723</f>
        <v>17</v>
      </c>
      <c r="M723" s="5">
        <f>IF(COUNTIFS($A$2:A723,A723,$D$2:D723,D723)=1,L723,0)</f>
        <v>0</v>
      </c>
      <c r="N723" s="4">
        <f t="shared" si="58"/>
        <v>331.79470588235296</v>
      </c>
      <c r="O723" t="str">
        <f t="shared" si="59"/>
        <v>OK</v>
      </c>
    </row>
    <row r="724" spans="1:15">
      <c r="A724" t="str">
        <f>'Raw Data'!A724</f>
        <v>Chicago RM-11</v>
      </c>
      <c r="B724" t="str">
        <f>'Raw Data'!B724</f>
        <v>Midwest</v>
      </c>
      <c r="C724" t="str">
        <f>'Raw Data'!C724</f>
        <v>Apparel</v>
      </c>
      <c r="D724" s="3">
        <f>'Raw Data'!D724</f>
        <v>45658</v>
      </c>
      <c r="E724" t="str">
        <f t="shared" si="55"/>
        <v>Jan</v>
      </c>
      <c r="F724" s="5">
        <f>'Raw Data'!E724</f>
        <v>76</v>
      </c>
      <c r="G724" s="4">
        <f>'Raw Data'!F724</f>
        <v>3924.88</v>
      </c>
      <c r="H724" s="4">
        <f>'Raw Data'!G724</f>
        <v>2288.69</v>
      </c>
      <c r="I724" s="4">
        <f t="shared" si="56"/>
        <v>1636.19</v>
      </c>
      <c r="J724" s="8">
        <f t="shared" si="57"/>
        <v>0.41687643953445713</v>
      </c>
      <c r="K724" s="6">
        <f>'Raw Data'!I724</f>
        <v>3.6</v>
      </c>
      <c r="L724" s="5">
        <f>'Raw Data'!J724</f>
        <v>17</v>
      </c>
      <c r="M724" s="5">
        <f>IF(COUNTIFS($A$2:A724,A724,$D$2:D724,D724)=1,L724,0)</f>
        <v>0</v>
      </c>
      <c r="N724" s="4">
        <f t="shared" si="58"/>
        <v>230.87529411764706</v>
      </c>
      <c r="O724" t="str">
        <f t="shared" si="59"/>
        <v>OK</v>
      </c>
    </row>
    <row r="725" spans="1:15">
      <c r="A725" t="str">
        <f>'Raw Data'!A725</f>
        <v>Chicago RM-11</v>
      </c>
      <c r="B725" t="str">
        <f>'Raw Data'!B725</f>
        <v>Midwest</v>
      </c>
      <c r="C725" t="str">
        <f>'Raw Data'!C725</f>
        <v>Beauty</v>
      </c>
      <c r="D725" s="3">
        <f>'Raw Data'!D725</f>
        <v>45658</v>
      </c>
      <c r="E725" t="str">
        <f t="shared" si="55"/>
        <v>Jan</v>
      </c>
      <c r="F725" s="5">
        <f>'Raw Data'!E725</f>
        <v>74</v>
      </c>
      <c r="G725" s="4">
        <f>'Raw Data'!F725</f>
        <v>2817.74</v>
      </c>
      <c r="H725" s="4">
        <f>'Raw Data'!G725</f>
        <v>1320.92</v>
      </c>
      <c r="I725" s="4">
        <f t="shared" si="56"/>
        <v>1496.8199999999997</v>
      </c>
      <c r="J725" s="8">
        <f t="shared" si="57"/>
        <v>0.53121295790243239</v>
      </c>
      <c r="K725" s="6">
        <f>'Raw Data'!I725</f>
        <v>3.56</v>
      </c>
      <c r="L725" s="5">
        <f>'Raw Data'!J725</f>
        <v>17</v>
      </c>
      <c r="M725" s="5">
        <f>IF(COUNTIFS($A$2:A725,A725,$D$2:D725,D725)=1,L725,0)</f>
        <v>0</v>
      </c>
      <c r="N725" s="4">
        <f t="shared" si="58"/>
        <v>165.74941176470588</v>
      </c>
      <c r="O725" t="str">
        <f t="shared" si="59"/>
        <v>OK</v>
      </c>
    </row>
    <row r="726" spans="1:15">
      <c r="A726" t="str">
        <f>'Raw Data'!A726</f>
        <v>Chicago RM-11</v>
      </c>
      <c r="B726" t="str">
        <f>'Raw Data'!B726</f>
        <v>Midwest</v>
      </c>
      <c r="C726" t="str">
        <f>'Raw Data'!C726</f>
        <v>Grocery</v>
      </c>
      <c r="D726" s="3">
        <f>'Raw Data'!D726</f>
        <v>45658</v>
      </c>
      <c r="E726" t="str">
        <f t="shared" si="55"/>
        <v>Jan</v>
      </c>
      <c r="F726" s="5">
        <f>'Raw Data'!E726</f>
        <v>92</v>
      </c>
      <c r="G726" s="4">
        <f>'Raw Data'!F726</f>
        <v>1666.72</v>
      </c>
      <c r="H726" s="4">
        <f>'Raw Data'!G726</f>
        <v>1500.3</v>
      </c>
      <c r="I726" s="4">
        <f t="shared" si="56"/>
        <v>166.42000000000007</v>
      </c>
      <c r="J726" s="8">
        <f t="shared" si="57"/>
        <v>9.9848804838245223E-2</v>
      </c>
      <c r="K726" s="6">
        <f>'Raw Data'!I726</f>
        <v>3.55</v>
      </c>
      <c r="L726" s="5">
        <f>'Raw Data'!J726</f>
        <v>17</v>
      </c>
      <c r="M726" s="5">
        <f>IF(COUNTIFS($A$2:A726,A726,$D$2:D726,D726)=1,L726,0)</f>
        <v>0</v>
      </c>
      <c r="N726" s="4">
        <f t="shared" si="58"/>
        <v>98.042352941176475</v>
      </c>
      <c r="O726" t="str">
        <f t="shared" si="59"/>
        <v>OK</v>
      </c>
    </row>
    <row r="727" spans="1:15">
      <c r="A727" t="str">
        <f>'Raw Data'!A727</f>
        <v>Chicago RM-11</v>
      </c>
      <c r="B727" t="str">
        <f>'Raw Data'!B727</f>
        <v>Midwest</v>
      </c>
      <c r="C727" t="str">
        <f>'Raw Data'!C727</f>
        <v>Sports</v>
      </c>
      <c r="D727" s="3">
        <f>'Raw Data'!D727</f>
        <v>45658</v>
      </c>
      <c r="E727" t="str">
        <f t="shared" si="55"/>
        <v>Jan</v>
      </c>
      <c r="F727" s="5">
        <f>'Raw Data'!E727</f>
        <v>49</v>
      </c>
      <c r="G727" s="4">
        <f>'Raw Data'!F727</f>
        <v>2889.3</v>
      </c>
      <c r="H727" s="4">
        <f>'Raw Data'!G727</f>
        <v>1834.66</v>
      </c>
      <c r="I727" s="4">
        <f t="shared" si="56"/>
        <v>1054.6400000000001</v>
      </c>
      <c r="J727" s="8">
        <f t="shared" si="57"/>
        <v>0.36501574775897278</v>
      </c>
      <c r="K727" s="6">
        <f>'Raw Data'!I727</f>
        <v>3.66</v>
      </c>
      <c r="L727" s="5">
        <f>'Raw Data'!J727</f>
        <v>17</v>
      </c>
      <c r="M727" s="5">
        <f>IF(COUNTIFS($A$2:A727,A727,$D$2:D727,D727)=1,L727,0)</f>
        <v>0</v>
      </c>
      <c r="N727" s="4">
        <f t="shared" si="58"/>
        <v>169.95882352941177</v>
      </c>
      <c r="O727" t="str">
        <f t="shared" si="59"/>
        <v>OK</v>
      </c>
    </row>
    <row r="728" spans="1:15">
      <c r="A728" t="str">
        <f>'Raw Data'!A728</f>
        <v>Chicago RM-11</v>
      </c>
      <c r="B728" t="str">
        <f>'Raw Data'!B728</f>
        <v>Midwest</v>
      </c>
      <c r="C728" t="str">
        <f>'Raw Data'!C728</f>
        <v>Electronics</v>
      </c>
      <c r="D728" s="3">
        <f>'Raw Data'!D728</f>
        <v>45689</v>
      </c>
      <c r="E728" t="str">
        <f t="shared" si="55"/>
        <v>Feb</v>
      </c>
      <c r="F728" s="5">
        <f>'Raw Data'!E728</f>
        <v>78</v>
      </c>
      <c r="G728" s="4">
        <f>'Raw Data'!F728</f>
        <v>10905.14</v>
      </c>
      <c r="H728" s="4">
        <f>'Raw Data'!G728</f>
        <v>8483.8799999999992</v>
      </c>
      <c r="I728" s="4">
        <f t="shared" si="56"/>
        <v>2421.2600000000002</v>
      </c>
      <c r="J728" s="8">
        <f t="shared" si="57"/>
        <v>0.22202924492487033</v>
      </c>
      <c r="K728" s="6">
        <f>'Raw Data'!I728</f>
        <v>3.76</v>
      </c>
      <c r="L728" s="5">
        <f>'Raw Data'!J728</f>
        <v>18</v>
      </c>
      <c r="M728" s="5">
        <f>IF(COUNTIFS($A$2:A728,A728,$D$2:D728,D728)=1,L728,0)</f>
        <v>18</v>
      </c>
      <c r="N728" s="4">
        <f t="shared" si="58"/>
        <v>605.8411111111111</v>
      </c>
      <c r="O728" t="str">
        <f t="shared" si="59"/>
        <v>OK</v>
      </c>
    </row>
    <row r="729" spans="1:15">
      <c r="A729" t="str">
        <f>'Raw Data'!A729</f>
        <v>Chicago RM-11</v>
      </c>
      <c r="B729" t="str">
        <f>'Raw Data'!B729</f>
        <v>Midwest</v>
      </c>
      <c r="C729" t="str">
        <f>'Raw Data'!C729</f>
        <v>Home Goods</v>
      </c>
      <c r="D729" s="3">
        <f>'Raw Data'!D729</f>
        <v>45689</v>
      </c>
      <c r="E729" t="str">
        <f t="shared" si="55"/>
        <v>Feb</v>
      </c>
      <c r="F729" s="5">
        <f>'Raw Data'!E729</f>
        <v>70</v>
      </c>
      <c r="G729" s="4">
        <f>'Raw Data'!F729</f>
        <v>5602.94</v>
      </c>
      <c r="H729" s="4">
        <f>'Raw Data'!G729</f>
        <v>3538.32</v>
      </c>
      <c r="I729" s="4">
        <f t="shared" si="56"/>
        <v>2064.6199999999994</v>
      </c>
      <c r="J729" s="8">
        <f t="shared" si="57"/>
        <v>0.36848868629683695</v>
      </c>
      <c r="K729" s="6">
        <f>'Raw Data'!I729</f>
        <v>3.56</v>
      </c>
      <c r="L729" s="5">
        <f>'Raw Data'!J729</f>
        <v>18</v>
      </c>
      <c r="M729" s="5">
        <f>IF(COUNTIFS($A$2:A729,A729,$D$2:D729,D729)=1,L729,0)</f>
        <v>0</v>
      </c>
      <c r="N729" s="4">
        <f t="shared" si="58"/>
        <v>311.27444444444444</v>
      </c>
      <c r="O729" t="str">
        <f t="shared" si="59"/>
        <v>OK</v>
      </c>
    </row>
    <row r="730" spans="1:15">
      <c r="A730" t="str">
        <f>'Raw Data'!A730</f>
        <v>Chicago RM-11</v>
      </c>
      <c r="B730" t="str">
        <f>'Raw Data'!B730</f>
        <v>Midwest</v>
      </c>
      <c r="C730" t="str">
        <f>'Raw Data'!C730</f>
        <v>Apparel</v>
      </c>
      <c r="D730" s="3">
        <f>'Raw Data'!D730</f>
        <v>45689</v>
      </c>
      <c r="E730" t="str">
        <f t="shared" si="55"/>
        <v>Feb</v>
      </c>
      <c r="F730" s="5">
        <f>'Raw Data'!E730</f>
        <v>89</v>
      </c>
      <c r="G730" s="4">
        <f>'Raw Data'!F730</f>
        <v>4612.13</v>
      </c>
      <c r="H730" s="4">
        <f>'Raw Data'!G730</f>
        <v>2723.34</v>
      </c>
      <c r="I730" s="4">
        <f t="shared" si="56"/>
        <v>1888.79</v>
      </c>
      <c r="J730" s="8">
        <f t="shared" si="57"/>
        <v>0.40952661785335626</v>
      </c>
      <c r="K730" s="6">
        <f>'Raw Data'!I730</f>
        <v>3.71</v>
      </c>
      <c r="L730" s="5">
        <f>'Raw Data'!J730</f>
        <v>18</v>
      </c>
      <c r="M730" s="5">
        <f>IF(COUNTIFS($A$2:A730,A730,$D$2:D730,D730)=1,L730,0)</f>
        <v>0</v>
      </c>
      <c r="N730" s="4">
        <f t="shared" si="58"/>
        <v>256.22944444444443</v>
      </c>
      <c r="O730" t="str">
        <f t="shared" si="59"/>
        <v>OK</v>
      </c>
    </row>
    <row r="731" spans="1:15">
      <c r="A731" t="str">
        <f>'Raw Data'!A731</f>
        <v>Chicago RM-11</v>
      </c>
      <c r="B731" t="str">
        <f>'Raw Data'!B731</f>
        <v>Midwest</v>
      </c>
      <c r="C731" t="str">
        <f>'Raw Data'!C731</f>
        <v>Beauty</v>
      </c>
      <c r="D731" s="3">
        <f>'Raw Data'!D731</f>
        <v>45689</v>
      </c>
      <c r="E731" t="str">
        <f t="shared" si="55"/>
        <v>Feb</v>
      </c>
      <c r="F731" s="5">
        <f>'Raw Data'!E731</f>
        <v>67</v>
      </c>
      <c r="G731" s="4">
        <f>'Raw Data'!F731</f>
        <v>2354.36</v>
      </c>
      <c r="H731" s="4">
        <f>'Raw Data'!G731</f>
        <v>1124.18</v>
      </c>
      <c r="I731" s="4">
        <f t="shared" si="56"/>
        <v>1230.18</v>
      </c>
      <c r="J731" s="8">
        <f t="shared" si="57"/>
        <v>0.52251142561035691</v>
      </c>
      <c r="K731" s="6">
        <f>'Raw Data'!I731</f>
        <v>3.73</v>
      </c>
      <c r="L731" s="5">
        <f>'Raw Data'!J731</f>
        <v>18</v>
      </c>
      <c r="M731" s="5">
        <f>IF(COUNTIFS($A$2:A731,A731,$D$2:D731,D731)=1,L731,0)</f>
        <v>0</v>
      </c>
      <c r="N731" s="4">
        <f t="shared" si="58"/>
        <v>130.79777777777778</v>
      </c>
      <c r="O731" t="str">
        <f t="shared" si="59"/>
        <v>OK</v>
      </c>
    </row>
    <row r="732" spans="1:15">
      <c r="A732" t="str">
        <f>'Raw Data'!A732</f>
        <v>Chicago RM-11</v>
      </c>
      <c r="B732" t="str">
        <f>'Raw Data'!B732</f>
        <v>Midwest</v>
      </c>
      <c r="C732" t="str">
        <f>'Raw Data'!C732</f>
        <v>Grocery</v>
      </c>
      <c r="D732" s="3">
        <f>'Raw Data'!D732</f>
        <v>45689</v>
      </c>
      <c r="E732" t="str">
        <f t="shared" si="55"/>
        <v>Feb</v>
      </c>
      <c r="F732" s="5">
        <f>'Raw Data'!E732</f>
        <v>120</v>
      </c>
      <c r="G732" s="4">
        <f>'Raw Data'!F732</f>
        <v>2150.56</v>
      </c>
      <c r="H732" s="4">
        <f>'Raw Data'!G732</f>
        <v>1885.52</v>
      </c>
      <c r="I732" s="4">
        <f t="shared" si="56"/>
        <v>265.03999999999996</v>
      </c>
      <c r="J732" s="8">
        <f t="shared" si="57"/>
        <v>0.12324231827988988</v>
      </c>
      <c r="K732" s="6">
        <f>'Raw Data'!I732</f>
        <v>3.47</v>
      </c>
      <c r="L732" s="5">
        <f>'Raw Data'!J732</f>
        <v>18</v>
      </c>
      <c r="M732" s="5">
        <f>IF(COUNTIFS($A$2:A732,A732,$D$2:D732,D732)=1,L732,0)</f>
        <v>0</v>
      </c>
      <c r="N732" s="4">
        <f t="shared" si="58"/>
        <v>119.47555555555556</v>
      </c>
      <c r="O732" t="str">
        <f t="shared" si="59"/>
        <v>OK</v>
      </c>
    </row>
    <row r="733" spans="1:15">
      <c r="A733" t="str">
        <f>'Raw Data'!A733</f>
        <v>Chicago RM-11</v>
      </c>
      <c r="B733" t="str">
        <f>'Raw Data'!B733</f>
        <v>Midwest</v>
      </c>
      <c r="C733" t="str">
        <f>'Raw Data'!C733</f>
        <v>Sports</v>
      </c>
      <c r="D733" s="3">
        <f>'Raw Data'!D733</f>
        <v>45689</v>
      </c>
      <c r="E733" t="str">
        <f t="shared" si="55"/>
        <v>Feb</v>
      </c>
      <c r="F733" s="5">
        <f>'Raw Data'!E733</f>
        <v>52</v>
      </c>
      <c r="G733" s="4">
        <f>'Raw Data'!F733</f>
        <v>3237.35</v>
      </c>
      <c r="H733" s="4">
        <f>'Raw Data'!G733</f>
        <v>2072</v>
      </c>
      <c r="I733" s="4">
        <f t="shared" si="56"/>
        <v>1165.3499999999999</v>
      </c>
      <c r="J733" s="8">
        <f t="shared" si="57"/>
        <v>0.35997034611642237</v>
      </c>
      <c r="K733" s="6">
        <f>'Raw Data'!I733</f>
        <v>3.69</v>
      </c>
      <c r="L733" s="5">
        <f>'Raw Data'!J733</f>
        <v>18</v>
      </c>
      <c r="M733" s="5">
        <f>IF(COUNTIFS($A$2:A733,A733,$D$2:D733,D733)=1,L733,0)</f>
        <v>0</v>
      </c>
      <c r="N733" s="4">
        <f t="shared" si="58"/>
        <v>179.85277777777776</v>
      </c>
      <c r="O733" t="str">
        <f t="shared" si="59"/>
        <v>OK</v>
      </c>
    </row>
    <row r="734" spans="1:15">
      <c r="A734" t="str">
        <f>'Raw Data'!A734</f>
        <v>Chicago RM-11</v>
      </c>
      <c r="B734" t="str">
        <f>'Raw Data'!B734</f>
        <v>Midwest</v>
      </c>
      <c r="C734" t="str">
        <f>'Raw Data'!C734</f>
        <v>Electronics</v>
      </c>
      <c r="D734" s="3">
        <f>'Raw Data'!D734</f>
        <v>45717</v>
      </c>
      <c r="E734" t="str">
        <f t="shared" si="55"/>
        <v>Mar</v>
      </c>
      <c r="F734" s="5">
        <f>'Raw Data'!E734</f>
        <v>82</v>
      </c>
      <c r="G734" s="4">
        <f>'Raw Data'!F734</f>
        <v>12119.75</v>
      </c>
      <c r="H734" s="4">
        <f>'Raw Data'!G734</f>
        <v>9281.06</v>
      </c>
      <c r="I734" s="4">
        <f t="shared" si="56"/>
        <v>2838.6900000000005</v>
      </c>
      <c r="J734" s="8">
        <f t="shared" si="57"/>
        <v>0.23422017780894824</v>
      </c>
      <c r="K734" s="6">
        <f>'Raw Data'!I734</f>
        <v>3.75</v>
      </c>
      <c r="L734" s="5">
        <f>'Raw Data'!J734</f>
        <v>19</v>
      </c>
      <c r="M734" s="5">
        <f>IF(COUNTIFS($A$2:A734,A734,$D$2:D734,D734)=1,L734,0)</f>
        <v>19</v>
      </c>
      <c r="N734" s="4">
        <f t="shared" si="58"/>
        <v>637.88157894736844</v>
      </c>
      <c r="O734" t="str">
        <f t="shared" si="59"/>
        <v>OK</v>
      </c>
    </row>
    <row r="735" spans="1:15">
      <c r="A735" t="str">
        <f>'Raw Data'!A735</f>
        <v>Chicago RM-11</v>
      </c>
      <c r="B735" t="str">
        <f>'Raw Data'!B735</f>
        <v>Midwest</v>
      </c>
      <c r="C735" t="str">
        <f>'Raw Data'!C735</f>
        <v>Home Goods</v>
      </c>
      <c r="D735" s="3">
        <f>'Raw Data'!D735</f>
        <v>45717</v>
      </c>
      <c r="E735" t="str">
        <f t="shared" si="55"/>
        <v>Mar</v>
      </c>
      <c r="F735" s="5">
        <f>'Raw Data'!E735</f>
        <v>73</v>
      </c>
      <c r="G735" s="4">
        <f>'Raw Data'!F735</f>
        <v>5292.95</v>
      </c>
      <c r="H735" s="4">
        <f>'Raw Data'!G735</f>
        <v>3369.35</v>
      </c>
      <c r="I735" s="4">
        <f t="shared" si="56"/>
        <v>1923.6</v>
      </c>
      <c r="J735" s="8">
        <f t="shared" si="57"/>
        <v>0.36342682247140062</v>
      </c>
      <c r="K735" s="6">
        <f>'Raw Data'!I735</f>
        <v>3.69</v>
      </c>
      <c r="L735" s="5">
        <f>'Raw Data'!J735</f>
        <v>19</v>
      </c>
      <c r="M735" s="5">
        <f>IF(COUNTIFS($A$2:A735,A735,$D$2:D735,D735)=1,L735,0)</f>
        <v>0</v>
      </c>
      <c r="N735" s="4">
        <f t="shared" si="58"/>
        <v>278.57631578947365</v>
      </c>
      <c r="O735" t="str">
        <f t="shared" si="59"/>
        <v>OK</v>
      </c>
    </row>
    <row r="736" spans="1:15">
      <c r="A736" t="str">
        <f>'Raw Data'!A736</f>
        <v>Chicago RM-11</v>
      </c>
      <c r="B736" t="str">
        <f>'Raw Data'!B736</f>
        <v>Midwest</v>
      </c>
      <c r="C736" t="str">
        <f>'Raw Data'!C736</f>
        <v>Apparel</v>
      </c>
      <c r="D736" s="3">
        <f>'Raw Data'!D736</f>
        <v>45717</v>
      </c>
      <c r="E736" t="str">
        <f t="shared" si="55"/>
        <v>Mar</v>
      </c>
      <c r="F736" s="5">
        <f>'Raw Data'!E736</f>
        <v>110</v>
      </c>
      <c r="G736" s="4">
        <f>'Raw Data'!F736</f>
        <v>5613.8</v>
      </c>
      <c r="H736" s="4">
        <f>'Raw Data'!G736</f>
        <v>3398.72</v>
      </c>
      <c r="I736" s="4">
        <f t="shared" si="56"/>
        <v>2215.0800000000004</v>
      </c>
      <c r="J736" s="8">
        <f t="shared" si="57"/>
        <v>0.39457764793900751</v>
      </c>
      <c r="K736" s="6">
        <f>'Raw Data'!I736</f>
        <v>3.5</v>
      </c>
      <c r="L736" s="5">
        <f>'Raw Data'!J736</f>
        <v>19</v>
      </c>
      <c r="M736" s="5">
        <f>IF(COUNTIFS($A$2:A736,A736,$D$2:D736,D736)=1,L736,0)</f>
        <v>0</v>
      </c>
      <c r="N736" s="4">
        <f t="shared" si="58"/>
        <v>295.46315789473687</v>
      </c>
      <c r="O736" t="str">
        <f t="shared" si="59"/>
        <v>OK</v>
      </c>
    </row>
    <row r="737" spans="1:15">
      <c r="A737" t="str">
        <f>'Raw Data'!A737</f>
        <v>Chicago RM-11</v>
      </c>
      <c r="B737" t="str">
        <f>'Raw Data'!B737</f>
        <v>Midwest</v>
      </c>
      <c r="C737" t="str">
        <f>'Raw Data'!C737</f>
        <v>Beauty</v>
      </c>
      <c r="D737" s="3">
        <f>'Raw Data'!D737</f>
        <v>45717</v>
      </c>
      <c r="E737" t="str">
        <f t="shared" si="55"/>
        <v>Mar</v>
      </c>
      <c r="F737" s="5">
        <f>'Raw Data'!E737</f>
        <v>62</v>
      </c>
      <c r="G737" s="4">
        <f>'Raw Data'!F737</f>
        <v>2302.69</v>
      </c>
      <c r="H737" s="4">
        <f>'Raw Data'!G737</f>
        <v>1091.57</v>
      </c>
      <c r="I737" s="4">
        <f t="shared" si="56"/>
        <v>1211.1200000000001</v>
      </c>
      <c r="J737" s="8">
        <f t="shared" si="57"/>
        <v>0.52595876996035074</v>
      </c>
      <c r="K737" s="6">
        <f>'Raw Data'!I737</f>
        <v>3.58</v>
      </c>
      <c r="L737" s="5">
        <f>'Raw Data'!J737</f>
        <v>19</v>
      </c>
      <c r="M737" s="5">
        <f>IF(COUNTIFS($A$2:A737,A737,$D$2:D737,D737)=1,L737,0)</f>
        <v>0</v>
      </c>
      <c r="N737" s="4">
        <f t="shared" si="58"/>
        <v>121.19421052631579</v>
      </c>
      <c r="O737" t="str">
        <f t="shared" si="59"/>
        <v>OK</v>
      </c>
    </row>
    <row r="738" spans="1:15">
      <c r="A738" t="str">
        <f>'Raw Data'!A738</f>
        <v>Chicago RM-11</v>
      </c>
      <c r="B738" t="str">
        <f>'Raw Data'!B738</f>
        <v>Midwest</v>
      </c>
      <c r="C738" t="str">
        <f>'Raw Data'!C738</f>
        <v>Grocery</v>
      </c>
      <c r="D738" s="3">
        <f>'Raw Data'!D738</f>
        <v>45717</v>
      </c>
      <c r="E738" t="str">
        <f t="shared" si="55"/>
        <v>Mar</v>
      </c>
      <c r="F738" s="5">
        <f>'Raw Data'!E738</f>
        <v>129</v>
      </c>
      <c r="G738" s="4">
        <f>'Raw Data'!F738</f>
        <v>2383.66</v>
      </c>
      <c r="H738" s="4">
        <f>'Raw Data'!G738</f>
        <v>2149.29</v>
      </c>
      <c r="I738" s="4">
        <f t="shared" si="56"/>
        <v>234.36999999999989</v>
      </c>
      <c r="J738" s="8">
        <f t="shared" si="57"/>
        <v>9.8323586417525949E-2</v>
      </c>
      <c r="K738" s="6">
        <f>'Raw Data'!I738</f>
        <v>3.52</v>
      </c>
      <c r="L738" s="5">
        <f>'Raw Data'!J738</f>
        <v>19</v>
      </c>
      <c r="M738" s="5">
        <f>IF(COUNTIFS($A$2:A738,A738,$D$2:D738,D738)=1,L738,0)</f>
        <v>0</v>
      </c>
      <c r="N738" s="4">
        <f t="shared" si="58"/>
        <v>125.45578947368421</v>
      </c>
      <c r="O738" t="str">
        <f t="shared" si="59"/>
        <v>OK</v>
      </c>
    </row>
    <row r="739" spans="1:15">
      <c r="A739" t="str">
        <f>'Raw Data'!A739</f>
        <v>Chicago RM-11</v>
      </c>
      <c r="B739" t="str">
        <f>'Raw Data'!B739</f>
        <v>Midwest</v>
      </c>
      <c r="C739" t="str">
        <f>'Raw Data'!C739</f>
        <v>Sports</v>
      </c>
      <c r="D739" s="3">
        <f>'Raw Data'!D739</f>
        <v>45717</v>
      </c>
      <c r="E739" t="str">
        <f t="shared" si="55"/>
        <v>Mar</v>
      </c>
      <c r="F739" s="5">
        <f>'Raw Data'!E739</f>
        <v>60</v>
      </c>
      <c r="G739" s="4">
        <f>'Raw Data'!F739</f>
        <v>3702.93</v>
      </c>
      <c r="H739" s="4">
        <f>'Raw Data'!G739</f>
        <v>2393.46</v>
      </c>
      <c r="I739" s="4">
        <f t="shared" si="56"/>
        <v>1309.4699999999998</v>
      </c>
      <c r="J739" s="8">
        <f t="shared" si="57"/>
        <v>0.35363077346857757</v>
      </c>
      <c r="K739" s="6">
        <f>'Raw Data'!I739</f>
        <v>3.65</v>
      </c>
      <c r="L739" s="5">
        <f>'Raw Data'!J739</f>
        <v>19</v>
      </c>
      <c r="M739" s="5">
        <f>IF(COUNTIFS($A$2:A739,A739,$D$2:D739,D739)=1,L739,0)</f>
        <v>0</v>
      </c>
      <c r="N739" s="4">
        <f t="shared" si="58"/>
        <v>194.89105263157893</v>
      </c>
      <c r="O739" t="str">
        <f t="shared" si="59"/>
        <v>OK</v>
      </c>
    </row>
    <row r="740" spans="1:15">
      <c r="A740" t="str">
        <f>'Raw Data'!A740</f>
        <v>Chicago RM-11</v>
      </c>
      <c r="B740" t="str">
        <f>'Raw Data'!B740</f>
        <v>Midwest</v>
      </c>
      <c r="C740" t="str">
        <f>'Raw Data'!C740</f>
        <v>Electronics</v>
      </c>
      <c r="D740" s="3">
        <f>'Raw Data'!D740</f>
        <v>45748</v>
      </c>
      <c r="E740" t="str">
        <f t="shared" si="55"/>
        <v>Apr</v>
      </c>
      <c r="F740" s="5">
        <f>'Raw Data'!E740</f>
        <v>85</v>
      </c>
      <c r="G740" s="4">
        <f>'Raw Data'!F740</f>
        <v>13133.33</v>
      </c>
      <c r="H740" s="4">
        <f>'Raw Data'!G740</f>
        <v>9796.0499999999993</v>
      </c>
      <c r="I740" s="4">
        <f t="shared" si="56"/>
        <v>3337.2800000000007</v>
      </c>
      <c r="J740" s="8">
        <f t="shared" si="57"/>
        <v>0.2541076787075327</v>
      </c>
      <c r="K740" s="6">
        <f>'Raw Data'!I740</f>
        <v>3.7</v>
      </c>
      <c r="L740" s="5">
        <f>'Raw Data'!J740</f>
        <v>17</v>
      </c>
      <c r="M740" s="5">
        <f>IF(COUNTIFS($A$2:A740,A740,$D$2:D740,D740)=1,L740,0)</f>
        <v>17</v>
      </c>
      <c r="N740" s="4">
        <f t="shared" si="58"/>
        <v>772.54882352941172</v>
      </c>
      <c r="O740" t="str">
        <f t="shared" si="59"/>
        <v>OK</v>
      </c>
    </row>
    <row r="741" spans="1:15">
      <c r="A741" t="str">
        <f>'Raw Data'!A741</f>
        <v>Chicago RM-11</v>
      </c>
      <c r="B741" t="str">
        <f>'Raw Data'!B741</f>
        <v>Midwest</v>
      </c>
      <c r="C741" t="str">
        <f>'Raw Data'!C741</f>
        <v>Home Goods</v>
      </c>
      <c r="D741" s="3">
        <f>'Raw Data'!D741</f>
        <v>45748</v>
      </c>
      <c r="E741" t="str">
        <f t="shared" si="55"/>
        <v>Apr</v>
      </c>
      <c r="F741" s="5">
        <f>'Raw Data'!E741</f>
        <v>62</v>
      </c>
      <c r="G741" s="4">
        <f>'Raw Data'!F741</f>
        <v>4629.2</v>
      </c>
      <c r="H741" s="4">
        <f>'Raw Data'!G741</f>
        <v>3005.87</v>
      </c>
      <c r="I741" s="4">
        <f t="shared" si="56"/>
        <v>1623.33</v>
      </c>
      <c r="J741" s="8">
        <f t="shared" si="57"/>
        <v>0.35067182234511363</v>
      </c>
      <c r="K741" s="6">
        <f>'Raw Data'!I741</f>
        <v>3.58</v>
      </c>
      <c r="L741" s="5">
        <f>'Raw Data'!J741</f>
        <v>17</v>
      </c>
      <c r="M741" s="5">
        <f>IF(COUNTIFS($A$2:A741,A741,$D$2:D741,D741)=1,L741,0)</f>
        <v>0</v>
      </c>
      <c r="N741" s="4">
        <f t="shared" si="58"/>
        <v>272.30588235294118</v>
      </c>
      <c r="O741" t="str">
        <f t="shared" si="59"/>
        <v>OK</v>
      </c>
    </row>
    <row r="742" spans="1:15">
      <c r="A742" t="str">
        <f>'Raw Data'!A742</f>
        <v>Chicago RM-11</v>
      </c>
      <c r="B742" t="str">
        <f>'Raw Data'!B742</f>
        <v>Midwest</v>
      </c>
      <c r="C742" t="str">
        <f>'Raw Data'!C742</f>
        <v>Apparel</v>
      </c>
      <c r="D742" s="3">
        <f>'Raw Data'!D742</f>
        <v>45748</v>
      </c>
      <c r="E742" t="str">
        <f t="shared" si="55"/>
        <v>Apr</v>
      </c>
      <c r="F742" s="5">
        <f>'Raw Data'!E742</f>
        <v>114</v>
      </c>
      <c r="G742" s="4">
        <f>'Raw Data'!F742</f>
        <v>5809.33</v>
      </c>
      <c r="H742" s="4">
        <f>'Raw Data'!G742</f>
        <v>3397.77</v>
      </c>
      <c r="I742" s="4">
        <f t="shared" si="56"/>
        <v>2411.56</v>
      </c>
      <c r="J742" s="8">
        <f t="shared" si="57"/>
        <v>0.41511843878726118</v>
      </c>
      <c r="K742" s="6">
        <f>'Raw Data'!I742</f>
        <v>3.76</v>
      </c>
      <c r="L742" s="5">
        <f>'Raw Data'!J742</f>
        <v>17</v>
      </c>
      <c r="M742" s="5">
        <f>IF(COUNTIFS($A$2:A742,A742,$D$2:D742,D742)=1,L742,0)</f>
        <v>0</v>
      </c>
      <c r="N742" s="4">
        <f t="shared" si="58"/>
        <v>341.72529411764708</v>
      </c>
      <c r="O742" t="str">
        <f t="shared" si="59"/>
        <v>OK</v>
      </c>
    </row>
    <row r="743" spans="1:15">
      <c r="A743" t="str">
        <f>'Raw Data'!A743</f>
        <v>Chicago RM-11</v>
      </c>
      <c r="B743" t="str">
        <f>'Raw Data'!B743</f>
        <v>Midwest</v>
      </c>
      <c r="C743" t="str">
        <f>'Raw Data'!C743</f>
        <v>Beauty</v>
      </c>
      <c r="D743" s="3">
        <f>'Raw Data'!D743</f>
        <v>45748</v>
      </c>
      <c r="E743" t="str">
        <f t="shared" si="55"/>
        <v>Apr</v>
      </c>
      <c r="F743" s="5">
        <f>'Raw Data'!E743</f>
        <v>78</v>
      </c>
      <c r="G743" s="4">
        <f>'Raw Data'!F743</f>
        <v>2813.72</v>
      </c>
      <c r="H743" s="4">
        <f>'Raw Data'!G743</f>
        <v>1371.25</v>
      </c>
      <c r="I743" s="4">
        <f t="shared" si="56"/>
        <v>1442.4699999999998</v>
      </c>
      <c r="J743" s="8">
        <f t="shared" si="57"/>
        <v>0.51265584350965976</v>
      </c>
      <c r="K743" s="6">
        <f>'Raw Data'!I743</f>
        <v>3.5</v>
      </c>
      <c r="L743" s="5">
        <f>'Raw Data'!J743</f>
        <v>17</v>
      </c>
      <c r="M743" s="5">
        <f>IF(COUNTIFS($A$2:A743,A743,$D$2:D743,D743)=1,L743,0)</f>
        <v>0</v>
      </c>
      <c r="N743" s="4">
        <f t="shared" si="58"/>
        <v>165.51294117647058</v>
      </c>
      <c r="O743" t="str">
        <f t="shared" si="59"/>
        <v>OK</v>
      </c>
    </row>
    <row r="744" spans="1:15">
      <c r="A744" t="str">
        <f>'Raw Data'!A744</f>
        <v>Chicago RM-11</v>
      </c>
      <c r="B744" t="str">
        <f>'Raw Data'!B744</f>
        <v>Midwest</v>
      </c>
      <c r="C744" t="str">
        <f>'Raw Data'!C744</f>
        <v>Grocery</v>
      </c>
      <c r="D744" s="3">
        <f>'Raw Data'!D744</f>
        <v>45748</v>
      </c>
      <c r="E744" t="str">
        <f t="shared" si="55"/>
        <v>Apr</v>
      </c>
      <c r="F744" s="5">
        <f>'Raw Data'!E744</f>
        <v>120</v>
      </c>
      <c r="G744" s="4">
        <f>'Raw Data'!F744</f>
        <v>2087.23</v>
      </c>
      <c r="H744" s="4">
        <f>'Raw Data'!G744</f>
        <v>1841.88</v>
      </c>
      <c r="I744" s="4">
        <f t="shared" si="56"/>
        <v>245.34999999999991</v>
      </c>
      <c r="J744" s="8">
        <f t="shared" si="57"/>
        <v>0.11754813796275441</v>
      </c>
      <c r="K744" s="6">
        <f>'Raw Data'!I744</f>
        <v>3.67</v>
      </c>
      <c r="L744" s="5">
        <f>'Raw Data'!J744</f>
        <v>17</v>
      </c>
      <c r="M744" s="5">
        <f>IF(COUNTIFS($A$2:A744,A744,$D$2:D744,D744)=1,L744,0)</f>
        <v>0</v>
      </c>
      <c r="N744" s="4">
        <f t="shared" si="58"/>
        <v>122.77823529411765</v>
      </c>
      <c r="O744" t="str">
        <f t="shared" si="59"/>
        <v>OK</v>
      </c>
    </row>
    <row r="745" spans="1:15">
      <c r="A745" t="str">
        <f>'Raw Data'!A745</f>
        <v>Chicago RM-11</v>
      </c>
      <c r="B745" t="str">
        <f>'Raw Data'!B745</f>
        <v>Midwest</v>
      </c>
      <c r="C745" t="str">
        <f>'Raw Data'!C745</f>
        <v>Sports</v>
      </c>
      <c r="D745" s="3">
        <f>'Raw Data'!D745</f>
        <v>45748</v>
      </c>
      <c r="E745" t="str">
        <f t="shared" si="55"/>
        <v>Apr</v>
      </c>
      <c r="F745" s="5">
        <f>'Raw Data'!E745</f>
        <v>64</v>
      </c>
      <c r="G745" s="4">
        <f>'Raw Data'!F745</f>
        <v>4141.53</v>
      </c>
      <c r="H745" s="4">
        <f>'Raw Data'!G745</f>
        <v>2683.44</v>
      </c>
      <c r="I745" s="4">
        <f t="shared" si="56"/>
        <v>1458.0899999999997</v>
      </c>
      <c r="J745" s="8">
        <f t="shared" si="57"/>
        <v>0.35206554099571891</v>
      </c>
      <c r="K745" s="6">
        <f>'Raw Data'!I745</f>
        <v>3.72</v>
      </c>
      <c r="L745" s="5">
        <f>'Raw Data'!J745</f>
        <v>17</v>
      </c>
      <c r="M745" s="5">
        <f>IF(COUNTIFS($A$2:A745,A745,$D$2:D745,D745)=1,L745,0)</f>
        <v>0</v>
      </c>
      <c r="N745" s="4">
        <f t="shared" si="58"/>
        <v>243.61941176470586</v>
      </c>
      <c r="O745" t="str">
        <f t="shared" si="59"/>
        <v>OK</v>
      </c>
    </row>
    <row r="746" spans="1:15">
      <c r="A746" t="str">
        <f>'Raw Data'!A746</f>
        <v>Chicago RM-11</v>
      </c>
      <c r="B746" t="str">
        <f>'Raw Data'!B746</f>
        <v>Midwest</v>
      </c>
      <c r="C746" t="str">
        <f>'Raw Data'!C746</f>
        <v>Electronics</v>
      </c>
      <c r="D746" s="3">
        <f>'Raw Data'!D746</f>
        <v>45778</v>
      </c>
      <c r="E746" t="str">
        <f t="shared" si="55"/>
        <v>May</v>
      </c>
      <c r="F746" s="5">
        <f>'Raw Data'!E746</f>
        <v>87</v>
      </c>
      <c r="G746" s="4">
        <f>'Raw Data'!F746</f>
        <v>12407.57</v>
      </c>
      <c r="H746" s="4">
        <f>'Raw Data'!G746</f>
        <v>9607.3799999999992</v>
      </c>
      <c r="I746" s="4">
        <f t="shared" si="56"/>
        <v>2800.1900000000005</v>
      </c>
      <c r="J746" s="8">
        <f t="shared" si="57"/>
        <v>0.22568399775298473</v>
      </c>
      <c r="K746" s="6">
        <f>'Raw Data'!I746</f>
        <v>3.45</v>
      </c>
      <c r="L746" s="5">
        <f>'Raw Data'!J746</f>
        <v>17</v>
      </c>
      <c r="M746" s="5">
        <f>IF(COUNTIFS($A$2:A746,A746,$D$2:D746,D746)=1,L746,0)</f>
        <v>17</v>
      </c>
      <c r="N746" s="4">
        <f t="shared" si="58"/>
        <v>729.85705882352943</v>
      </c>
      <c r="O746" t="str">
        <f t="shared" si="59"/>
        <v>OK</v>
      </c>
    </row>
    <row r="747" spans="1:15">
      <c r="A747" t="str">
        <f>'Raw Data'!A747</f>
        <v>Chicago RM-11</v>
      </c>
      <c r="B747" t="str">
        <f>'Raw Data'!B747</f>
        <v>Midwest</v>
      </c>
      <c r="C747" t="str">
        <f>'Raw Data'!C747</f>
        <v>Home Goods</v>
      </c>
      <c r="D747" s="3">
        <f>'Raw Data'!D747</f>
        <v>45778</v>
      </c>
      <c r="E747" t="str">
        <f t="shared" si="55"/>
        <v>May</v>
      </c>
      <c r="F747" s="5">
        <f>'Raw Data'!E747</f>
        <v>82</v>
      </c>
      <c r="G747" s="4">
        <f>'Raw Data'!F747</f>
        <v>6600.82</v>
      </c>
      <c r="H747" s="4">
        <f>'Raw Data'!G747</f>
        <v>4482.7</v>
      </c>
      <c r="I747" s="4">
        <f t="shared" si="56"/>
        <v>2118.12</v>
      </c>
      <c r="J747" s="8">
        <f t="shared" si="57"/>
        <v>0.3208874048981793</v>
      </c>
      <c r="K747" s="6">
        <f>'Raw Data'!I747</f>
        <v>3.42</v>
      </c>
      <c r="L747" s="5">
        <f>'Raw Data'!J747</f>
        <v>17</v>
      </c>
      <c r="M747" s="5">
        <f>IF(COUNTIFS($A$2:A747,A747,$D$2:D747,D747)=1,L747,0)</f>
        <v>0</v>
      </c>
      <c r="N747" s="4">
        <f t="shared" si="58"/>
        <v>388.28352941176468</v>
      </c>
      <c r="O747" t="str">
        <f t="shared" si="59"/>
        <v>OK</v>
      </c>
    </row>
    <row r="748" spans="1:15">
      <c r="A748" t="str">
        <f>'Raw Data'!A748</f>
        <v>Chicago RM-11</v>
      </c>
      <c r="B748" t="str">
        <f>'Raw Data'!B748</f>
        <v>Midwest</v>
      </c>
      <c r="C748" t="str">
        <f>'Raw Data'!C748</f>
        <v>Apparel</v>
      </c>
      <c r="D748" s="3">
        <f>'Raw Data'!D748</f>
        <v>45778</v>
      </c>
      <c r="E748" t="str">
        <f t="shared" si="55"/>
        <v>May</v>
      </c>
      <c r="F748" s="5">
        <f>'Raw Data'!E748</f>
        <v>110</v>
      </c>
      <c r="G748" s="4">
        <f>'Raw Data'!F748</f>
        <v>5581.89</v>
      </c>
      <c r="H748" s="4">
        <f>'Raw Data'!G748</f>
        <v>3320.79</v>
      </c>
      <c r="I748" s="4">
        <f t="shared" si="56"/>
        <v>2261.1000000000004</v>
      </c>
      <c r="J748" s="8">
        <f t="shared" si="57"/>
        <v>0.40507784997554597</v>
      </c>
      <c r="K748" s="6">
        <f>'Raw Data'!I748</f>
        <v>3.57</v>
      </c>
      <c r="L748" s="5">
        <f>'Raw Data'!J748</f>
        <v>17</v>
      </c>
      <c r="M748" s="5">
        <f>IF(COUNTIFS($A$2:A748,A748,$D$2:D748,D748)=1,L748,0)</f>
        <v>0</v>
      </c>
      <c r="N748" s="4">
        <f t="shared" si="58"/>
        <v>328.34647058823532</v>
      </c>
      <c r="O748" t="str">
        <f t="shared" si="59"/>
        <v>OK</v>
      </c>
    </row>
    <row r="749" spans="1:15">
      <c r="A749" t="str">
        <f>'Raw Data'!A749</f>
        <v>Chicago RM-11</v>
      </c>
      <c r="B749" t="str">
        <f>'Raw Data'!B749</f>
        <v>Midwest</v>
      </c>
      <c r="C749" t="str">
        <f>'Raw Data'!C749</f>
        <v>Beauty</v>
      </c>
      <c r="D749" s="3">
        <f>'Raw Data'!D749</f>
        <v>45778</v>
      </c>
      <c r="E749" t="str">
        <f t="shared" si="55"/>
        <v>May</v>
      </c>
      <c r="F749" s="5">
        <f>'Raw Data'!E749</f>
        <v>100</v>
      </c>
      <c r="G749" s="4">
        <f>'Raw Data'!F749</f>
        <v>3846.69</v>
      </c>
      <c r="H749" s="4">
        <f>'Raw Data'!G749</f>
        <v>1884.66</v>
      </c>
      <c r="I749" s="4">
        <f t="shared" si="56"/>
        <v>1962.03</v>
      </c>
      <c r="J749" s="8">
        <f t="shared" si="57"/>
        <v>0.5100566980962854</v>
      </c>
      <c r="K749" s="6">
        <f>'Raw Data'!I749</f>
        <v>3.5</v>
      </c>
      <c r="L749" s="5">
        <f>'Raw Data'!J749</f>
        <v>17</v>
      </c>
      <c r="M749" s="5">
        <f>IF(COUNTIFS($A$2:A749,A749,$D$2:D749,D749)=1,L749,0)</f>
        <v>0</v>
      </c>
      <c r="N749" s="4">
        <f t="shared" si="58"/>
        <v>226.27588235294118</v>
      </c>
      <c r="O749" t="str">
        <f t="shared" si="59"/>
        <v>OK</v>
      </c>
    </row>
    <row r="750" spans="1:15">
      <c r="A750" t="str">
        <f>'Raw Data'!A750</f>
        <v>Chicago RM-11</v>
      </c>
      <c r="B750" t="str">
        <f>'Raw Data'!B750</f>
        <v>Midwest</v>
      </c>
      <c r="C750" t="str">
        <f>'Raw Data'!C750</f>
        <v>Grocery</v>
      </c>
      <c r="D750" s="3">
        <f>'Raw Data'!D750</f>
        <v>45778</v>
      </c>
      <c r="E750" t="str">
        <f t="shared" si="55"/>
        <v>May</v>
      </c>
      <c r="F750" s="5">
        <f>'Raw Data'!E750</f>
        <v>150</v>
      </c>
      <c r="G750" s="4">
        <f>'Raw Data'!F750</f>
        <v>2778.18</v>
      </c>
      <c r="H750" s="4">
        <f>'Raw Data'!G750</f>
        <v>2454.8000000000002</v>
      </c>
      <c r="I750" s="4">
        <f t="shared" si="56"/>
        <v>323.37999999999965</v>
      </c>
      <c r="J750" s="8">
        <f t="shared" si="57"/>
        <v>0.11639994528792219</v>
      </c>
      <c r="K750" s="6">
        <f>'Raw Data'!I750</f>
        <v>3.39</v>
      </c>
      <c r="L750" s="5">
        <f>'Raw Data'!J750</f>
        <v>17</v>
      </c>
      <c r="M750" s="5">
        <f>IF(COUNTIFS($A$2:A750,A750,$D$2:D750,D750)=1,L750,0)</f>
        <v>0</v>
      </c>
      <c r="N750" s="4">
        <f t="shared" si="58"/>
        <v>163.42235294117646</v>
      </c>
      <c r="O750" t="str">
        <f t="shared" si="59"/>
        <v>OK</v>
      </c>
    </row>
    <row r="751" spans="1:15">
      <c r="A751" t="str">
        <f>'Raw Data'!A751</f>
        <v>Chicago RM-11</v>
      </c>
      <c r="B751" t="str">
        <f>'Raw Data'!B751</f>
        <v>Midwest</v>
      </c>
      <c r="C751" t="str">
        <f>'Raw Data'!C751</f>
        <v>Sports</v>
      </c>
      <c r="D751" s="3">
        <f>'Raw Data'!D751</f>
        <v>45778</v>
      </c>
      <c r="E751" t="str">
        <f t="shared" si="55"/>
        <v>May</v>
      </c>
      <c r="F751" s="5">
        <f>'Raw Data'!E751</f>
        <v>76</v>
      </c>
      <c r="G751" s="4">
        <f>'Raw Data'!F751</f>
        <v>4674.99</v>
      </c>
      <c r="H751" s="4">
        <f>'Raw Data'!G751</f>
        <v>3027.68</v>
      </c>
      <c r="I751" s="4">
        <f t="shared" si="56"/>
        <v>1647.31</v>
      </c>
      <c r="J751" s="8">
        <f t="shared" si="57"/>
        <v>0.35236652912626554</v>
      </c>
      <c r="K751" s="6">
        <f>'Raw Data'!I751</f>
        <v>3.47</v>
      </c>
      <c r="L751" s="5">
        <f>'Raw Data'!J751</f>
        <v>17</v>
      </c>
      <c r="M751" s="5">
        <f>IF(COUNTIFS($A$2:A751,A751,$D$2:D751,D751)=1,L751,0)</f>
        <v>0</v>
      </c>
      <c r="N751" s="4">
        <f t="shared" si="58"/>
        <v>274.99941176470588</v>
      </c>
      <c r="O751" t="str">
        <f t="shared" si="59"/>
        <v>OK</v>
      </c>
    </row>
    <row r="752" spans="1:15">
      <c r="A752" t="str">
        <f>'Raw Data'!A752</f>
        <v>Chicago RM-11</v>
      </c>
      <c r="B752" t="str">
        <f>'Raw Data'!B752</f>
        <v>Midwest</v>
      </c>
      <c r="C752" t="str">
        <f>'Raw Data'!C752</f>
        <v>Electronics</v>
      </c>
      <c r="D752" s="3">
        <f>'Raw Data'!D752</f>
        <v>45809</v>
      </c>
      <c r="E752" t="str">
        <f t="shared" si="55"/>
        <v>Jun</v>
      </c>
      <c r="F752" s="5">
        <f>'Raw Data'!E752</f>
        <v>89</v>
      </c>
      <c r="G752" s="4">
        <f>'Raw Data'!F752</f>
        <v>12426.12</v>
      </c>
      <c r="H752" s="4">
        <f>'Raw Data'!G752</f>
        <v>9921.7900000000009</v>
      </c>
      <c r="I752" s="4">
        <f t="shared" si="56"/>
        <v>2504.33</v>
      </c>
      <c r="J752" s="8">
        <f t="shared" si="57"/>
        <v>0.20153756763977812</v>
      </c>
      <c r="K752" s="6">
        <f>'Raw Data'!I752</f>
        <v>3.68</v>
      </c>
      <c r="L752" s="5">
        <f>'Raw Data'!J752</f>
        <v>20</v>
      </c>
      <c r="M752" s="5">
        <f>IF(COUNTIFS($A$2:A752,A752,$D$2:D752,D752)=1,L752,0)</f>
        <v>20</v>
      </c>
      <c r="N752" s="4">
        <f t="shared" si="58"/>
        <v>621.30600000000004</v>
      </c>
      <c r="O752" t="str">
        <f t="shared" si="59"/>
        <v>OK</v>
      </c>
    </row>
    <row r="753" spans="1:15">
      <c r="A753" t="str">
        <f>'Raw Data'!A753</f>
        <v>Chicago RM-11</v>
      </c>
      <c r="B753" t="str">
        <f>'Raw Data'!B753</f>
        <v>Midwest</v>
      </c>
      <c r="C753" t="str">
        <f>'Raw Data'!C753</f>
        <v>Home Goods</v>
      </c>
      <c r="D753" s="3">
        <f>'Raw Data'!D753</f>
        <v>45809</v>
      </c>
      <c r="E753" t="str">
        <f t="shared" si="55"/>
        <v>Jun</v>
      </c>
      <c r="F753" s="5">
        <f>'Raw Data'!E753</f>
        <v>83</v>
      </c>
      <c r="G753" s="4">
        <f>'Raw Data'!F753</f>
        <v>6537.86</v>
      </c>
      <c r="H753" s="4">
        <f>'Raw Data'!G753</f>
        <v>4323.88</v>
      </c>
      <c r="I753" s="4">
        <f t="shared" si="56"/>
        <v>2213.9799999999996</v>
      </c>
      <c r="J753" s="8">
        <f t="shared" si="57"/>
        <v>0.33863986074954183</v>
      </c>
      <c r="K753" s="6">
        <f>'Raw Data'!I753</f>
        <v>3.54</v>
      </c>
      <c r="L753" s="5">
        <f>'Raw Data'!J753</f>
        <v>20</v>
      </c>
      <c r="M753" s="5">
        <f>IF(COUNTIFS($A$2:A753,A753,$D$2:D753,D753)=1,L753,0)</f>
        <v>0</v>
      </c>
      <c r="N753" s="4">
        <f t="shared" si="58"/>
        <v>326.89299999999997</v>
      </c>
      <c r="O753" t="str">
        <f t="shared" si="59"/>
        <v>OK</v>
      </c>
    </row>
    <row r="754" spans="1:15">
      <c r="A754" t="str">
        <f>'Raw Data'!A754</f>
        <v>Chicago RM-11</v>
      </c>
      <c r="B754" t="str">
        <f>'Raw Data'!B754</f>
        <v>Midwest</v>
      </c>
      <c r="C754" t="str">
        <f>'Raw Data'!C754</f>
        <v>Apparel</v>
      </c>
      <c r="D754" s="3">
        <f>'Raw Data'!D754</f>
        <v>45809</v>
      </c>
      <c r="E754" t="str">
        <f t="shared" si="55"/>
        <v>Jun</v>
      </c>
      <c r="F754" s="5">
        <f>'Raw Data'!E754</f>
        <v>115</v>
      </c>
      <c r="G754" s="4">
        <f>'Raw Data'!F754</f>
        <v>5934.49</v>
      </c>
      <c r="H754" s="4">
        <f>'Raw Data'!G754</f>
        <v>3697.6</v>
      </c>
      <c r="I754" s="4">
        <f t="shared" si="56"/>
        <v>2236.89</v>
      </c>
      <c r="J754" s="8">
        <f t="shared" si="57"/>
        <v>0.37693045232193501</v>
      </c>
      <c r="K754" s="6">
        <f>'Raw Data'!I754</f>
        <v>3.64</v>
      </c>
      <c r="L754" s="5">
        <f>'Raw Data'!J754</f>
        <v>20</v>
      </c>
      <c r="M754" s="5">
        <f>IF(COUNTIFS($A$2:A754,A754,$D$2:D754,D754)=1,L754,0)</f>
        <v>0</v>
      </c>
      <c r="N754" s="4">
        <f t="shared" si="58"/>
        <v>296.72449999999998</v>
      </c>
      <c r="O754" t="str">
        <f t="shared" si="59"/>
        <v>OK</v>
      </c>
    </row>
    <row r="755" spans="1:15">
      <c r="A755" t="str">
        <f>'Raw Data'!A755</f>
        <v>Chicago RM-11</v>
      </c>
      <c r="B755" t="str">
        <f>'Raw Data'!B755</f>
        <v>Midwest</v>
      </c>
      <c r="C755" t="str">
        <f>'Raw Data'!C755</f>
        <v>Beauty</v>
      </c>
      <c r="D755" s="3">
        <f>'Raw Data'!D755</f>
        <v>45809</v>
      </c>
      <c r="E755" t="str">
        <f t="shared" si="55"/>
        <v>Jun</v>
      </c>
      <c r="F755" s="5">
        <f>'Raw Data'!E755</f>
        <v>99</v>
      </c>
      <c r="G755" s="4">
        <f>'Raw Data'!F755</f>
        <v>3688.3</v>
      </c>
      <c r="H755" s="4">
        <f>'Raw Data'!G755</f>
        <v>1782.23</v>
      </c>
      <c r="I755" s="4">
        <f t="shared" si="56"/>
        <v>1906.0700000000002</v>
      </c>
      <c r="J755" s="8">
        <f t="shared" si="57"/>
        <v>0.51678822221619714</v>
      </c>
      <c r="K755" s="6">
        <f>'Raw Data'!I755</f>
        <v>3.55</v>
      </c>
      <c r="L755" s="5">
        <f>'Raw Data'!J755</f>
        <v>20</v>
      </c>
      <c r="M755" s="5">
        <f>IF(COUNTIFS($A$2:A755,A755,$D$2:D755,D755)=1,L755,0)</f>
        <v>0</v>
      </c>
      <c r="N755" s="4">
        <f t="shared" si="58"/>
        <v>184.41500000000002</v>
      </c>
      <c r="O755" t="str">
        <f t="shared" si="59"/>
        <v>OK</v>
      </c>
    </row>
    <row r="756" spans="1:15">
      <c r="A756" t="str">
        <f>'Raw Data'!A756</f>
        <v>Chicago RM-11</v>
      </c>
      <c r="B756" t="str">
        <f>'Raw Data'!B756</f>
        <v>Midwest</v>
      </c>
      <c r="C756" t="str">
        <f>'Raw Data'!C756</f>
        <v>Grocery</v>
      </c>
      <c r="D756" s="3">
        <f>'Raw Data'!D756</f>
        <v>45809</v>
      </c>
      <c r="E756" t="str">
        <f t="shared" si="55"/>
        <v>Jun</v>
      </c>
      <c r="F756" s="5">
        <f>'Raw Data'!E756</f>
        <v>171</v>
      </c>
      <c r="G756" s="4">
        <f>'Raw Data'!F756</f>
        <v>3224.08</v>
      </c>
      <c r="H756" s="4">
        <f>'Raw Data'!G756</f>
        <v>2847.46</v>
      </c>
      <c r="I756" s="4">
        <f t="shared" si="56"/>
        <v>376.61999999999989</v>
      </c>
      <c r="J756" s="8">
        <f t="shared" si="57"/>
        <v>0.11681471923773601</v>
      </c>
      <c r="K756" s="6">
        <f>'Raw Data'!I756</f>
        <v>3.7</v>
      </c>
      <c r="L756" s="5">
        <f>'Raw Data'!J756</f>
        <v>20</v>
      </c>
      <c r="M756" s="5">
        <f>IF(COUNTIFS($A$2:A756,A756,$D$2:D756,D756)=1,L756,0)</f>
        <v>0</v>
      </c>
      <c r="N756" s="4">
        <f t="shared" si="58"/>
        <v>161.20400000000001</v>
      </c>
      <c r="O756" t="str">
        <f t="shared" si="59"/>
        <v>OK</v>
      </c>
    </row>
    <row r="757" spans="1:15">
      <c r="A757" t="str">
        <f>'Raw Data'!A757</f>
        <v>Chicago RM-11</v>
      </c>
      <c r="B757" t="str">
        <f>'Raw Data'!B757</f>
        <v>Midwest</v>
      </c>
      <c r="C757" t="str">
        <f>'Raw Data'!C757</f>
        <v>Sports</v>
      </c>
      <c r="D757" s="3">
        <f>'Raw Data'!D757</f>
        <v>45809</v>
      </c>
      <c r="E757" t="str">
        <f t="shared" si="55"/>
        <v>Jun</v>
      </c>
      <c r="F757" s="5">
        <f>'Raw Data'!E757</f>
        <v>89</v>
      </c>
      <c r="G757" s="4">
        <f>'Raw Data'!F757</f>
        <v>5687.03</v>
      </c>
      <c r="H757" s="4">
        <f>'Raw Data'!G757</f>
        <v>3719</v>
      </c>
      <c r="I757" s="4">
        <f t="shared" si="56"/>
        <v>1968.0299999999997</v>
      </c>
      <c r="J757" s="8">
        <f t="shared" si="57"/>
        <v>0.34605584989001287</v>
      </c>
      <c r="K757" s="6">
        <f>'Raw Data'!I757</f>
        <v>3.41</v>
      </c>
      <c r="L757" s="5">
        <f>'Raw Data'!J757</f>
        <v>20</v>
      </c>
      <c r="M757" s="5">
        <f>IF(COUNTIFS($A$2:A757,A757,$D$2:D757,D757)=1,L757,0)</f>
        <v>0</v>
      </c>
      <c r="N757" s="4">
        <f t="shared" si="58"/>
        <v>284.35149999999999</v>
      </c>
      <c r="O757" t="str">
        <f t="shared" si="59"/>
        <v>OK</v>
      </c>
    </row>
    <row r="758" spans="1:15">
      <c r="A758" t="str">
        <f>'Raw Data'!A758</f>
        <v>Chicago RM-11</v>
      </c>
      <c r="B758" t="str">
        <f>'Raw Data'!B758</f>
        <v>Midwest</v>
      </c>
      <c r="C758" t="str">
        <f>'Raw Data'!C758</f>
        <v>Electronics</v>
      </c>
      <c r="D758" s="3">
        <f>'Raw Data'!D758</f>
        <v>45839</v>
      </c>
      <c r="E758" t="str">
        <f t="shared" si="55"/>
        <v>Jul</v>
      </c>
      <c r="F758" s="5">
        <f>'Raw Data'!E758</f>
        <v>84</v>
      </c>
      <c r="G758" s="4">
        <f>'Raw Data'!F758</f>
        <v>12664.57</v>
      </c>
      <c r="H758" s="4">
        <f>'Raw Data'!G758</f>
        <v>10079.4</v>
      </c>
      <c r="I758" s="4">
        <f t="shared" si="56"/>
        <v>2585.17</v>
      </c>
      <c r="J758" s="8">
        <f t="shared" si="57"/>
        <v>0.20412615667172276</v>
      </c>
      <c r="K758" s="6">
        <f>'Raw Data'!I758</f>
        <v>3.5</v>
      </c>
      <c r="L758" s="5">
        <f>'Raw Data'!J758</f>
        <v>19</v>
      </c>
      <c r="M758" s="5">
        <f>IF(COUNTIFS($A$2:A758,A758,$D$2:D758,D758)=1,L758,0)</f>
        <v>19</v>
      </c>
      <c r="N758" s="4">
        <f t="shared" si="58"/>
        <v>666.55631578947362</v>
      </c>
      <c r="O758" t="str">
        <f t="shared" si="59"/>
        <v>OK</v>
      </c>
    </row>
    <row r="759" spans="1:15">
      <c r="A759" t="str">
        <f>'Raw Data'!A759</f>
        <v>Chicago RM-11</v>
      </c>
      <c r="B759" t="str">
        <f>'Raw Data'!B759</f>
        <v>Midwest</v>
      </c>
      <c r="C759" t="str">
        <f>'Raw Data'!C759</f>
        <v>Home Goods</v>
      </c>
      <c r="D759" s="3">
        <f>'Raw Data'!D759</f>
        <v>45839</v>
      </c>
      <c r="E759" t="str">
        <f t="shared" si="55"/>
        <v>Jul</v>
      </c>
      <c r="F759" s="5">
        <f>'Raw Data'!E759</f>
        <v>79</v>
      </c>
      <c r="G759" s="4">
        <f>'Raw Data'!F759</f>
        <v>6396.47</v>
      </c>
      <c r="H759" s="4">
        <f>'Raw Data'!G759</f>
        <v>4415.2299999999996</v>
      </c>
      <c r="I759" s="4">
        <f t="shared" si="56"/>
        <v>1981.2400000000007</v>
      </c>
      <c r="J759" s="8">
        <f t="shared" si="57"/>
        <v>0.30973959074301927</v>
      </c>
      <c r="K759" s="6">
        <f>'Raw Data'!I759</f>
        <v>3.57</v>
      </c>
      <c r="L759" s="5">
        <f>'Raw Data'!J759</f>
        <v>19</v>
      </c>
      <c r="M759" s="5">
        <f>IF(COUNTIFS($A$2:A759,A759,$D$2:D759,D759)=1,L759,0)</f>
        <v>0</v>
      </c>
      <c r="N759" s="4">
        <f t="shared" si="58"/>
        <v>336.65631578947369</v>
      </c>
      <c r="O759" t="str">
        <f t="shared" si="59"/>
        <v>OK</v>
      </c>
    </row>
    <row r="760" spans="1:15">
      <c r="A760" t="str">
        <f>'Raw Data'!A760</f>
        <v>Chicago RM-11</v>
      </c>
      <c r="B760" t="str">
        <f>'Raw Data'!B760</f>
        <v>Midwest</v>
      </c>
      <c r="C760" t="str">
        <f>'Raw Data'!C760</f>
        <v>Apparel</v>
      </c>
      <c r="D760" s="3">
        <f>'Raw Data'!D760</f>
        <v>45839</v>
      </c>
      <c r="E760" t="str">
        <f t="shared" si="55"/>
        <v>Jul</v>
      </c>
      <c r="F760" s="5">
        <f>'Raw Data'!E760</f>
        <v>115</v>
      </c>
      <c r="G760" s="4">
        <f>'Raw Data'!F760</f>
        <v>5591.15</v>
      </c>
      <c r="H760" s="4">
        <f>'Raw Data'!G760</f>
        <v>3469.69</v>
      </c>
      <c r="I760" s="4">
        <f t="shared" si="56"/>
        <v>2121.4599999999996</v>
      </c>
      <c r="J760" s="8">
        <f t="shared" si="57"/>
        <v>0.37943178058181226</v>
      </c>
      <c r="K760" s="6">
        <f>'Raw Data'!I760</f>
        <v>3.62</v>
      </c>
      <c r="L760" s="5">
        <f>'Raw Data'!J760</f>
        <v>19</v>
      </c>
      <c r="M760" s="5">
        <f>IF(COUNTIFS($A$2:A760,A760,$D$2:D760,D760)=1,L760,0)</f>
        <v>0</v>
      </c>
      <c r="N760" s="4">
        <f t="shared" si="58"/>
        <v>294.27105263157893</v>
      </c>
      <c r="O760" t="str">
        <f t="shared" si="59"/>
        <v>OK</v>
      </c>
    </row>
    <row r="761" spans="1:15">
      <c r="A761" t="str">
        <f>'Raw Data'!A761</f>
        <v>Chicago RM-11</v>
      </c>
      <c r="B761" t="str">
        <f>'Raw Data'!B761</f>
        <v>Midwest</v>
      </c>
      <c r="C761" t="str">
        <f>'Raw Data'!C761</f>
        <v>Beauty</v>
      </c>
      <c r="D761" s="3">
        <f>'Raw Data'!D761</f>
        <v>45839</v>
      </c>
      <c r="E761" t="str">
        <f t="shared" si="55"/>
        <v>Jul</v>
      </c>
      <c r="F761" s="5">
        <f>'Raw Data'!E761</f>
        <v>101</v>
      </c>
      <c r="G761" s="4">
        <f>'Raw Data'!F761</f>
        <v>3421.58</v>
      </c>
      <c r="H761" s="4">
        <f>'Raw Data'!G761</f>
        <v>1747.96</v>
      </c>
      <c r="I761" s="4">
        <f t="shared" si="56"/>
        <v>1673.62</v>
      </c>
      <c r="J761" s="8">
        <f t="shared" si="57"/>
        <v>0.48913659771216805</v>
      </c>
      <c r="K761" s="6">
        <f>'Raw Data'!I761</f>
        <v>3.75</v>
      </c>
      <c r="L761" s="5">
        <f>'Raw Data'!J761</f>
        <v>19</v>
      </c>
      <c r="M761" s="5">
        <f>IF(COUNTIFS($A$2:A761,A761,$D$2:D761,D761)=1,L761,0)</f>
        <v>0</v>
      </c>
      <c r="N761" s="4">
        <f t="shared" si="58"/>
        <v>180.08315789473684</v>
      </c>
      <c r="O761" t="str">
        <f t="shared" si="59"/>
        <v>OK</v>
      </c>
    </row>
    <row r="762" spans="1:15">
      <c r="A762" t="str">
        <f>'Raw Data'!A762</f>
        <v>Chicago RM-11</v>
      </c>
      <c r="B762" t="str">
        <f>'Raw Data'!B762</f>
        <v>Midwest</v>
      </c>
      <c r="C762" t="str">
        <f>'Raw Data'!C762</f>
        <v>Grocery</v>
      </c>
      <c r="D762" s="3">
        <f>'Raw Data'!D762</f>
        <v>45839</v>
      </c>
      <c r="E762" t="str">
        <f t="shared" si="55"/>
        <v>Jul</v>
      </c>
      <c r="F762" s="5">
        <f>'Raw Data'!E762</f>
        <v>165</v>
      </c>
      <c r="G762" s="4">
        <f>'Raw Data'!F762</f>
        <v>3038.69</v>
      </c>
      <c r="H762" s="4">
        <f>'Raw Data'!G762</f>
        <v>2747.15</v>
      </c>
      <c r="I762" s="4">
        <f t="shared" si="56"/>
        <v>291.53999999999996</v>
      </c>
      <c r="J762" s="8">
        <f t="shared" si="57"/>
        <v>9.5942659501298239E-2</v>
      </c>
      <c r="K762" s="6">
        <f>'Raw Data'!I762</f>
        <v>3.62</v>
      </c>
      <c r="L762" s="5">
        <f>'Raw Data'!J762</f>
        <v>19</v>
      </c>
      <c r="M762" s="5">
        <f>IF(COUNTIFS($A$2:A762,A762,$D$2:D762,D762)=1,L762,0)</f>
        <v>0</v>
      </c>
      <c r="N762" s="4">
        <f t="shared" si="58"/>
        <v>159.93105263157895</v>
      </c>
      <c r="O762" t="str">
        <f t="shared" si="59"/>
        <v>OK</v>
      </c>
    </row>
    <row r="763" spans="1:15">
      <c r="A763" t="str">
        <f>'Raw Data'!A763</f>
        <v>Chicago RM-11</v>
      </c>
      <c r="B763" t="str">
        <f>'Raw Data'!B763</f>
        <v>Midwest</v>
      </c>
      <c r="C763" t="str">
        <f>'Raw Data'!C763</f>
        <v>Sports</v>
      </c>
      <c r="D763" s="3">
        <f>'Raw Data'!D763</f>
        <v>45839</v>
      </c>
      <c r="E763" t="str">
        <f t="shared" si="55"/>
        <v>Jul</v>
      </c>
      <c r="F763" s="5">
        <f>'Raw Data'!E763</f>
        <v>83</v>
      </c>
      <c r="G763" s="4">
        <f>'Raw Data'!F763</f>
        <v>5184.3</v>
      </c>
      <c r="H763" s="4">
        <f>'Raw Data'!G763</f>
        <v>3367.5</v>
      </c>
      <c r="I763" s="4">
        <f t="shared" si="56"/>
        <v>1816.8000000000002</v>
      </c>
      <c r="J763" s="8">
        <f t="shared" si="57"/>
        <v>0.35044268271512069</v>
      </c>
      <c r="K763" s="6">
        <f>'Raw Data'!I763</f>
        <v>3.5</v>
      </c>
      <c r="L763" s="5">
        <f>'Raw Data'!J763</f>
        <v>19</v>
      </c>
      <c r="M763" s="5">
        <f>IF(COUNTIFS($A$2:A763,A763,$D$2:D763,D763)=1,L763,0)</f>
        <v>0</v>
      </c>
      <c r="N763" s="4">
        <f t="shared" si="58"/>
        <v>272.85789473684213</v>
      </c>
      <c r="O763" t="str">
        <f t="shared" si="59"/>
        <v>OK</v>
      </c>
    </row>
    <row r="764" spans="1:15">
      <c r="A764" t="str">
        <f>'Raw Data'!A764</f>
        <v>Chicago RM-11</v>
      </c>
      <c r="B764" t="str">
        <f>'Raw Data'!B764</f>
        <v>Midwest</v>
      </c>
      <c r="C764" t="str">
        <f>'Raw Data'!C764</f>
        <v>Electronics</v>
      </c>
      <c r="D764" s="3">
        <f>'Raw Data'!D764</f>
        <v>45870</v>
      </c>
      <c r="E764" t="str">
        <f t="shared" si="55"/>
        <v>Aug</v>
      </c>
      <c r="F764" s="5">
        <f>'Raw Data'!E764</f>
        <v>99</v>
      </c>
      <c r="G764" s="4">
        <f>'Raw Data'!F764</f>
        <v>14922.79</v>
      </c>
      <c r="H764" s="4">
        <f>'Raw Data'!G764</f>
        <v>12097.09</v>
      </c>
      <c r="I764" s="4">
        <f t="shared" si="56"/>
        <v>2825.7000000000007</v>
      </c>
      <c r="J764" s="8">
        <f t="shared" si="57"/>
        <v>0.18935467161301611</v>
      </c>
      <c r="K764" s="6">
        <f>'Raw Data'!I764</f>
        <v>3.51</v>
      </c>
      <c r="L764" s="5">
        <f>'Raw Data'!J764</f>
        <v>19</v>
      </c>
      <c r="M764" s="5">
        <f>IF(COUNTIFS($A$2:A764,A764,$D$2:D764,D764)=1,L764,0)</f>
        <v>19</v>
      </c>
      <c r="N764" s="4">
        <f t="shared" si="58"/>
        <v>785.41000000000008</v>
      </c>
      <c r="O764" t="str">
        <f t="shared" si="59"/>
        <v>OK</v>
      </c>
    </row>
    <row r="765" spans="1:15">
      <c r="A765" t="str">
        <f>'Raw Data'!A765</f>
        <v>Chicago RM-11</v>
      </c>
      <c r="B765" t="str">
        <f>'Raw Data'!B765</f>
        <v>Midwest</v>
      </c>
      <c r="C765" t="str">
        <f>'Raw Data'!C765</f>
        <v>Home Goods</v>
      </c>
      <c r="D765" s="3">
        <f>'Raw Data'!D765</f>
        <v>45870</v>
      </c>
      <c r="E765" t="str">
        <f t="shared" si="55"/>
        <v>Aug</v>
      </c>
      <c r="F765" s="5">
        <f>'Raw Data'!E765</f>
        <v>82</v>
      </c>
      <c r="G765" s="4">
        <f>'Raw Data'!F765</f>
        <v>5988.89</v>
      </c>
      <c r="H765" s="4">
        <f>'Raw Data'!G765</f>
        <v>4149.4799999999996</v>
      </c>
      <c r="I765" s="4">
        <f t="shared" si="56"/>
        <v>1839.4100000000008</v>
      </c>
      <c r="J765" s="8">
        <f t="shared" si="57"/>
        <v>0.30713704876863668</v>
      </c>
      <c r="K765" s="6">
        <f>'Raw Data'!I765</f>
        <v>3.73</v>
      </c>
      <c r="L765" s="5">
        <f>'Raw Data'!J765</f>
        <v>19</v>
      </c>
      <c r="M765" s="5">
        <f>IF(COUNTIFS($A$2:A765,A765,$D$2:D765,D765)=1,L765,0)</f>
        <v>0</v>
      </c>
      <c r="N765" s="4">
        <f t="shared" si="58"/>
        <v>315.20473684210526</v>
      </c>
      <c r="O765" t="str">
        <f t="shared" si="59"/>
        <v>OK</v>
      </c>
    </row>
    <row r="766" spans="1:15">
      <c r="A766" t="str">
        <f>'Raw Data'!A766</f>
        <v>Chicago RM-11</v>
      </c>
      <c r="B766" t="str">
        <f>'Raw Data'!B766</f>
        <v>Midwest</v>
      </c>
      <c r="C766" t="str">
        <f>'Raw Data'!C766</f>
        <v>Apparel</v>
      </c>
      <c r="D766" s="3">
        <f>'Raw Data'!D766</f>
        <v>45870</v>
      </c>
      <c r="E766" t="str">
        <f t="shared" si="55"/>
        <v>Aug</v>
      </c>
      <c r="F766" s="5">
        <f>'Raw Data'!E766</f>
        <v>134</v>
      </c>
      <c r="G766" s="4">
        <f>'Raw Data'!F766</f>
        <v>6586.4</v>
      </c>
      <c r="H766" s="4">
        <f>'Raw Data'!G766</f>
        <v>4136.2</v>
      </c>
      <c r="I766" s="4">
        <f t="shared" si="56"/>
        <v>2450.1999999999998</v>
      </c>
      <c r="J766" s="8">
        <f t="shared" si="57"/>
        <v>0.37200898821814649</v>
      </c>
      <c r="K766" s="6">
        <f>'Raw Data'!I766</f>
        <v>3.65</v>
      </c>
      <c r="L766" s="5">
        <f>'Raw Data'!J766</f>
        <v>19</v>
      </c>
      <c r="M766" s="5">
        <f>IF(COUNTIFS($A$2:A766,A766,$D$2:D766,D766)=1,L766,0)</f>
        <v>0</v>
      </c>
      <c r="N766" s="4">
        <f t="shared" si="58"/>
        <v>346.65263157894736</v>
      </c>
      <c r="O766" t="str">
        <f t="shared" si="59"/>
        <v>OK</v>
      </c>
    </row>
    <row r="767" spans="1:15">
      <c r="A767" t="str">
        <f>'Raw Data'!A767</f>
        <v>Chicago RM-11</v>
      </c>
      <c r="B767" t="str">
        <f>'Raw Data'!B767</f>
        <v>Midwest</v>
      </c>
      <c r="C767" t="str">
        <f>'Raw Data'!C767</f>
        <v>Beauty</v>
      </c>
      <c r="D767" s="3">
        <f>'Raw Data'!D767</f>
        <v>45870</v>
      </c>
      <c r="E767" t="str">
        <f t="shared" si="55"/>
        <v>Aug</v>
      </c>
      <c r="F767" s="5">
        <f>'Raw Data'!E767</f>
        <v>78</v>
      </c>
      <c r="G767" s="4">
        <f>'Raw Data'!F767</f>
        <v>2923.07</v>
      </c>
      <c r="H767" s="4">
        <f>'Raw Data'!G767</f>
        <v>1481.06</v>
      </c>
      <c r="I767" s="4">
        <f t="shared" si="56"/>
        <v>1442.0100000000002</v>
      </c>
      <c r="J767" s="8">
        <f t="shared" si="57"/>
        <v>0.49332037891668695</v>
      </c>
      <c r="K767" s="6">
        <f>'Raw Data'!I767</f>
        <v>3.76</v>
      </c>
      <c r="L767" s="5">
        <f>'Raw Data'!J767</f>
        <v>19</v>
      </c>
      <c r="M767" s="5">
        <f>IF(COUNTIFS($A$2:A767,A767,$D$2:D767,D767)=1,L767,0)</f>
        <v>0</v>
      </c>
      <c r="N767" s="4">
        <f t="shared" si="58"/>
        <v>153.84578947368422</v>
      </c>
      <c r="O767" t="str">
        <f t="shared" si="59"/>
        <v>OK</v>
      </c>
    </row>
    <row r="768" spans="1:15">
      <c r="A768" t="str">
        <f>'Raw Data'!A768</f>
        <v>Chicago RM-11</v>
      </c>
      <c r="B768" t="str">
        <f>'Raw Data'!B768</f>
        <v>Midwest</v>
      </c>
      <c r="C768" t="str">
        <f>'Raw Data'!C768</f>
        <v>Grocery</v>
      </c>
      <c r="D768" s="3">
        <f>'Raw Data'!D768</f>
        <v>45870</v>
      </c>
      <c r="E768" t="str">
        <f t="shared" si="55"/>
        <v>Aug</v>
      </c>
      <c r="F768" s="5">
        <f>'Raw Data'!E768</f>
        <v>148</v>
      </c>
      <c r="G768" s="4">
        <f>'Raw Data'!F768</f>
        <v>2648.97</v>
      </c>
      <c r="H768" s="4">
        <f>'Raw Data'!G768</f>
        <v>2374.2600000000002</v>
      </c>
      <c r="I768" s="4">
        <f t="shared" si="56"/>
        <v>274.70999999999958</v>
      </c>
      <c r="J768" s="8">
        <f t="shared" si="57"/>
        <v>0.10370445871414158</v>
      </c>
      <c r="K768" s="6">
        <f>'Raw Data'!I768</f>
        <v>3.63</v>
      </c>
      <c r="L768" s="5">
        <f>'Raw Data'!J768</f>
        <v>19</v>
      </c>
      <c r="M768" s="5">
        <f>IF(COUNTIFS($A$2:A768,A768,$D$2:D768,D768)=1,L768,0)</f>
        <v>0</v>
      </c>
      <c r="N768" s="4">
        <f t="shared" si="58"/>
        <v>139.41947368421052</v>
      </c>
      <c r="O768" t="str">
        <f t="shared" si="59"/>
        <v>OK</v>
      </c>
    </row>
    <row r="769" spans="1:15">
      <c r="A769" t="str">
        <f>'Raw Data'!A769</f>
        <v>Chicago RM-11</v>
      </c>
      <c r="B769" t="str">
        <f>'Raw Data'!B769</f>
        <v>Midwest</v>
      </c>
      <c r="C769" t="str">
        <f>'Raw Data'!C769</f>
        <v>Sports</v>
      </c>
      <c r="D769" s="3">
        <f>'Raw Data'!D769</f>
        <v>45870</v>
      </c>
      <c r="E769" t="str">
        <f t="shared" si="55"/>
        <v>Aug</v>
      </c>
      <c r="F769" s="5">
        <f>'Raw Data'!E769</f>
        <v>94</v>
      </c>
      <c r="G769" s="4">
        <f>'Raw Data'!F769</f>
        <v>5945.06</v>
      </c>
      <c r="H769" s="4">
        <f>'Raw Data'!G769</f>
        <v>3862.41</v>
      </c>
      <c r="I769" s="4">
        <f t="shared" si="56"/>
        <v>2082.6500000000005</v>
      </c>
      <c r="J769" s="8">
        <f t="shared" si="57"/>
        <v>0.3503160607294124</v>
      </c>
      <c r="K769" s="6">
        <f>'Raw Data'!I769</f>
        <v>3.67</v>
      </c>
      <c r="L769" s="5">
        <f>'Raw Data'!J769</f>
        <v>19</v>
      </c>
      <c r="M769" s="5">
        <f>IF(COUNTIFS($A$2:A769,A769,$D$2:D769,D769)=1,L769,0)</f>
        <v>0</v>
      </c>
      <c r="N769" s="4">
        <f t="shared" si="58"/>
        <v>312.89789473684215</v>
      </c>
      <c r="O769" t="str">
        <f t="shared" si="59"/>
        <v>OK</v>
      </c>
    </row>
    <row r="770" spans="1:15">
      <c r="A770" t="str">
        <f>'Raw Data'!A770</f>
        <v>Chicago RM-11</v>
      </c>
      <c r="B770" t="str">
        <f>'Raw Data'!B770</f>
        <v>Midwest</v>
      </c>
      <c r="C770" t="str">
        <f>'Raw Data'!C770</f>
        <v>Electronics</v>
      </c>
      <c r="D770" s="3">
        <f>'Raw Data'!D770</f>
        <v>45901</v>
      </c>
      <c r="E770" t="str">
        <f t="shared" ref="E770:E833" si="60">TEXT(D770,"mmm")</f>
        <v>Sep</v>
      </c>
      <c r="F770" s="5">
        <f>'Raw Data'!E770</f>
        <v>87</v>
      </c>
      <c r="G770" s="4">
        <f>'Raw Data'!F770</f>
        <v>12698.3</v>
      </c>
      <c r="H770" s="4">
        <f>'Raw Data'!G770</f>
        <v>10401.16</v>
      </c>
      <c r="I770" s="4">
        <f t="shared" ref="I770:I833" si="61">G770-H770</f>
        <v>2297.1399999999994</v>
      </c>
      <c r="J770" s="8">
        <f t="shared" ref="J770:J833" si="62">IFERROR(I770/G770,0)</f>
        <v>0.18090138049975191</v>
      </c>
      <c r="K770" s="6">
        <f>'Raw Data'!I770</f>
        <v>3.53</v>
      </c>
      <c r="L770" s="5">
        <f>'Raw Data'!J770</f>
        <v>18</v>
      </c>
      <c r="M770" s="5">
        <f>IF(COUNTIFS($A$2:A770,A770,$D$2:D770,D770)=1,L770,0)</f>
        <v>18</v>
      </c>
      <c r="N770" s="4">
        <f t="shared" ref="N770:N833" si="63">IFERROR(G770/L770,0)</f>
        <v>705.46111111111111</v>
      </c>
      <c r="O770" t="str">
        <f t="shared" ref="O770:O833" si="64">IF(OR(A770="",B770="",C770="",F770&lt;0,G770&lt;0,H770&lt;0,K770&lt;1,K770&gt;5),"Review","OK")</f>
        <v>OK</v>
      </c>
    </row>
    <row r="771" spans="1:15">
      <c r="A771" t="str">
        <f>'Raw Data'!A771</f>
        <v>Chicago RM-11</v>
      </c>
      <c r="B771" t="str">
        <f>'Raw Data'!B771</f>
        <v>Midwest</v>
      </c>
      <c r="C771" t="str">
        <f>'Raw Data'!C771</f>
        <v>Home Goods</v>
      </c>
      <c r="D771" s="3">
        <f>'Raw Data'!D771</f>
        <v>45901</v>
      </c>
      <c r="E771" t="str">
        <f t="shared" si="60"/>
        <v>Sep</v>
      </c>
      <c r="F771" s="5">
        <f>'Raw Data'!E771</f>
        <v>73</v>
      </c>
      <c r="G771" s="4">
        <f>'Raw Data'!F771</f>
        <v>5448.29</v>
      </c>
      <c r="H771" s="4">
        <f>'Raw Data'!G771</f>
        <v>3674.2</v>
      </c>
      <c r="I771" s="4">
        <f t="shared" si="61"/>
        <v>1774.0900000000001</v>
      </c>
      <c r="J771" s="8">
        <f t="shared" si="62"/>
        <v>0.32562326895227678</v>
      </c>
      <c r="K771" s="6">
        <f>'Raw Data'!I771</f>
        <v>3.64</v>
      </c>
      <c r="L771" s="5">
        <f>'Raw Data'!J771</f>
        <v>18</v>
      </c>
      <c r="M771" s="5">
        <f>IF(COUNTIFS($A$2:A771,A771,$D$2:D771,D771)=1,L771,0)</f>
        <v>0</v>
      </c>
      <c r="N771" s="4">
        <f t="shared" si="63"/>
        <v>302.6827777777778</v>
      </c>
      <c r="O771" t="str">
        <f t="shared" si="64"/>
        <v>OK</v>
      </c>
    </row>
    <row r="772" spans="1:15">
      <c r="A772" t="str">
        <f>'Raw Data'!A772</f>
        <v>Chicago RM-11</v>
      </c>
      <c r="B772" t="str">
        <f>'Raw Data'!B772</f>
        <v>Midwest</v>
      </c>
      <c r="C772" t="str">
        <f>'Raw Data'!C772</f>
        <v>Apparel</v>
      </c>
      <c r="D772" s="3">
        <f>'Raw Data'!D772</f>
        <v>45901</v>
      </c>
      <c r="E772" t="str">
        <f t="shared" si="60"/>
        <v>Sep</v>
      </c>
      <c r="F772" s="5">
        <f>'Raw Data'!E772</f>
        <v>97</v>
      </c>
      <c r="G772" s="4">
        <f>'Raw Data'!F772</f>
        <v>4683.51</v>
      </c>
      <c r="H772" s="4">
        <f>'Raw Data'!G772</f>
        <v>2983.76</v>
      </c>
      <c r="I772" s="4">
        <f t="shared" si="61"/>
        <v>1699.75</v>
      </c>
      <c r="J772" s="8">
        <f t="shared" si="62"/>
        <v>0.36292225275487827</v>
      </c>
      <c r="K772" s="6">
        <f>'Raw Data'!I772</f>
        <v>3.67</v>
      </c>
      <c r="L772" s="5">
        <f>'Raw Data'!J772</f>
        <v>18</v>
      </c>
      <c r="M772" s="5">
        <f>IF(COUNTIFS($A$2:A772,A772,$D$2:D772,D772)=1,L772,0)</f>
        <v>0</v>
      </c>
      <c r="N772" s="4">
        <f t="shared" si="63"/>
        <v>260.19499999999999</v>
      </c>
      <c r="O772" t="str">
        <f t="shared" si="64"/>
        <v>OK</v>
      </c>
    </row>
    <row r="773" spans="1:15">
      <c r="A773" t="str">
        <f>'Raw Data'!A773</f>
        <v>Chicago RM-11</v>
      </c>
      <c r="B773" t="str">
        <f>'Raw Data'!B773</f>
        <v>Midwest</v>
      </c>
      <c r="C773" t="str">
        <f>'Raw Data'!C773</f>
        <v>Beauty</v>
      </c>
      <c r="D773" s="3">
        <f>'Raw Data'!D773</f>
        <v>45901</v>
      </c>
      <c r="E773" t="str">
        <f t="shared" si="60"/>
        <v>Sep</v>
      </c>
      <c r="F773" s="5">
        <f>'Raw Data'!E773</f>
        <v>84</v>
      </c>
      <c r="G773" s="4">
        <f>'Raw Data'!F773</f>
        <v>3079.23</v>
      </c>
      <c r="H773" s="4">
        <f>'Raw Data'!G773</f>
        <v>1602.98</v>
      </c>
      <c r="I773" s="4">
        <f t="shared" si="61"/>
        <v>1476.25</v>
      </c>
      <c r="J773" s="8">
        <f t="shared" si="62"/>
        <v>0.47942180350282376</v>
      </c>
      <c r="K773" s="6">
        <f>'Raw Data'!I773</f>
        <v>3.75</v>
      </c>
      <c r="L773" s="5">
        <f>'Raw Data'!J773</f>
        <v>18</v>
      </c>
      <c r="M773" s="5">
        <f>IF(COUNTIFS($A$2:A773,A773,$D$2:D773,D773)=1,L773,0)</f>
        <v>0</v>
      </c>
      <c r="N773" s="4">
        <f t="shared" si="63"/>
        <v>171.06833333333333</v>
      </c>
      <c r="O773" t="str">
        <f t="shared" si="64"/>
        <v>OK</v>
      </c>
    </row>
    <row r="774" spans="1:15">
      <c r="A774" t="str">
        <f>'Raw Data'!A774</f>
        <v>Chicago RM-11</v>
      </c>
      <c r="B774" t="str">
        <f>'Raw Data'!B774</f>
        <v>Midwest</v>
      </c>
      <c r="C774" t="str">
        <f>'Raw Data'!C774</f>
        <v>Grocery</v>
      </c>
      <c r="D774" s="3">
        <f>'Raw Data'!D774</f>
        <v>45901</v>
      </c>
      <c r="E774" t="str">
        <f t="shared" si="60"/>
        <v>Sep</v>
      </c>
      <c r="F774" s="5">
        <f>'Raw Data'!E774</f>
        <v>156</v>
      </c>
      <c r="G774" s="4">
        <f>'Raw Data'!F774</f>
        <v>2726.89</v>
      </c>
      <c r="H774" s="4">
        <f>'Raw Data'!G774</f>
        <v>2488.5500000000002</v>
      </c>
      <c r="I774" s="4">
        <f t="shared" si="61"/>
        <v>238.33999999999969</v>
      </c>
      <c r="J774" s="8">
        <f t="shared" si="62"/>
        <v>8.7403598971722257E-2</v>
      </c>
      <c r="K774" s="6">
        <f>'Raw Data'!I774</f>
        <v>3.69</v>
      </c>
      <c r="L774" s="5">
        <f>'Raw Data'!J774</f>
        <v>18</v>
      </c>
      <c r="M774" s="5">
        <f>IF(COUNTIFS($A$2:A774,A774,$D$2:D774,D774)=1,L774,0)</f>
        <v>0</v>
      </c>
      <c r="N774" s="4">
        <f t="shared" si="63"/>
        <v>151.49388888888888</v>
      </c>
      <c r="O774" t="str">
        <f t="shared" si="64"/>
        <v>OK</v>
      </c>
    </row>
    <row r="775" spans="1:15">
      <c r="A775" t="str">
        <f>'Raw Data'!A775</f>
        <v>Chicago RM-11</v>
      </c>
      <c r="B775" t="str">
        <f>'Raw Data'!B775</f>
        <v>Midwest</v>
      </c>
      <c r="C775" t="str">
        <f>'Raw Data'!C775</f>
        <v>Sports</v>
      </c>
      <c r="D775" s="3">
        <f>'Raw Data'!D775</f>
        <v>45901</v>
      </c>
      <c r="E775" t="str">
        <f t="shared" si="60"/>
        <v>Sep</v>
      </c>
      <c r="F775" s="5">
        <f>'Raw Data'!E775</f>
        <v>60</v>
      </c>
      <c r="G775" s="4">
        <f>'Raw Data'!F775</f>
        <v>3715.78</v>
      </c>
      <c r="H775" s="4">
        <f>'Raw Data'!G775</f>
        <v>2539.75</v>
      </c>
      <c r="I775" s="4">
        <f t="shared" si="61"/>
        <v>1176.0300000000002</v>
      </c>
      <c r="J775" s="8">
        <f t="shared" si="62"/>
        <v>0.31649613270968685</v>
      </c>
      <c r="K775" s="6">
        <f>'Raw Data'!I775</f>
        <v>3.54</v>
      </c>
      <c r="L775" s="5">
        <f>'Raw Data'!J775</f>
        <v>18</v>
      </c>
      <c r="M775" s="5">
        <f>IF(COUNTIFS($A$2:A775,A775,$D$2:D775,D775)=1,L775,0)</f>
        <v>0</v>
      </c>
      <c r="N775" s="4">
        <f t="shared" si="63"/>
        <v>206.43222222222224</v>
      </c>
      <c r="O775" t="str">
        <f t="shared" si="64"/>
        <v>OK</v>
      </c>
    </row>
    <row r="776" spans="1:15">
      <c r="A776" t="str">
        <f>'Raw Data'!A776</f>
        <v>Chicago RM-11</v>
      </c>
      <c r="B776" t="str">
        <f>'Raw Data'!B776</f>
        <v>Midwest</v>
      </c>
      <c r="C776" t="str">
        <f>'Raw Data'!C776</f>
        <v>Electronics</v>
      </c>
      <c r="D776" s="3">
        <f>'Raw Data'!D776</f>
        <v>45931</v>
      </c>
      <c r="E776" t="str">
        <f t="shared" si="60"/>
        <v>Oct</v>
      </c>
      <c r="F776" s="5">
        <f>'Raw Data'!E776</f>
        <v>92</v>
      </c>
      <c r="G776" s="4">
        <f>'Raw Data'!F776</f>
        <v>12639.85</v>
      </c>
      <c r="H776" s="4">
        <f>'Raw Data'!G776</f>
        <v>10244.379999999999</v>
      </c>
      <c r="I776" s="4">
        <f t="shared" si="61"/>
        <v>2395.4700000000012</v>
      </c>
      <c r="J776" s="8">
        <f t="shared" si="62"/>
        <v>0.189517280663932</v>
      </c>
      <c r="K776" s="6">
        <f>'Raw Data'!I776</f>
        <v>3.61</v>
      </c>
      <c r="L776" s="5">
        <f>'Raw Data'!J776</f>
        <v>18</v>
      </c>
      <c r="M776" s="5">
        <f>IF(COUNTIFS($A$2:A776,A776,$D$2:D776,D776)=1,L776,0)</f>
        <v>18</v>
      </c>
      <c r="N776" s="4">
        <f t="shared" si="63"/>
        <v>702.21388888888896</v>
      </c>
      <c r="O776" t="str">
        <f t="shared" si="64"/>
        <v>OK</v>
      </c>
    </row>
    <row r="777" spans="1:15">
      <c r="A777" t="str">
        <f>'Raw Data'!A777</f>
        <v>Chicago RM-11</v>
      </c>
      <c r="B777" t="str">
        <f>'Raw Data'!B777</f>
        <v>Midwest</v>
      </c>
      <c r="C777" t="str">
        <f>'Raw Data'!C777</f>
        <v>Home Goods</v>
      </c>
      <c r="D777" s="3">
        <f>'Raw Data'!D777</f>
        <v>45931</v>
      </c>
      <c r="E777" t="str">
        <f t="shared" si="60"/>
        <v>Oct</v>
      </c>
      <c r="F777" s="5">
        <f>'Raw Data'!E777</f>
        <v>87</v>
      </c>
      <c r="G777" s="4">
        <f>'Raw Data'!F777</f>
        <v>6789.81</v>
      </c>
      <c r="H777" s="4">
        <f>'Raw Data'!G777</f>
        <v>4704.2700000000004</v>
      </c>
      <c r="I777" s="4">
        <f t="shared" si="61"/>
        <v>2085.54</v>
      </c>
      <c r="J777" s="8">
        <f t="shared" si="62"/>
        <v>0.30715734313625859</v>
      </c>
      <c r="K777" s="6">
        <f>'Raw Data'!I777</f>
        <v>3.48</v>
      </c>
      <c r="L777" s="5">
        <f>'Raw Data'!J777</f>
        <v>18</v>
      </c>
      <c r="M777" s="5">
        <f>IF(COUNTIFS($A$2:A777,A777,$D$2:D777,D777)=1,L777,0)</f>
        <v>0</v>
      </c>
      <c r="N777" s="4">
        <f t="shared" si="63"/>
        <v>377.2116666666667</v>
      </c>
      <c r="O777" t="str">
        <f t="shared" si="64"/>
        <v>OK</v>
      </c>
    </row>
    <row r="778" spans="1:15">
      <c r="A778" t="str">
        <f>'Raw Data'!A778</f>
        <v>Chicago RM-11</v>
      </c>
      <c r="B778" t="str">
        <f>'Raw Data'!B778</f>
        <v>Midwest</v>
      </c>
      <c r="C778" t="str">
        <f>'Raw Data'!C778</f>
        <v>Apparel</v>
      </c>
      <c r="D778" s="3">
        <f>'Raw Data'!D778</f>
        <v>45931</v>
      </c>
      <c r="E778" t="str">
        <f t="shared" si="60"/>
        <v>Oct</v>
      </c>
      <c r="F778" s="5">
        <f>'Raw Data'!E778</f>
        <v>119</v>
      </c>
      <c r="G778" s="4">
        <f>'Raw Data'!F778</f>
        <v>5792.98</v>
      </c>
      <c r="H778" s="4">
        <f>'Raw Data'!G778</f>
        <v>3653.6</v>
      </c>
      <c r="I778" s="4">
        <f t="shared" si="61"/>
        <v>2139.3799999999997</v>
      </c>
      <c r="J778" s="8">
        <f t="shared" si="62"/>
        <v>0.36930560782188093</v>
      </c>
      <c r="K778" s="6">
        <f>'Raw Data'!I778</f>
        <v>3.72</v>
      </c>
      <c r="L778" s="5">
        <f>'Raw Data'!J778</f>
        <v>18</v>
      </c>
      <c r="M778" s="5">
        <f>IF(COUNTIFS($A$2:A778,A778,$D$2:D778,D778)=1,L778,0)</f>
        <v>0</v>
      </c>
      <c r="N778" s="4">
        <f t="shared" si="63"/>
        <v>321.83222222222219</v>
      </c>
      <c r="O778" t="str">
        <f t="shared" si="64"/>
        <v>OK</v>
      </c>
    </row>
    <row r="779" spans="1:15">
      <c r="A779" t="str">
        <f>'Raw Data'!A779</f>
        <v>Chicago RM-11</v>
      </c>
      <c r="B779" t="str">
        <f>'Raw Data'!B779</f>
        <v>Midwest</v>
      </c>
      <c r="C779" t="str">
        <f>'Raw Data'!C779</f>
        <v>Beauty</v>
      </c>
      <c r="D779" s="3">
        <f>'Raw Data'!D779</f>
        <v>45931</v>
      </c>
      <c r="E779" t="str">
        <f t="shared" si="60"/>
        <v>Oct</v>
      </c>
      <c r="F779" s="5">
        <f>'Raw Data'!E779</f>
        <v>99</v>
      </c>
      <c r="G779" s="4">
        <f>'Raw Data'!F779</f>
        <v>3425.39</v>
      </c>
      <c r="H779" s="4">
        <f>'Raw Data'!G779</f>
        <v>1812.66</v>
      </c>
      <c r="I779" s="4">
        <f t="shared" si="61"/>
        <v>1612.7299999999998</v>
      </c>
      <c r="J779" s="8">
        <f t="shared" si="62"/>
        <v>0.47081646177515546</v>
      </c>
      <c r="K779" s="6">
        <f>'Raw Data'!I779</f>
        <v>3.53</v>
      </c>
      <c r="L779" s="5">
        <f>'Raw Data'!J779</f>
        <v>18</v>
      </c>
      <c r="M779" s="5">
        <f>IF(COUNTIFS($A$2:A779,A779,$D$2:D779,D779)=1,L779,0)</f>
        <v>0</v>
      </c>
      <c r="N779" s="4">
        <f t="shared" si="63"/>
        <v>190.29944444444445</v>
      </c>
      <c r="O779" t="str">
        <f t="shared" si="64"/>
        <v>OK</v>
      </c>
    </row>
    <row r="780" spans="1:15">
      <c r="A780" t="str">
        <f>'Raw Data'!A780</f>
        <v>Chicago RM-11</v>
      </c>
      <c r="B780" t="str">
        <f>'Raw Data'!B780</f>
        <v>Midwest</v>
      </c>
      <c r="C780" t="str">
        <f>'Raw Data'!C780</f>
        <v>Grocery</v>
      </c>
      <c r="D780" s="3">
        <f>'Raw Data'!D780</f>
        <v>45931</v>
      </c>
      <c r="E780" t="str">
        <f t="shared" si="60"/>
        <v>Oct</v>
      </c>
      <c r="F780" s="5">
        <f>'Raw Data'!E780</f>
        <v>176</v>
      </c>
      <c r="G780" s="4">
        <f>'Raw Data'!F780</f>
        <v>3415.52</v>
      </c>
      <c r="H780" s="4">
        <f>'Raw Data'!G780</f>
        <v>3121.81</v>
      </c>
      <c r="I780" s="4">
        <f t="shared" si="61"/>
        <v>293.71000000000004</v>
      </c>
      <c r="J780" s="8">
        <f t="shared" si="62"/>
        <v>8.5992762449056084E-2</v>
      </c>
      <c r="K780" s="6">
        <f>'Raw Data'!I780</f>
        <v>3.69</v>
      </c>
      <c r="L780" s="5">
        <f>'Raw Data'!J780</f>
        <v>18</v>
      </c>
      <c r="M780" s="5">
        <f>IF(COUNTIFS($A$2:A780,A780,$D$2:D780,D780)=1,L780,0)</f>
        <v>0</v>
      </c>
      <c r="N780" s="4">
        <f t="shared" si="63"/>
        <v>189.7511111111111</v>
      </c>
      <c r="O780" t="str">
        <f t="shared" si="64"/>
        <v>OK</v>
      </c>
    </row>
    <row r="781" spans="1:15">
      <c r="A781" t="str">
        <f>'Raw Data'!A781</f>
        <v>Chicago RM-11</v>
      </c>
      <c r="B781" t="str">
        <f>'Raw Data'!B781</f>
        <v>Midwest</v>
      </c>
      <c r="C781" t="str">
        <f>'Raw Data'!C781</f>
        <v>Sports</v>
      </c>
      <c r="D781" s="3">
        <f>'Raw Data'!D781</f>
        <v>45931</v>
      </c>
      <c r="E781" t="str">
        <f t="shared" si="60"/>
        <v>Oct</v>
      </c>
      <c r="F781" s="5">
        <f>'Raw Data'!E781</f>
        <v>67</v>
      </c>
      <c r="G781" s="4">
        <f>'Raw Data'!F781</f>
        <v>4009.65</v>
      </c>
      <c r="H781" s="4">
        <f>'Raw Data'!G781</f>
        <v>2634.53</v>
      </c>
      <c r="I781" s="4">
        <f t="shared" si="61"/>
        <v>1375.12</v>
      </c>
      <c r="J781" s="8">
        <f t="shared" si="62"/>
        <v>0.34295262678787419</v>
      </c>
      <c r="K781" s="6">
        <f>'Raw Data'!I781</f>
        <v>3.53</v>
      </c>
      <c r="L781" s="5">
        <f>'Raw Data'!J781</f>
        <v>18</v>
      </c>
      <c r="M781" s="5">
        <f>IF(COUNTIFS($A$2:A781,A781,$D$2:D781,D781)=1,L781,0)</f>
        <v>0</v>
      </c>
      <c r="N781" s="4">
        <f t="shared" si="63"/>
        <v>222.75833333333333</v>
      </c>
      <c r="O781" t="str">
        <f t="shared" si="64"/>
        <v>OK</v>
      </c>
    </row>
    <row r="782" spans="1:15">
      <c r="A782" t="str">
        <f>'Raw Data'!A782</f>
        <v>Chicago RM-11</v>
      </c>
      <c r="B782" t="str">
        <f>'Raw Data'!B782</f>
        <v>Midwest</v>
      </c>
      <c r="C782" t="str">
        <f>'Raw Data'!C782</f>
        <v>Electronics</v>
      </c>
      <c r="D782" s="3">
        <f>'Raw Data'!D782</f>
        <v>45962</v>
      </c>
      <c r="E782" t="str">
        <f t="shared" si="60"/>
        <v>Nov</v>
      </c>
      <c r="F782" s="5">
        <f>'Raw Data'!E782</f>
        <v>153</v>
      </c>
      <c r="G782" s="4">
        <f>'Raw Data'!F782</f>
        <v>22257.93</v>
      </c>
      <c r="H782" s="4">
        <f>'Raw Data'!G782</f>
        <v>17714.55</v>
      </c>
      <c r="I782" s="4">
        <f t="shared" si="61"/>
        <v>4543.380000000001</v>
      </c>
      <c r="J782" s="8">
        <f t="shared" si="62"/>
        <v>0.20412410318479754</v>
      </c>
      <c r="K782" s="6">
        <f>'Raw Data'!I782</f>
        <v>3.68</v>
      </c>
      <c r="L782" s="5">
        <f>'Raw Data'!J782</f>
        <v>20</v>
      </c>
      <c r="M782" s="5">
        <f>IF(COUNTIFS($A$2:A782,A782,$D$2:D782,D782)=1,L782,0)</f>
        <v>20</v>
      </c>
      <c r="N782" s="4">
        <f t="shared" si="63"/>
        <v>1112.8965000000001</v>
      </c>
      <c r="O782" t="str">
        <f t="shared" si="64"/>
        <v>OK</v>
      </c>
    </row>
    <row r="783" spans="1:15">
      <c r="A783" t="str">
        <f>'Raw Data'!A783</f>
        <v>Chicago RM-11</v>
      </c>
      <c r="B783" t="str">
        <f>'Raw Data'!B783</f>
        <v>Midwest</v>
      </c>
      <c r="C783" t="str">
        <f>'Raw Data'!C783</f>
        <v>Home Goods</v>
      </c>
      <c r="D783" s="3">
        <f>'Raw Data'!D783</f>
        <v>45962</v>
      </c>
      <c r="E783" t="str">
        <f t="shared" si="60"/>
        <v>Nov</v>
      </c>
      <c r="F783" s="5">
        <f>'Raw Data'!E783</f>
        <v>106</v>
      </c>
      <c r="G783" s="4">
        <f>'Raw Data'!F783</f>
        <v>8222.59</v>
      </c>
      <c r="H783" s="4">
        <f>'Raw Data'!G783</f>
        <v>5637.85</v>
      </c>
      <c r="I783" s="4">
        <f t="shared" si="61"/>
        <v>2584.7399999999998</v>
      </c>
      <c r="J783" s="8">
        <f t="shared" si="62"/>
        <v>0.31434620964927107</v>
      </c>
      <c r="K783" s="6">
        <f>'Raw Data'!I783</f>
        <v>3.69</v>
      </c>
      <c r="L783" s="5">
        <f>'Raw Data'!J783</f>
        <v>20</v>
      </c>
      <c r="M783" s="5">
        <f>IF(COUNTIFS($A$2:A783,A783,$D$2:D783,D783)=1,L783,0)</f>
        <v>0</v>
      </c>
      <c r="N783" s="4">
        <f t="shared" si="63"/>
        <v>411.12950000000001</v>
      </c>
      <c r="O783" t="str">
        <f t="shared" si="64"/>
        <v>OK</v>
      </c>
    </row>
    <row r="784" spans="1:15">
      <c r="A784" t="str">
        <f>'Raw Data'!A784</f>
        <v>Chicago RM-11</v>
      </c>
      <c r="B784" t="str">
        <f>'Raw Data'!B784</f>
        <v>Midwest</v>
      </c>
      <c r="C784" t="str">
        <f>'Raw Data'!C784</f>
        <v>Apparel</v>
      </c>
      <c r="D784" s="3">
        <f>'Raw Data'!D784</f>
        <v>45962</v>
      </c>
      <c r="E784" t="str">
        <f t="shared" si="60"/>
        <v>Nov</v>
      </c>
      <c r="F784" s="5">
        <f>'Raw Data'!E784</f>
        <v>156</v>
      </c>
      <c r="G784" s="4">
        <f>'Raw Data'!F784</f>
        <v>7493.39</v>
      </c>
      <c r="H784" s="4">
        <f>'Raw Data'!G784</f>
        <v>4775.46</v>
      </c>
      <c r="I784" s="4">
        <f t="shared" si="61"/>
        <v>2717.9300000000003</v>
      </c>
      <c r="J784" s="8">
        <f t="shared" si="62"/>
        <v>0.36271033537557767</v>
      </c>
      <c r="K784" s="6">
        <f>'Raw Data'!I784</f>
        <v>3.56</v>
      </c>
      <c r="L784" s="5">
        <f>'Raw Data'!J784</f>
        <v>20</v>
      </c>
      <c r="M784" s="5">
        <f>IF(COUNTIFS($A$2:A784,A784,$D$2:D784,D784)=1,L784,0)</f>
        <v>0</v>
      </c>
      <c r="N784" s="4">
        <f t="shared" si="63"/>
        <v>374.66950000000003</v>
      </c>
      <c r="O784" t="str">
        <f t="shared" si="64"/>
        <v>OK</v>
      </c>
    </row>
    <row r="785" spans="1:15">
      <c r="A785" t="str">
        <f>'Raw Data'!A785</f>
        <v>Chicago RM-11</v>
      </c>
      <c r="B785" t="str">
        <f>'Raw Data'!B785</f>
        <v>Midwest</v>
      </c>
      <c r="C785" t="str">
        <f>'Raw Data'!C785</f>
        <v>Beauty</v>
      </c>
      <c r="D785" s="3">
        <f>'Raw Data'!D785</f>
        <v>45962</v>
      </c>
      <c r="E785" t="str">
        <f t="shared" si="60"/>
        <v>Nov</v>
      </c>
      <c r="F785" s="5">
        <f>'Raw Data'!E785</f>
        <v>105</v>
      </c>
      <c r="G785" s="4">
        <f>'Raw Data'!F785</f>
        <v>3805.84</v>
      </c>
      <c r="H785" s="4">
        <f>'Raw Data'!G785</f>
        <v>1920.22</v>
      </c>
      <c r="I785" s="4">
        <f t="shared" si="61"/>
        <v>1885.6200000000001</v>
      </c>
      <c r="J785" s="8">
        <f t="shared" si="62"/>
        <v>0.49545435436066676</v>
      </c>
      <c r="K785" s="6">
        <f>'Raw Data'!I785</f>
        <v>3.6</v>
      </c>
      <c r="L785" s="5">
        <f>'Raw Data'!J785</f>
        <v>20</v>
      </c>
      <c r="M785" s="5">
        <f>IF(COUNTIFS($A$2:A785,A785,$D$2:D785,D785)=1,L785,0)</f>
        <v>0</v>
      </c>
      <c r="N785" s="4">
        <f t="shared" si="63"/>
        <v>190.292</v>
      </c>
      <c r="O785" t="str">
        <f t="shared" si="64"/>
        <v>OK</v>
      </c>
    </row>
    <row r="786" spans="1:15">
      <c r="A786" t="str">
        <f>'Raw Data'!A786</f>
        <v>Chicago RM-11</v>
      </c>
      <c r="B786" t="str">
        <f>'Raw Data'!B786</f>
        <v>Midwest</v>
      </c>
      <c r="C786" t="str">
        <f>'Raw Data'!C786</f>
        <v>Grocery</v>
      </c>
      <c r="D786" s="3">
        <f>'Raw Data'!D786</f>
        <v>45962</v>
      </c>
      <c r="E786" t="str">
        <f t="shared" si="60"/>
        <v>Nov</v>
      </c>
      <c r="F786" s="5">
        <f>'Raw Data'!E786</f>
        <v>183</v>
      </c>
      <c r="G786" s="4">
        <f>'Raw Data'!F786</f>
        <v>3507.72</v>
      </c>
      <c r="H786" s="4">
        <f>'Raw Data'!G786</f>
        <v>3348.07</v>
      </c>
      <c r="I786" s="4">
        <f t="shared" si="61"/>
        <v>159.64999999999964</v>
      </c>
      <c r="J786" s="8">
        <f t="shared" si="62"/>
        <v>4.5513895065740606E-2</v>
      </c>
      <c r="K786" s="6">
        <f>'Raw Data'!I786</f>
        <v>3.57</v>
      </c>
      <c r="L786" s="5">
        <f>'Raw Data'!J786</f>
        <v>20</v>
      </c>
      <c r="M786" s="5">
        <f>IF(COUNTIFS($A$2:A786,A786,$D$2:D786,D786)=1,L786,0)</f>
        <v>0</v>
      </c>
      <c r="N786" s="4">
        <f t="shared" si="63"/>
        <v>175.386</v>
      </c>
      <c r="O786" t="str">
        <f t="shared" si="64"/>
        <v>OK</v>
      </c>
    </row>
    <row r="787" spans="1:15">
      <c r="A787" t="str">
        <f>'Raw Data'!A787</f>
        <v>Chicago RM-11</v>
      </c>
      <c r="B787" t="str">
        <f>'Raw Data'!B787</f>
        <v>Midwest</v>
      </c>
      <c r="C787" t="str">
        <f>'Raw Data'!C787</f>
        <v>Sports</v>
      </c>
      <c r="D787" s="3">
        <f>'Raw Data'!D787</f>
        <v>45962</v>
      </c>
      <c r="E787" t="str">
        <f t="shared" si="60"/>
        <v>Nov</v>
      </c>
      <c r="F787" s="5">
        <f>'Raw Data'!E787</f>
        <v>66</v>
      </c>
      <c r="G787" s="4">
        <f>'Raw Data'!F787</f>
        <v>3856.74</v>
      </c>
      <c r="H787" s="4">
        <f>'Raw Data'!G787</f>
        <v>2544.56</v>
      </c>
      <c r="I787" s="4">
        <f t="shared" si="61"/>
        <v>1312.1799999999998</v>
      </c>
      <c r="J787" s="8">
        <f t="shared" si="62"/>
        <v>0.34023034998470209</v>
      </c>
      <c r="K787" s="6">
        <f>'Raw Data'!I787</f>
        <v>3.67</v>
      </c>
      <c r="L787" s="5">
        <f>'Raw Data'!J787</f>
        <v>20</v>
      </c>
      <c r="M787" s="5">
        <f>IF(COUNTIFS($A$2:A787,A787,$D$2:D787,D787)=1,L787,0)</f>
        <v>0</v>
      </c>
      <c r="N787" s="4">
        <f t="shared" si="63"/>
        <v>192.83699999999999</v>
      </c>
      <c r="O787" t="str">
        <f t="shared" si="64"/>
        <v>OK</v>
      </c>
    </row>
    <row r="788" spans="1:15">
      <c r="A788" t="str">
        <f>'Raw Data'!A788</f>
        <v>Chicago RM-11</v>
      </c>
      <c r="B788" t="str">
        <f>'Raw Data'!B788</f>
        <v>Midwest</v>
      </c>
      <c r="C788" t="str">
        <f>'Raw Data'!C788</f>
        <v>Electronics</v>
      </c>
      <c r="D788" s="3">
        <f>'Raw Data'!D788</f>
        <v>45992</v>
      </c>
      <c r="E788" t="str">
        <f t="shared" si="60"/>
        <v>Dec</v>
      </c>
      <c r="F788" s="5">
        <f>'Raw Data'!E788</f>
        <v>169</v>
      </c>
      <c r="G788" s="4">
        <f>'Raw Data'!F788</f>
        <v>23477.02</v>
      </c>
      <c r="H788" s="4">
        <f>'Raw Data'!G788</f>
        <v>19489.66</v>
      </c>
      <c r="I788" s="4">
        <f t="shared" si="61"/>
        <v>3987.3600000000006</v>
      </c>
      <c r="J788" s="8">
        <f t="shared" si="62"/>
        <v>0.16984097641012363</v>
      </c>
      <c r="K788" s="6">
        <f>'Raw Data'!I788</f>
        <v>3.62</v>
      </c>
      <c r="L788" s="5">
        <f>'Raw Data'!J788</f>
        <v>20</v>
      </c>
      <c r="M788" s="5">
        <f>IF(COUNTIFS($A$2:A788,A788,$D$2:D788,D788)=1,L788,0)</f>
        <v>20</v>
      </c>
      <c r="N788" s="4">
        <f t="shared" si="63"/>
        <v>1173.8510000000001</v>
      </c>
      <c r="O788" t="str">
        <f t="shared" si="64"/>
        <v>OK</v>
      </c>
    </row>
    <row r="789" spans="1:15">
      <c r="A789" t="str">
        <f>'Raw Data'!A789</f>
        <v>Chicago RM-11</v>
      </c>
      <c r="B789" t="str">
        <f>'Raw Data'!B789</f>
        <v>Midwest</v>
      </c>
      <c r="C789" t="str">
        <f>'Raw Data'!C789</f>
        <v>Home Goods</v>
      </c>
      <c r="D789" s="3">
        <f>'Raw Data'!D789</f>
        <v>45992</v>
      </c>
      <c r="E789" t="str">
        <f t="shared" si="60"/>
        <v>Dec</v>
      </c>
      <c r="F789" s="5">
        <f>'Raw Data'!E789</f>
        <v>108</v>
      </c>
      <c r="G789" s="4">
        <f>'Raw Data'!F789</f>
        <v>7907.45</v>
      </c>
      <c r="H789" s="4">
        <f>'Raw Data'!G789</f>
        <v>5852.35</v>
      </c>
      <c r="I789" s="4">
        <f t="shared" si="61"/>
        <v>2055.0999999999995</v>
      </c>
      <c r="J789" s="8">
        <f t="shared" si="62"/>
        <v>0.2598941504530537</v>
      </c>
      <c r="K789" s="6">
        <f>'Raw Data'!I789</f>
        <v>3.51</v>
      </c>
      <c r="L789" s="5">
        <f>'Raw Data'!J789</f>
        <v>20</v>
      </c>
      <c r="M789" s="5">
        <f>IF(COUNTIFS($A$2:A789,A789,$D$2:D789,D789)=1,L789,0)</f>
        <v>0</v>
      </c>
      <c r="N789" s="4">
        <f t="shared" si="63"/>
        <v>395.3725</v>
      </c>
      <c r="O789" t="str">
        <f t="shared" si="64"/>
        <v>OK</v>
      </c>
    </row>
    <row r="790" spans="1:15">
      <c r="A790" t="str">
        <f>'Raw Data'!A790</f>
        <v>Chicago RM-11</v>
      </c>
      <c r="B790" t="str">
        <f>'Raw Data'!B790</f>
        <v>Midwest</v>
      </c>
      <c r="C790" t="str">
        <f>'Raw Data'!C790</f>
        <v>Apparel</v>
      </c>
      <c r="D790" s="3">
        <f>'Raw Data'!D790</f>
        <v>45992</v>
      </c>
      <c r="E790" t="str">
        <f t="shared" si="60"/>
        <v>Dec</v>
      </c>
      <c r="F790" s="5">
        <f>'Raw Data'!E790</f>
        <v>168</v>
      </c>
      <c r="G790" s="4">
        <f>'Raw Data'!F790</f>
        <v>8253.44</v>
      </c>
      <c r="H790" s="4">
        <f>'Raw Data'!G790</f>
        <v>5443.31</v>
      </c>
      <c r="I790" s="4">
        <f t="shared" si="61"/>
        <v>2810.13</v>
      </c>
      <c r="J790" s="8">
        <f t="shared" si="62"/>
        <v>0.34047984840260548</v>
      </c>
      <c r="K790" s="6">
        <f>'Raw Data'!I790</f>
        <v>3.73</v>
      </c>
      <c r="L790" s="5">
        <f>'Raw Data'!J790</f>
        <v>20</v>
      </c>
      <c r="M790" s="5">
        <f>IF(COUNTIFS($A$2:A790,A790,$D$2:D790,D790)=1,L790,0)</f>
        <v>0</v>
      </c>
      <c r="N790" s="4">
        <f t="shared" si="63"/>
        <v>412.67200000000003</v>
      </c>
      <c r="O790" t="str">
        <f t="shared" si="64"/>
        <v>OK</v>
      </c>
    </row>
    <row r="791" spans="1:15">
      <c r="A791" t="str">
        <f>'Raw Data'!A791</f>
        <v>Chicago RM-11</v>
      </c>
      <c r="B791" t="str">
        <f>'Raw Data'!B791</f>
        <v>Midwest</v>
      </c>
      <c r="C791" t="str">
        <f>'Raw Data'!C791</f>
        <v>Beauty</v>
      </c>
      <c r="D791" s="3">
        <f>'Raw Data'!D791</f>
        <v>45992</v>
      </c>
      <c r="E791" t="str">
        <f t="shared" si="60"/>
        <v>Dec</v>
      </c>
      <c r="F791" s="5">
        <f>'Raw Data'!E791</f>
        <v>136</v>
      </c>
      <c r="G791" s="4">
        <f>'Raw Data'!F791</f>
        <v>5284.58</v>
      </c>
      <c r="H791" s="4">
        <f>'Raw Data'!G791</f>
        <v>2858.15</v>
      </c>
      <c r="I791" s="4">
        <f t="shared" si="61"/>
        <v>2426.4299999999998</v>
      </c>
      <c r="J791" s="8">
        <f t="shared" si="62"/>
        <v>0.4591528560453243</v>
      </c>
      <c r="K791" s="6">
        <f>'Raw Data'!I791</f>
        <v>3.73</v>
      </c>
      <c r="L791" s="5">
        <f>'Raw Data'!J791</f>
        <v>20</v>
      </c>
      <c r="M791" s="5">
        <f>IF(COUNTIFS($A$2:A791,A791,$D$2:D791,D791)=1,L791,0)</f>
        <v>0</v>
      </c>
      <c r="N791" s="4">
        <f t="shared" si="63"/>
        <v>264.22899999999998</v>
      </c>
      <c r="O791" t="str">
        <f t="shared" si="64"/>
        <v>OK</v>
      </c>
    </row>
    <row r="792" spans="1:15">
      <c r="A792" t="str">
        <f>'Raw Data'!A792</f>
        <v>Chicago RM-11</v>
      </c>
      <c r="B792" t="str">
        <f>'Raw Data'!B792</f>
        <v>Midwest</v>
      </c>
      <c r="C792" t="str">
        <f>'Raw Data'!C792</f>
        <v>Grocery</v>
      </c>
      <c r="D792" s="3">
        <f>'Raw Data'!D792</f>
        <v>45992</v>
      </c>
      <c r="E792" t="str">
        <f t="shared" si="60"/>
        <v>Dec</v>
      </c>
      <c r="F792" s="5">
        <f>'Raw Data'!E792</f>
        <v>203</v>
      </c>
      <c r="G792" s="4">
        <f>'Raw Data'!F792</f>
        <v>3919.76</v>
      </c>
      <c r="H792" s="4">
        <f>'Raw Data'!G792</f>
        <v>3857.39</v>
      </c>
      <c r="I792" s="4">
        <f t="shared" si="61"/>
        <v>62.370000000000346</v>
      </c>
      <c r="J792" s="8">
        <f t="shared" si="62"/>
        <v>1.5911688470722784E-2</v>
      </c>
      <c r="K792" s="6">
        <f>'Raw Data'!I792</f>
        <v>3.52</v>
      </c>
      <c r="L792" s="5">
        <f>'Raw Data'!J792</f>
        <v>20</v>
      </c>
      <c r="M792" s="5">
        <f>IF(COUNTIFS($A$2:A792,A792,$D$2:D792,D792)=1,L792,0)</f>
        <v>0</v>
      </c>
      <c r="N792" s="4">
        <f t="shared" si="63"/>
        <v>195.988</v>
      </c>
      <c r="O792" t="str">
        <f t="shared" si="64"/>
        <v>OK</v>
      </c>
    </row>
    <row r="793" spans="1:15">
      <c r="A793" t="str">
        <f>'Raw Data'!A793</f>
        <v>Chicago RM-11</v>
      </c>
      <c r="B793" t="str">
        <f>'Raw Data'!B793</f>
        <v>Midwest</v>
      </c>
      <c r="C793" t="str">
        <f>'Raw Data'!C793</f>
        <v>Sports</v>
      </c>
      <c r="D793" s="3">
        <f>'Raw Data'!D793</f>
        <v>45992</v>
      </c>
      <c r="E793" t="str">
        <f t="shared" si="60"/>
        <v>Dec</v>
      </c>
      <c r="F793" s="5">
        <f>'Raw Data'!E793</f>
        <v>95</v>
      </c>
      <c r="G793" s="4">
        <f>'Raw Data'!F793</f>
        <v>5724.95</v>
      </c>
      <c r="H793" s="4">
        <f>'Raw Data'!G793</f>
        <v>4096.91</v>
      </c>
      <c r="I793" s="4">
        <f t="shared" si="61"/>
        <v>1628.04</v>
      </c>
      <c r="J793" s="8">
        <f t="shared" si="62"/>
        <v>0.28437628276229487</v>
      </c>
      <c r="K793" s="6">
        <f>'Raw Data'!I793</f>
        <v>3.45</v>
      </c>
      <c r="L793" s="5">
        <f>'Raw Data'!J793</f>
        <v>20</v>
      </c>
      <c r="M793" s="5">
        <f>IF(COUNTIFS($A$2:A793,A793,$D$2:D793,D793)=1,L793,0)</f>
        <v>0</v>
      </c>
      <c r="N793" s="4">
        <f t="shared" si="63"/>
        <v>286.2475</v>
      </c>
      <c r="O793" t="str">
        <f t="shared" si="64"/>
        <v>OK</v>
      </c>
    </row>
    <row r="794" spans="1:15">
      <c r="A794" t="str">
        <f>'Raw Data'!A794</f>
        <v>Detroit RM-12</v>
      </c>
      <c r="B794" t="str">
        <f>'Raw Data'!B794</f>
        <v>Midwest</v>
      </c>
      <c r="C794" t="str">
        <f>'Raw Data'!C794</f>
        <v>Electronics</v>
      </c>
      <c r="D794" s="3">
        <f>'Raw Data'!D794</f>
        <v>45658</v>
      </c>
      <c r="E794" t="str">
        <f t="shared" si="60"/>
        <v>Jan</v>
      </c>
      <c r="F794" s="5">
        <f>'Raw Data'!E794</f>
        <v>60</v>
      </c>
      <c r="G794" s="4">
        <f>'Raw Data'!F794</f>
        <v>8624.51</v>
      </c>
      <c r="H794" s="4">
        <f>'Raw Data'!G794</f>
        <v>6831.39</v>
      </c>
      <c r="I794" s="4">
        <f t="shared" si="61"/>
        <v>1793.12</v>
      </c>
      <c r="J794" s="8">
        <f t="shared" si="62"/>
        <v>0.20790978270069835</v>
      </c>
      <c r="K794" s="6">
        <f>'Raw Data'!I794</f>
        <v>3.08</v>
      </c>
      <c r="L794" s="5">
        <f>'Raw Data'!J794</f>
        <v>16</v>
      </c>
      <c r="M794" s="5">
        <f>IF(COUNTIFS($A$2:A794,A794,$D$2:D794,D794)=1,L794,0)</f>
        <v>16</v>
      </c>
      <c r="N794" s="4">
        <f t="shared" si="63"/>
        <v>539.03187500000001</v>
      </c>
      <c r="O794" t="str">
        <f t="shared" si="64"/>
        <v>OK</v>
      </c>
    </row>
    <row r="795" spans="1:15">
      <c r="A795" t="str">
        <f>'Raw Data'!A795</f>
        <v>Detroit RM-12</v>
      </c>
      <c r="B795" t="str">
        <f>'Raw Data'!B795</f>
        <v>Midwest</v>
      </c>
      <c r="C795" t="str">
        <f>'Raw Data'!C795</f>
        <v>Home Goods</v>
      </c>
      <c r="D795" s="3">
        <f>'Raw Data'!D795</f>
        <v>45658</v>
      </c>
      <c r="E795" t="str">
        <f t="shared" si="60"/>
        <v>Jan</v>
      </c>
      <c r="F795" s="5">
        <f>'Raw Data'!E795</f>
        <v>55</v>
      </c>
      <c r="G795" s="4">
        <f>'Raw Data'!F795</f>
        <v>4442.1499999999996</v>
      </c>
      <c r="H795" s="4">
        <f>'Raw Data'!G795</f>
        <v>2954.52</v>
      </c>
      <c r="I795" s="4">
        <f t="shared" si="61"/>
        <v>1487.6299999999997</v>
      </c>
      <c r="J795" s="8">
        <f t="shared" si="62"/>
        <v>0.33488963677498501</v>
      </c>
      <c r="K795" s="6">
        <f>'Raw Data'!I795</f>
        <v>3.26</v>
      </c>
      <c r="L795" s="5">
        <f>'Raw Data'!J795</f>
        <v>16</v>
      </c>
      <c r="M795" s="5">
        <f>IF(COUNTIFS($A$2:A795,A795,$D$2:D795,D795)=1,L795,0)</f>
        <v>0</v>
      </c>
      <c r="N795" s="4">
        <f t="shared" si="63"/>
        <v>277.63437499999998</v>
      </c>
      <c r="O795" t="str">
        <f t="shared" si="64"/>
        <v>OK</v>
      </c>
    </row>
    <row r="796" spans="1:15">
      <c r="A796" t="str">
        <f>'Raw Data'!A796</f>
        <v>Detroit RM-12</v>
      </c>
      <c r="B796" t="str">
        <f>'Raw Data'!B796</f>
        <v>Midwest</v>
      </c>
      <c r="C796" t="str">
        <f>'Raw Data'!C796</f>
        <v>Apparel</v>
      </c>
      <c r="D796" s="3">
        <f>'Raw Data'!D796</f>
        <v>45658</v>
      </c>
      <c r="E796" t="str">
        <f t="shared" si="60"/>
        <v>Jan</v>
      </c>
      <c r="F796" s="5">
        <f>'Raw Data'!E796</f>
        <v>92</v>
      </c>
      <c r="G796" s="4">
        <f>'Raw Data'!F796</f>
        <v>4560.3</v>
      </c>
      <c r="H796" s="4">
        <f>'Raw Data'!G796</f>
        <v>2830.42</v>
      </c>
      <c r="I796" s="4">
        <f t="shared" si="61"/>
        <v>1729.88</v>
      </c>
      <c r="J796" s="8">
        <f t="shared" si="62"/>
        <v>0.37933469289301142</v>
      </c>
      <c r="K796" s="6">
        <f>'Raw Data'!I796</f>
        <v>3.08</v>
      </c>
      <c r="L796" s="5">
        <f>'Raw Data'!J796</f>
        <v>16</v>
      </c>
      <c r="M796" s="5">
        <f>IF(COUNTIFS($A$2:A796,A796,$D$2:D796,D796)=1,L796,0)</f>
        <v>0</v>
      </c>
      <c r="N796" s="4">
        <f t="shared" si="63"/>
        <v>285.01875000000001</v>
      </c>
      <c r="O796" t="str">
        <f t="shared" si="64"/>
        <v>OK</v>
      </c>
    </row>
    <row r="797" spans="1:15">
      <c r="A797" t="str">
        <f>'Raw Data'!A797</f>
        <v>Detroit RM-12</v>
      </c>
      <c r="B797" t="str">
        <f>'Raw Data'!B797</f>
        <v>Midwest</v>
      </c>
      <c r="C797" t="str">
        <f>'Raw Data'!C797</f>
        <v>Beauty</v>
      </c>
      <c r="D797" s="3">
        <f>'Raw Data'!D797</f>
        <v>45658</v>
      </c>
      <c r="E797" t="str">
        <f t="shared" si="60"/>
        <v>Jan</v>
      </c>
      <c r="F797" s="5">
        <f>'Raw Data'!E797</f>
        <v>65</v>
      </c>
      <c r="G797" s="4">
        <f>'Raw Data'!F797</f>
        <v>2425.56</v>
      </c>
      <c r="H797" s="4">
        <f>'Raw Data'!G797</f>
        <v>1194.6600000000001</v>
      </c>
      <c r="I797" s="4">
        <f t="shared" si="61"/>
        <v>1230.8999999999999</v>
      </c>
      <c r="J797" s="8">
        <f t="shared" si="62"/>
        <v>0.50747043981595996</v>
      </c>
      <c r="K797" s="6">
        <f>'Raw Data'!I797</f>
        <v>3.21</v>
      </c>
      <c r="L797" s="5">
        <f>'Raw Data'!J797</f>
        <v>16</v>
      </c>
      <c r="M797" s="5">
        <f>IF(COUNTIFS($A$2:A797,A797,$D$2:D797,D797)=1,L797,0)</f>
        <v>0</v>
      </c>
      <c r="N797" s="4">
        <f t="shared" si="63"/>
        <v>151.5975</v>
      </c>
      <c r="O797" t="str">
        <f t="shared" si="64"/>
        <v>OK</v>
      </c>
    </row>
    <row r="798" spans="1:15">
      <c r="A798" t="str">
        <f>'Raw Data'!A798</f>
        <v>Detroit RM-12</v>
      </c>
      <c r="B798" t="str">
        <f>'Raw Data'!B798</f>
        <v>Midwest</v>
      </c>
      <c r="C798" t="str">
        <f>'Raw Data'!C798</f>
        <v>Grocery</v>
      </c>
      <c r="D798" s="3">
        <f>'Raw Data'!D798</f>
        <v>45658</v>
      </c>
      <c r="E798" t="str">
        <f t="shared" si="60"/>
        <v>Jan</v>
      </c>
      <c r="F798" s="5">
        <f>'Raw Data'!E798</f>
        <v>89</v>
      </c>
      <c r="G798" s="4">
        <f>'Raw Data'!F798</f>
        <v>1540.22</v>
      </c>
      <c r="H798" s="4">
        <f>'Raw Data'!G798</f>
        <v>1425.81</v>
      </c>
      <c r="I798" s="4">
        <f t="shared" si="61"/>
        <v>114.41000000000008</v>
      </c>
      <c r="J798" s="8">
        <f t="shared" si="62"/>
        <v>7.4281596135617037E-2</v>
      </c>
      <c r="K798" s="6">
        <f>'Raw Data'!I798</f>
        <v>3.27</v>
      </c>
      <c r="L798" s="5">
        <f>'Raw Data'!J798</f>
        <v>16</v>
      </c>
      <c r="M798" s="5">
        <f>IF(COUNTIFS($A$2:A798,A798,$D$2:D798,D798)=1,L798,0)</f>
        <v>0</v>
      </c>
      <c r="N798" s="4">
        <f t="shared" si="63"/>
        <v>96.263750000000002</v>
      </c>
      <c r="O798" t="str">
        <f t="shared" si="64"/>
        <v>OK</v>
      </c>
    </row>
    <row r="799" spans="1:15">
      <c r="A799" t="str">
        <f>'Raw Data'!A799</f>
        <v>Detroit RM-12</v>
      </c>
      <c r="B799" t="str">
        <f>'Raw Data'!B799</f>
        <v>Midwest</v>
      </c>
      <c r="C799" t="str">
        <f>'Raw Data'!C799</f>
        <v>Sports</v>
      </c>
      <c r="D799" s="3">
        <f>'Raw Data'!D799</f>
        <v>45658</v>
      </c>
      <c r="E799" t="str">
        <f t="shared" si="60"/>
        <v>Jan</v>
      </c>
      <c r="F799" s="5">
        <f>'Raw Data'!E799</f>
        <v>43</v>
      </c>
      <c r="G799" s="4">
        <f>'Raw Data'!F799</f>
        <v>2618.4299999999998</v>
      </c>
      <c r="H799" s="4">
        <f>'Raw Data'!G799</f>
        <v>1731.71</v>
      </c>
      <c r="I799" s="4">
        <f t="shared" si="61"/>
        <v>886.7199999999998</v>
      </c>
      <c r="J799" s="8">
        <f t="shared" si="62"/>
        <v>0.33864567698964643</v>
      </c>
      <c r="K799" s="6">
        <f>'Raw Data'!I799</f>
        <v>3.31</v>
      </c>
      <c r="L799" s="5">
        <f>'Raw Data'!J799</f>
        <v>16</v>
      </c>
      <c r="M799" s="5">
        <f>IF(COUNTIFS($A$2:A799,A799,$D$2:D799,D799)=1,L799,0)</f>
        <v>0</v>
      </c>
      <c r="N799" s="4">
        <f t="shared" si="63"/>
        <v>163.65187499999999</v>
      </c>
      <c r="O799" t="str">
        <f t="shared" si="64"/>
        <v>OK</v>
      </c>
    </row>
    <row r="800" spans="1:15">
      <c r="A800" t="str">
        <f>'Raw Data'!A800</f>
        <v>Detroit RM-12</v>
      </c>
      <c r="B800" t="str">
        <f>'Raw Data'!B800</f>
        <v>Midwest</v>
      </c>
      <c r="C800" t="str">
        <f>'Raw Data'!C800</f>
        <v>Electronics</v>
      </c>
      <c r="D800" s="3">
        <f>'Raw Data'!D800</f>
        <v>45689</v>
      </c>
      <c r="E800" t="str">
        <f t="shared" si="60"/>
        <v>Feb</v>
      </c>
      <c r="F800" s="5">
        <f>'Raw Data'!E800</f>
        <v>56</v>
      </c>
      <c r="G800" s="4">
        <f>'Raw Data'!F800</f>
        <v>8108.92</v>
      </c>
      <c r="H800" s="4">
        <f>'Raw Data'!G800</f>
        <v>6567.57</v>
      </c>
      <c r="I800" s="4">
        <f t="shared" si="61"/>
        <v>1541.3500000000004</v>
      </c>
      <c r="J800" s="8">
        <f t="shared" si="62"/>
        <v>0.19008079990923579</v>
      </c>
      <c r="K800" s="6">
        <f>'Raw Data'!I800</f>
        <v>3.25</v>
      </c>
      <c r="L800" s="5">
        <f>'Raw Data'!J800</f>
        <v>17</v>
      </c>
      <c r="M800" s="5">
        <f>IF(COUNTIFS($A$2:A800,A800,$D$2:D800,D800)=1,L800,0)</f>
        <v>17</v>
      </c>
      <c r="N800" s="4">
        <f t="shared" si="63"/>
        <v>476.99529411764706</v>
      </c>
      <c r="O800" t="str">
        <f t="shared" si="64"/>
        <v>OK</v>
      </c>
    </row>
    <row r="801" spans="1:15">
      <c r="A801" t="str">
        <f>'Raw Data'!A801</f>
        <v>Detroit RM-12</v>
      </c>
      <c r="B801" t="str">
        <f>'Raw Data'!B801</f>
        <v>Midwest</v>
      </c>
      <c r="C801" t="str">
        <f>'Raw Data'!C801</f>
        <v>Home Goods</v>
      </c>
      <c r="D801" s="3">
        <f>'Raw Data'!D801</f>
        <v>45689</v>
      </c>
      <c r="E801" t="str">
        <f t="shared" si="60"/>
        <v>Feb</v>
      </c>
      <c r="F801" s="5">
        <f>'Raw Data'!E801</f>
        <v>51</v>
      </c>
      <c r="G801" s="4">
        <f>'Raw Data'!F801</f>
        <v>3978.63</v>
      </c>
      <c r="H801" s="4">
        <f>'Raw Data'!G801</f>
        <v>2674.12</v>
      </c>
      <c r="I801" s="4">
        <f t="shared" si="61"/>
        <v>1304.5100000000002</v>
      </c>
      <c r="J801" s="8">
        <f t="shared" si="62"/>
        <v>0.32787919459713522</v>
      </c>
      <c r="K801" s="6">
        <f>'Raw Data'!I801</f>
        <v>3.35</v>
      </c>
      <c r="L801" s="5">
        <f>'Raw Data'!J801</f>
        <v>17</v>
      </c>
      <c r="M801" s="5">
        <f>IF(COUNTIFS($A$2:A801,A801,$D$2:D801,D801)=1,L801,0)</f>
        <v>0</v>
      </c>
      <c r="N801" s="4">
        <f t="shared" si="63"/>
        <v>234.03705882352941</v>
      </c>
      <c r="O801" t="str">
        <f t="shared" si="64"/>
        <v>OK</v>
      </c>
    </row>
    <row r="802" spans="1:15">
      <c r="A802" t="str">
        <f>'Raw Data'!A802</f>
        <v>Detroit RM-12</v>
      </c>
      <c r="B802" t="str">
        <f>'Raw Data'!B802</f>
        <v>Midwest</v>
      </c>
      <c r="C802" t="str">
        <f>'Raw Data'!C802</f>
        <v>Apparel</v>
      </c>
      <c r="D802" s="3">
        <f>'Raw Data'!D802</f>
        <v>45689</v>
      </c>
      <c r="E802" t="str">
        <f t="shared" si="60"/>
        <v>Feb</v>
      </c>
      <c r="F802" s="5">
        <f>'Raw Data'!E802</f>
        <v>63</v>
      </c>
      <c r="G802" s="4">
        <f>'Raw Data'!F802</f>
        <v>3171.92</v>
      </c>
      <c r="H802" s="4">
        <f>'Raw Data'!G802</f>
        <v>2008.94</v>
      </c>
      <c r="I802" s="4">
        <f t="shared" si="61"/>
        <v>1162.98</v>
      </c>
      <c r="J802" s="8">
        <f t="shared" si="62"/>
        <v>0.36664859138944234</v>
      </c>
      <c r="K802" s="6">
        <f>'Raw Data'!I802</f>
        <v>3.42</v>
      </c>
      <c r="L802" s="5">
        <f>'Raw Data'!J802</f>
        <v>17</v>
      </c>
      <c r="M802" s="5">
        <f>IF(COUNTIFS($A$2:A802,A802,$D$2:D802,D802)=1,L802,0)</f>
        <v>0</v>
      </c>
      <c r="N802" s="4">
        <f t="shared" si="63"/>
        <v>186.58352941176472</v>
      </c>
      <c r="O802" t="str">
        <f t="shared" si="64"/>
        <v>OK</v>
      </c>
    </row>
    <row r="803" spans="1:15">
      <c r="A803" t="str">
        <f>'Raw Data'!A803</f>
        <v>Detroit RM-12</v>
      </c>
      <c r="B803" t="str">
        <f>'Raw Data'!B803</f>
        <v>Midwest</v>
      </c>
      <c r="C803" t="str">
        <f>'Raw Data'!C803</f>
        <v>Beauty</v>
      </c>
      <c r="D803" s="3">
        <f>'Raw Data'!D803</f>
        <v>45689</v>
      </c>
      <c r="E803" t="str">
        <f t="shared" si="60"/>
        <v>Feb</v>
      </c>
      <c r="F803" s="5">
        <f>'Raw Data'!E803</f>
        <v>60</v>
      </c>
      <c r="G803" s="4">
        <f>'Raw Data'!F803</f>
        <v>2138.64</v>
      </c>
      <c r="H803" s="4">
        <f>'Raw Data'!G803</f>
        <v>1065.6500000000001</v>
      </c>
      <c r="I803" s="4">
        <f t="shared" si="61"/>
        <v>1072.9899999999998</v>
      </c>
      <c r="J803" s="8">
        <f t="shared" si="62"/>
        <v>0.50171604384094559</v>
      </c>
      <c r="K803" s="6">
        <f>'Raw Data'!I803</f>
        <v>3.13</v>
      </c>
      <c r="L803" s="5">
        <f>'Raw Data'!J803</f>
        <v>17</v>
      </c>
      <c r="M803" s="5">
        <f>IF(COUNTIFS($A$2:A803,A803,$D$2:D803,D803)=1,L803,0)</f>
        <v>0</v>
      </c>
      <c r="N803" s="4">
        <f t="shared" si="63"/>
        <v>125.80235294117647</v>
      </c>
      <c r="O803" t="str">
        <f t="shared" si="64"/>
        <v>OK</v>
      </c>
    </row>
    <row r="804" spans="1:15">
      <c r="A804" t="str">
        <f>'Raw Data'!A804</f>
        <v>Detroit RM-12</v>
      </c>
      <c r="B804" t="str">
        <f>'Raw Data'!B804</f>
        <v>Midwest</v>
      </c>
      <c r="C804" t="str">
        <f>'Raw Data'!C804</f>
        <v>Grocery</v>
      </c>
      <c r="D804" s="3">
        <f>'Raw Data'!D804</f>
        <v>45689</v>
      </c>
      <c r="E804" t="str">
        <f t="shared" si="60"/>
        <v>Feb</v>
      </c>
      <c r="F804" s="5">
        <f>'Raw Data'!E804</f>
        <v>80</v>
      </c>
      <c r="G804" s="4">
        <f>'Raw Data'!F804</f>
        <v>1492.34</v>
      </c>
      <c r="H804" s="4">
        <f>'Raw Data'!G804</f>
        <v>1372.85</v>
      </c>
      <c r="I804" s="4">
        <f t="shared" si="61"/>
        <v>119.49000000000001</v>
      </c>
      <c r="J804" s="8">
        <f t="shared" si="62"/>
        <v>8.0068885106611101E-2</v>
      </c>
      <c r="K804" s="6">
        <f>'Raw Data'!I804</f>
        <v>3.12</v>
      </c>
      <c r="L804" s="5">
        <f>'Raw Data'!J804</f>
        <v>17</v>
      </c>
      <c r="M804" s="5">
        <f>IF(COUNTIFS($A$2:A804,A804,$D$2:D804,D804)=1,L804,0)</f>
        <v>0</v>
      </c>
      <c r="N804" s="4">
        <f t="shared" si="63"/>
        <v>87.784705882352938</v>
      </c>
      <c r="O804" t="str">
        <f t="shared" si="64"/>
        <v>OK</v>
      </c>
    </row>
    <row r="805" spans="1:15">
      <c r="A805" t="str">
        <f>'Raw Data'!A805</f>
        <v>Detroit RM-12</v>
      </c>
      <c r="B805" t="str">
        <f>'Raw Data'!B805</f>
        <v>Midwest</v>
      </c>
      <c r="C805" t="str">
        <f>'Raw Data'!C805</f>
        <v>Sports</v>
      </c>
      <c r="D805" s="3">
        <f>'Raw Data'!D805</f>
        <v>45689</v>
      </c>
      <c r="E805" t="str">
        <f t="shared" si="60"/>
        <v>Feb</v>
      </c>
      <c r="F805" s="5">
        <f>'Raw Data'!E805</f>
        <v>42</v>
      </c>
      <c r="G805" s="4">
        <f>'Raw Data'!F805</f>
        <v>2452.41</v>
      </c>
      <c r="H805" s="4">
        <f>'Raw Data'!G805</f>
        <v>1581.07</v>
      </c>
      <c r="I805" s="4">
        <f t="shared" si="61"/>
        <v>871.33999999999992</v>
      </c>
      <c r="J805" s="8">
        <f t="shared" si="62"/>
        <v>0.35529948091876967</v>
      </c>
      <c r="K805" s="6">
        <f>'Raw Data'!I805</f>
        <v>3.11</v>
      </c>
      <c r="L805" s="5">
        <f>'Raw Data'!J805</f>
        <v>17</v>
      </c>
      <c r="M805" s="5">
        <f>IF(COUNTIFS($A$2:A805,A805,$D$2:D805,D805)=1,L805,0)</f>
        <v>0</v>
      </c>
      <c r="N805" s="4">
        <f t="shared" si="63"/>
        <v>144.25941176470587</v>
      </c>
      <c r="O805" t="str">
        <f t="shared" si="64"/>
        <v>OK</v>
      </c>
    </row>
    <row r="806" spans="1:15">
      <c r="A806" t="str">
        <f>'Raw Data'!A806</f>
        <v>Detroit RM-12</v>
      </c>
      <c r="B806" t="str">
        <f>'Raw Data'!B806</f>
        <v>Midwest</v>
      </c>
      <c r="C806" t="str">
        <f>'Raw Data'!C806</f>
        <v>Electronics</v>
      </c>
      <c r="D806" s="3">
        <f>'Raw Data'!D806</f>
        <v>45717</v>
      </c>
      <c r="E806" t="str">
        <f t="shared" si="60"/>
        <v>Mar</v>
      </c>
      <c r="F806" s="5">
        <f>'Raw Data'!E806</f>
        <v>71</v>
      </c>
      <c r="G806" s="4">
        <f>'Raw Data'!F806</f>
        <v>10414.82</v>
      </c>
      <c r="H806" s="4">
        <f>'Raw Data'!G806</f>
        <v>8411.9599999999991</v>
      </c>
      <c r="I806" s="4">
        <f t="shared" si="61"/>
        <v>2002.8600000000006</v>
      </c>
      <c r="J806" s="8">
        <f t="shared" si="62"/>
        <v>0.19230865247791135</v>
      </c>
      <c r="K806" s="6">
        <f>'Raw Data'!I806</f>
        <v>3.11</v>
      </c>
      <c r="L806" s="5">
        <f>'Raw Data'!J806</f>
        <v>18</v>
      </c>
      <c r="M806" s="5">
        <f>IF(COUNTIFS($A$2:A806,A806,$D$2:D806,D806)=1,L806,0)</f>
        <v>18</v>
      </c>
      <c r="N806" s="4">
        <f t="shared" si="63"/>
        <v>578.60111111111109</v>
      </c>
      <c r="O806" t="str">
        <f t="shared" si="64"/>
        <v>OK</v>
      </c>
    </row>
    <row r="807" spans="1:15">
      <c r="A807" t="str">
        <f>'Raw Data'!A807</f>
        <v>Detroit RM-12</v>
      </c>
      <c r="B807" t="str">
        <f>'Raw Data'!B807</f>
        <v>Midwest</v>
      </c>
      <c r="C807" t="str">
        <f>'Raw Data'!C807</f>
        <v>Home Goods</v>
      </c>
      <c r="D807" s="3">
        <f>'Raw Data'!D807</f>
        <v>45717</v>
      </c>
      <c r="E807" t="str">
        <f t="shared" si="60"/>
        <v>Mar</v>
      </c>
      <c r="F807" s="5">
        <f>'Raw Data'!E807</f>
        <v>65</v>
      </c>
      <c r="G807" s="4">
        <f>'Raw Data'!F807</f>
        <v>4820.57</v>
      </c>
      <c r="H807" s="4">
        <f>'Raw Data'!G807</f>
        <v>3258.32</v>
      </c>
      <c r="I807" s="4">
        <f t="shared" si="61"/>
        <v>1562.2499999999995</v>
      </c>
      <c r="J807" s="8">
        <f t="shared" si="62"/>
        <v>0.32407993245612027</v>
      </c>
      <c r="K807" s="6">
        <f>'Raw Data'!I807</f>
        <v>3.43</v>
      </c>
      <c r="L807" s="5">
        <f>'Raw Data'!J807</f>
        <v>18</v>
      </c>
      <c r="M807" s="5">
        <f>IF(COUNTIFS($A$2:A807,A807,$D$2:D807,D807)=1,L807,0)</f>
        <v>0</v>
      </c>
      <c r="N807" s="4">
        <f t="shared" si="63"/>
        <v>267.80944444444441</v>
      </c>
      <c r="O807" t="str">
        <f t="shared" si="64"/>
        <v>OK</v>
      </c>
    </row>
    <row r="808" spans="1:15">
      <c r="A808" t="str">
        <f>'Raw Data'!A808</f>
        <v>Detroit RM-12</v>
      </c>
      <c r="B808" t="str">
        <f>'Raw Data'!B808</f>
        <v>Midwest</v>
      </c>
      <c r="C808" t="str">
        <f>'Raw Data'!C808</f>
        <v>Apparel</v>
      </c>
      <c r="D808" s="3">
        <f>'Raw Data'!D808</f>
        <v>45717</v>
      </c>
      <c r="E808" t="str">
        <f t="shared" si="60"/>
        <v>Mar</v>
      </c>
      <c r="F808" s="5">
        <f>'Raw Data'!E808</f>
        <v>91</v>
      </c>
      <c r="G808" s="4">
        <f>'Raw Data'!F808</f>
        <v>4166.96</v>
      </c>
      <c r="H808" s="4">
        <f>'Raw Data'!G808</f>
        <v>2561.69</v>
      </c>
      <c r="I808" s="4">
        <f t="shared" si="61"/>
        <v>1605.27</v>
      </c>
      <c r="J808" s="8">
        <f t="shared" si="62"/>
        <v>0.38523767926737956</v>
      </c>
      <c r="K808" s="6">
        <f>'Raw Data'!I808</f>
        <v>3.08</v>
      </c>
      <c r="L808" s="5">
        <f>'Raw Data'!J808</f>
        <v>18</v>
      </c>
      <c r="M808" s="5">
        <f>IF(COUNTIFS($A$2:A808,A808,$D$2:D808,D808)=1,L808,0)</f>
        <v>0</v>
      </c>
      <c r="N808" s="4">
        <f t="shared" si="63"/>
        <v>231.49777777777777</v>
      </c>
      <c r="O808" t="str">
        <f t="shared" si="64"/>
        <v>OK</v>
      </c>
    </row>
    <row r="809" spans="1:15">
      <c r="A809" t="str">
        <f>'Raw Data'!A809</f>
        <v>Detroit RM-12</v>
      </c>
      <c r="B809" t="str">
        <f>'Raw Data'!B809</f>
        <v>Midwest</v>
      </c>
      <c r="C809" t="str">
        <f>'Raw Data'!C809</f>
        <v>Beauty</v>
      </c>
      <c r="D809" s="3">
        <f>'Raw Data'!D809</f>
        <v>45717</v>
      </c>
      <c r="E809" t="str">
        <f t="shared" si="60"/>
        <v>Mar</v>
      </c>
      <c r="F809" s="5">
        <f>'Raw Data'!E809</f>
        <v>72</v>
      </c>
      <c r="G809" s="4">
        <f>'Raw Data'!F809</f>
        <v>2541.92</v>
      </c>
      <c r="H809" s="4">
        <f>'Raw Data'!G809</f>
        <v>1312.07</v>
      </c>
      <c r="I809" s="4">
        <f t="shared" si="61"/>
        <v>1229.8500000000001</v>
      </c>
      <c r="J809" s="8">
        <f t="shared" si="62"/>
        <v>0.48382718574935485</v>
      </c>
      <c r="K809" s="6">
        <f>'Raw Data'!I809</f>
        <v>3.18</v>
      </c>
      <c r="L809" s="5">
        <f>'Raw Data'!J809</f>
        <v>18</v>
      </c>
      <c r="M809" s="5">
        <f>IF(COUNTIFS($A$2:A809,A809,$D$2:D809,D809)=1,L809,0)</f>
        <v>0</v>
      </c>
      <c r="N809" s="4">
        <f t="shared" si="63"/>
        <v>141.21777777777777</v>
      </c>
      <c r="O809" t="str">
        <f t="shared" si="64"/>
        <v>OK</v>
      </c>
    </row>
    <row r="810" spans="1:15">
      <c r="A810" t="str">
        <f>'Raw Data'!A810</f>
        <v>Detroit RM-12</v>
      </c>
      <c r="B810" t="str">
        <f>'Raw Data'!B810</f>
        <v>Midwest</v>
      </c>
      <c r="C810" t="str">
        <f>'Raw Data'!C810</f>
        <v>Grocery</v>
      </c>
      <c r="D810" s="3">
        <f>'Raw Data'!D810</f>
        <v>45717</v>
      </c>
      <c r="E810" t="str">
        <f t="shared" si="60"/>
        <v>Mar</v>
      </c>
      <c r="F810" s="5">
        <f>'Raw Data'!E810</f>
        <v>109</v>
      </c>
      <c r="G810" s="4">
        <f>'Raw Data'!F810</f>
        <v>2052.54</v>
      </c>
      <c r="H810" s="4">
        <f>'Raw Data'!G810</f>
        <v>1850.87</v>
      </c>
      <c r="I810" s="4">
        <f t="shared" si="61"/>
        <v>201.67000000000007</v>
      </c>
      <c r="J810" s="8">
        <f t="shared" si="62"/>
        <v>9.8253870813723526E-2</v>
      </c>
      <c r="K810" s="6">
        <f>'Raw Data'!I810</f>
        <v>3.35</v>
      </c>
      <c r="L810" s="5">
        <f>'Raw Data'!J810</f>
        <v>18</v>
      </c>
      <c r="M810" s="5">
        <f>IF(COUNTIFS($A$2:A810,A810,$D$2:D810,D810)=1,L810,0)</f>
        <v>0</v>
      </c>
      <c r="N810" s="4">
        <f t="shared" si="63"/>
        <v>114.03</v>
      </c>
      <c r="O810" t="str">
        <f t="shared" si="64"/>
        <v>OK</v>
      </c>
    </row>
    <row r="811" spans="1:15">
      <c r="A811" t="str">
        <f>'Raw Data'!A811</f>
        <v>Detroit RM-12</v>
      </c>
      <c r="B811" t="str">
        <f>'Raw Data'!B811</f>
        <v>Midwest</v>
      </c>
      <c r="C811" t="str">
        <f>'Raw Data'!C811</f>
        <v>Sports</v>
      </c>
      <c r="D811" s="3">
        <f>'Raw Data'!D811</f>
        <v>45717</v>
      </c>
      <c r="E811" t="str">
        <f t="shared" si="60"/>
        <v>Mar</v>
      </c>
      <c r="F811" s="5">
        <f>'Raw Data'!E811</f>
        <v>48</v>
      </c>
      <c r="G811" s="4">
        <f>'Raw Data'!F811</f>
        <v>3073.82</v>
      </c>
      <c r="H811" s="4">
        <f>'Raw Data'!G811</f>
        <v>2009.71</v>
      </c>
      <c r="I811" s="4">
        <f t="shared" si="61"/>
        <v>1064.1100000000001</v>
      </c>
      <c r="J811" s="8">
        <f t="shared" si="62"/>
        <v>0.34618487744890725</v>
      </c>
      <c r="K811" s="6">
        <f>'Raw Data'!I811</f>
        <v>3.2</v>
      </c>
      <c r="L811" s="5">
        <f>'Raw Data'!J811</f>
        <v>18</v>
      </c>
      <c r="M811" s="5">
        <f>IF(COUNTIFS($A$2:A811,A811,$D$2:D811,D811)=1,L811,0)</f>
        <v>0</v>
      </c>
      <c r="N811" s="4">
        <f t="shared" si="63"/>
        <v>170.76777777777778</v>
      </c>
      <c r="O811" t="str">
        <f t="shared" si="64"/>
        <v>OK</v>
      </c>
    </row>
    <row r="812" spans="1:15">
      <c r="A812" t="str">
        <f>'Raw Data'!A812</f>
        <v>Detroit RM-12</v>
      </c>
      <c r="B812" t="str">
        <f>'Raw Data'!B812</f>
        <v>Midwest</v>
      </c>
      <c r="C812" t="str">
        <f>'Raw Data'!C812</f>
        <v>Electronics</v>
      </c>
      <c r="D812" s="3">
        <f>'Raw Data'!D812</f>
        <v>45748</v>
      </c>
      <c r="E812" t="str">
        <f t="shared" si="60"/>
        <v>Apr</v>
      </c>
      <c r="F812" s="5">
        <f>'Raw Data'!E812</f>
        <v>80</v>
      </c>
      <c r="G812" s="4">
        <f>'Raw Data'!F812</f>
        <v>12094.5</v>
      </c>
      <c r="H812" s="4">
        <f>'Raw Data'!G812</f>
        <v>9637.66</v>
      </c>
      <c r="I812" s="4">
        <f t="shared" si="61"/>
        <v>2456.84</v>
      </c>
      <c r="J812" s="8">
        <f t="shared" si="62"/>
        <v>0.20313696308239285</v>
      </c>
      <c r="K812" s="6">
        <f>'Raw Data'!I812</f>
        <v>3.19</v>
      </c>
      <c r="L812" s="5">
        <f>'Raw Data'!J812</f>
        <v>18</v>
      </c>
      <c r="M812" s="5">
        <f>IF(COUNTIFS($A$2:A812,A812,$D$2:D812,D812)=1,L812,0)</f>
        <v>18</v>
      </c>
      <c r="N812" s="4">
        <f t="shared" si="63"/>
        <v>671.91666666666663</v>
      </c>
      <c r="O812" t="str">
        <f t="shared" si="64"/>
        <v>OK</v>
      </c>
    </row>
    <row r="813" spans="1:15">
      <c r="A813" t="str">
        <f>'Raw Data'!A813</f>
        <v>Detroit RM-12</v>
      </c>
      <c r="B813" t="str">
        <f>'Raw Data'!B813</f>
        <v>Midwest</v>
      </c>
      <c r="C813" t="str">
        <f>'Raw Data'!C813</f>
        <v>Home Goods</v>
      </c>
      <c r="D813" s="3">
        <f>'Raw Data'!D813</f>
        <v>45748</v>
      </c>
      <c r="E813" t="str">
        <f t="shared" si="60"/>
        <v>Apr</v>
      </c>
      <c r="F813" s="5">
        <f>'Raw Data'!E813</f>
        <v>67</v>
      </c>
      <c r="G813" s="4">
        <f>'Raw Data'!F813</f>
        <v>4867.63</v>
      </c>
      <c r="H813" s="4">
        <f>'Raw Data'!G813</f>
        <v>3353.08</v>
      </c>
      <c r="I813" s="4">
        <f t="shared" si="61"/>
        <v>1514.5500000000002</v>
      </c>
      <c r="J813" s="8">
        <f t="shared" si="62"/>
        <v>0.31114731399058682</v>
      </c>
      <c r="K813" s="6">
        <f>'Raw Data'!I813</f>
        <v>3.23</v>
      </c>
      <c r="L813" s="5">
        <f>'Raw Data'!J813</f>
        <v>18</v>
      </c>
      <c r="M813" s="5">
        <f>IF(COUNTIFS($A$2:A813,A813,$D$2:D813,D813)=1,L813,0)</f>
        <v>0</v>
      </c>
      <c r="N813" s="4">
        <f t="shared" si="63"/>
        <v>270.42388888888888</v>
      </c>
      <c r="O813" t="str">
        <f t="shared" si="64"/>
        <v>OK</v>
      </c>
    </row>
    <row r="814" spans="1:15">
      <c r="A814" t="str">
        <f>'Raw Data'!A814</f>
        <v>Detroit RM-12</v>
      </c>
      <c r="B814" t="str">
        <f>'Raw Data'!B814</f>
        <v>Midwest</v>
      </c>
      <c r="C814" t="str">
        <f>'Raw Data'!C814</f>
        <v>Apparel</v>
      </c>
      <c r="D814" s="3">
        <f>'Raw Data'!D814</f>
        <v>45748</v>
      </c>
      <c r="E814" t="str">
        <f t="shared" si="60"/>
        <v>Apr</v>
      </c>
      <c r="F814" s="5">
        <f>'Raw Data'!E814</f>
        <v>109</v>
      </c>
      <c r="G814" s="4">
        <f>'Raw Data'!F814</f>
        <v>5268.38</v>
      </c>
      <c r="H814" s="4">
        <f>'Raw Data'!G814</f>
        <v>3319.23</v>
      </c>
      <c r="I814" s="4">
        <f t="shared" si="61"/>
        <v>1949.15</v>
      </c>
      <c r="J814" s="8">
        <f t="shared" si="62"/>
        <v>0.36997141436266939</v>
      </c>
      <c r="K814" s="6">
        <f>'Raw Data'!I814</f>
        <v>3.39</v>
      </c>
      <c r="L814" s="5">
        <f>'Raw Data'!J814</f>
        <v>18</v>
      </c>
      <c r="M814" s="5">
        <f>IF(COUNTIFS($A$2:A814,A814,$D$2:D814,D814)=1,L814,0)</f>
        <v>0</v>
      </c>
      <c r="N814" s="4">
        <f t="shared" si="63"/>
        <v>292.6877777777778</v>
      </c>
      <c r="O814" t="str">
        <f t="shared" si="64"/>
        <v>OK</v>
      </c>
    </row>
    <row r="815" spans="1:15">
      <c r="A815" t="str">
        <f>'Raw Data'!A815</f>
        <v>Detroit RM-12</v>
      </c>
      <c r="B815" t="str">
        <f>'Raw Data'!B815</f>
        <v>Midwest</v>
      </c>
      <c r="C815" t="str">
        <f>'Raw Data'!C815</f>
        <v>Beauty</v>
      </c>
      <c r="D815" s="3">
        <f>'Raw Data'!D815</f>
        <v>45748</v>
      </c>
      <c r="E815" t="str">
        <f t="shared" si="60"/>
        <v>Apr</v>
      </c>
      <c r="F815" s="5">
        <f>'Raw Data'!E815</f>
        <v>64</v>
      </c>
      <c r="G815" s="4">
        <f>'Raw Data'!F815</f>
        <v>2219.56</v>
      </c>
      <c r="H815" s="4">
        <f>'Raw Data'!G815</f>
        <v>1113.53</v>
      </c>
      <c r="I815" s="4">
        <f t="shared" si="61"/>
        <v>1106.03</v>
      </c>
      <c r="J815" s="8">
        <f t="shared" si="62"/>
        <v>0.49831047595018835</v>
      </c>
      <c r="K815" s="6">
        <f>'Raw Data'!I815</f>
        <v>3.33</v>
      </c>
      <c r="L815" s="5">
        <f>'Raw Data'!J815</f>
        <v>18</v>
      </c>
      <c r="M815" s="5">
        <f>IF(COUNTIFS($A$2:A815,A815,$D$2:D815,D815)=1,L815,0)</f>
        <v>0</v>
      </c>
      <c r="N815" s="4">
        <f t="shared" si="63"/>
        <v>123.30888888888889</v>
      </c>
      <c r="O815" t="str">
        <f t="shared" si="64"/>
        <v>OK</v>
      </c>
    </row>
    <row r="816" spans="1:15">
      <c r="A816" t="str">
        <f>'Raw Data'!A816</f>
        <v>Detroit RM-12</v>
      </c>
      <c r="B816" t="str">
        <f>'Raw Data'!B816</f>
        <v>Midwest</v>
      </c>
      <c r="C816" t="str">
        <f>'Raw Data'!C816</f>
        <v>Grocery</v>
      </c>
      <c r="D816" s="3">
        <f>'Raw Data'!D816</f>
        <v>45748</v>
      </c>
      <c r="E816" t="str">
        <f t="shared" si="60"/>
        <v>Apr</v>
      </c>
      <c r="F816" s="5">
        <f>'Raw Data'!E816</f>
        <v>138</v>
      </c>
      <c r="G816" s="4">
        <f>'Raw Data'!F816</f>
        <v>2371.0300000000002</v>
      </c>
      <c r="H816" s="4">
        <f>'Raw Data'!G816</f>
        <v>2266.75</v>
      </c>
      <c r="I816" s="4">
        <f t="shared" si="61"/>
        <v>104.2800000000002</v>
      </c>
      <c r="J816" s="8">
        <f t="shared" si="62"/>
        <v>4.3980885944083455E-2</v>
      </c>
      <c r="K816" s="6">
        <f>'Raw Data'!I816</f>
        <v>3.21</v>
      </c>
      <c r="L816" s="5">
        <f>'Raw Data'!J816</f>
        <v>18</v>
      </c>
      <c r="M816" s="5">
        <f>IF(COUNTIFS($A$2:A816,A816,$D$2:D816,D816)=1,L816,0)</f>
        <v>0</v>
      </c>
      <c r="N816" s="4">
        <f t="shared" si="63"/>
        <v>131.72388888888889</v>
      </c>
      <c r="O816" t="str">
        <f t="shared" si="64"/>
        <v>OK</v>
      </c>
    </row>
    <row r="817" spans="1:15">
      <c r="A817" t="str">
        <f>'Raw Data'!A817</f>
        <v>Detroit RM-12</v>
      </c>
      <c r="B817" t="str">
        <f>'Raw Data'!B817</f>
        <v>Midwest</v>
      </c>
      <c r="C817" t="str">
        <f>'Raw Data'!C817</f>
        <v>Sports</v>
      </c>
      <c r="D817" s="3">
        <f>'Raw Data'!D817</f>
        <v>45748</v>
      </c>
      <c r="E817" t="str">
        <f t="shared" si="60"/>
        <v>Apr</v>
      </c>
      <c r="F817" s="5">
        <f>'Raw Data'!E817</f>
        <v>53</v>
      </c>
      <c r="G817" s="4">
        <f>'Raw Data'!F817</f>
        <v>3350.58</v>
      </c>
      <c r="H817" s="4">
        <f>'Raw Data'!G817</f>
        <v>2246.5700000000002</v>
      </c>
      <c r="I817" s="4">
        <f t="shared" si="61"/>
        <v>1104.0099999999998</v>
      </c>
      <c r="J817" s="8">
        <f t="shared" si="62"/>
        <v>0.32949817643512458</v>
      </c>
      <c r="K817" s="6">
        <f>'Raw Data'!I817</f>
        <v>3.29</v>
      </c>
      <c r="L817" s="5">
        <f>'Raw Data'!J817</f>
        <v>18</v>
      </c>
      <c r="M817" s="5">
        <f>IF(COUNTIFS($A$2:A817,A817,$D$2:D817,D817)=1,L817,0)</f>
        <v>0</v>
      </c>
      <c r="N817" s="4">
        <f t="shared" si="63"/>
        <v>186.14333333333332</v>
      </c>
      <c r="O817" t="str">
        <f t="shared" si="64"/>
        <v>OK</v>
      </c>
    </row>
    <row r="818" spans="1:15">
      <c r="A818" t="str">
        <f>'Raw Data'!A818</f>
        <v>Detroit RM-12</v>
      </c>
      <c r="B818" t="str">
        <f>'Raw Data'!B818</f>
        <v>Midwest</v>
      </c>
      <c r="C818" t="str">
        <f>'Raw Data'!C818</f>
        <v>Electronics</v>
      </c>
      <c r="D818" s="3">
        <f>'Raw Data'!D818</f>
        <v>45778</v>
      </c>
      <c r="E818" t="str">
        <f t="shared" si="60"/>
        <v>May</v>
      </c>
      <c r="F818" s="5">
        <f>'Raw Data'!E818</f>
        <v>70</v>
      </c>
      <c r="G818" s="4">
        <f>'Raw Data'!F818</f>
        <v>10791.41</v>
      </c>
      <c r="H818" s="4">
        <f>'Raw Data'!G818</f>
        <v>8849.2999999999993</v>
      </c>
      <c r="I818" s="4">
        <f t="shared" si="61"/>
        <v>1942.1100000000006</v>
      </c>
      <c r="J818" s="8">
        <f t="shared" si="62"/>
        <v>0.17996814132722236</v>
      </c>
      <c r="K818" s="6">
        <f>'Raw Data'!I818</f>
        <v>3.39</v>
      </c>
      <c r="L818" s="5">
        <f>'Raw Data'!J818</f>
        <v>17</v>
      </c>
      <c r="M818" s="5">
        <f>IF(COUNTIFS($A$2:A818,A818,$D$2:D818,D818)=1,L818,0)</f>
        <v>17</v>
      </c>
      <c r="N818" s="4">
        <f t="shared" si="63"/>
        <v>634.78882352941173</v>
      </c>
      <c r="O818" t="str">
        <f t="shared" si="64"/>
        <v>OK</v>
      </c>
    </row>
    <row r="819" spans="1:15">
      <c r="A819" t="str">
        <f>'Raw Data'!A819</f>
        <v>Detroit RM-12</v>
      </c>
      <c r="B819" t="str">
        <f>'Raw Data'!B819</f>
        <v>Midwest</v>
      </c>
      <c r="C819" t="str">
        <f>'Raw Data'!C819</f>
        <v>Home Goods</v>
      </c>
      <c r="D819" s="3">
        <f>'Raw Data'!D819</f>
        <v>45778</v>
      </c>
      <c r="E819" t="str">
        <f t="shared" si="60"/>
        <v>May</v>
      </c>
      <c r="F819" s="5">
        <f>'Raw Data'!E819</f>
        <v>65</v>
      </c>
      <c r="G819" s="4">
        <f>'Raw Data'!F819</f>
        <v>4977.7</v>
      </c>
      <c r="H819" s="4">
        <f>'Raw Data'!G819</f>
        <v>3476.93</v>
      </c>
      <c r="I819" s="4">
        <f t="shared" si="61"/>
        <v>1500.77</v>
      </c>
      <c r="J819" s="8">
        <f t="shared" si="62"/>
        <v>0.30149868413122527</v>
      </c>
      <c r="K819" s="6">
        <f>'Raw Data'!I819</f>
        <v>3.39</v>
      </c>
      <c r="L819" s="5">
        <f>'Raw Data'!J819</f>
        <v>17</v>
      </c>
      <c r="M819" s="5">
        <f>IF(COUNTIFS($A$2:A819,A819,$D$2:D819,D819)=1,L819,0)</f>
        <v>0</v>
      </c>
      <c r="N819" s="4">
        <f t="shared" si="63"/>
        <v>292.80588235294118</v>
      </c>
      <c r="O819" t="str">
        <f t="shared" si="64"/>
        <v>OK</v>
      </c>
    </row>
    <row r="820" spans="1:15">
      <c r="A820" t="str">
        <f>'Raw Data'!A820</f>
        <v>Detroit RM-12</v>
      </c>
      <c r="B820" t="str">
        <f>'Raw Data'!B820</f>
        <v>Midwest</v>
      </c>
      <c r="C820" t="str">
        <f>'Raw Data'!C820</f>
        <v>Apparel</v>
      </c>
      <c r="D820" s="3">
        <f>'Raw Data'!D820</f>
        <v>45778</v>
      </c>
      <c r="E820" t="str">
        <f t="shared" si="60"/>
        <v>May</v>
      </c>
      <c r="F820" s="5">
        <f>'Raw Data'!E820</f>
        <v>89</v>
      </c>
      <c r="G820" s="4">
        <f>'Raw Data'!F820</f>
        <v>4407.41</v>
      </c>
      <c r="H820" s="4">
        <f>'Raw Data'!G820</f>
        <v>2733.93</v>
      </c>
      <c r="I820" s="4">
        <f t="shared" si="61"/>
        <v>1673.48</v>
      </c>
      <c r="J820" s="8">
        <f t="shared" si="62"/>
        <v>0.37969691950601375</v>
      </c>
      <c r="K820" s="6">
        <f>'Raw Data'!I820</f>
        <v>3.38</v>
      </c>
      <c r="L820" s="5">
        <f>'Raw Data'!J820</f>
        <v>17</v>
      </c>
      <c r="M820" s="5">
        <f>IF(COUNTIFS($A$2:A820,A820,$D$2:D820,D820)=1,L820,0)</f>
        <v>0</v>
      </c>
      <c r="N820" s="4">
        <f t="shared" si="63"/>
        <v>259.25941176470587</v>
      </c>
      <c r="O820" t="str">
        <f t="shared" si="64"/>
        <v>OK</v>
      </c>
    </row>
    <row r="821" spans="1:15">
      <c r="A821" t="str">
        <f>'Raw Data'!A821</f>
        <v>Detroit RM-12</v>
      </c>
      <c r="B821" t="str">
        <f>'Raw Data'!B821</f>
        <v>Midwest</v>
      </c>
      <c r="C821" t="str">
        <f>'Raw Data'!C821</f>
        <v>Beauty</v>
      </c>
      <c r="D821" s="3">
        <f>'Raw Data'!D821</f>
        <v>45778</v>
      </c>
      <c r="E821" t="str">
        <f t="shared" si="60"/>
        <v>May</v>
      </c>
      <c r="F821" s="5">
        <f>'Raw Data'!E821</f>
        <v>77</v>
      </c>
      <c r="G821" s="4">
        <f>'Raw Data'!F821</f>
        <v>2809.35</v>
      </c>
      <c r="H821" s="4">
        <f>'Raw Data'!G821</f>
        <v>1479.37</v>
      </c>
      <c r="I821" s="4">
        <f t="shared" si="61"/>
        <v>1329.98</v>
      </c>
      <c r="J821" s="8">
        <f t="shared" si="62"/>
        <v>0.47341199921690075</v>
      </c>
      <c r="K821" s="6">
        <f>'Raw Data'!I821</f>
        <v>3.33</v>
      </c>
      <c r="L821" s="5">
        <f>'Raw Data'!J821</f>
        <v>17</v>
      </c>
      <c r="M821" s="5">
        <f>IF(COUNTIFS($A$2:A821,A821,$D$2:D821,D821)=1,L821,0)</f>
        <v>0</v>
      </c>
      <c r="N821" s="4">
        <f t="shared" si="63"/>
        <v>165.25588235294117</v>
      </c>
      <c r="O821" t="str">
        <f t="shared" si="64"/>
        <v>OK</v>
      </c>
    </row>
    <row r="822" spans="1:15">
      <c r="A822" t="str">
        <f>'Raw Data'!A822</f>
        <v>Detroit RM-12</v>
      </c>
      <c r="B822" t="str">
        <f>'Raw Data'!B822</f>
        <v>Midwest</v>
      </c>
      <c r="C822" t="str">
        <f>'Raw Data'!C822</f>
        <v>Grocery</v>
      </c>
      <c r="D822" s="3">
        <f>'Raw Data'!D822</f>
        <v>45778</v>
      </c>
      <c r="E822" t="str">
        <f t="shared" si="60"/>
        <v>May</v>
      </c>
      <c r="F822" s="5">
        <f>'Raw Data'!E822</f>
        <v>131</v>
      </c>
      <c r="G822" s="4">
        <f>'Raw Data'!F822</f>
        <v>2504.7600000000002</v>
      </c>
      <c r="H822" s="4">
        <f>'Raw Data'!G822</f>
        <v>2354.67</v>
      </c>
      <c r="I822" s="4">
        <f t="shared" si="61"/>
        <v>150.09000000000015</v>
      </c>
      <c r="J822" s="8">
        <f t="shared" si="62"/>
        <v>5.9921908685862169E-2</v>
      </c>
      <c r="K822" s="6">
        <f>'Raw Data'!I822</f>
        <v>3.29</v>
      </c>
      <c r="L822" s="5">
        <f>'Raw Data'!J822</f>
        <v>17</v>
      </c>
      <c r="M822" s="5">
        <f>IF(COUNTIFS($A$2:A822,A822,$D$2:D822,D822)=1,L822,0)</f>
        <v>0</v>
      </c>
      <c r="N822" s="4">
        <f t="shared" si="63"/>
        <v>147.33882352941177</v>
      </c>
      <c r="O822" t="str">
        <f t="shared" si="64"/>
        <v>OK</v>
      </c>
    </row>
    <row r="823" spans="1:15">
      <c r="A823" t="str">
        <f>'Raw Data'!A823</f>
        <v>Detroit RM-12</v>
      </c>
      <c r="B823" t="str">
        <f>'Raw Data'!B823</f>
        <v>Midwest</v>
      </c>
      <c r="C823" t="str">
        <f>'Raw Data'!C823</f>
        <v>Sports</v>
      </c>
      <c r="D823" s="3">
        <f>'Raw Data'!D823</f>
        <v>45778</v>
      </c>
      <c r="E823" t="str">
        <f t="shared" si="60"/>
        <v>May</v>
      </c>
      <c r="F823" s="5">
        <f>'Raw Data'!E823</f>
        <v>89</v>
      </c>
      <c r="G823" s="4">
        <f>'Raw Data'!F823</f>
        <v>5664.52</v>
      </c>
      <c r="H823" s="4">
        <f>'Raw Data'!G823</f>
        <v>3830.71</v>
      </c>
      <c r="I823" s="4">
        <f t="shared" si="61"/>
        <v>1833.8100000000004</v>
      </c>
      <c r="J823" s="8">
        <f t="shared" si="62"/>
        <v>0.32373616828963447</v>
      </c>
      <c r="K823" s="6">
        <f>'Raw Data'!I823</f>
        <v>3.33</v>
      </c>
      <c r="L823" s="5">
        <f>'Raw Data'!J823</f>
        <v>17</v>
      </c>
      <c r="M823" s="5">
        <f>IF(COUNTIFS($A$2:A823,A823,$D$2:D823,D823)=1,L823,0)</f>
        <v>0</v>
      </c>
      <c r="N823" s="4">
        <f t="shared" si="63"/>
        <v>333.20705882352945</v>
      </c>
      <c r="O823" t="str">
        <f t="shared" si="64"/>
        <v>OK</v>
      </c>
    </row>
    <row r="824" spans="1:15">
      <c r="A824" t="str">
        <f>'Raw Data'!A824</f>
        <v>Detroit RM-12</v>
      </c>
      <c r="B824" t="str">
        <f>'Raw Data'!B824</f>
        <v>Midwest</v>
      </c>
      <c r="C824" t="str">
        <f>'Raw Data'!C824</f>
        <v>Electronics</v>
      </c>
      <c r="D824" s="3">
        <f>'Raw Data'!D824</f>
        <v>45809</v>
      </c>
      <c r="E824" t="str">
        <f t="shared" si="60"/>
        <v>Jun</v>
      </c>
      <c r="F824" s="5">
        <f>'Raw Data'!E824</f>
        <v>78</v>
      </c>
      <c r="G824" s="4">
        <f>'Raw Data'!F824</f>
        <v>11240.81</v>
      </c>
      <c r="H824" s="4">
        <f>'Raw Data'!G824</f>
        <v>9347.6200000000008</v>
      </c>
      <c r="I824" s="4">
        <f t="shared" si="61"/>
        <v>1893.1899999999987</v>
      </c>
      <c r="J824" s="8">
        <f t="shared" si="62"/>
        <v>0.16842113691095204</v>
      </c>
      <c r="K824" s="6">
        <f>'Raw Data'!I824</f>
        <v>3.27</v>
      </c>
      <c r="L824" s="5">
        <f>'Raw Data'!J824</f>
        <v>19</v>
      </c>
      <c r="M824" s="5">
        <f>IF(COUNTIFS($A$2:A824,A824,$D$2:D824,D824)=1,L824,0)</f>
        <v>19</v>
      </c>
      <c r="N824" s="4">
        <f t="shared" si="63"/>
        <v>591.62157894736845</v>
      </c>
      <c r="O824" t="str">
        <f t="shared" si="64"/>
        <v>OK</v>
      </c>
    </row>
    <row r="825" spans="1:15">
      <c r="A825" t="str">
        <f>'Raw Data'!A825</f>
        <v>Detroit RM-12</v>
      </c>
      <c r="B825" t="str">
        <f>'Raw Data'!B825</f>
        <v>Midwest</v>
      </c>
      <c r="C825" t="str">
        <f>'Raw Data'!C825</f>
        <v>Home Goods</v>
      </c>
      <c r="D825" s="3">
        <f>'Raw Data'!D825</f>
        <v>45809</v>
      </c>
      <c r="E825" t="str">
        <f t="shared" si="60"/>
        <v>Jun</v>
      </c>
      <c r="F825" s="5">
        <f>'Raw Data'!E825</f>
        <v>84</v>
      </c>
      <c r="G825" s="4">
        <f>'Raw Data'!F825</f>
        <v>6883.81</v>
      </c>
      <c r="H825" s="4">
        <f>'Raw Data'!G825</f>
        <v>4723.38</v>
      </c>
      <c r="I825" s="4">
        <f t="shared" si="61"/>
        <v>2160.4300000000003</v>
      </c>
      <c r="J825" s="8">
        <f t="shared" si="62"/>
        <v>0.31384218913653922</v>
      </c>
      <c r="K825" s="6">
        <f>'Raw Data'!I825</f>
        <v>3.3</v>
      </c>
      <c r="L825" s="5">
        <f>'Raw Data'!J825</f>
        <v>19</v>
      </c>
      <c r="M825" s="5">
        <f>IF(COUNTIFS($A$2:A825,A825,$D$2:D825,D825)=1,L825,0)</f>
        <v>0</v>
      </c>
      <c r="N825" s="4">
        <f t="shared" si="63"/>
        <v>362.30578947368423</v>
      </c>
      <c r="O825" t="str">
        <f t="shared" si="64"/>
        <v>OK</v>
      </c>
    </row>
    <row r="826" spans="1:15">
      <c r="A826" t="str">
        <f>'Raw Data'!A826</f>
        <v>Detroit RM-12</v>
      </c>
      <c r="B826" t="str">
        <f>'Raw Data'!B826</f>
        <v>Midwest</v>
      </c>
      <c r="C826" t="str">
        <f>'Raw Data'!C826</f>
        <v>Apparel</v>
      </c>
      <c r="D826" s="3">
        <f>'Raw Data'!D826</f>
        <v>45809</v>
      </c>
      <c r="E826" t="str">
        <f t="shared" si="60"/>
        <v>Jun</v>
      </c>
      <c r="F826" s="5">
        <f>'Raw Data'!E826</f>
        <v>105</v>
      </c>
      <c r="G826" s="4">
        <f>'Raw Data'!F826</f>
        <v>5338.68</v>
      </c>
      <c r="H826" s="4">
        <f>'Raw Data'!G826</f>
        <v>3519.77</v>
      </c>
      <c r="I826" s="4">
        <f t="shared" si="61"/>
        <v>1818.9100000000003</v>
      </c>
      <c r="J826" s="8">
        <f t="shared" si="62"/>
        <v>0.34070406917065643</v>
      </c>
      <c r="K826" s="6">
        <f>'Raw Data'!I826</f>
        <v>3.1</v>
      </c>
      <c r="L826" s="5">
        <f>'Raw Data'!J826</f>
        <v>19</v>
      </c>
      <c r="M826" s="5">
        <f>IF(COUNTIFS($A$2:A826,A826,$D$2:D826,D826)=1,L826,0)</f>
        <v>0</v>
      </c>
      <c r="N826" s="4">
        <f t="shared" si="63"/>
        <v>280.98315789473685</v>
      </c>
      <c r="O826" t="str">
        <f t="shared" si="64"/>
        <v>OK</v>
      </c>
    </row>
    <row r="827" spans="1:15">
      <c r="A827" t="str">
        <f>'Raw Data'!A827</f>
        <v>Detroit RM-12</v>
      </c>
      <c r="B827" t="str">
        <f>'Raw Data'!B827</f>
        <v>Midwest</v>
      </c>
      <c r="C827" t="str">
        <f>'Raw Data'!C827</f>
        <v>Beauty</v>
      </c>
      <c r="D827" s="3">
        <f>'Raw Data'!D827</f>
        <v>45809</v>
      </c>
      <c r="E827" t="str">
        <f t="shared" si="60"/>
        <v>Jun</v>
      </c>
      <c r="F827" s="5">
        <f>'Raw Data'!E827</f>
        <v>91</v>
      </c>
      <c r="G827" s="4">
        <f>'Raw Data'!F827</f>
        <v>3304.93</v>
      </c>
      <c r="H827" s="4">
        <f>'Raw Data'!G827</f>
        <v>1708.11</v>
      </c>
      <c r="I827" s="4">
        <f t="shared" si="61"/>
        <v>1596.82</v>
      </c>
      <c r="J827" s="8">
        <f t="shared" si="62"/>
        <v>0.48316303219735368</v>
      </c>
      <c r="K827" s="6">
        <f>'Raw Data'!I827</f>
        <v>3.42</v>
      </c>
      <c r="L827" s="5">
        <f>'Raw Data'!J827</f>
        <v>19</v>
      </c>
      <c r="M827" s="5">
        <f>IF(COUNTIFS($A$2:A827,A827,$D$2:D827,D827)=1,L827,0)</f>
        <v>0</v>
      </c>
      <c r="N827" s="4">
        <f t="shared" si="63"/>
        <v>173.9436842105263</v>
      </c>
      <c r="O827" t="str">
        <f t="shared" si="64"/>
        <v>OK</v>
      </c>
    </row>
    <row r="828" spans="1:15">
      <c r="A828" t="str">
        <f>'Raw Data'!A828</f>
        <v>Detroit RM-12</v>
      </c>
      <c r="B828" t="str">
        <f>'Raw Data'!B828</f>
        <v>Midwest</v>
      </c>
      <c r="C828" t="str">
        <f>'Raw Data'!C828</f>
        <v>Grocery</v>
      </c>
      <c r="D828" s="3">
        <f>'Raw Data'!D828</f>
        <v>45809</v>
      </c>
      <c r="E828" t="str">
        <f t="shared" si="60"/>
        <v>Jun</v>
      </c>
      <c r="F828" s="5">
        <f>'Raw Data'!E828</f>
        <v>140</v>
      </c>
      <c r="G828" s="4">
        <f>'Raw Data'!F828</f>
        <v>2595.7600000000002</v>
      </c>
      <c r="H828" s="4">
        <f>'Raw Data'!G828</f>
        <v>2438.7600000000002</v>
      </c>
      <c r="I828" s="4">
        <f t="shared" si="61"/>
        <v>157</v>
      </c>
      <c r="J828" s="8">
        <f t="shared" si="62"/>
        <v>6.0483249607051495E-2</v>
      </c>
      <c r="K828" s="6">
        <f>'Raw Data'!I828</f>
        <v>3.12</v>
      </c>
      <c r="L828" s="5">
        <f>'Raw Data'!J828</f>
        <v>19</v>
      </c>
      <c r="M828" s="5">
        <f>IF(COUNTIFS($A$2:A828,A828,$D$2:D828,D828)=1,L828,0)</f>
        <v>0</v>
      </c>
      <c r="N828" s="4">
        <f t="shared" si="63"/>
        <v>136.61894736842106</v>
      </c>
      <c r="O828" t="str">
        <f t="shared" si="64"/>
        <v>OK</v>
      </c>
    </row>
    <row r="829" spans="1:15">
      <c r="A829" t="str">
        <f>'Raw Data'!A829</f>
        <v>Detroit RM-12</v>
      </c>
      <c r="B829" t="str">
        <f>'Raw Data'!B829</f>
        <v>Midwest</v>
      </c>
      <c r="C829" t="str">
        <f>'Raw Data'!C829</f>
        <v>Sports</v>
      </c>
      <c r="D829" s="3">
        <f>'Raw Data'!D829</f>
        <v>45809</v>
      </c>
      <c r="E829" t="str">
        <f t="shared" si="60"/>
        <v>Jun</v>
      </c>
      <c r="F829" s="5">
        <f>'Raw Data'!E829</f>
        <v>78</v>
      </c>
      <c r="G829" s="4">
        <f>'Raw Data'!F829</f>
        <v>4856.67</v>
      </c>
      <c r="H829" s="4">
        <f>'Raw Data'!G829</f>
        <v>3386.95</v>
      </c>
      <c r="I829" s="4">
        <f t="shared" si="61"/>
        <v>1469.7200000000003</v>
      </c>
      <c r="J829" s="8">
        <f t="shared" si="62"/>
        <v>0.30261887260200926</v>
      </c>
      <c r="K829" s="6">
        <f>'Raw Data'!I829</f>
        <v>3.23</v>
      </c>
      <c r="L829" s="5">
        <f>'Raw Data'!J829</f>
        <v>19</v>
      </c>
      <c r="M829" s="5">
        <f>IF(COUNTIFS($A$2:A829,A829,$D$2:D829,D829)=1,L829,0)</f>
        <v>0</v>
      </c>
      <c r="N829" s="4">
        <f t="shared" si="63"/>
        <v>255.61421052631579</v>
      </c>
      <c r="O829" t="str">
        <f t="shared" si="64"/>
        <v>OK</v>
      </c>
    </row>
    <row r="830" spans="1:15">
      <c r="A830" t="str">
        <f>'Raw Data'!A830</f>
        <v>Detroit RM-12</v>
      </c>
      <c r="B830" t="str">
        <f>'Raw Data'!B830</f>
        <v>Midwest</v>
      </c>
      <c r="C830" t="str">
        <f>'Raw Data'!C830</f>
        <v>Electronics</v>
      </c>
      <c r="D830" s="3">
        <f>'Raw Data'!D830</f>
        <v>45839</v>
      </c>
      <c r="E830" t="str">
        <f t="shared" si="60"/>
        <v>Jul</v>
      </c>
      <c r="F830" s="5">
        <f>'Raw Data'!E830</f>
        <v>85</v>
      </c>
      <c r="G830" s="4">
        <f>'Raw Data'!F830</f>
        <v>12443.72</v>
      </c>
      <c r="H830" s="4">
        <f>'Raw Data'!G830</f>
        <v>10310.31</v>
      </c>
      <c r="I830" s="4">
        <f t="shared" si="61"/>
        <v>2133.41</v>
      </c>
      <c r="J830" s="8">
        <f t="shared" si="62"/>
        <v>0.17144471267434497</v>
      </c>
      <c r="K830" s="6">
        <f>'Raw Data'!I830</f>
        <v>3.11</v>
      </c>
      <c r="L830" s="5">
        <f>'Raw Data'!J830</f>
        <v>19</v>
      </c>
      <c r="M830" s="5">
        <f>IF(COUNTIFS($A$2:A830,A830,$D$2:D830,D830)=1,L830,0)</f>
        <v>19</v>
      </c>
      <c r="N830" s="4">
        <f t="shared" si="63"/>
        <v>654.93263157894728</v>
      </c>
      <c r="O830" t="str">
        <f t="shared" si="64"/>
        <v>OK</v>
      </c>
    </row>
    <row r="831" spans="1:15">
      <c r="A831" t="str">
        <f>'Raw Data'!A831</f>
        <v>Detroit RM-12</v>
      </c>
      <c r="B831" t="str">
        <f>'Raw Data'!B831</f>
        <v>Midwest</v>
      </c>
      <c r="C831" t="str">
        <f>'Raw Data'!C831</f>
        <v>Home Goods</v>
      </c>
      <c r="D831" s="3">
        <f>'Raw Data'!D831</f>
        <v>45839</v>
      </c>
      <c r="E831" t="str">
        <f t="shared" si="60"/>
        <v>Jul</v>
      </c>
      <c r="F831" s="5">
        <f>'Raw Data'!E831</f>
        <v>81</v>
      </c>
      <c r="G831" s="4">
        <f>'Raw Data'!F831</f>
        <v>6142.01</v>
      </c>
      <c r="H831" s="4">
        <f>'Raw Data'!G831</f>
        <v>4381.9399999999996</v>
      </c>
      <c r="I831" s="4">
        <f t="shared" si="61"/>
        <v>1760.0700000000006</v>
      </c>
      <c r="J831" s="8">
        <f t="shared" si="62"/>
        <v>0.28656254222966104</v>
      </c>
      <c r="K831" s="6">
        <f>'Raw Data'!I831</f>
        <v>3.07</v>
      </c>
      <c r="L831" s="5">
        <f>'Raw Data'!J831</f>
        <v>19</v>
      </c>
      <c r="M831" s="5">
        <f>IF(COUNTIFS($A$2:A831,A831,$D$2:D831,D831)=1,L831,0)</f>
        <v>0</v>
      </c>
      <c r="N831" s="4">
        <f t="shared" si="63"/>
        <v>323.26368421052632</v>
      </c>
      <c r="O831" t="str">
        <f t="shared" si="64"/>
        <v>OK</v>
      </c>
    </row>
    <row r="832" spans="1:15">
      <c r="A832" t="str">
        <f>'Raw Data'!A832</f>
        <v>Detroit RM-12</v>
      </c>
      <c r="B832" t="str">
        <f>'Raw Data'!B832</f>
        <v>Midwest</v>
      </c>
      <c r="C832" t="str">
        <f>'Raw Data'!C832</f>
        <v>Apparel</v>
      </c>
      <c r="D832" s="3">
        <f>'Raw Data'!D832</f>
        <v>45839</v>
      </c>
      <c r="E832" t="str">
        <f t="shared" si="60"/>
        <v>Jul</v>
      </c>
      <c r="F832" s="5">
        <f>'Raw Data'!E832</f>
        <v>110</v>
      </c>
      <c r="G832" s="4">
        <f>'Raw Data'!F832</f>
        <v>5420.81</v>
      </c>
      <c r="H832" s="4">
        <f>'Raw Data'!G832</f>
        <v>3487.58</v>
      </c>
      <c r="I832" s="4">
        <f t="shared" si="61"/>
        <v>1933.2300000000005</v>
      </c>
      <c r="J832" s="8">
        <f t="shared" si="62"/>
        <v>0.35663120456167996</v>
      </c>
      <c r="K832" s="6">
        <f>'Raw Data'!I832</f>
        <v>3.25</v>
      </c>
      <c r="L832" s="5">
        <f>'Raw Data'!J832</f>
        <v>19</v>
      </c>
      <c r="M832" s="5">
        <f>IF(COUNTIFS($A$2:A832,A832,$D$2:D832,D832)=1,L832,0)</f>
        <v>0</v>
      </c>
      <c r="N832" s="4">
        <f t="shared" si="63"/>
        <v>285.30578947368423</v>
      </c>
      <c r="O832" t="str">
        <f t="shared" si="64"/>
        <v>OK</v>
      </c>
    </row>
    <row r="833" spans="1:15">
      <c r="A833" t="str">
        <f>'Raw Data'!A833</f>
        <v>Detroit RM-12</v>
      </c>
      <c r="B833" t="str">
        <f>'Raw Data'!B833</f>
        <v>Midwest</v>
      </c>
      <c r="C833" t="str">
        <f>'Raw Data'!C833</f>
        <v>Beauty</v>
      </c>
      <c r="D833" s="3">
        <f>'Raw Data'!D833</f>
        <v>45839</v>
      </c>
      <c r="E833" t="str">
        <f t="shared" si="60"/>
        <v>Jul</v>
      </c>
      <c r="F833" s="5">
        <f>'Raw Data'!E833</f>
        <v>89</v>
      </c>
      <c r="G833" s="4">
        <f>'Raw Data'!F833</f>
        <v>3104.55</v>
      </c>
      <c r="H833" s="4">
        <f>'Raw Data'!G833</f>
        <v>1665.47</v>
      </c>
      <c r="I833" s="4">
        <f t="shared" si="61"/>
        <v>1439.0800000000002</v>
      </c>
      <c r="J833" s="8">
        <f t="shared" si="62"/>
        <v>0.46353899921083574</v>
      </c>
      <c r="K833" s="6">
        <f>'Raw Data'!I833</f>
        <v>3.41</v>
      </c>
      <c r="L833" s="5">
        <f>'Raw Data'!J833</f>
        <v>19</v>
      </c>
      <c r="M833" s="5">
        <f>IF(COUNTIFS($A$2:A833,A833,$D$2:D833,D833)=1,L833,0)</f>
        <v>0</v>
      </c>
      <c r="N833" s="4">
        <f t="shared" si="63"/>
        <v>163.39736842105265</v>
      </c>
      <c r="O833" t="str">
        <f t="shared" si="64"/>
        <v>OK</v>
      </c>
    </row>
    <row r="834" spans="1:15">
      <c r="A834" t="str">
        <f>'Raw Data'!A834</f>
        <v>Detroit RM-12</v>
      </c>
      <c r="B834" t="str">
        <f>'Raw Data'!B834</f>
        <v>Midwest</v>
      </c>
      <c r="C834" t="str">
        <f>'Raw Data'!C834</f>
        <v>Grocery</v>
      </c>
      <c r="D834" s="3">
        <f>'Raw Data'!D834</f>
        <v>45839</v>
      </c>
      <c r="E834" t="str">
        <f t="shared" ref="E834:E897" si="65">TEXT(D834,"mmm")</f>
        <v>Jul</v>
      </c>
      <c r="F834" s="5">
        <f>'Raw Data'!E834</f>
        <v>136</v>
      </c>
      <c r="G834" s="4">
        <f>'Raw Data'!F834</f>
        <v>2377.52</v>
      </c>
      <c r="H834" s="4">
        <f>'Raw Data'!G834</f>
        <v>2254.84</v>
      </c>
      <c r="I834" s="4">
        <f t="shared" ref="I834:I897" si="66">G834-H834</f>
        <v>122.67999999999984</v>
      </c>
      <c r="J834" s="8">
        <f t="shared" ref="J834:J897" si="67">IFERROR(I834/G834,0)</f>
        <v>5.1599986540596859E-2</v>
      </c>
      <c r="K834" s="6">
        <f>'Raw Data'!I834</f>
        <v>3.24</v>
      </c>
      <c r="L834" s="5">
        <f>'Raw Data'!J834</f>
        <v>19</v>
      </c>
      <c r="M834" s="5">
        <f>IF(COUNTIFS($A$2:A834,A834,$D$2:D834,D834)=1,L834,0)</f>
        <v>0</v>
      </c>
      <c r="N834" s="4">
        <f t="shared" ref="N834:N897" si="68">IFERROR(G834/L834,0)</f>
        <v>125.13263157894737</v>
      </c>
      <c r="O834" t="str">
        <f t="shared" ref="O834:O897" si="69">IF(OR(A834="",B834="",C834="",F834&lt;0,G834&lt;0,H834&lt;0,K834&lt;1,K834&gt;5),"Review","OK")</f>
        <v>OK</v>
      </c>
    </row>
    <row r="835" spans="1:15">
      <c r="A835" t="str">
        <f>'Raw Data'!A835</f>
        <v>Detroit RM-12</v>
      </c>
      <c r="B835" t="str">
        <f>'Raw Data'!B835</f>
        <v>Midwest</v>
      </c>
      <c r="C835" t="str">
        <f>'Raw Data'!C835</f>
        <v>Sports</v>
      </c>
      <c r="D835" s="3">
        <f>'Raw Data'!D835</f>
        <v>45839</v>
      </c>
      <c r="E835" t="str">
        <f t="shared" si="65"/>
        <v>Jul</v>
      </c>
      <c r="F835" s="5">
        <f>'Raw Data'!E835</f>
        <v>82</v>
      </c>
      <c r="G835" s="4">
        <f>'Raw Data'!F835</f>
        <v>5220.08</v>
      </c>
      <c r="H835" s="4">
        <f>'Raw Data'!G835</f>
        <v>3601.26</v>
      </c>
      <c r="I835" s="4">
        <f t="shared" si="66"/>
        <v>1618.8199999999997</v>
      </c>
      <c r="J835" s="8">
        <f t="shared" si="67"/>
        <v>0.31011402124105375</v>
      </c>
      <c r="K835" s="6">
        <f>'Raw Data'!I835</f>
        <v>3.31</v>
      </c>
      <c r="L835" s="5">
        <f>'Raw Data'!J835</f>
        <v>19</v>
      </c>
      <c r="M835" s="5">
        <f>IF(COUNTIFS($A$2:A835,A835,$D$2:D835,D835)=1,L835,0)</f>
        <v>0</v>
      </c>
      <c r="N835" s="4">
        <f t="shared" si="68"/>
        <v>274.74105263157895</v>
      </c>
      <c r="O835" t="str">
        <f t="shared" si="69"/>
        <v>OK</v>
      </c>
    </row>
    <row r="836" spans="1:15">
      <c r="A836" t="str">
        <f>'Raw Data'!A836</f>
        <v>Detroit RM-12</v>
      </c>
      <c r="B836" t="str">
        <f>'Raw Data'!B836</f>
        <v>Midwest</v>
      </c>
      <c r="C836" t="str">
        <f>'Raw Data'!C836</f>
        <v>Electronics</v>
      </c>
      <c r="D836" s="3">
        <f>'Raw Data'!D836</f>
        <v>45870</v>
      </c>
      <c r="E836" t="str">
        <f t="shared" si="65"/>
        <v>Aug</v>
      </c>
      <c r="F836" s="5">
        <f>'Raw Data'!E836</f>
        <v>92</v>
      </c>
      <c r="G836" s="4">
        <f>'Raw Data'!F836</f>
        <v>12953.73</v>
      </c>
      <c r="H836" s="4">
        <f>'Raw Data'!G836</f>
        <v>10610.77</v>
      </c>
      <c r="I836" s="4">
        <f t="shared" si="66"/>
        <v>2342.9599999999991</v>
      </c>
      <c r="J836" s="8">
        <f t="shared" si="67"/>
        <v>0.18087145555758838</v>
      </c>
      <c r="K836" s="6">
        <f>'Raw Data'!I836</f>
        <v>3.37</v>
      </c>
      <c r="L836" s="5">
        <f>'Raw Data'!J836</f>
        <v>19</v>
      </c>
      <c r="M836" s="5">
        <f>IF(COUNTIFS($A$2:A836,A836,$D$2:D836,D836)=1,L836,0)</f>
        <v>19</v>
      </c>
      <c r="N836" s="4">
        <f t="shared" si="68"/>
        <v>681.77526315789476</v>
      </c>
      <c r="O836" t="str">
        <f t="shared" si="69"/>
        <v>OK</v>
      </c>
    </row>
    <row r="837" spans="1:15">
      <c r="A837" t="str">
        <f>'Raw Data'!A837</f>
        <v>Detroit RM-12</v>
      </c>
      <c r="B837" t="str">
        <f>'Raw Data'!B837</f>
        <v>Midwest</v>
      </c>
      <c r="C837" t="str">
        <f>'Raw Data'!C837</f>
        <v>Home Goods</v>
      </c>
      <c r="D837" s="3">
        <f>'Raw Data'!D837</f>
        <v>45870</v>
      </c>
      <c r="E837" t="str">
        <f t="shared" si="65"/>
        <v>Aug</v>
      </c>
      <c r="F837" s="5">
        <f>'Raw Data'!E837</f>
        <v>83</v>
      </c>
      <c r="G837" s="4">
        <f>'Raw Data'!F837</f>
        <v>6781.23</v>
      </c>
      <c r="H837" s="4">
        <f>'Raw Data'!G837</f>
        <v>4801.46</v>
      </c>
      <c r="I837" s="4">
        <f t="shared" si="66"/>
        <v>1979.7699999999995</v>
      </c>
      <c r="J837" s="8">
        <f t="shared" si="67"/>
        <v>0.29194851081588441</v>
      </c>
      <c r="K837" s="6">
        <f>'Raw Data'!I837</f>
        <v>3.26</v>
      </c>
      <c r="L837" s="5">
        <f>'Raw Data'!J837</f>
        <v>19</v>
      </c>
      <c r="M837" s="5">
        <f>IF(COUNTIFS($A$2:A837,A837,$D$2:D837,D837)=1,L837,0)</f>
        <v>0</v>
      </c>
      <c r="N837" s="4">
        <f t="shared" si="68"/>
        <v>356.90684210526314</v>
      </c>
      <c r="O837" t="str">
        <f t="shared" si="69"/>
        <v>OK</v>
      </c>
    </row>
    <row r="838" spans="1:15">
      <c r="A838" t="str">
        <f>'Raw Data'!A838</f>
        <v>Detroit RM-12</v>
      </c>
      <c r="B838" t="str">
        <f>'Raw Data'!B838</f>
        <v>Midwest</v>
      </c>
      <c r="C838" t="str">
        <f>'Raw Data'!C838</f>
        <v>Apparel</v>
      </c>
      <c r="D838" s="3">
        <f>'Raw Data'!D838</f>
        <v>45870</v>
      </c>
      <c r="E838" t="str">
        <f t="shared" si="65"/>
        <v>Aug</v>
      </c>
      <c r="F838" s="5">
        <f>'Raw Data'!E838</f>
        <v>112</v>
      </c>
      <c r="G838" s="4">
        <f>'Raw Data'!F838</f>
        <v>5176.99</v>
      </c>
      <c r="H838" s="4">
        <f>'Raw Data'!G838</f>
        <v>3327.91</v>
      </c>
      <c r="I838" s="4">
        <f t="shared" si="66"/>
        <v>1849.08</v>
      </c>
      <c r="J838" s="8">
        <f t="shared" si="67"/>
        <v>0.35717279732045071</v>
      </c>
      <c r="K838" s="6">
        <f>'Raw Data'!I838</f>
        <v>3.33</v>
      </c>
      <c r="L838" s="5">
        <f>'Raw Data'!J838</f>
        <v>19</v>
      </c>
      <c r="M838" s="5">
        <f>IF(COUNTIFS($A$2:A838,A838,$D$2:D838,D838)=1,L838,0)</f>
        <v>0</v>
      </c>
      <c r="N838" s="4">
        <f t="shared" si="68"/>
        <v>272.47315789473686</v>
      </c>
      <c r="O838" t="str">
        <f t="shared" si="69"/>
        <v>OK</v>
      </c>
    </row>
    <row r="839" spans="1:15">
      <c r="A839" t="str">
        <f>'Raw Data'!A839</f>
        <v>Detroit RM-12</v>
      </c>
      <c r="B839" t="str">
        <f>'Raw Data'!B839</f>
        <v>Midwest</v>
      </c>
      <c r="C839" t="str">
        <f>'Raw Data'!C839</f>
        <v>Beauty</v>
      </c>
      <c r="D839" s="3">
        <f>'Raw Data'!D839</f>
        <v>45870</v>
      </c>
      <c r="E839" t="str">
        <f t="shared" si="65"/>
        <v>Aug</v>
      </c>
      <c r="F839" s="5">
        <f>'Raw Data'!E839</f>
        <v>78</v>
      </c>
      <c r="G839" s="4">
        <f>'Raw Data'!F839</f>
        <v>2923.18</v>
      </c>
      <c r="H839" s="4">
        <f>'Raw Data'!G839</f>
        <v>1532.73</v>
      </c>
      <c r="I839" s="4">
        <f t="shared" si="66"/>
        <v>1390.4499999999998</v>
      </c>
      <c r="J839" s="8">
        <f t="shared" si="67"/>
        <v>0.47566348976115047</v>
      </c>
      <c r="K839" s="6">
        <f>'Raw Data'!I839</f>
        <v>3.29</v>
      </c>
      <c r="L839" s="5">
        <f>'Raw Data'!J839</f>
        <v>19</v>
      </c>
      <c r="M839" s="5">
        <f>IF(COUNTIFS($A$2:A839,A839,$D$2:D839,D839)=1,L839,0)</f>
        <v>0</v>
      </c>
      <c r="N839" s="4">
        <f t="shared" si="68"/>
        <v>153.85157894736841</v>
      </c>
      <c r="O839" t="str">
        <f t="shared" si="69"/>
        <v>OK</v>
      </c>
    </row>
    <row r="840" spans="1:15">
      <c r="A840" t="str">
        <f>'Raw Data'!A840</f>
        <v>Detroit RM-12</v>
      </c>
      <c r="B840" t="str">
        <f>'Raw Data'!B840</f>
        <v>Midwest</v>
      </c>
      <c r="C840" t="str">
        <f>'Raw Data'!C840</f>
        <v>Grocery</v>
      </c>
      <c r="D840" s="3">
        <f>'Raw Data'!D840</f>
        <v>45870</v>
      </c>
      <c r="E840" t="str">
        <f t="shared" si="65"/>
        <v>Aug</v>
      </c>
      <c r="F840" s="5">
        <f>'Raw Data'!E840</f>
        <v>141</v>
      </c>
      <c r="G840" s="4">
        <f>'Raw Data'!F840</f>
        <v>2525.3200000000002</v>
      </c>
      <c r="H840" s="4">
        <f>'Raw Data'!G840</f>
        <v>2410.5100000000002</v>
      </c>
      <c r="I840" s="4">
        <f t="shared" si="66"/>
        <v>114.80999999999995</v>
      </c>
      <c r="J840" s="8">
        <f t="shared" si="67"/>
        <v>4.5463545214071859E-2</v>
      </c>
      <c r="K840" s="6">
        <f>'Raw Data'!I840</f>
        <v>3.32</v>
      </c>
      <c r="L840" s="5">
        <f>'Raw Data'!J840</f>
        <v>19</v>
      </c>
      <c r="M840" s="5">
        <f>IF(COUNTIFS($A$2:A840,A840,$D$2:D840,D840)=1,L840,0)</f>
        <v>0</v>
      </c>
      <c r="N840" s="4">
        <f t="shared" si="68"/>
        <v>132.91157894736844</v>
      </c>
      <c r="O840" t="str">
        <f t="shared" si="69"/>
        <v>OK</v>
      </c>
    </row>
    <row r="841" spans="1:15">
      <c r="A841" t="str">
        <f>'Raw Data'!A841</f>
        <v>Detroit RM-12</v>
      </c>
      <c r="B841" t="str">
        <f>'Raw Data'!B841</f>
        <v>Midwest</v>
      </c>
      <c r="C841" t="str">
        <f>'Raw Data'!C841</f>
        <v>Sports</v>
      </c>
      <c r="D841" s="3">
        <f>'Raw Data'!D841</f>
        <v>45870</v>
      </c>
      <c r="E841" t="str">
        <f t="shared" si="65"/>
        <v>Aug</v>
      </c>
      <c r="F841" s="5">
        <f>'Raw Data'!E841</f>
        <v>90</v>
      </c>
      <c r="G841" s="4">
        <f>'Raw Data'!F841</f>
        <v>5805.15</v>
      </c>
      <c r="H841" s="4">
        <f>'Raw Data'!G841</f>
        <v>3950.97</v>
      </c>
      <c r="I841" s="4">
        <f t="shared" si="66"/>
        <v>1854.1799999999998</v>
      </c>
      <c r="J841" s="8">
        <f t="shared" si="67"/>
        <v>0.31940259941603577</v>
      </c>
      <c r="K841" s="6">
        <f>'Raw Data'!I841</f>
        <v>3.22</v>
      </c>
      <c r="L841" s="5">
        <f>'Raw Data'!J841</f>
        <v>19</v>
      </c>
      <c r="M841" s="5">
        <f>IF(COUNTIFS($A$2:A841,A841,$D$2:D841,D841)=1,L841,0)</f>
        <v>0</v>
      </c>
      <c r="N841" s="4">
        <f t="shared" si="68"/>
        <v>305.53421052631575</v>
      </c>
      <c r="O841" t="str">
        <f t="shared" si="69"/>
        <v>OK</v>
      </c>
    </row>
    <row r="842" spans="1:15">
      <c r="A842" t="str">
        <f>'Raw Data'!A842</f>
        <v>Detroit RM-12</v>
      </c>
      <c r="B842" t="str">
        <f>'Raw Data'!B842</f>
        <v>Midwest</v>
      </c>
      <c r="C842" t="str">
        <f>'Raw Data'!C842</f>
        <v>Electronics</v>
      </c>
      <c r="D842" s="3">
        <f>'Raw Data'!D842</f>
        <v>45901</v>
      </c>
      <c r="E842" t="str">
        <f t="shared" si="65"/>
        <v>Sep</v>
      </c>
      <c r="F842" s="5">
        <f>'Raw Data'!E842</f>
        <v>81</v>
      </c>
      <c r="G842" s="4">
        <f>'Raw Data'!F842</f>
        <v>12123</v>
      </c>
      <c r="H842" s="4">
        <f>'Raw Data'!G842</f>
        <v>10374.870000000001</v>
      </c>
      <c r="I842" s="4">
        <f t="shared" si="66"/>
        <v>1748.1299999999992</v>
      </c>
      <c r="J842" s="8">
        <f t="shared" si="67"/>
        <v>0.14419945558030184</v>
      </c>
      <c r="K842" s="6">
        <f>'Raw Data'!I842</f>
        <v>3.09</v>
      </c>
      <c r="L842" s="5">
        <f>'Raw Data'!J842</f>
        <v>16</v>
      </c>
      <c r="M842" s="5">
        <f>IF(COUNTIFS($A$2:A842,A842,$D$2:D842,D842)=1,L842,0)</f>
        <v>16</v>
      </c>
      <c r="N842" s="4">
        <f t="shared" si="68"/>
        <v>757.6875</v>
      </c>
      <c r="O842" t="str">
        <f t="shared" si="69"/>
        <v>OK</v>
      </c>
    </row>
    <row r="843" spans="1:15">
      <c r="A843" t="str">
        <f>'Raw Data'!A843</f>
        <v>Detroit RM-12</v>
      </c>
      <c r="B843" t="str">
        <f>'Raw Data'!B843</f>
        <v>Midwest</v>
      </c>
      <c r="C843" t="str">
        <f>'Raw Data'!C843</f>
        <v>Home Goods</v>
      </c>
      <c r="D843" s="3">
        <f>'Raw Data'!D843</f>
        <v>45901</v>
      </c>
      <c r="E843" t="str">
        <f t="shared" si="65"/>
        <v>Sep</v>
      </c>
      <c r="F843" s="5">
        <f>'Raw Data'!E843</f>
        <v>66</v>
      </c>
      <c r="G843" s="4">
        <f>'Raw Data'!F843</f>
        <v>5065.34</v>
      </c>
      <c r="H843" s="4">
        <f>'Raw Data'!G843</f>
        <v>3668.91</v>
      </c>
      <c r="I843" s="4">
        <f t="shared" si="66"/>
        <v>1396.4300000000003</v>
      </c>
      <c r="J843" s="8">
        <f t="shared" si="67"/>
        <v>0.27568336972444107</v>
      </c>
      <c r="K843" s="6">
        <f>'Raw Data'!I843</f>
        <v>3.09</v>
      </c>
      <c r="L843" s="5">
        <f>'Raw Data'!J843</f>
        <v>16</v>
      </c>
      <c r="M843" s="5">
        <f>IF(COUNTIFS($A$2:A843,A843,$D$2:D843,D843)=1,L843,0)</f>
        <v>0</v>
      </c>
      <c r="N843" s="4">
        <f t="shared" si="68"/>
        <v>316.58375000000001</v>
      </c>
      <c r="O843" t="str">
        <f t="shared" si="69"/>
        <v>OK</v>
      </c>
    </row>
    <row r="844" spans="1:15">
      <c r="A844" t="str">
        <f>'Raw Data'!A844</f>
        <v>Detroit RM-12</v>
      </c>
      <c r="B844" t="str">
        <f>'Raw Data'!B844</f>
        <v>Midwest</v>
      </c>
      <c r="C844" t="str">
        <f>'Raw Data'!C844</f>
        <v>Apparel</v>
      </c>
      <c r="D844" s="3">
        <f>'Raw Data'!D844</f>
        <v>45901</v>
      </c>
      <c r="E844" t="str">
        <f t="shared" si="65"/>
        <v>Sep</v>
      </c>
      <c r="F844" s="5">
        <f>'Raw Data'!E844</f>
        <v>104</v>
      </c>
      <c r="G844" s="4">
        <f>'Raw Data'!F844</f>
        <v>5029.99</v>
      </c>
      <c r="H844" s="4">
        <f>'Raw Data'!G844</f>
        <v>3336.55</v>
      </c>
      <c r="I844" s="4">
        <f t="shared" si="66"/>
        <v>1693.4399999999996</v>
      </c>
      <c r="J844" s="8">
        <f t="shared" si="67"/>
        <v>0.336668661369108</v>
      </c>
      <c r="K844" s="6">
        <f>'Raw Data'!I844</f>
        <v>3.4</v>
      </c>
      <c r="L844" s="5">
        <f>'Raw Data'!J844</f>
        <v>16</v>
      </c>
      <c r="M844" s="5">
        <f>IF(COUNTIFS($A$2:A844,A844,$D$2:D844,D844)=1,L844,0)</f>
        <v>0</v>
      </c>
      <c r="N844" s="4">
        <f t="shared" si="68"/>
        <v>314.37437499999999</v>
      </c>
      <c r="O844" t="str">
        <f t="shared" si="69"/>
        <v>OK</v>
      </c>
    </row>
    <row r="845" spans="1:15">
      <c r="A845" t="str">
        <f>'Raw Data'!A845</f>
        <v>Detroit RM-12</v>
      </c>
      <c r="B845" t="str">
        <f>'Raw Data'!B845</f>
        <v>Midwest</v>
      </c>
      <c r="C845" t="str">
        <f>'Raw Data'!C845</f>
        <v>Beauty</v>
      </c>
      <c r="D845" s="3">
        <f>'Raw Data'!D845</f>
        <v>45901</v>
      </c>
      <c r="E845" t="str">
        <f t="shared" si="65"/>
        <v>Sep</v>
      </c>
      <c r="F845" s="5">
        <f>'Raw Data'!E845</f>
        <v>72</v>
      </c>
      <c r="G845" s="4">
        <f>'Raw Data'!F845</f>
        <v>2500.7800000000002</v>
      </c>
      <c r="H845" s="4">
        <f>'Raw Data'!G845</f>
        <v>1364.33</v>
      </c>
      <c r="I845" s="4">
        <f t="shared" si="66"/>
        <v>1136.4500000000003</v>
      </c>
      <c r="J845" s="8">
        <f t="shared" si="67"/>
        <v>0.4544382152768337</v>
      </c>
      <c r="K845" s="6">
        <f>'Raw Data'!I845</f>
        <v>3.33</v>
      </c>
      <c r="L845" s="5">
        <f>'Raw Data'!J845</f>
        <v>16</v>
      </c>
      <c r="M845" s="5">
        <f>IF(COUNTIFS($A$2:A845,A845,$D$2:D845,D845)=1,L845,0)</f>
        <v>0</v>
      </c>
      <c r="N845" s="4">
        <f t="shared" si="68"/>
        <v>156.29875000000001</v>
      </c>
      <c r="O845" t="str">
        <f t="shared" si="69"/>
        <v>OK</v>
      </c>
    </row>
    <row r="846" spans="1:15">
      <c r="A846" t="str">
        <f>'Raw Data'!A846</f>
        <v>Detroit RM-12</v>
      </c>
      <c r="B846" t="str">
        <f>'Raw Data'!B846</f>
        <v>Midwest</v>
      </c>
      <c r="C846" t="str">
        <f>'Raw Data'!C846</f>
        <v>Grocery</v>
      </c>
      <c r="D846" s="3">
        <f>'Raw Data'!D846</f>
        <v>45901</v>
      </c>
      <c r="E846" t="str">
        <f t="shared" si="65"/>
        <v>Sep</v>
      </c>
      <c r="F846" s="5">
        <f>'Raw Data'!E846</f>
        <v>133</v>
      </c>
      <c r="G846" s="4">
        <f>'Raw Data'!F846</f>
        <v>2451.64</v>
      </c>
      <c r="H846" s="4">
        <f>'Raw Data'!G846</f>
        <v>2407.62</v>
      </c>
      <c r="I846" s="4">
        <f t="shared" si="66"/>
        <v>44.019999999999982</v>
      </c>
      <c r="J846" s="8">
        <f t="shared" si="67"/>
        <v>1.7955327862165728E-2</v>
      </c>
      <c r="K846" s="6">
        <f>'Raw Data'!I846</f>
        <v>3.22</v>
      </c>
      <c r="L846" s="5">
        <f>'Raw Data'!J846</f>
        <v>16</v>
      </c>
      <c r="M846" s="5">
        <f>IF(COUNTIFS($A$2:A846,A846,$D$2:D846,D846)=1,L846,0)</f>
        <v>0</v>
      </c>
      <c r="N846" s="4">
        <f t="shared" si="68"/>
        <v>153.22749999999999</v>
      </c>
      <c r="O846" t="str">
        <f t="shared" si="69"/>
        <v>OK</v>
      </c>
    </row>
    <row r="847" spans="1:15">
      <c r="A847" t="str">
        <f>'Raw Data'!A847</f>
        <v>Detroit RM-12</v>
      </c>
      <c r="B847" t="str">
        <f>'Raw Data'!B847</f>
        <v>Midwest</v>
      </c>
      <c r="C847" t="str">
        <f>'Raw Data'!C847</f>
        <v>Sports</v>
      </c>
      <c r="D847" s="3">
        <f>'Raw Data'!D847</f>
        <v>45901</v>
      </c>
      <c r="E847" t="str">
        <f t="shared" si="65"/>
        <v>Sep</v>
      </c>
      <c r="F847" s="5">
        <f>'Raw Data'!E847</f>
        <v>60</v>
      </c>
      <c r="G847" s="4">
        <f>'Raw Data'!F847</f>
        <v>3697.13</v>
      </c>
      <c r="H847" s="4">
        <f>'Raw Data'!G847</f>
        <v>2673.86</v>
      </c>
      <c r="I847" s="4">
        <f t="shared" si="66"/>
        <v>1023.27</v>
      </c>
      <c r="J847" s="8">
        <f t="shared" si="67"/>
        <v>0.27677414643250303</v>
      </c>
      <c r="K847" s="6">
        <f>'Raw Data'!I847</f>
        <v>3.4</v>
      </c>
      <c r="L847" s="5">
        <f>'Raw Data'!J847</f>
        <v>16</v>
      </c>
      <c r="M847" s="5">
        <f>IF(COUNTIFS($A$2:A847,A847,$D$2:D847,D847)=1,L847,0)</f>
        <v>0</v>
      </c>
      <c r="N847" s="4">
        <f t="shared" si="68"/>
        <v>231.07062500000001</v>
      </c>
      <c r="O847" t="str">
        <f t="shared" si="69"/>
        <v>OK</v>
      </c>
    </row>
    <row r="848" spans="1:15">
      <c r="A848" t="str">
        <f>'Raw Data'!A848</f>
        <v>Detroit RM-12</v>
      </c>
      <c r="B848" t="str">
        <f>'Raw Data'!B848</f>
        <v>Midwest</v>
      </c>
      <c r="C848" t="str">
        <f>'Raw Data'!C848</f>
        <v>Electronics</v>
      </c>
      <c r="D848" s="3">
        <f>'Raw Data'!D848</f>
        <v>45931</v>
      </c>
      <c r="E848" t="str">
        <f t="shared" si="65"/>
        <v>Oct</v>
      </c>
      <c r="F848" s="5">
        <f>'Raw Data'!E848</f>
        <v>82</v>
      </c>
      <c r="G848" s="4">
        <f>'Raw Data'!F848</f>
        <v>12792.08</v>
      </c>
      <c r="H848" s="4">
        <f>'Raw Data'!G848</f>
        <v>10702.19</v>
      </c>
      <c r="I848" s="4">
        <f t="shared" si="66"/>
        <v>2089.8899999999994</v>
      </c>
      <c r="J848" s="8">
        <f t="shared" si="67"/>
        <v>0.1633737437539477</v>
      </c>
      <c r="K848" s="6">
        <f>'Raw Data'!I848</f>
        <v>3.12</v>
      </c>
      <c r="L848" s="5">
        <f>'Raw Data'!J848</f>
        <v>17</v>
      </c>
      <c r="M848" s="5">
        <f>IF(COUNTIFS($A$2:A848,A848,$D$2:D848,D848)=1,L848,0)</f>
        <v>17</v>
      </c>
      <c r="N848" s="4">
        <f t="shared" si="68"/>
        <v>752.47529411764708</v>
      </c>
      <c r="O848" t="str">
        <f t="shared" si="69"/>
        <v>OK</v>
      </c>
    </row>
    <row r="849" spans="1:15">
      <c r="A849" t="str">
        <f>'Raw Data'!A849</f>
        <v>Detroit RM-12</v>
      </c>
      <c r="B849" t="str">
        <f>'Raw Data'!B849</f>
        <v>Midwest</v>
      </c>
      <c r="C849" t="str">
        <f>'Raw Data'!C849</f>
        <v>Home Goods</v>
      </c>
      <c r="D849" s="3">
        <f>'Raw Data'!D849</f>
        <v>45931</v>
      </c>
      <c r="E849" t="str">
        <f t="shared" si="65"/>
        <v>Oct</v>
      </c>
      <c r="F849" s="5">
        <f>'Raw Data'!E849</f>
        <v>92</v>
      </c>
      <c r="G849" s="4">
        <f>'Raw Data'!F849</f>
        <v>6976.51</v>
      </c>
      <c r="H849" s="4">
        <f>'Raw Data'!G849</f>
        <v>5146.91</v>
      </c>
      <c r="I849" s="4">
        <f t="shared" si="66"/>
        <v>1829.6000000000004</v>
      </c>
      <c r="J849" s="8">
        <f t="shared" si="67"/>
        <v>0.26225146957432877</v>
      </c>
      <c r="K849" s="6">
        <f>'Raw Data'!I849</f>
        <v>3.34</v>
      </c>
      <c r="L849" s="5">
        <f>'Raw Data'!J849</f>
        <v>17</v>
      </c>
      <c r="M849" s="5">
        <f>IF(COUNTIFS($A$2:A849,A849,$D$2:D849,D849)=1,L849,0)</f>
        <v>0</v>
      </c>
      <c r="N849" s="4">
        <f t="shared" si="68"/>
        <v>410.38294117647058</v>
      </c>
      <c r="O849" t="str">
        <f t="shared" si="69"/>
        <v>OK</v>
      </c>
    </row>
    <row r="850" spans="1:15">
      <c r="A850" t="str">
        <f>'Raw Data'!A850</f>
        <v>Detroit RM-12</v>
      </c>
      <c r="B850" t="str">
        <f>'Raw Data'!B850</f>
        <v>Midwest</v>
      </c>
      <c r="C850" t="str">
        <f>'Raw Data'!C850</f>
        <v>Apparel</v>
      </c>
      <c r="D850" s="3">
        <f>'Raw Data'!D850</f>
        <v>45931</v>
      </c>
      <c r="E850" t="str">
        <f t="shared" si="65"/>
        <v>Oct</v>
      </c>
      <c r="F850" s="5">
        <f>'Raw Data'!E850</f>
        <v>93</v>
      </c>
      <c r="G850" s="4">
        <f>'Raw Data'!F850</f>
        <v>4734.07</v>
      </c>
      <c r="H850" s="4">
        <f>'Raw Data'!G850</f>
        <v>3207.35</v>
      </c>
      <c r="I850" s="4">
        <f t="shared" si="66"/>
        <v>1526.7199999999998</v>
      </c>
      <c r="J850" s="8">
        <f t="shared" si="67"/>
        <v>0.32249628754961374</v>
      </c>
      <c r="K850" s="6">
        <f>'Raw Data'!I850</f>
        <v>3.41</v>
      </c>
      <c r="L850" s="5">
        <f>'Raw Data'!J850</f>
        <v>17</v>
      </c>
      <c r="M850" s="5">
        <f>IF(COUNTIFS($A$2:A850,A850,$D$2:D850,D850)=1,L850,0)</f>
        <v>0</v>
      </c>
      <c r="N850" s="4">
        <f t="shared" si="68"/>
        <v>278.47470588235291</v>
      </c>
      <c r="O850" t="str">
        <f t="shared" si="69"/>
        <v>OK</v>
      </c>
    </row>
    <row r="851" spans="1:15">
      <c r="A851" t="str">
        <f>'Raw Data'!A851</f>
        <v>Detroit RM-12</v>
      </c>
      <c r="B851" t="str">
        <f>'Raw Data'!B851</f>
        <v>Midwest</v>
      </c>
      <c r="C851" t="str">
        <f>'Raw Data'!C851</f>
        <v>Beauty</v>
      </c>
      <c r="D851" s="3">
        <f>'Raw Data'!D851</f>
        <v>45931</v>
      </c>
      <c r="E851" t="str">
        <f t="shared" si="65"/>
        <v>Oct</v>
      </c>
      <c r="F851" s="5">
        <f>'Raw Data'!E851</f>
        <v>90</v>
      </c>
      <c r="G851" s="4">
        <f>'Raw Data'!F851</f>
        <v>3332.54</v>
      </c>
      <c r="H851" s="4">
        <f>'Raw Data'!G851</f>
        <v>1796.73</v>
      </c>
      <c r="I851" s="4">
        <f t="shared" si="66"/>
        <v>1535.81</v>
      </c>
      <c r="J851" s="8">
        <f t="shared" si="67"/>
        <v>0.46085268293853937</v>
      </c>
      <c r="K851" s="6">
        <f>'Raw Data'!I851</f>
        <v>3.29</v>
      </c>
      <c r="L851" s="5">
        <f>'Raw Data'!J851</f>
        <v>17</v>
      </c>
      <c r="M851" s="5">
        <f>IF(COUNTIFS($A$2:A851,A851,$D$2:D851,D851)=1,L851,0)</f>
        <v>0</v>
      </c>
      <c r="N851" s="4">
        <f t="shared" si="68"/>
        <v>196.03176470588235</v>
      </c>
      <c r="O851" t="str">
        <f t="shared" si="69"/>
        <v>OK</v>
      </c>
    </row>
    <row r="852" spans="1:15">
      <c r="A852" t="str">
        <f>'Raw Data'!A852</f>
        <v>Detroit RM-12</v>
      </c>
      <c r="B852" t="str">
        <f>'Raw Data'!B852</f>
        <v>Midwest</v>
      </c>
      <c r="C852" t="str">
        <f>'Raw Data'!C852</f>
        <v>Grocery</v>
      </c>
      <c r="D852" s="3">
        <f>'Raw Data'!D852</f>
        <v>45931</v>
      </c>
      <c r="E852" t="str">
        <f t="shared" si="65"/>
        <v>Oct</v>
      </c>
      <c r="F852" s="5">
        <f>'Raw Data'!E852</f>
        <v>131</v>
      </c>
      <c r="G852" s="4">
        <f>'Raw Data'!F852</f>
        <v>2438.48</v>
      </c>
      <c r="H852" s="4">
        <f>'Raw Data'!G852</f>
        <v>2408.5500000000002</v>
      </c>
      <c r="I852" s="4">
        <f t="shared" si="66"/>
        <v>29.929999999999836</v>
      </c>
      <c r="J852" s="8">
        <f t="shared" si="67"/>
        <v>1.2274039565630982E-2</v>
      </c>
      <c r="K852" s="6">
        <f>'Raw Data'!I852</f>
        <v>3.27</v>
      </c>
      <c r="L852" s="5">
        <f>'Raw Data'!J852</f>
        <v>17</v>
      </c>
      <c r="M852" s="5">
        <f>IF(COUNTIFS($A$2:A852,A852,$D$2:D852,D852)=1,L852,0)</f>
        <v>0</v>
      </c>
      <c r="N852" s="4">
        <f t="shared" si="68"/>
        <v>143.44</v>
      </c>
      <c r="O852" t="str">
        <f t="shared" si="69"/>
        <v>OK</v>
      </c>
    </row>
    <row r="853" spans="1:15">
      <c r="A853" t="str">
        <f>'Raw Data'!A853</f>
        <v>Detroit RM-12</v>
      </c>
      <c r="B853" t="str">
        <f>'Raw Data'!B853</f>
        <v>Midwest</v>
      </c>
      <c r="C853" t="str">
        <f>'Raw Data'!C853</f>
        <v>Sports</v>
      </c>
      <c r="D853" s="3">
        <f>'Raw Data'!D853</f>
        <v>45931</v>
      </c>
      <c r="E853" t="str">
        <f t="shared" si="65"/>
        <v>Oct</v>
      </c>
      <c r="F853" s="5">
        <f>'Raw Data'!E853</f>
        <v>65</v>
      </c>
      <c r="G853" s="4">
        <f>'Raw Data'!F853</f>
        <v>4328.8900000000003</v>
      </c>
      <c r="H853" s="4">
        <f>'Raw Data'!G853</f>
        <v>3069.9</v>
      </c>
      <c r="I853" s="4">
        <f t="shared" si="66"/>
        <v>1258.9900000000002</v>
      </c>
      <c r="J853" s="8">
        <f t="shared" si="67"/>
        <v>0.29083437093573644</v>
      </c>
      <c r="K853" s="6">
        <f>'Raw Data'!I853</f>
        <v>3.32</v>
      </c>
      <c r="L853" s="5">
        <f>'Raw Data'!J853</f>
        <v>17</v>
      </c>
      <c r="M853" s="5">
        <f>IF(COUNTIFS($A$2:A853,A853,$D$2:D853,D853)=1,L853,0)</f>
        <v>0</v>
      </c>
      <c r="N853" s="4">
        <f t="shared" si="68"/>
        <v>254.64058823529413</v>
      </c>
      <c r="O853" t="str">
        <f t="shared" si="69"/>
        <v>OK</v>
      </c>
    </row>
    <row r="854" spans="1:15">
      <c r="A854" t="str">
        <f>'Raw Data'!A854</f>
        <v>Detroit RM-12</v>
      </c>
      <c r="B854" t="str">
        <f>'Raw Data'!B854</f>
        <v>Midwest</v>
      </c>
      <c r="C854" t="str">
        <f>'Raw Data'!C854</f>
        <v>Electronics</v>
      </c>
      <c r="D854" s="3">
        <f>'Raw Data'!D854</f>
        <v>45962</v>
      </c>
      <c r="E854" t="str">
        <f t="shared" si="65"/>
        <v>Nov</v>
      </c>
      <c r="F854" s="5">
        <f>'Raw Data'!E854</f>
        <v>133</v>
      </c>
      <c r="G854" s="4">
        <f>'Raw Data'!F854</f>
        <v>19646</v>
      </c>
      <c r="H854" s="4">
        <f>'Raw Data'!G854</f>
        <v>16683.349999999999</v>
      </c>
      <c r="I854" s="4">
        <f t="shared" si="66"/>
        <v>2962.6500000000015</v>
      </c>
      <c r="J854" s="8">
        <f t="shared" si="67"/>
        <v>0.15080168991143242</v>
      </c>
      <c r="K854" s="6">
        <f>'Raw Data'!I854</f>
        <v>3.41</v>
      </c>
      <c r="L854" s="5">
        <f>'Raw Data'!J854</f>
        <v>19</v>
      </c>
      <c r="M854" s="5">
        <f>IF(COUNTIFS($A$2:A854,A854,$D$2:D854,D854)=1,L854,0)</f>
        <v>19</v>
      </c>
      <c r="N854" s="4">
        <f t="shared" si="68"/>
        <v>1034</v>
      </c>
      <c r="O854" t="str">
        <f t="shared" si="69"/>
        <v>OK</v>
      </c>
    </row>
    <row r="855" spans="1:15">
      <c r="A855" t="str">
        <f>'Raw Data'!A855</f>
        <v>Detroit RM-12</v>
      </c>
      <c r="B855" t="str">
        <f>'Raw Data'!B855</f>
        <v>Midwest</v>
      </c>
      <c r="C855" t="str">
        <f>'Raw Data'!C855</f>
        <v>Home Goods</v>
      </c>
      <c r="D855" s="3">
        <f>'Raw Data'!D855</f>
        <v>45962</v>
      </c>
      <c r="E855" t="str">
        <f t="shared" si="65"/>
        <v>Nov</v>
      </c>
      <c r="F855" s="5">
        <f>'Raw Data'!E855</f>
        <v>80</v>
      </c>
      <c r="G855" s="4">
        <f>'Raw Data'!F855</f>
        <v>6319.66</v>
      </c>
      <c r="H855" s="4">
        <f>'Raw Data'!G855</f>
        <v>4693.51</v>
      </c>
      <c r="I855" s="4">
        <f t="shared" si="66"/>
        <v>1626.1499999999996</v>
      </c>
      <c r="J855" s="8">
        <f t="shared" si="67"/>
        <v>0.25731605814236835</v>
      </c>
      <c r="K855" s="6">
        <f>'Raw Data'!I855</f>
        <v>3.39</v>
      </c>
      <c r="L855" s="5">
        <f>'Raw Data'!J855</f>
        <v>19</v>
      </c>
      <c r="M855" s="5">
        <f>IF(COUNTIFS($A$2:A855,A855,$D$2:D855,D855)=1,L855,0)</f>
        <v>0</v>
      </c>
      <c r="N855" s="4">
        <f t="shared" si="68"/>
        <v>332.61368421052629</v>
      </c>
      <c r="O855" t="str">
        <f t="shared" si="69"/>
        <v>OK</v>
      </c>
    </row>
    <row r="856" spans="1:15">
      <c r="A856" t="str">
        <f>'Raw Data'!A856</f>
        <v>Detroit RM-12</v>
      </c>
      <c r="B856" t="str">
        <f>'Raw Data'!B856</f>
        <v>Midwest</v>
      </c>
      <c r="C856" t="str">
        <f>'Raw Data'!C856</f>
        <v>Apparel</v>
      </c>
      <c r="D856" s="3">
        <f>'Raw Data'!D856</f>
        <v>45962</v>
      </c>
      <c r="E856" t="str">
        <f t="shared" si="65"/>
        <v>Nov</v>
      </c>
      <c r="F856" s="5">
        <f>'Raw Data'!E856</f>
        <v>116</v>
      </c>
      <c r="G856" s="4">
        <f>'Raw Data'!F856</f>
        <v>5563.18</v>
      </c>
      <c r="H856" s="4">
        <f>'Raw Data'!G856</f>
        <v>3645.37</v>
      </c>
      <c r="I856" s="4">
        <f t="shared" si="66"/>
        <v>1917.8100000000004</v>
      </c>
      <c r="J856" s="8">
        <f t="shared" si="67"/>
        <v>0.34473268885781161</v>
      </c>
      <c r="K856" s="6">
        <f>'Raw Data'!I856</f>
        <v>3.11</v>
      </c>
      <c r="L856" s="5">
        <f>'Raw Data'!J856</f>
        <v>19</v>
      </c>
      <c r="M856" s="5">
        <f>IF(COUNTIFS($A$2:A856,A856,$D$2:D856,D856)=1,L856,0)</f>
        <v>0</v>
      </c>
      <c r="N856" s="4">
        <f t="shared" si="68"/>
        <v>292.79894736842107</v>
      </c>
      <c r="O856" t="str">
        <f t="shared" si="69"/>
        <v>OK</v>
      </c>
    </row>
    <row r="857" spans="1:15">
      <c r="A857" t="str">
        <f>'Raw Data'!A857</f>
        <v>Detroit RM-12</v>
      </c>
      <c r="B857" t="str">
        <f>'Raw Data'!B857</f>
        <v>Midwest</v>
      </c>
      <c r="C857" t="str">
        <f>'Raw Data'!C857</f>
        <v>Beauty</v>
      </c>
      <c r="D857" s="3">
        <f>'Raw Data'!D857</f>
        <v>45962</v>
      </c>
      <c r="E857" t="str">
        <f t="shared" si="65"/>
        <v>Nov</v>
      </c>
      <c r="F857" s="5">
        <f>'Raw Data'!E857</f>
        <v>93</v>
      </c>
      <c r="G857" s="4">
        <f>'Raw Data'!F857</f>
        <v>3325.64</v>
      </c>
      <c r="H857" s="4">
        <f>'Raw Data'!G857</f>
        <v>1796.24</v>
      </c>
      <c r="I857" s="4">
        <f t="shared" si="66"/>
        <v>1529.3999999999999</v>
      </c>
      <c r="J857" s="8">
        <f t="shared" si="67"/>
        <v>0.45988140628570739</v>
      </c>
      <c r="K857" s="6">
        <f>'Raw Data'!I857</f>
        <v>3.09</v>
      </c>
      <c r="L857" s="5">
        <f>'Raw Data'!J857</f>
        <v>19</v>
      </c>
      <c r="M857" s="5">
        <f>IF(COUNTIFS($A$2:A857,A857,$D$2:D857,D857)=1,L857,0)</f>
        <v>0</v>
      </c>
      <c r="N857" s="4">
        <f t="shared" si="68"/>
        <v>175.0336842105263</v>
      </c>
      <c r="O857" t="str">
        <f t="shared" si="69"/>
        <v>OK</v>
      </c>
    </row>
    <row r="858" spans="1:15">
      <c r="A858" t="str">
        <f>'Raw Data'!A858</f>
        <v>Detroit RM-12</v>
      </c>
      <c r="B858" t="str">
        <f>'Raw Data'!B858</f>
        <v>Midwest</v>
      </c>
      <c r="C858" t="str">
        <f>'Raw Data'!C858</f>
        <v>Grocery</v>
      </c>
      <c r="D858" s="3">
        <f>'Raw Data'!D858</f>
        <v>45962</v>
      </c>
      <c r="E858" t="str">
        <f t="shared" si="65"/>
        <v>Nov</v>
      </c>
      <c r="F858" s="5">
        <f>'Raw Data'!E858</f>
        <v>164</v>
      </c>
      <c r="G858" s="4">
        <f>'Raw Data'!F858</f>
        <v>3181.35</v>
      </c>
      <c r="H858" s="4">
        <f>'Raw Data'!G858</f>
        <v>3087.71</v>
      </c>
      <c r="I858" s="4">
        <f t="shared" si="66"/>
        <v>93.639999999999873</v>
      </c>
      <c r="J858" s="8">
        <f t="shared" si="67"/>
        <v>2.9434045295236261E-2</v>
      </c>
      <c r="K858" s="6">
        <f>'Raw Data'!I858</f>
        <v>3.09</v>
      </c>
      <c r="L858" s="5">
        <f>'Raw Data'!J858</f>
        <v>19</v>
      </c>
      <c r="M858" s="5">
        <f>IF(COUNTIFS($A$2:A858,A858,$D$2:D858,D858)=1,L858,0)</f>
        <v>0</v>
      </c>
      <c r="N858" s="4">
        <f t="shared" si="68"/>
        <v>167.43947368421053</v>
      </c>
      <c r="O858" t="str">
        <f t="shared" si="69"/>
        <v>OK</v>
      </c>
    </row>
    <row r="859" spans="1:15">
      <c r="A859" t="str">
        <f>'Raw Data'!A859</f>
        <v>Detroit RM-12</v>
      </c>
      <c r="B859" t="str">
        <f>'Raw Data'!B859</f>
        <v>Midwest</v>
      </c>
      <c r="C859" t="str">
        <f>'Raw Data'!C859</f>
        <v>Sports</v>
      </c>
      <c r="D859" s="3">
        <f>'Raw Data'!D859</f>
        <v>45962</v>
      </c>
      <c r="E859" t="str">
        <f t="shared" si="65"/>
        <v>Nov</v>
      </c>
      <c r="F859" s="5">
        <f>'Raw Data'!E859</f>
        <v>82</v>
      </c>
      <c r="G859" s="4">
        <f>'Raw Data'!F859</f>
        <v>4823.1099999999997</v>
      </c>
      <c r="H859" s="4">
        <f>'Raw Data'!G859</f>
        <v>3507.36</v>
      </c>
      <c r="I859" s="4">
        <f t="shared" si="66"/>
        <v>1315.7499999999995</v>
      </c>
      <c r="J859" s="8">
        <f t="shared" si="67"/>
        <v>0.27280115941788591</v>
      </c>
      <c r="K859" s="6">
        <f>'Raw Data'!I859</f>
        <v>3.14</v>
      </c>
      <c r="L859" s="5">
        <f>'Raw Data'!J859</f>
        <v>19</v>
      </c>
      <c r="M859" s="5">
        <f>IF(COUNTIFS($A$2:A859,A859,$D$2:D859,D859)=1,L859,0)</f>
        <v>0</v>
      </c>
      <c r="N859" s="4">
        <f t="shared" si="68"/>
        <v>253.84789473684208</v>
      </c>
      <c r="O859" t="str">
        <f t="shared" si="69"/>
        <v>OK</v>
      </c>
    </row>
    <row r="860" spans="1:15">
      <c r="A860" t="str">
        <f>'Raw Data'!A860</f>
        <v>Detroit RM-12</v>
      </c>
      <c r="B860" t="str">
        <f>'Raw Data'!B860</f>
        <v>Midwest</v>
      </c>
      <c r="C860" t="str">
        <f>'Raw Data'!C860</f>
        <v>Electronics</v>
      </c>
      <c r="D860" s="3">
        <f>'Raw Data'!D860</f>
        <v>45992</v>
      </c>
      <c r="E860" t="str">
        <f t="shared" si="65"/>
        <v>Dec</v>
      </c>
      <c r="F860" s="5">
        <f>'Raw Data'!E860</f>
        <v>145</v>
      </c>
      <c r="G860" s="4">
        <f>'Raw Data'!F860</f>
        <v>21577.02</v>
      </c>
      <c r="H860" s="4">
        <f>'Raw Data'!G860</f>
        <v>18991.509999999998</v>
      </c>
      <c r="I860" s="4">
        <f t="shared" si="66"/>
        <v>2585.510000000002</v>
      </c>
      <c r="J860" s="8">
        <f t="shared" si="67"/>
        <v>0.11982701967185469</v>
      </c>
      <c r="K860" s="6">
        <f>'Raw Data'!I860</f>
        <v>3.24</v>
      </c>
      <c r="L860" s="5">
        <f>'Raw Data'!J860</f>
        <v>18</v>
      </c>
      <c r="M860" s="5">
        <f>IF(COUNTIFS($A$2:A860,A860,$D$2:D860,D860)=1,L860,0)</f>
        <v>18</v>
      </c>
      <c r="N860" s="4">
        <f t="shared" si="68"/>
        <v>1198.7233333333334</v>
      </c>
      <c r="O860" t="str">
        <f t="shared" si="69"/>
        <v>OK</v>
      </c>
    </row>
    <row r="861" spans="1:15">
      <c r="A861" t="str">
        <f>'Raw Data'!A861</f>
        <v>Detroit RM-12</v>
      </c>
      <c r="B861" t="str">
        <f>'Raw Data'!B861</f>
        <v>Midwest</v>
      </c>
      <c r="C861" t="str">
        <f>'Raw Data'!C861</f>
        <v>Home Goods</v>
      </c>
      <c r="D861" s="3">
        <f>'Raw Data'!D861</f>
        <v>45992</v>
      </c>
      <c r="E861" t="str">
        <f t="shared" si="65"/>
        <v>Dec</v>
      </c>
      <c r="F861" s="5">
        <f>'Raw Data'!E861</f>
        <v>109</v>
      </c>
      <c r="G861" s="4">
        <f>'Raw Data'!F861</f>
        <v>8047.1</v>
      </c>
      <c r="H861" s="4">
        <f>'Raw Data'!G861</f>
        <v>6177.9</v>
      </c>
      <c r="I861" s="4">
        <f t="shared" si="66"/>
        <v>1869.2000000000007</v>
      </c>
      <c r="J861" s="8">
        <f t="shared" si="67"/>
        <v>0.23228243715127198</v>
      </c>
      <c r="K861" s="6">
        <f>'Raw Data'!I861</f>
        <v>3.21</v>
      </c>
      <c r="L861" s="5">
        <f>'Raw Data'!J861</f>
        <v>18</v>
      </c>
      <c r="M861" s="5">
        <f>IF(COUNTIFS($A$2:A861,A861,$D$2:D861,D861)=1,L861,0)</f>
        <v>0</v>
      </c>
      <c r="N861" s="4">
        <f t="shared" si="68"/>
        <v>447.06111111111113</v>
      </c>
      <c r="O861" t="str">
        <f t="shared" si="69"/>
        <v>OK</v>
      </c>
    </row>
    <row r="862" spans="1:15">
      <c r="A862" t="str">
        <f>'Raw Data'!A862</f>
        <v>Detroit RM-12</v>
      </c>
      <c r="B862" t="str">
        <f>'Raw Data'!B862</f>
        <v>Midwest</v>
      </c>
      <c r="C862" t="str">
        <f>'Raw Data'!C862</f>
        <v>Apparel</v>
      </c>
      <c r="D862" s="3">
        <f>'Raw Data'!D862</f>
        <v>45992</v>
      </c>
      <c r="E862" t="str">
        <f t="shared" si="65"/>
        <v>Dec</v>
      </c>
      <c r="F862" s="5">
        <f>'Raw Data'!E862</f>
        <v>132</v>
      </c>
      <c r="G862" s="4">
        <f>'Raw Data'!F862</f>
        <v>6573.33</v>
      </c>
      <c r="H862" s="4">
        <f>'Raw Data'!G862</f>
        <v>4661.25</v>
      </c>
      <c r="I862" s="4">
        <f t="shared" si="66"/>
        <v>1912.08</v>
      </c>
      <c r="J862" s="8">
        <f t="shared" si="67"/>
        <v>0.29088452884610994</v>
      </c>
      <c r="K862" s="6">
        <f>'Raw Data'!I862</f>
        <v>3.09</v>
      </c>
      <c r="L862" s="5">
        <f>'Raw Data'!J862</f>
        <v>18</v>
      </c>
      <c r="M862" s="5">
        <f>IF(COUNTIFS($A$2:A862,A862,$D$2:D862,D862)=1,L862,0)</f>
        <v>0</v>
      </c>
      <c r="N862" s="4">
        <f t="shared" si="68"/>
        <v>365.185</v>
      </c>
      <c r="O862" t="str">
        <f t="shared" si="69"/>
        <v>OK</v>
      </c>
    </row>
    <row r="863" spans="1:15">
      <c r="A863" t="str">
        <f>'Raw Data'!A863</f>
        <v>Detroit RM-12</v>
      </c>
      <c r="B863" t="str">
        <f>'Raw Data'!B863</f>
        <v>Midwest</v>
      </c>
      <c r="C863" t="str">
        <f>'Raw Data'!C863</f>
        <v>Beauty</v>
      </c>
      <c r="D863" s="3">
        <f>'Raw Data'!D863</f>
        <v>45992</v>
      </c>
      <c r="E863" t="str">
        <f t="shared" si="65"/>
        <v>Dec</v>
      </c>
      <c r="F863" s="5">
        <f>'Raw Data'!E863</f>
        <v>107</v>
      </c>
      <c r="G863" s="4">
        <f>'Raw Data'!F863</f>
        <v>3826.66</v>
      </c>
      <c r="H863" s="4">
        <f>'Raw Data'!G863</f>
        <v>2212.16</v>
      </c>
      <c r="I863" s="4">
        <f t="shared" si="66"/>
        <v>1614.5</v>
      </c>
      <c r="J863" s="8">
        <f t="shared" si="67"/>
        <v>0.42190840053728318</v>
      </c>
      <c r="K863" s="6">
        <f>'Raw Data'!I863</f>
        <v>3.35</v>
      </c>
      <c r="L863" s="5">
        <f>'Raw Data'!J863</f>
        <v>18</v>
      </c>
      <c r="M863" s="5">
        <f>IF(COUNTIFS($A$2:A863,A863,$D$2:D863,D863)=1,L863,0)</f>
        <v>0</v>
      </c>
      <c r="N863" s="4">
        <f t="shared" si="68"/>
        <v>212.5922222222222</v>
      </c>
      <c r="O863" t="str">
        <f t="shared" si="69"/>
        <v>OK</v>
      </c>
    </row>
    <row r="864" spans="1:15">
      <c r="A864" t="str">
        <f>'Raw Data'!A864</f>
        <v>Detroit RM-12</v>
      </c>
      <c r="B864" t="str">
        <f>'Raw Data'!B864</f>
        <v>Midwest</v>
      </c>
      <c r="C864" t="str">
        <f>'Raw Data'!C864</f>
        <v>Grocery</v>
      </c>
      <c r="D864" s="3">
        <f>'Raw Data'!D864</f>
        <v>45992</v>
      </c>
      <c r="E864" t="str">
        <f t="shared" si="65"/>
        <v>Dec</v>
      </c>
      <c r="F864" s="5">
        <f>'Raw Data'!E864</f>
        <v>171</v>
      </c>
      <c r="G864" s="4">
        <f>'Raw Data'!F864</f>
        <v>2916.5</v>
      </c>
      <c r="H864" s="4">
        <f>'Raw Data'!G864</f>
        <v>2840.78</v>
      </c>
      <c r="I864" s="4">
        <f t="shared" si="66"/>
        <v>75.7199999999998</v>
      </c>
      <c r="J864" s="8">
        <f t="shared" si="67"/>
        <v>2.5962626435796263E-2</v>
      </c>
      <c r="K864" s="6">
        <f>'Raw Data'!I864</f>
        <v>3.11</v>
      </c>
      <c r="L864" s="5">
        <f>'Raw Data'!J864</f>
        <v>18</v>
      </c>
      <c r="M864" s="5">
        <f>IF(COUNTIFS($A$2:A864,A864,$D$2:D864,D864)=1,L864,0)</f>
        <v>0</v>
      </c>
      <c r="N864" s="4">
        <f t="shared" si="68"/>
        <v>162.02777777777777</v>
      </c>
      <c r="O864" t="str">
        <f t="shared" si="69"/>
        <v>OK</v>
      </c>
    </row>
    <row r="865" spans="1:15">
      <c r="A865" t="str">
        <f>'Raw Data'!A865</f>
        <v>Detroit RM-12</v>
      </c>
      <c r="B865" t="str">
        <f>'Raw Data'!B865</f>
        <v>Midwest</v>
      </c>
      <c r="C865" t="str">
        <f>'Raw Data'!C865</f>
        <v>Sports</v>
      </c>
      <c r="D865" s="3">
        <f>'Raw Data'!D865</f>
        <v>45992</v>
      </c>
      <c r="E865" t="str">
        <f t="shared" si="65"/>
        <v>Dec</v>
      </c>
      <c r="F865" s="5">
        <f>'Raw Data'!E865</f>
        <v>66</v>
      </c>
      <c r="G865" s="4">
        <f>'Raw Data'!F865</f>
        <v>4344.2299999999996</v>
      </c>
      <c r="H865" s="4">
        <f>'Raw Data'!G865</f>
        <v>3288.69</v>
      </c>
      <c r="I865" s="4">
        <f t="shared" si="66"/>
        <v>1055.5399999999995</v>
      </c>
      <c r="J865" s="8">
        <f t="shared" si="67"/>
        <v>0.2429751647587719</v>
      </c>
      <c r="K865" s="6">
        <f>'Raw Data'!I865</f>
        <v>3.23</v>
      </c>
      <c r="L865" s="5">
        <f>'Raw Data'!J865</f>
        <v>18</v>
      </c>
      <c r="M865" s="5">
        <f>IF(COUNTIFS($A$2:A865,A865,$D$2:D865,D865)=1,L865,0)</f>
        <v>0</v>
      </c>
      <c r="N865" s="4">
        <f t="shared" si="68"/>
        <v>241.3461111111111</v>
      </c>
      <c r="O865" t="str">
        <f t="shared" si="69"/>
        <v>OK</v>
      </c>
    </row>
    <row r="866" spans="1:15">
      <c r="A866" t="str">
        <f>'Raw Data'!A866</f>
        <v>Cleveland RM-13</v>
      </c>
      <c r="B866" t="str">
        <f>'Raw Data'!B866</f>
        <v>Midwest</v>
      </c>
      <c r="C866" t="str">
        <f>'Raw Data'!C866</f>
        <v>Electronics</v>
      </c>
      <c r="D866" s="3">
        <f>'Raw Data'!D866</f>
        <v>45658</v>
      </c>
      <c r="E866" t="str">
        <f t="shared" si="65"/>
        <v>Jan</v>
      </c>
      <c r="F866" s="5">
        <f>'Raw Data'!E866</f>
        <v>96</v>
      </c>
      <c r="G866" s="4">
        <f>'Raw Data'!F866</f>
        <v>14346.91</v>
      </c>
      <c r="H866" s="4">
        <f>'Raw Data'!G866</f>
        <v>10924.88</v>
      </c>
      <c r="I866" s="4">
        <f t="shared" si="66"/>
        <v>3422.0300000000007</v>
      </c>
      <c r="J866" s="8">
        <f t="shared" si="67"/>
        <v>0.23852035037509825</v>
      </c>
      <c r="K866" s="6">
        <f>'Raw Data'!I866</f>
        <v>3.58</v>
      </c>
      <c r="L866" s="5">
        <f>'Raw Data'!J866</f>
        <v>26</v>
      </c>
      <c r="M866" s="5">
        <f>IF(COUNTIFS($A$2:A866,A866,$D$2:D866,D866)=1,L866,0)</f>
        <v>26</v>
      </c>
      <c r="N866" s="4">
        <f t="shared" si="68"/>
        <v>551.8042307692308</v>
      </c>
      <c r="O866" t="str">
        <f t="shared" si="69"/>
        <v>OK</v>
      </c>
    </row>
    <row r="867" spans="1:15">
      <c r="A867" t="str">
        <f>'Raw Data'!A867</f>
        <v>Cleveland RM-13</v>
      </c>
      <c r="B867" t="str">
        <f>'Raw Data'!B867</f>
        <v>Midwest</v>
      </c>
      <c r="C867" t="str">
        <f>'Raw Data'!C867</f>
        <v>Home Goods</v>
      </c>
      <c r="D867" s="3">
        <f>'Raw Data'!D867</f>
        <v>45658</v>
      </c>
      <c r="E867" t="str">
        <f t="shared" si="65"/>
        <v>Jan</v>
      </c>
      <c r="F867" s="5">
        <f>'Raw Data'!E867</f>
        <v>71</v>
      </c>
      <c r="G867" s="4">
        <f>'Raw Data'!F867</f>
        <v>5528.06</v>
      </c>
      <c r="H867" s="4">
        <f>'Raw Data'!G867</f>
        <v>3596.58</v>
      </c>
      <c r="I867" s="4">
        <f t="shared" si="66"/>
        <v>1931.4800000000005</v>
      </c>
      <c r="J867" s="8">
        <f t="shared" si="67"/>
        <v>0.34939562884628611</v>
      </c>
      <c r="K867" s="6">
        <f>'Raw Data'!I867</f>
        <v>3.73</v>
      </c>
      <c r="L867" s="5">
        <f>'Raw Data'!J867</f>
        <v>26</v>
      </c>
      <c r="M867" s="5">
        <f>IF(COUNTIFS($A$2:A867,A867,$D$2:D867,D867)=1,L867,0)</f>
        <v>0</v>
      </c>
      <c r="N867" s="4">
        <f t="shared" si="68"/>
        <v>212.61769230769232</v>
      </c>
      <c r="O867" t="str">
        <f t="shared" si="69"/>
        <v>OK</v>
      </c>
    </row>
    <row r="868" spans="1:15">
      <c r="A868" t="str">
        <f>'Raw Data'!A868</f>
        <v>Cleveland RM-13</v>
      </c>
      <c r="B868" t="str">
        <f>'Raw Data'!B868</f>
        <v>Midwest</v>
      </c>
      <c r="C868" t="str">
        <f>'Raw Data'!C868</f>
        <v>Apparel</v>
      </c>
      <c r="D868" s="3">
        <f>'Raw Data'!D868</f>
        <v>45658</v>
      </c>
      <c r="E868" t="str">
        <f t="shared" si="65"/>
        <v>Jan</v>
      </c>
      <c r="F868" s="5">
        <f>'Raw Data'!E868</f>
        <v>96</v>
      </c>
      <c r="G868" s="4">
        <f>'Raw Data'!F868</f>
        <v>4771.92</v>
      </c>
      <c r="H868" s="4">
        <f>'Raw Data'!G868</f>
        <v>2715.73</v>
      </c>
      <c r="I868" s="4">
        <f t="shared" si="66"/>
        <v>2056.19</v>
      </c>
      <c r="J868" s="8">
        <f t="shared" si="67"/>
        <v>0.43089364448691514</v>
      </c>
      <c r="K868" s="6">
        <f>'Raw Data'!I868</f>
        <v>3.45</v>
      </c>
      <c r="L868" s="5">
        <f>'Raw Data'!J868</f>
        <v>26</v>
      </c>
      <c r="M868" s="5">
        <f>IF(COUNTIFS($A$2:A868,A868,$D$2:D868,D868)=1,L868,0)</f>
        <v>0</v>
      </c>
      <c r="N868" s="4">
        <f t="shared" si="68"/>
        <v>183.53538461538463</v>
      </c>
      <c r="O868" t="str">
        <f t="shared" si="69"/>
        <v>OK</v>
      </c>
    </row>
    <row r="869" spans="1:15">
      <c r="A869" t="str">
        <f>'Raw Data'!A869</f>
        <v>Cleveland RM-13</v>
      </c>
      <c r="B869" t="str">
        <f>'Raw Data'!B869</f>
        <v>Midwest</v>
      </c>
      <c r="C869" t="str">
        <f>'Raw Data'!C869</f>
        <v>Beauty</v>
      </c>
      <c r="D869" s="3">
        <f>'Raw Data'!D869</f>
        <v>45658</v>
      </c>
      <c r="E869" t="str">
        <f t="shared" si="65"/>
        <v>Jan</v>
      </c>
      <c r="F869" s="5">
        <f>'Raw Data'!E869</f>
        <v>86</v>
      </c>
      <c r="G869" s="4">
        <f>'Raw Data'!F869</f>
        <v>3132.96</v>
      </c>
      <c r="H869" s="4">
        <f>'Raw Data'!G869</f>
        <v>1430.54</v>
      </c>
      <c r="I869" s="4">
        <f t="shared" si="66"/>
        <v>1702.42</v>
      </c>
      <c r="J869" s="8">
        <f t="shared" si="67"/>
        <v>0.54339027628823866</v>
      </c>
      <c r="K869" s="6">
        <f>'Raw Data'!I869</f>
        <v>3.54</v>
      </c>
      <c r="L869" s="5">
        <f>'Raw Data'!J869</f>
        <v>26</v>
      </c>
      <c r="M869" s="5">
        <f>IF(COUNTIFS($A$2:A869,A869,$D$2:D869,D869)=1,L869,0)</f>
        <v>0</v>
      </c>
      <c r="N869" s="4">
        <f t="shared" si="68"/>
        <v>120.49846153846154</v>
      </c>
      <c r="O869" t="str">
        <f t="shared" si="69"/>
        <v>OK</v>
      </c>
    </row>
    <row r="870" spans="1:15">
      <c r="A870" t="str">
        <f>'Raw Data'!A870</f>
        <v>Cleveland RM-13</v>
      </c>
      <c r="B870" t="str">
        <f>'Raw Data'!B870</f>
        <v>Midwest</v>
      </c>
      <c r="C870" t="str">
        <f>'Raw Data'!C870</f>
        <v>Grocery</v>
      </c>
      <c r="D870" s="3">
        <f>'Raw Data'!D870</f>
        <v>45658</v>
      </c>
      <c r="E870" t="str">
        <f t="shared" si="65"/>
        <v>Jan</v>
      </c>
      <c r="F870" s="5">
        <f>'Raw Data'!E870</f>
        <v>129</v>
      </c>
      <c r="G870" s="4">
        <f>'Raw Data'!F870</f>
        <v>2372.52</v>
      </c>
      <c r="H870" s="4">
        <f>'Raw Data'!G870</f>
        <v>2057.13</v>
      </c>
      <c r="I870" s="4">
        <f t="shared" si="66"/>
        <v>315.38999999999987</v>
      </c>
      <c r="J870" s="8">
        <f t="shared" si="67"/>
        <v>0.1329346011835516</v>
      </c>
      <c r="K870" s="6">
        <f>'Raw Data'!I870</f>
        <v>3.47</v>
      </c>
      <c r="L870" s="5">
        <f>'Raw Data'!J870</f>
        <v>26</v>
      </c>
      <c r="M870" s="5">
        <f>IF(COUNTIFS($A$2:A870,A870,$D$2:D870,D870)=1,L870,0)</f>
        <v>0</v>
      </c>
      <c r="N870" s="4">
        <f t="shared" si="68"/>
        <v>91.250769230769237</v>
      </c>
      <c r="O870" t="str">
        <f t="shared" si="69"/>
        <v>OK</v>
      </c>
    </row>
    <row r="871" spans="1:15">
      <c r="A871" t="str">
        <f>'Raw Data'!A871</f>
        <v>Cleveland RM-13</v>
      </c>
      <c r="B871" t="str">
        <f>'Raw Data'!B871</f>
        <v>Midwest</v>
      </c>
      <c r="C871" t="str">
        <f>'Raw Data'!C871</f>
        <v>Sports</v>
      </c>
      <c r="D871" s="3">
        <f>'Raw Data'!D871</f>
        <v>45658</v>
      </c>
      <c r="E871" t="str">
        <f t="shared" si="65"/>
        <v>Jan</v>
      </c>
      <c r="F871" s="5">
        <f>'Raw Data'!E871</f>
        <v>60</v>
      </c>
      <c r="G871" s="4">
        <f>'Raw Data'!F871</f>
        <v>3866.41</v>
      </c>
      <c r="H871" s="4">
        <f>'Raw Data'!G871</f>
        <v>2347.52</v>
      </c>
      <c r="I871" s="4">
        <f t="shared" si="66"/>
        <v>1518.8899999999999</v>
      </c>
      <c r="J871" s="8">
        <f t="shared" si="67"/>
        <v>0.39284245592164307</v>
      </c>
      <c r="K871" s="6">
        <f>'Raw Data'!I871</f>
        <v>3.44</v>
      </c>
      <c r="L871" s="5">
        <f>'Raw Data'!J871</f>
        <v>26</v>
      </c>
      <c r="M871" s="5">
        <f>IF(COUNTIFS($A$2:A871,A871,$D$2:D871,D871)=1,L871,0)</f>
        <v>0</v>
      </c>
      <c r="N871" s="4">
        <f t="shared" si="68"/>
        <v>148.70807692307693</v>
      </c>
      <c r="O871" t="str">
        <f t="shared" si="69"/>
        <v>OK</v>
      </c>
    </row>
    <row r="872" spans="1:15">
      <c r="A872" t="str">
        <f>'Raw Data'!A872</f>
        <v>Cleveland RM-13</v>
      </c>
      <c r="B872" t="str">
        <f>'Raw Data'!B872</f>
        <v>Midwest</v>
      </c>
      <c r="C872" t="str">
        <f>'Raw Data'!C872</f>
        <v>Electronics</v>
      </c>
      <c r="D872" s="3">
        <f>'Raw Data'!D872</f>
        <v>45689</v>
      </c>
      <c r="E872" t="str">
        <f t="shared" si="65"/>
        <v>Feb</v>
      </c>
      <c r="F872" s="5">
        <f>'Raw Data'!E872</f>
        <v>74</v>
      </c>
      <c r="G872" s="4">
        <f>'Raw Data'!F872</f>
        <v>11025.63</v>
      </c>
      <c r="H872" s="4">
        <f>'Raw Data'!G872</f>
        <v>8506.99</v>
      </c>
      <c r="I872" s="4">
        <f t="shared" si="66"/>
        <v>2518.6399999999994</v>
      </c>
      <c r="J872" s="8">
        <f t="shared" si="67"/>
        <v>0.22843501913269351</v>
      </c>
      <c r="K872" s="6">
        <f>'Raw Data'!I872</f>
        <v>3.49</v>
      </c>
      <c r="L872" s="5">
        <f>'Raw Data'!J872</f>
        <v>26</v>
      </c>
      <c r="M872" s="5">
        <f>IF(COUNTIFS($A$2:A872,A872,$D$2:D872,D872)=1,L872,0)</f>
        <v>26</v>
      </c>
      <c r="N872" s="4">
        <f t="shared" si="68"/>
        <v>424.06269230769226</v>
      </c>
      <c r="O872" t="str">
        <f t="shared" si="69"/>
        <v>OK</v>
      </c>
    </row>
    <row r="873" spans="1:15">
      <c r="A873" t="str">
        <f>'Raw Data'!A873</f>
        <v>Cleveland RM-13</v>
      </c>
      <c r="B873" t="str">
        <f>'Raw Data'!B873</f>
        <v>Midwest</v>
      </c>
      <c r="C873" t="str">
        <f>'Raw Data'!C873</f>
        <v>Home Goods</v>
      </c>
      <c r="D873" s="3">
        <f>'Raw Data'!D873</f>
        <v>45689</v>
      </c>
      <c r="E873" t="str">
        <f t="shared" si="65"/>
        <v>Feb</v>
      </c>
      <c r="F873" s="5">
        <f>'Raw Data'!E873</f>
        <v>70</v>
      </c>
      <c r="G873" s="4">
        <f>'Raw Data'!F873</f>
        <v>5589.12</v>
      </c>
      <c r="H873" s="4">
        <f>'Raw Data'!G873</f>
        <v>3621.44</v>
      </c>
      <c r="I873" s="4">
        <f t="shared" si="66"/>
        <v>1967.6799999999998</v>
      </c>
      <c r="J873" s="8">
        <f t="shared" si="67"/>
        <v>0.35205542196267031</v>
      </c>
      <c r="K873" s="6">
        <f>'Raw Data'!I873</f>
        <v>3.41</v>
      </c>
      <c r="L873" s="5">
        <f>'Raw Data'!J873</f>
        <v>26</v>
      </c>
      <c r="M873" s="5">
        <f>IF(COUNTIFS($A$2:A873,A873,$D$2:D873,D873)=1,L873,0)</f>
        <v>0</v>
      </c>
      <c r="N873" s="4">
        <f t="shared" si="68"/>
        <v>214.96615384615384</v>
      </c>
      <c r="O873" t="str">
        <f t="shared" si="69"/>
        <v>OK</v>
      </c>
    </row>
    <row r="874" spans="1:15">
      <c r="A874" t="str">
        <f>'Raw Data'!A874</f>
        <v>Cleveland RM-13</v>
      </c>
      <c r="B874" t="str">
        <f>'Raw Data'!B874</f>
        <v>Midwest</v>
      </c>
      <c r="C874" t="str">
        <f>'Raw Data'!C874</f>
        <v>Apparel</v>
      </c>
      <c r="D874" s="3">
        <f>'Raw Data'!D874</f>
        <v>45689</v>
      </c>
      <c r="E874" t="str">
        <f t="shared" si="65"/>
        <v>Feb</v>
      </c>
      <c r="F874" s="5">
        <f>'Raw Data'!E874</f>
        <v>94</v>
      </c>
      <c r="G874" s="4">
        <f>'Raw Data'!F874</f>
        <v>4845.79</v>
      </c>
      <c r="H874" s="4">
        <f>'Raw Data'!G874</f>
        <v>2843.14</v>
      </c>
      <c r="I874" s="4">
        <f t="shared" si="66"/>
        <v>2002.65</v>
      </c>
      <c r="J874" s="8">
        <f t="shared" si="67"/>
        <v>0.41327626661493794</v>
      </c>
      <c r="K874" s="6">
        <f>'Raw Data'!I874</f>
        <v>3.67</v>
      </c>
      <c r="L874" s="5">
        <f>'Raw Data'!J874</f>
        <v>26</v>
      </c>
      <c r="M874" s="5">
        <f>IF(COUNTIFS($A$2:A874,A874,$D$2:D874,D874)=1,L874,0)</f>
        <v>0</v>
      </c>
      <c r="N874" s="4">
        <f t="shared" si="68"/>
        <v>186.37653846153847</v>
      </c>
      <c r="O874" t="str">
        <f t="shared" si="69"/>
        <v>OK</v>
      </c>
    </row>
    <row r="875" spans="1:15">
      <c r="A875" t="str">
        <f>'Raw Data'!A875</f>
        <v>Cleveland RM-13</v>
      </c>
      <c r="B875" t="str">
        <f>'Raw Data'!B875</f>
        <v>Midwest</v>
      </c>
      <c r="C875" t="str">
        <f>'Raw Data'!C875</f>
        <v>Beauty</v>
      </c>
      <c r="D875" s="3">
        <f>'Raw Data'!D875</f>
        <v>45689</v>
      </c>
      <c r="E875" t="str">
        <f t="shared" si="65"/>
        <v>Feb</v>
      </c>
      <c r="F875" s="5">
        <f>'Raw Data'!E875</f>
        <v>72</v>
      </c>
      <c r="G875" s="4">
        <f>'Raw Data'!F875</f>
        <v>2494.31</v>
      </c>
      <c r="H875" s="4">
        <f>'Raw Data'!G875</f>
        <v>1165.3499999999999</v>
      </c>
      <c r="I875" s="4">
        <f t="shared" si="66"/>
        <v>1328.96</v>
      </c>
      <c r="J875" s="8">
        <f t="shared" si="67"/>
        <v>0.53279664516439418</v>
      </c>
      <c r="K875" s="6">
        <f>'Raw Data'!I875</f>
        <v>3.53</v>
      </c>
      <c r="L875" s="5">
        <f>'Raw Data'!J875</f>
        <v>26</v>
      </c>
      <c r="M875" s="5">
        <f>IF(COUNTIFS($A$2:A875,A875,$D$2:D875,D875)=1,L875,0)</f>
        <v>0</v>
      </c>
      <c r="N875" s="4">
        <f t="shared" si="68"/>
        <v>95.935000000000002</v>
      </c>
      <c r="O875" t="str">
        <f t="shared" si="69"/>
        <v>OK</v>
      </c>
    </row>
    <row r="876" spans="1:15">
      <c r="A876" t="str">
        <f>'Raw Data'!A876</f>
        <v>Cleveland RM-13</v>
      </c>
      <c r="B876" t="str">
        <f>'Raw Data'!B876</f>
        <v>Midwest</v>
      </c>
      <c r="C876" t="str">
        <f>'Raw Data'!C876</f>
        <v>Grocery</v>
      </c>
      <c r="D876" s="3">
        <f>'Raw Data'!D876</f>
        <v>45689</v>
      </c>
      <c r="E876" t="str">
        <f t="shared" si="65"/>
        <v>Feb</v>
      </c>
      <c r="F876" s="5">
        <f>'Raw Data'!E876</f>
        <v>119</v>
      </c>
      <c r="G876" s="4">
        <f>'Raw Data'!F876</f>
        <v>2212.4</v>
      </c>
      <c r="H876" s="4">
        <f>'Raw Data'!G876</f>
        <v>1940.32</v>
      </c>
      <c r="I876" s="4">
        <f t="shared" si="66"/>
        <v>272.08000000000015</v>
      </c>
      <c r="J876" s="8">
        <f t="shared" si="67"/>
        <v>0.12297956969806552</v>
      </c>
      <c r="K876" s="6">
        <f>'Raw Data'!I876</f>
        <v>3.46</v>
      </c>
      <c r="L876" s="5">
        <f>'Raw Data'!J876</f>
        <v>26</v>
      </c>
      <c r="M876" s="5">
        <f>IF(COUNTIFS($A$2:A876,A876,$D$2:D876,D876)=1,L876,0)</f>
        <v>0</v>
      </c>
      <c r="N876" s="4">
        <f t="shared" si="68"/>
        <v>85.092307692307699</v>
      </c>
      <c r="O876" t="str">
        <f t="shared" si="69"/>
        <v>OK</v>
      </c>
    </row>
    <row r="877" spans="1:15">
      <c r="A877" t="str">
        <f>'Raw Data'!A877</f>
        <v>Cleveland RM-13</v>
      </c>
      <c r="B877" t="str">
        <f>'Raw Data'!B877</f>
        <v>Midwest</v>
      </c>
      <c r="C877" t="str">
        <f>'Raw Data'!C877</f>
        <v>Sports</v>
      </c>
      <c r="D877" s="3">
        <f>'Raw Data'!D877</f>
        <v>45689</v>
      </c>
      <c r="E877" t="str">
        <f t="shared" si="65"/>
        <v>Feb</v>
      </c>
      <c r="F877" s="5">
        <f>'Raw Data'!E877</f>
        <v>70</v>
      </c>
      <c r="G877" s="4">
        <f>'Raw Data'!F877</f>
        <v>4657.01</v>
      </c>
      <c r="H877" s="4">
        <f>'Raw Data'!G877</f>
        <v>2935.98</v>
      </c>
      <c r="I877" s="4">
        <f t="shared" si="66"/>
        <v>1721.0300000000002</v>
      </c>
      <c r="J877" s="8">
        <f t="shared" si="67"/>
        <v>0.36955686159145035</v>
      </c>
      <c r="K877" s="6">
        <f>'Raw Data'!I877</f>
        <v>3.56</v>
      </c>
      <c r="L877" s="5">
        <f>'Raw Data'!J877</f>
        <v>26</v>
      </c>
      <c r="M877" s="5">
        <f>IF(COUNTIFS($A$2:A877,A877,$D$2:D877,D877)=1,L877,0)</f>
        <v>0</v>
      </c>
      <c r="N877" s="4">
        <f t="shared" si="68"/>
        <v>179.11576923076925</v>
      </c>
      <c r="O877" t="str">
        <f t="shared" si="69"/>
        <v>OK</v>
      </c>
    </row>
    <row r="878" spans="1:15">
      <c r="A878" t="str">
        <f>'Raw Data'!A878</f>
        <v>Cleveland RM-13</v>
      </c>
      <c r="B878" t="str">
        <f>'Raw Data'!B878</f>
        <v>Midwest</v>
      </c>
      <c r="C878" t="str">
        <f>'Raw Data'!C878</f>
        <v>Electronics</v>
      </c>
      <c r="D878" s="3">
        <f>'Raw Data'!D878</f>
        <v>45717</v>
      </c>
      <c r="E878" t="str">
        <f t="shared" si="65"/>
        <v>Mar</v>
      </c>
      <c r="F878" s="5">
        <f>'Raw Data'!E878</f>
        <v>100</v>
      </c>
      <c r="G878" s="4">
        <f>'Raw Data'!F878</f>
        <v>14117.91</v>
      </c>
      <c r="H878" s="4">
        <f>'Raw Data'!G878</f>
        <v>10849.67</v>
      </c>
      <c r="I878" s="4">
        <f t="shared" si="66"/>
        <v>3268.24</v>
      </c>
      <c r="J878" s="8">
        <f t="shared" si="67"/>
        <v>0.23149602171992878</v>
      </c>
      <c r="K878" s="6">
        <f>'Raw Data'!I878</f>
        <v>3.72</v>
      </c>
      <c r="L878" s="5">
        <f>'Raw Data'!J878</f>
        <v>25</v>
      </c>
      <c r="M878" s="5">
        <f>IF(COUNTIFS($A$2:A878,A878,$D$2:D878,D878)=1,L878,0)</f>
        <v>25</v>
      </c>
      <c r="N878" s="4">
        <f t="shared" si="68"/>
        <v>564.71640000000002</v>
      </c>
      <c r="O878" t="str">
        <f t="shared" si="69"/>
        <v>OK</v>
      </c>
    </row>
    <row r="879" spans="1:15">
      <c r="A879" t="str">
        <f>'Raw Data'!A879</f>
        <v>Cleveland RM-13</v>
      </c>
      <c r="B879" t="str">
        <f>'Raw Data'!B879</f>
        <v>Midwest</v>
      </c>
      <c r="C879" t="str">
        <f>'Raw Data'!C879</f>
        <v>Home Goods</v>
      </c>
      <c r="D879" s="3">
        <f>'Raw Data'!D879</f>
        <v>45717</v>
      </c>
      <c r="E879" t="str">
        <f t="shared" si="65"/>
        <v>Mar</v>
      </c>
      <c r="F879" s="5">
        <f>'Raw Data'!E879</f>
        <v>90</v>
      </c>
      <c r="G879" s="4">
        <f>'Raw Data'!F879</f>
        <v>6663.09</v>
      </c>
      <c r="H879" s="4">
        <f>'Raw Data'!G879</f>
        <v>4224.3999999999996</v>
      </c>
      <c r="I879" s="4">
        <f t="shared" si="66"/>
        <v>2438.6900000000005</v>
      </c>
      <c r="J879" s="8">
        <f t="shared" si="67"/>
        <v>0.36599985892431297</v>
      </c>
      <c r="K879" s="6">
        <f>'Raw Data'!I879</f>
        <v>3.7</v>
      </c>
      <c r="L879" s="5">
        <f>'Raw Data'!J879</f>
        <v>25</v>
      </c>
      <c r="M879" s="5">
        <f>IF(COUNTIFS($A$2:A879,A879,$D$2:D879,D879)=1,L879,0)</f>
        <v>0</v>
      </c>
      <c r="N879" s="4">
        <f t="shared" si="68"/>
        <v>266.52359999999999</v>
      </c>
      <c r="O879" t="str">
        <f t="shared" si="69"/>
        <v>OK</v>
      </c>
    </row>
    <row r="880" spans="1:15">
      <c r="A880" t="str">
        <f>'Raw Data'!A880</f>
        <v>Cleveland RM-13</v>
      </c>
      <c r="B880" t="str">
        <f>'Raw Data'!B880</f>
        <v>Midwest</v>
      </c>
      <c r="C880" t="str">
        <f>'Raw Data'!C880</f>
        <v>Apparel</v>
      </c>
      <c r="D880" s="3">
        <f>'Raw Data'!D880</f>
        <v>45717</v>
      </c>
      <c r="E880" t="str">
        <f t="shared" si="65"/>
        <v>Mar</v>
      </c>
      <c r="F880" s="5">
        <f>'Raw Data'!E880</f>
        <v>113</v>
      </c>
      <c r="G880" s="4">
        <f>'Raw Data'!F880</f>
        <v>5184.6499999999996</v>
      </c>
      <c r="H880" s="4">
        <f>'Raw Data'!G880</f>
        <v>3024.49</v>
      </c>
      <c r="I880" s="4">
        <f t="shared" si="66"/>
        <v>2160.16</v>
      </c>
      <c r="J880" s="8">
        <f t="shared" si="67"/>
        <v>0.41664528946023355</v>
      </c>
      <c r="K880" s="6">
        <f>'Raw Data'!I880</f>
        <v>3.65</v>
      </c>
      <c r="L880" s="5">
        <f>'Raw Data'!J880</f>
        <v>25</v>
      </c>
      <c r="M880" s="5">
        <f>IF(COUNTIFS($A$2:A880,A880,$D$2:D880,D880)=1,L880,0)</f>
        <v>0</v>
      </c>
      <c r="N880" s="4">
        <f t="shared" si="68"/>
        <v>207.386</v>
      </c>
      <c r="O880" t="str">
        <f t="shared" si="69"/>
        <v>OK</v>
      </c>
    </row>
    <row r="881" spans="1:15">
      <c r="A881" t="str">
        <f>'Raw Data'!A881</f>
        <v>Cleveland RM-13</v>
      </c>
      <c r="B881" t="str">
        <f>'Raw Data'!B881</f>
        <v>Midwest</v>
      </c>
      <c r="C881" t="str">
        <f>'Raw Data'!C881</f>
        <v>Beauty</v>
      </c>
      <c r="D881" s="3">
        <f>'Raw Data'!D881</f>
        <v>45717</v>
      </c>
      <c r="E881" t="str">
        <f t="shared" si="65"/>
        <v>Mar</v>
      </c>
      <c r="F881" s="5">
        <f>'Raw Data'!E881</f>
        <v>100</v>
      </c>
      <c r="G881" s="4">
        <f>'Raw Data'!F881</f>
        <v>3396.45</v>
      </c>
      <c r="H881" s="4">
        <f>'Raw Data'!G881</f>
        <v>1604.75</v>
      </c>
      <c r="I881" s="4">
        <f t="shared" si="66"/>
        <v>1791.6999999999998</v>
      </c>
      <c r="J881" s="8">
        <f t="shared" si="67"/>
        <v>0.52752138262008863</v>
      </c>
      <c r="K881" s="6">
        <f>'Raw Data'!I881</f>
        <v>3.66</v>
      </c>
      <c r="L881" s="5">
        <f>'Raw Data'!J881</f>
        <v>25</v>
      </c>
      <c r="M881" s="5">
        <f>IF(COUNTIFS($A$2:A881,A881,$D$2:D881,D881)=1,L881,0)</f>
        <v>0</v>
      </c>
      <c r="N881" s="4">
        <f t="shared" si="68"/>
        <v>135.858</v>
      </c>
      <c r="O881" t="str">
        <f t="shared" si="69"/>
        <v>OK</v>
      </c>
    </row>
    <row r="882" spans="1:15">
      <c r="A882" t="str">
        <f>'Raw Data'!A882</f>
        <v>Cleveland RM-13</v>
      </c>
      <c r="B882" t="str">
        <f>'Raw Data'!B882</f>
        <v>Midwest</v>
      </c>
      <c r="C882" t="str">
        <f>'Raw Data'!C882</f>
        <v>Grocery</v>
      </c>
      <c r="D882" s="3">
        <f>'Raw Data'!D882</f>
        <v>45717</v>
      </c>
      <c r="E882" t="str">
        <f t="shared" si="65"/>
        <v>Mar</v>
      </c>
      <c r="F882" s="5">
        <f>'Raw Data'!E882</f>
        <v>134</v>
      </c>
      <c r="G882" s="4">
        <f>'Raw Data'!F882</f>
        <v>2431.66</v>
      </c>
      <c r="H882" s="4">
        <f>'Raw Data'!G882</f>
        <v>2142.5500000000002</v>
      </c>
      <c r="I882" s="4">
        <f t="shared" si="66"/>
        <v>289.10999999999967</v>
      </c>
      <c r="J882" s="8">
        <f t="shared" si="67"/>
        <v>0.1188940888117581</v>
      </c>
      <c r="K882" s="6">
        <f>'Raw Data'!I882</f>
        <v>3.59</v>
      </c>
      <c r="L882" s="5">
        <f>'Raw Data'!J882</f>
        <v>25</v>
      </c>
      <c r="M882" s="5">
        <f>IF(COUNTIFS($A$2:A882,A882,$D$2:D882,D882)=1,L882,0)</f>
        <v>0</v>
      </c>
      <c r="N882" s="4">
        <f t="shared" si="68"/>
        <v>97.26639999999999</v>
      </c>
      <c r="O882" t="str">
        <f t="shared" si="69"/>
        <v>OK</v>
      </c>
    </row>
    <row r="883" spans="1:15">
      <c r="A883" t="str">
        <f>'Raw Data'!A883</f>
        <v>Cleveland RM-13</v>
      </c>
      <c r="B883" t="str">
        <f>'Raw Data'!B883</f>
        <v>Midwest</v>
      </c>
      <c r="C883" t="str">
        <f>'Raw Data'!C883</f>
        <v>Sports</v>
      </c>
      <c r="D883" s="3">
        <f>'Raw Data'!D883</f>
        <v>45717</v>
      </c>
      <c r="E883" t="str">
        <f t="shared" si="65"/>
        <v>Mar</v>
      </c>
      <c r="F883" s="5">
        <f>'Raw Data'!E883</f>
        <v>67</v>
      </c>
      <c r="G883" s="4">
        <f>'Raw Data'!F883</f>
        <v>4091.04</v>
      </c>
      <c r="H883" s="4">
        <f>'Raw Data'!G883</f>
        <v>2520.75</v>
      </c>
      <c r="I883" s="4">
        <f t="shared" si="66"/>
        <v>1570.29</v>
      </c>
      <c r="J883" s="8">
        <f t="shared" si="67"/>
        <v>0.38383638390238178</v>
      </c>
      <c r="K883" s="6">
        <f>'Raw Data'!I883</f>
        <v>3.42</v>
      </c>
      <c r="L883" s="5">
        <f>'Raw Data'!J883</f>
        <v>25</v>
      </c>
      <c r="M883" s="5">
        <f>IF(COUNTIFS($A$2:A883,A883,$D$2:D883,D883)=1,L883,0)</f>
        <v>0</v>
      </c>
      <c r="N883" s="4">
        <f t="shared" si="68"/>
        <v>163.64160000000001</v>
      </c>
      <c r="O883" t="str">
        <f t="shared" si="69"/>
        <v>OK</v>
      </c>
    </row>
    <row r="884" spans="1:15">
      <c r="A884" t="str">
        <f>'Raw Data'!A884</f>
        <v>Cleveland RM-13</v>
      </c>
      <c r="B884" t="str">
        <f>'Raw Data'!B884</f>
        <v>Midwest</v>
      </c>
      <c r="C884" t="str">
        <f>'Raw Data'!C884</f>
        <v>Electronics</v>
      </c>
      <c r="D884" s="3">
        <f>'Raw Data'!D884</f>
        <v>45748</v>
      </c>
      <c r="E884" t="str">
        <f t="shared" si="65"/>
        <v>Apr</v>
      </c>
      <c r="F884" s="5">
        <f>'Raw Data'!E884</f>
        <v>98</v>
      </c>
      <c r="G884" s="4">
        <f>'Raw Data'!F884</f>
        <v>14609.76</v>
      </c>
      <c r="H884" s="4">
        <f>'Raw Data'!G884</f>
        <v>11027.2</v>
      </c>
      <c r="I884" s="4">
        <f t="shared" si="66"/>
        <v>3582.5599999999995</v>
      </c>
      <c r="J884" s="8">
        <f t="shared" si="67"/>
        <v>0.24521689610233155</v>
      </c>
      <c r="K884" s="6">
        <f>'Raw Data'!I884</f>
        <v>3.63</v>
      </c>
      <c r="L884" s="5">
        <f>'Raw Data'!J884</f>
        <v>25</v>
      </c>
      <c r="M884" s="5">
        <f>IF(COUNTIFS($A$2:A884,A884,$D$2:D884,D884)=1,L884,0)</f>
        <v>25</v>
      </c>
      <c r="N884" s="4">
        <f t="shared" si="68"/>
        <v>584.3904</v>
      </c>
      <c r="O884" t="str">
        <f t="shared" si="69"/>
        <v>OK</v>
      </c>
    </row>
    <row r="885" spans="1:15">
      <c r="A885" t="str">
        <f>'Raw Data'!A885</f>
        <v>Cleveland RM-13</v>
      </c>
      <c r="B885" t="str">
        <f>'Raw Data'!B885</f>
        <v>Midwest</v>
      </c>
      <c r="C885" t="str">
        <f>'Raw Data'!C885</f>
        <v>Home Goods</v>
      </c>
      <c r="D885" s="3">
        <f>'Raw Data'!D885</f>
        <v>45748</v>
      </c>
      <c r="E885" t="str">
        <f t="shared" si="65"/>
        <v>Apr</v>
      </c>
      <c r="F885" s="5">
        <f>'Raw Data'!E885</f>
        <v>89</v>
      </c>
      <c r="G885" s="4">
        <f>'Raw Data'!F885</f>
        <v>7149.5</v>
      </c>
      <c r="H885" s="4">
        <f>'Raw Data'!G885</f>
        <v>4621.2700000000004</v>
      </c>
      <c r="I885" s="4">
        <f t="shared" si="66"/>
        <v>2528.2299999999996</v>
      </c>
      <c r="J885" s="8">
        <f t="shared" si="67"/>
        <v>0.35362333030281834</v>
      </c>
      <c r="K885" s="6">
        <f>'Raw Data'!I885</f>
        <v>3.68</v>
      </c>
      <c r="L885" s="5">
        <f>'Raw Data'!J885</f>
        <v>25</v>
      </c>
      <c r="M885" s="5">
        <f>IF(COUNTIFS($A$2:A885,A885,$D$2:D885,D885)=1,L885,0)</f>
        <v>0</v>
      </c>
      <c r="N885" s="4">
        <f t="shared" si="68"/>
        <v>285.98</v>
      </c>
      <c r="O885" t="str">
        <f t="shared" si="69"/>
        <v>OK</v>
      </c>
    </row>
    <row r="886" spans="1:15">
      <c r="A886" t="str">
        <f>'Raw Data'!A886</f>
        <v>Cleveland RM-13</v>
      </c>
      <c r="B886" t="str">
        <f>'Raw Data'!B886</f>
        <v>Midwest</v>
      </c>
      <c r="C886" t="str">
        <f>'Raw Data'!C886</f>
        <v>Apparel</v>
      </c>
      <c r="D886" s="3">
        <f>'Raw Data'!D886</f>
        <v>45748</v>
      </c>
      <c r="E886" t="str">
        <f t="shared" si="65"/>
        <v>Apr</v>
      </c>
      <c r="F886" s="5">
        <f>'Raw Data'!E886</f>
        <v>152</v>
      </c>
      <c r="G886" s="4">
        <f>'Raw Data'!F886</f>
        <v>7302.81</v>
      </c>
      <c r="H886" s="4">
        <f>'Raw Data'!G886</f>
        <v>4450.08</v>
      </c>
      <c r="I886" s="4">
        <f t="shared" si="66"/>
        <v>2852.7300000000005</v>
      </c>
      <c r="J886" s="8">
        <f t="shared" si="67"/>
        <v>0.39063456395551854</v>
      </c>
      <c r="K886" s="6">
        <f>'Raw Data'!I886</f>
        <v>3.41</v>
      </c>
      <c r="L886" s="5">
        <f>'Raw Data'!J886</f>
        <v>25</v>
      </c>
      <c r="M886" s="5">
        <f>IF(COUNTIFS($A$2:A886,A886,$D$2:D886,D886)=1,L886,0)</f>
        <v>0</v>
      </c>
      <c r="N886" s="4">
        <f t="shared" si="68"/>
        <v>292.11240000000004</v>
      </c>
      <c r="O886" t="str">
        <f t="shared" si="69"/>
        <v>OK</v>
      </c>
    </row>
    <row r="887" spans="1:15">
      <c r="A887" t="str">
        <f>'Raw Data'!A887</f>
        <v>Cleveland RM-13</v>
      </c>
      <c r="B887" t="str">
        <f>'Raw Data'!B887</f>
        <v>Midwest</v>
      </c>
      <c r="C887" t="str">
        <f>'Raw Data'!C887</f>
        <v>Beauty</v>
      </c>
      <c r="D887" s="3">
        <f>'Raw Data'!D887</f>
        <v>45748</v>
      </c>
      <c r="E887" t="str">
        <f t="shared" si="65"/>
        <v>Apr</v>
      </c>
      <c r="F887" s="5">
        <f>'Raw Data'!E887</f>
        <v>88</v>
      </c>
      <c r="G887" s="4">
        <f>'Raw Data'!F887</f>
        <v>3282.19</v>
      </c>
      <c r="H887" s="4">
        <f>'Raw Data'!G887</f>
        <v>1524.06</v>
      </c>
      <c r="I887" s="4">
        <f t="shared" si="66"/>
        <v>1758.13</v>
      </c>
      <c r="J887" s="8">
        <f t="shared" si="67"/>
        <v>0.53565759447198369</v>
      </c>
      <c r="K887" s="6">
        <f>'Raw Data'!I887</f>
        <v>3.64</v>
      </c>
      <c r="L887" s="5">
        <f>'Raw Data'!J887</f>
        <v>25</v>
      </c>
      <c r="M887" s="5">
        <f>IF(COUNTIFS($A$2:A887,A887,$D$2:D887,D887)=1,L887,0)</f>
        <v>0</v>
      </c>
      <c r="N887" s="4">
        <f t="shared" si="68"/>
        <v>131.2876</v>
      </c>
      <c r="O887" t="str">
        <f t="shared" si="69"/>
        <v>OK</v>
      </c>
    </row>
    <row r="888" spans="1:15">
      <c r="A888" t="str">
        <f>'Raw Data'!A888</f>
        <v>Cleveland RM-13</v>
      </c>
      <c r="B888" t="str">
        <f>'Raw Data'!B888</f>
        <v>Midwest</v>
      </c>
      <c r="C888" t="str">
        <f>'Raw Data'!C888</f>
        <v>Grocery</v>
      </c>
      <c r="D888" s="3">
        <f>'Raw Data'!D888</f>
        <v>45748</v>
      </c>
      <c r="E888" t="str">
        <f t="shared" si="65"/>
        <v>Apr</v>
      </c>
      <c r="F888" s="5">
        <f>'Raw Data'!E888</f>
        <v>167</v>
      </c>
      <c r="G888" s="4">
        <f>'Raw Data'!F888</f>
        <v>2900.55</v>
      </c>
      <c r="H888" s="4">
        <f>'Raw Data'!G888</f>
        <v>2565.92</v>
      </c>
      <c r="I888" s="4">
        <f t="shared" si="66"/>
        <v>334.63000000000011</v>
      </c>
      <c r="J888" s="8">
        <f t="shared" si="67"/>
        <v>0.11536777507714058</v>
      </c>
      <c r="K888" s="6">
        <f>'Raw Data'!I888</f>
        <v>3.38</v>
      </c>
      <c r="L888" s="5">
        <f>'Raw Data'!J888</f>
        <v>25</v>
      </c>
      <c r="M888" s="5">
        <f>IF(COUNTIFS($A$2:A888,A888,$D$2:D888,D888)=1,L888,0)</f>
        <v>0</v>
      </c>
      <c r="N888" s="4">
        <f t="shared" si="68"/>
        <v>116.02200000000001</v>
      </c>
      <c r="O888" t="str">
        <f t="shared" si="69"/>
        <v>OK</v>
      </c>
    </row>
    <row r="889" spans="1:15">
      <c r="A889" t="str">
        <f>'Raw Data'!A889</f>
        <v>Cleveland RM-13</v>
      </c>
      <c r="B889" t="str">
        <f>'Raw Data'!B889</f>
        <v>Midwest</v>
      </c>
      <c r="C889" t="str">
        <f>'Raw Data'!C889</f>
        <v>Sports</v>
      </c>
      <c r="D889" s="3">
        <f>'Raw Data'!D889</f>
        <v>45748</v>
      </c>
      <c r="E889" t="str">
        <f t="shared" si="65"/>
        <v>Apr</v>
      </c>
      <c r="F889" s="5">
        <f>'Raw Data'!E889</f>
        <v>74</v>
      </c>
      <c r="G889" s="4">
        <f>'Raw Data'!F889</f>
        <v>4840.46</v>
      </c>
      <c r="H889" s="4">
        <f>'Raw Data'!G889</f>
        <v>3164.37</v>
      </c>
      <c r="I889" s="4">
        <f t="shared" si="66"/>
        <v>1676.0900000000001</v>
      </c>
      <c r="J889" s="8">
        <f t="shared" si="67"/>
        <v>0.34626667713399145</v>
      </c>
      <c r="K889" s="6">
        <f>'Raw Data'!I889</f>
        <v>3.53</v>
      </c>
      <c r="L889" s="5">
        <f>'Raw Data'!J889</f>
        <v>25</v>
      </c>
      <c r="M889" s="5">
        <f>IF(COUNTIFS($A$2:A889,A889,$D$2:D889,D889)=1,L889,0)</f>
        <v>0</v>
      </c>
      <c r="N889" s="4">
        <f t="shared" si="68"/>
        <v>193.61840000000001</v>
      </c>
      <c r="O889" t="str">
        <f t="shared" si="69"/>
        <v>OK</v>
      </c>
    </row>
    <row r="890" spans="1:15">
      <c r="A890" t="str">
        <f>'Raw Data'!A890</f>
        <v>Cleveland RM-13</v>
      </c>
      <c r="B890" t="str">
        <f>'Raw Data'!B890</f>
        <v>Midwest</v>
      </c>
      <c r="C890" t="str">
        <f>'Raw Data'!C890</f>
        <v>Electronics</v>
      </c>
      <c r="D890" s="3">
        <f>'Raw Data'!D890</f>
        <v>45778</v>
      </c>
      <c r="E890" t="str">
        <f t="shared" si="65"/>
        <v>May</v>
      </c>
      <c r="F890" s="5">
        <f>'Raw Data'!E890</f>
        <v>103</v>
      </c>
      <c r="G890" s="4">
        <f>'Raw Data'!F890</f>
        <v>14074.22</v>
      </c>
      <c r="H890" s="4">
        <f>'Raw Data'!G890</f>
        <v>11006.71</v>
      </c>
      <c r="I890" s="4">
        <f t="shared" si="66"/>
        <v>3067.51</v>
      </c>
      <c r="J890" s="8">
        <f t="shared" si="67"/>
        <v>0.21795239807250422</v>
      </c>
      <c r="K890" s="6">
        <f>'Raw Data'!I890</f>
        <v>3.58</v>
      </c>
      <c r="L890" s="5">
        <f>'Raw Data'!J890</f>
        <v>27</v>
      </c>
      <c r="M890" s="5">
        <f>IF(COUNTIFS($A$2:A890,A890,$D$2:D890,D890)=1,L890,0)</f>
        <v>27</v>
      </c>
      <c r="N890" s="4">
        <f t="shared" si="68"/>
        <v>521.2674074074074</v>
      </c>
      <c r="O890" t="str">
        <f t="shared" si="69"/>
        <v>OK</v>
      </c>
    </row>
    <row r="891" spans="1:15">
      <c r="A891" t="str">
        <f>'Raw Data'!A891</f>
        <v>Cleveland RM-13</v>
      </c>
      <c r="B891" t="str">
        <f>'Raw Data'!B891</f>
        <v>Midwest</v>
      </c>
      <c r="C891" t="str">
        <f>'Raw Data'!C891</f>
        <v>Home Goods</v>
      </c>
      <c r="D891" s="3">
        <f>'Raw Data'!D891</f>
        <v>45778</v>
      </c>
      <c r="E891" t="str">
        <f t="shared" si="65"/>
        <v>May</v>
      </c>
      <c r="F891" s="5">
        <f>'Raw Data'!E891</f>
        <v>92</v>
      </c>
      <c r="G891" s="4">
        <f>'Raw Data'!F891</f>
        <v>7200.36</v>
      </c>
      <c r="H891" s="4">
        <f>'Raw Data'!G891</f>
        <v>4814.99</v>
      </c>
      <c r="I891" s="4">
        <f t="shared" si="66"/>
        <v>2385.37</v>
      </c>
      <c r="J891" s="8">
        <f t="shared" si="67"/>
        <v>0.33128482464765652</v>
      </c>
      <c r="K891" s="6">
        <f>'Raw Data'!I891</f>
        <v>3.66</v>
      </c>
      <c r="L891" s="5">
        <f>'Raw Data'!J891</f>
        <v>27</v>
      </c>
      <c r="M891" s="5">
        <f>IF(COUNTIFS($A$2:A891,A891,$D$2:D891,D891)=1,L891,0)</f>
        <v>0</v>
      </c>
      <c r="N891" s="4">
        <f t="shared" si="68"/>
        <v>266.68</v>
      </c>
      <c r="O891" t="str">
        <f t="shared" si="69"/>
        <v>OK</v>
      </c>
    </row>
    <row r="892" spans="1:15">
      <c r="A892" t="str">
        <f>'Raw Data'!A892</f>
        <v>Cleveland RM-13</v>
      </c>
      <c r="B892" t="str">
        <f>'Raw Data'!B892</f>
        <v>Midwest</v>
      </c>
      <c r="C892" t="str">
        <f>'Raw Data'!C892</f>
        <v>Apparel</v>
      </c>
      <c r="D892" s="3">
        <f>'Raw Data'!D892</f>
        <v>45778</v>
      </c>
      <c r="E892" t="str">
        <f t="shared" si="65"/>
        <v>May</v>
      </c>
      <c r="F892" s="5">
        <f>'Raw Data'!E892</f>
        <v>111</v>
      </c>
      <c r="G892" s="4">
        <f>'Raw Data'!F892</f>
        <v>5062.47</v>
      </c>
      <c r="H892" s="4">
        <f>'Raw Data'!G892</f>
        <v>3136.26</v>
      </c>
      <c r="I892" s="4">
        <f t="shared" si="66"/>
        <v>1926.21</v>
      </c>
      <c r="J892" s="8">
        <f t="shared" si="67"/>
        <v>0.38048818067070028</v>
      </c>
      <c r="K892" s="6">
        <f>'Raw Data'!I892</f>
        <v>3.42</v>
      </c>
      <c r="L892" s="5">
        <f>'Raw Data'!J892</f>
        <v>27</v>
      </c>
      <c r="M892" s="5">
        <f>IF(COUNTIFS($A$2:A892,A892,$D$2:D892,D892)=1,L892,0)</f>
        <v>0</v>
      </c>
      <c r="N892" s="4">
        <f t="shared" si="68"/>
        <v>187.4988888888889</v>
      </c>
      <c r="O892" t="str">
        <f t="shared" si="69"/>
        <v>OK</v>
      </c>
    </row>
    <row r="893" spans="1:15">
      <c r="A893" t="str">
        <f>'Raw Data'!A893</f>
        <v>Cleveland RM-13</v>
      </c>
      <c r="B893" t="str">
        <f>'Raw Data'!B893</f>
        <v>Midwest</v>
      </c>
      <c r="C893" t="str">
        <f>'Raw Data'!C893</f>
        <v>Beauty</v>
      </c>
      <c r="D893" s="3">
        <f>'Raw Data'!D893</f>
        <v>45778</v>
      </c>
      <c r="E893" t="str">
        <f t="shared" si="65"/>
        <v>May</v>
      </c>
      <c r="F893" s="5">
        <f>'Raw Data'!E893</f>
        <v>97</v>
      </c>
      <c r="G893" s="4">
        <f>'Raw Data'!F893</f>
        <v>3667.18</v>
      </c>
      <c r="H893" s="4">
        <f>'Raw Data'!G893</f>
        <v>1753.76</v>
      </c>
      <c r="I893" s="4">
        <f t="shared" si="66"/>
        <v>1913.4199999999998</v>
      </c>
      <c r="J893" s="8">
        <f t="shared" si="67"/>
        <v>0.52176877055394066</v>
      </c>
      <c r="K893" s="6">
        <f>'Raw Data'!I893</f>
        <v>3.42</v>
      </c>
      <c r="L893" s="5">
        <f>'Raw Data'!J893</f>
        <v>27</v>
      </c>
      <c r="M893" s="5">
        <f>IF(COUNTIFS($A$2:A893,A893,$D$2:D893,D893)=1,L893,0)</f>
        <v>0</v>
      </c>
      <c r="N893" s="4">
        <f t="shared" si="68"/>
        <v>135.82148148148147</v>
      </c>
      <c r="O893" t="str">
        <f t="shared" si="69"/>
        <v>OK</v>
      </c>
    </row>
    <row r="894" spans="1:15">
      <c r="A894" t="str">
        <f>'Raw Data'!A894</f>
        <v>Cleveland RM-13</v>
      </c>
      <c r="B894" t="str">
        <f>'Raw Data'!B894</f>
        <v>Midwest</v>
      </c>
      <c r="C894" t="str">
        <f>'Raw Data'!C894</f>
        <v>Grocery</v>
      </c>
      <c r="D894" s="3">
        <f>'Raw Data'!D894</f>
        <v>45778</v>
      </c>
      <c r="E894" t="str">
        <f t="shared" si="65"/>
        <v>May</v>
      </c>
      <c r="F894" s="5">
        <f>'Raw Data'!E894</f>
        <v>174</v>
      </c>
      <c r="G894" s="4">
        <f>'Raw Data'!F894</f>
        <v>3117.33</v>
      </c>
      <c r="H894" s="4">
        <f>'Raw Data'!G894</f>
        <v>2845.24</v>
      </c>
      <c r="I894" s="4">
        <f t="shared" si="66"/>
        <v>272.09000000000015</v>
      </c>
      <c r="J894" s="8">
        <f t="shared" si="67"/>
        <v>8.728302746260426E-2</v>
      </c>
      <c r="K894" s="6">
        <f>'Raw Data'!I894</f>
        <v>3.53</v>
      </c>
      <c r="L894" s="5">
        <f>'Raw Data'!J894</f>
        <v>27</v>
      </c>
      <c r="M894" s="5">
        <f>IF(COUNTIFS($A$2:A894,A894,$D$2:D894,D894)=1,L894,0)</f>
        <v>0</v>
      </c>
      <c r="N894" s="4">
        <f t="shared" si="68"/>
        <v>115.45666666666666</v>
      </c>
      <c r="O894" t="str">
        <f t="shared" si="69"/>
        <v>OK</v>
      </c>
    </row>
    <row r="895" spans="1:15">
      <c r="A895" t="str">
        <f>'Raw Data'!A895</f>
        <v>Cleveland RM-13</v>
      </c>
      <c r="B895" t="str">
        <f>'Raw Data'!B895</f>
        <v>Midwest</v>
      </c>
      <c r="C895" t="str">
        <f>'Raw Data'!C895</f>
        <v>Sports</v>
      </c>
      <c r="D895" s="3">
        <f>'Raw Data'!D895</f>
        <v>45778</v>
      </c>
      <c r="E895" t="str">
        <f t="shared" si="65"/>
        <v>May</v>
      </c>
      <c r="F895" s="5">
        <f>'Raw Data'!E895</f>
        <v>91</v>
      </c>
      <c r="G895" s="4">
        <f>'Raw Data'!F895</f>
        <v>5724.86</v>
      </c>
      <c r="H895" s="4">
        <f>'Raw Data'!G895</f>
        <v>3606.37</v>
      </c>
      <c r="I895" s="4">
        <f t="shared" si="66"/>
        <v>2118.4899999999998</v>
      </c>
      <c r="J895" s="8">
        <f t="shared" si="67"/>
        <v>0.37005097067875892</v>
      </c>
      <c r="K895" s="6">
        <f>'Raw Data'!I895</f>
        <v>3.53</v>
      </c>
      <c r="L895" s="5">
        <f>'Raw Data'!J895</f>
        <v>27</v>
      </c>
      <c r="M895" s="5">
        <f>IF(COUNTIFS($A$2:A895,A895,$D$2:D895,D895)=1,L895,0)</f>
        <v>0</v>
      </c>
      <c r="N895" s="4">
        <f t="shared" si="68"/>
        <v>212.03185185185183</v>
      </c>
      <c r="O895" t="str">
        <f t="shared" si="69"/>
        <v>OK</v>
      </c>
    </row>
    <row r="896" spans="1:15">
      <c r="A896" t="str">
        <f>'Raw Data'!A896</f>
        <v>Cleveland RM-13</v>
      </c>
      <c r="B896" t="str">
        <f>'Raw Data'!B896</f>
        <v>Midwest</v>
      </c>
      <c r="C896" t="str">
        <f>'Raw Data'!C896</f>
        <v>Electronics</v>
      </c>
      <c r="D896" s="3">
        <f>'Raw Data'!D896</f>
        <v>45809</v>
      </c>
      <c r="E896" t="str">
        <f t="shared" si="65"/>
        <v>Jun</v>
      </c>
      <c r="F896" s="5">
        <f>'Raw Data'!E896</f>
        <v>120</v>
      </c>
      <c r="G896" s="4">
        <f>'Raw Data'!F896</f>
        <v>18005.88</v>
      </c>
      <c r="H896" s="4">
        <f>'Raw Data'!G896</f>
        <v>14393.59</v>
      </c>
      <c r="I896" s="4">
        <f t="shared" si="66"/>
        <v>3612.2900000000009</v>
      </c>
      <c r="J896" s="8">
        <f t="shared" si="67"/>
        <v>0.20061724281179263</v>
      </c>
      <c r="K896" s="6">
        <f>'Raw Data'!I896</f>
        <v>3.67</v>
      </c>
      <c r="L896" s="5">
        <f>'Raw Data'!J896</f>
        <v>27</v>
      </c>
      <c r="M896" s="5">
        <f>IF(COUNTIFS($A$2:A896,A896,$D$2:D896,D896)=1,L896,0)</f>
        <v>27</v>
      </c>
      <c r="N896" s="4">
        <f t="shared" si="68"/>
        <v>666.88444444444451</v>
      </c>
      <c r="O896" t="str">
        <f t="shared" si="69"/>
        <v>OK</v>
      </c>
    </row>
    <row r="897" spans="1:15">
      <c r="A897" t="str">
        <f>'Raw Data'!A897</f>
        <v>Cleveland RM-13</v>
      </c>
      <c r="B897" t="str">
        <f>'Raw Data'!B897</f>
        <v>Midwest</v>
      </c>
      <c r="C897" t="str">
        <f>'Raw Data'!C897</f>
        <v>Home Goods</v>
      </c>
      <c r="D897" s="3">
        <f>'Raw Data'!D897</f>
        <v>45809</v>
      </c>
      <c r="E897" t="str">
        <f t="shared" si="65"/>
        <v>Jun</v>
      </c>
      <c r="F897" s="5">
        <f>'Raw Data'!E897</f>
        <v>102</v>
      </c>
      <c r="G897" s="4">
        <f>'Raw Data'!F897</f>
        <v>8078.4</v>
      </c>
      <c r="H897" s="4">
        <f>'Raw Data'!G897</f>
        <v>5371.33</v>
      </c>
      <c r="I897" s="4">
        <f t="shared" si="66"/>
        <v>2707.0699999999997</v>
      </c>
      <c r="J897" s="8">
        <f t="shared" si="67"/>
        <v>0.33509977223212517</v>
      </c>
      <c r="K897" s="6">
        <f>'Raw Data'!I897</f>
        <v>3.73</v>
      </c>
      <c r="L897" s="5">
        <f>'Raw Data'!J897</f>
        <v>27</v>
      </c>
      <c r="M897" s="5">
        <f>IF(COUNTIFS($A$2:A897,A897,$D$2:D897,D897)=1,L897,0)</f>
        <v>0</v>
      </c>
      <c r="N897" s="4">
        <f t="shared" si="68"/>
        <v>299.2</v>
      </c>
      <c r="O897" t="str">
        <f t="shared" si="69"/>
        <v>OK</v>
      </c>
    </row>
    <row r="898" spans="1:15">
      <c r="A898" t="str">
        <f>'Raw Data'!A898</f>
        <v>Cleveland RM-13</v>
      </c>
      <c r="B898" t="str">
        <f>'Raw Data'!B898</f>
        <v>Midwest</v>
      </c>
      <c r="C898" t="str">
        <f>'Raw Data'!C898</f>
        <v>Apparel</v>
      </c>
      <c r="D898" s="3">
        <f>'Raw Data'!D898</f>
        <v>45809</v>
      </c>
      <c r="E898" t="str">
        <f t="shared" ref="E898:E961" si="70">TEXT(D898,"mmm")</f>
        <v>Jun</v>
      </c>
      <c r="F898" s="5">
        <f>'Raw Data'!E898</f>
        <v>118</v>
      </c>
      <c r="G898" s="4">
        <f>'Raw Data'!F898</f>
        <v>5421.88</v>
      </c>
      <c r="H898" s="4">
        <f>'Raw Data'!G898</f>
        <v>3209.12</v>
      </c>
      <c r="I898" s="4">
        <f t="shared" ref="I898:I961" si="71">G898-H898</f>
        <v>2212.7600000000002</v>
      </c>
      <c r="J898" s="8">
        <f t="shared" ref="J898:J961" si="72">IFERROR(I898/G898,0)</f>
        <v>0.40811674179435919</v>
      </c>
      <c r="K898" s="6">
        <f>'Raw Data'!I898</f>
        <v>3.6</v>
      </c>
      <c r="L898" s="5">
        <f>'Raw Data'!J898</f>
        <v>27</v>
      </c>
      <c r="M898" s="5">
        <f>IF(COUNTIFS($A$2:A898,A898,$D$2:D898,D898)=1,L898,0)</f>
        <v>0</v>
      </c>
      <c r="N898" s="4">
        <f t="shared" ref="N898:N961" si="73">IFERROR(G898/L898,0)</f>
        <v>200.81037037037038</v>
      </c>
      <c r="O898" t="str">
        <f t="shared" ref="O898:O961" si="74">IF(OR(A898="",B898="",C898="",F898&lt;0,G898&lt;0,H898&lt;0,K898&lt;1,K898&gt;5),"Review","OK")</f>
        <v>OK</v>
      </c>
    </row>
    <row r="899" spans="1:15">
      <c r="A899" t="str">
        <f>'Raw Data'!A899</f>
        <v>Cleveland RM-13</v>
      </c>
      <c r="B899" t="str">
        <f>'Raw Data'!B899</f>
        <v>Midwest</v>
      </c>
      <c r="C899" t="str">
        <f>'Raw Data'!C899</f>
        <v>Beauty</v>
      </c>
      <c r="D899" s="3">
        <f>'Raw Data'!D899</f>
        <v>45809</v>
      </c>
      <c r="E899" t="str">
        <f t="shared" si="70"/>
        <v>Jun</v>
      </c>
      <c r="F899" s="5">
        <f>'Raw Data'!E899</f>
        <v>105</v>
      </c>
      <c r="G899" s="4">
        <f>'Raw Data'!F899</f>
        <v>3837.46</v>
      </c>
      <c r="H899" s="4">
        <f>'Raw Data'!G899</f>
        <v>1930.78</v>
      </c>
      <c r="I899" s="4">
        <f t="shared" si="71"/>
        <v>1906.68</v>
      </c>
      <c r="J899" s="8">
        <f t="shared" si="72"/>
        <v>0.49685990212275827</v>
      </c>
      <c r="K899" s="6">
        <f>'Raw Data'!I899</f>
        <v>3.49</v>
      </c>
      <c r="L899" s="5">
        <f>'Raw Data'!J899</f>
        <v>27</v>
      </c>
      <c r="M899" s="5">
        <f>IF(COUNTIFS($A$2:A899,A899,$D$2:D899,D899)=1,L899,0)</f>
        <v>0</v>
      </c>
      <c r="N899" s="4">
        <f t="shared" si="73"/>
        <v>142.12814814814814</v>
      </c>
      <c r="O899" t="str">
        <f t="shared" si="74"/>
        <v>OK</v>
      </c>
    </row>
    <row r="900" spans="1:15">
      <c r="A900" t="str">
        <f>'Raw Data'!A900</f>
        <v>Cleveland RM-13</v>
      </c>
      <c r="B900" t="str">
        <f>'Raw Data'!B900</f>
        <v>Midwest</v>
      </c>
      <c r="C900" t="str">
        <f>'Raw Data'!C900</f>
        <v>Grocery</v>
      </c>
      <c r="D900" s="3">
        <f>'Raw Data'!D900</f>
        <v>45809</v>
      </c>
      <c r="E900" t="str">
        <f t="shared" si="70"/>
        <v>Jun</v>
      </c>
      <c r="F900" s="5">
        <f>'Raw Data'!E900</f>
        <v>180</v>
      </c>
      <c r="G900" s="4">
        <f>'Raw Data'!F900</f>
        <v>3201.57</v>
      </c>
      <c r="H900" s="4">
        <f>'Raw Data'!G900</f>
        <v>2898.16</v>
      </c>
      <c r="I900" s="4">
        <f t="shared" si="71"/>
        <v>303.41000000000031</v>
      </c>
      <c r="J900" s="8">
        <f t="shared" si="72"/>
        <v>9.4769128896135424E-2</v>
      </c>
      <c r="K900" s="6">
        <f>'Raw Data'!I900</f>
        <v>3.59</v>
      </c>
      <c r="L900" s="5">
        <f>'Raw Data'!J900</f>
        <v>27</v>
      </c>
      <c r="M900" s="5">
        <f>IF(COUNTIFS($A$2:A900,A900,$D$2:D900,D900)=1,L900,0)</f>
        <v>0</v>
      </c>
      <c r="N900" s="4">
        <f t="shared" si="73"/>
        <v>118.57666666666667</v>
      </c>
      <c r="O900" t="str">
        <f t="shared" si="74"/>
        <v>OK</v>
      </c>
    </row>
    <row r="901" spans="1:15">
      <c r="A901" t="str">
        <f>'Raw Data'!A901</f>
        <v>Cleveland RM-13</v>
      </c>
      <c r="B901" t="str">
        <f>'Raw Data'!B901</f>
        <v>Midwest</v>
      </c>
      <c r="C901" t="str">
        <f>'Raw Data'!C901</f>
        <v>Sports</v>
      </c>
      <c r="D901" s="3">
        <f>'Raw Data'!D901</f>
        <v>45809</v>
      </c>
      <c r="E901" t="str">
        <f t="shared" si="70"/>
        <v>Jun</v>
      </c>
      <c r="F901" s="5">
        <f>'Raw Data'!E901</f>
        <v>86</v>
      </c>
      <c r="G901" s="4">
        <f>'Raw Data'!F901</f>
        <v>5394.69</v>
      </c>
      <c r="H901" s="4">
        <f>'Raw Data'!G901</f>
        <v>3435.22</v>
      </c>
      <c r="I901" s="4">
        <f t="shared" si="71"/>
        <v>1959.4699999999998</v>
      </c>
      <c r="J901" s="8">
        <f t="shared" si="72"/>
        <v>0.3632219830981947</v>
      </c>
      <c r="K901" s="6">
        <f>'Raw Data'!I901</f>
        <v>3.46</v>
      </c>
      <c r="L901" s="5">
        <f>'Raw Data'!J901</f>
        <v>27</v>
      </c>
      <c r="M901" s="5">
        <f>IF(COUNTIFS($A$2:A901,A901,$D$2:D901,D901)=1,L901,0)</f>
        <v>0</v>
      </c>
      <c r="N901" s="4">
        <f t="shared" si="73"/>
        <v>199.80333333333331</v>
      </c>
      <c r="O901" t="str">
        <f t="shared" si="74"/>
        <v>OK</v>
      </c>
    </row>
    <row r="902" spans="1:15">
      <c r="A902" t="str">
        <f>'Raw Data'!A902</f>
        <v>Cleveland RM-13</v>
      </c>
      <c r="B902" t="str">
        <f>'Raw Data'!B902</f>
        <v>Midwest</v>
      </c>
      <c r="C902" t="str">
        <f>'Raw Data'!C902</f>
        <v>Electronics</v>
      </c>
      <c r="D902" s="3">
        <f>'Raw Data'!D902</f>
        <v>45839</v>
      </c>
      <c r="E902" t="str">
        <f t="shared" si="70"/>
        <v>Jul</v>
      </c>
      <c r="F902" s="5">
        <f>'Raw Data'!E902</f>
        <v>122</v>
      </c>
      <c r="G902" s="4">
        <f>'Raw Data'!F902</f>
        <v>18609.04</v>
      </c>
      <c r="H902" s="4">
        <f>'Raw Data'!G902</f>
        <v>14935.84</v>
      </c>
      <c r="I902" s="4">
        <f t="shared" si="71"/>
        <v>3673.2000000000007</v>
      </c>
      <c r="J902" s="8">
        <f t="shared" si="72"/>
        <v>0.19738793618585379</v>
      </c>
      <c r="K902" s="6">
        <f>'Raw Data'!I902</f>
        <v>3.69</v>
      </c>
      <c r="L902" s="5">
        <f>'Raw Data'!J902</f>
        <v>27</v>
      </c>
      <c r="M902" s="5">
        <f>IF(COUNTIFS($A$2:A902,A902,$D$2:D902,D902)=1,L902,0)</f>
        <v>27</v>
      </c>
      <c r="N902" s="4">
        <f t="shared" si="73"/>
        <v>689.22370370370379</v>
      </c>
      <c r="O902" t="str">
        <f t="shared" si="74"/>
        <v>OK</v>
      </c>
    </row>
    <row r="903" spans="1:15">
      <c r="A903" t="str">
        <f>'Raw Data'!A903</f>
        <v>Cleveland RM-13</v>
      </c>
      <c r="B903" t="str">
        <f>'Raw Data'!B903</f>
        <v>Midwest</v>
      </c>
      <c r="C903" t="str">
        <f>'Raw Data'!C903</f>
        <v>Home Goods</v>
      </c>
      <c r="D903" s="3">
        <f>'Raw Data'!D903</f>
        <v>45839</v>
      </c>
      <c r="E903" t="str">
        <f t="shared" si="70"/>
        <v>Jul</v>
      </c>
      <c r="F903" s="5">
        <f>'Raw Data'!E903</f>
        <v>113</v>
      </c>
      <c r="G903" s="4">
        <f>'Raw Data'!F903</f>
        <v>9193.73</v>
      </c>
      <c r="H903" s="4">
        <f>'Raw Data'!G903</f>
        <v>6399.29</v>
      </c>
      <c r="I903" s="4">
        <f t="shared" si="71"/>
        <v>2794.4399999999996</v>
      </c>
      <c r="J903" s="8">
        <f t="shared" si="72"/>
        <v>0.30395062722094296</v>
      </c>
      <c r="K903" s="6">
        <f>'Raw Data'!I903</f>
        <v>3.55</v>
      </c>
      <c r="L903" s="5">
        <f>'Raw Data'!J903</f>
        <v>27</v>
      </c>
      <c r="M903" s="5">
        <f>IF(COUNTIFS($A$2:A903,A903,$D$2:D903,D903)=1,L903,0)</f>
        <v>0</v>
      </c>
      <c r="N903" s="4">
        <f t="shared" si="73"/>
        <v>340.50851851851849</v>
      </c>
      <c r="O903" t="str">
        <f t="shared" si="74"/>
        <v>OK</v>
      </c>
    </row>
    <row r="904" spans="1:15">
      <c r="A904" t="str">
        <f>'Raw Data'!A904</f>
        <v>Cleveland RM-13</v>
      </c>
      <c r="B904" t="str">
        <f>'Raw Data'!B904</f>
        <v>Midwest</v>
      </c>
      <c r="C904" t="str">
        <f>'Raw Data'!C904</f>
        <v>Apparel</v>
      </c>
      <c r="D904" s="3">
        <f>'Raw Data'!D904</f>
        <v>45839</v>
      </c>
      <c r="E904" t="str">
        <f t="shared" si="70"/>
        <v>Jul</v>
      </c>
      <c r="F904" s="5">
        <f>'Raw Data'!E904</f>
        <v>128</v>
      </c>
      <c r="G904" s="4">
        <f>'Raw Data'!F904</f>
        <v>5833.3</v>
      </c>
      <c r="H904" s="4">
        <f>'Raw Data'!G904</f>
        <v>3506.69</v>
      </c>
      <c r="I904" s="4">
        <f t="shared" si="71"/>
        <v>2326.61</v>
      </c>
      <c r="J904" s="8">
        <f t="shared" si="72"/>
        <v>0.39884970771261552</v>
      </c>
      <c r="K904" s="6">
        <f>'Raw Data'!I904</f>
        <v>3.65</v>
      </c>
      <c r="L904" s="5">
        <f>'Raw Data'!J904</f>
        <v>27</v>
      </c>
      <c r="M904" s="5">
        <f>IF(COUNTIFS($A$2:A904,A904,$D$2:D904,D904)=1,L904,0)</f>
        <v>0</v>
      </c>
      <c r="N904" s="4">
        <f t="shared" si="73"/>
        <v>216.04814814814816</v>
      </c>
      <c r="O904" t="str">
        <f t="shared" si="74"/>
        <v>OK</v>
      </c>
    </row>
    <row r="905" spans="1:15">
      <c r="A905" t="str">
        <f>'Raw Data'!A905</f>
        <v>Cleveland RM-13</v>
      </c>
      <c r="B905" t="str">
        <f>'Raw Data'!B905</f>
        <v>Midwest</v>
      </c>
      <c r="C905" t="str">
        <f>'Raw Data'!C905</f>
        <v>Beauty</v>
      </c>
      <c r="D905" s="3">
        <f>'Raw Data'!D905</f>
        <v>45839</v>
      </c>
      <c r="E905" t="str">
        <f t="shared" si="70"/>
        <v>Jul</v>
      </c>
      <c r="F905" s="5">
        <f>'Raw Data'!E905</f>
        <v>112</v>
      </c>
      <c r="G905" s="4">
        <f>'Raw Data'!F905</f>
        <v>4065.09</v>
      </c>
      <c r="H905" s="4">
        <f>'Raw Data'!G905</f>
        <v>1995.82</v>
      </c>
      <c r="I905" s="4">
        <f t="shared" si="71"/>
        <v>2069.2700000000004</v>
      </c>
      <c r="J905" s="8">
        <f t="shared" si="72"/>
        <v>0.50903424032432254</v>
      </c>
      <c r="K905" s="6">
        <f>'Raw Data'!I905</f>
        <v>3.43</v>
      </c>
      <c r="L905" s="5">
        <f>'Raw Data'!J905</f>
        <v>27</v>
      </c>
      <c r="M905" s="5">
        <f>IF(COUNTIFS($A$2:A905,A905,$D$2:D905,D905)=1,L905,0)</f>
        <v>0</v>
      </c>
      <c r="N905" s="4">
        <f t="shared" si="73"/>
        <v>150.5588888888889</v>
      </c>
      <c r="O905" t="str">
        <f t="shared" si="74"/>
        <v>OK</v>
      </c>
    </row>
    <row r="906" spans="1:15">
      <c r="A906" t="str">
        <f>'Raw Data'!A906</f>
        <v>Cleveland RM-13</v>
      </c>
      <c r="B906" t="str">
        <f>'Raw Data'!B906</f>
        <v>Midwest</v>
      </c>
      <c r="C906" t="str">
        <f>'Raw Data'!C906</f>
        <v>Grocery</v>
      </c>
      <c r="D906" s="3">
        <f>'Raw Data'!D906</f>
        <v>45839</v>
      </c>
      <c r="E906" t="str">
        <f t="shared" si="70"/>
        <v>Jul</v>
      </c>
      <c r="F906" s="5">
        <f>'Raw Data'!E906</f>
        <v>184</v>
      </c>
      <c r="G906" s="4">
        <f>'Raw Data'!F906</f>
        <v>3400.54</v>
      </c>
      <c r="H906" s="4">
        <f>'Raw Data'!G906</f>
        <v>3189.67</v>
      </c>
      <c r="I906" s="4">
        <f t="shared" si="71"/>
        <v>210.86999999999989</v>
      </c>
      <c r="J906" s="8">
        <f t="shared" si="72"/>
        <v>6.2010739470789902E-2</v>
      </c>
      <c r="K906" s="6">
        <f>'Raw Data'!I906</f>
        <v>3.47</v>
      </c>
      <c r="L906" s="5">
        <f>'Raw Data'!J906</f>
        <v>27</v>
      </c>
      <c r="M906" s="5">
        <f>IF(COUNTIFS($A$2:A906,A906,$D$2:D906,D906)=1,L906,0)</f>
        <v>0</v>
      </c>
      <c r="N906" s="4">
        <f t="shared" si="73"/>
        <v>125.94592592592592</v>
      </c>
      <c r="O906" t="str">
        <f t="shared" si="74"/>
        <v>OK</v>
      </c>
    </row>
    <row r="907" spans="1:15">
      <c r="A907" t="str">
        <f>'Raw Data'!A907</f>
        <v>Cleveland RM-13</v>
      </c>
      <c r="B907" t="str">
        <f>'Raw Data'!B907</f>
        <v>Midwest</v>
      </c>
      <c r="C907" t="str">
        <f>'Raw Data'!C907</f>
        <v>Sports</v>
      </c>
      <c r="D907" s="3">
        <f>'Raw Data'!D907</f>
        <v>45839</v>
      </c>
      <c r="E907" t="str">
        <f t="shared" si="70"/>
        <v>Jul</v>
      </c>
      <c r="F907" s="5">
        <f>'Raw Data'!E907</f>
        <v>106</v>
      </c>
      <c r="G907" s="4">
        <f>'Raw Data'!F907</f>
        <v>6592.31</v>
      </c>
      <c r="H907" s="4">
        <f>'Raw Data'!G907</f>
        <v>4354.74</v>
      </c>
      <c r="I907" s="4">
        <f t="shared" si="71"/>
        <v>2237.5700000000006</v>
      </c>
      <c r="J907" s="8">
        <f t="shared" si="72"/>
        <v>0.3394212347416915</v>
      </c>
      <c r="K907" s="6">
        <f>'Raw Data'!I907</f>
        <v>3.49</v>
      </c>
      <c r="L907" s="5">
        <f>'Raw Data'!J907</f>
        <v>27</v>
      </c>
      <c r="M907" s="5">
        <f>IF(COUNTIFS($A$2:A907,A907,$D$2:D907,D907)=1,L907,0)</f>
        <v>0</v>
      </c>
      <c r="N907" s="4">
        <f t="shared" si="73"/>
        <v>244.15962962962965</v>
      </c>
      <c r="O907" t="str">
        <f t="shared" si="74"/>
        <v>OK</v>
      </c>
    </row>
    <row r="908" spans="1:15">
      <c r="A908" t="str">
        <f>'Raw Data'!A908</f>
        <v>Cleveland RM-13</v>
      </c>
      <c r="B908" t="str">
        <f>'Raw Data'!B908</f>
        <v>Midwest</v>
      </c>
      <c r="C908" t="str">
        <f>'Raw Data'!C908</f>
        <v>Electronics</v>
      </c>
      <c r="D908" s="3">
        <f>'Raw Data'!D908</f>
        <v>45870</v>
      </c>
      <c r="E908" t="str">
        <f t="shared" si="70"/>
        <v>Aug</v>
      </c>
      <c r="F908" s="5">
        <f>'Raw Data'!E908</f>
        <v>106</v>
      </c>
      <c r="G908" s="4">
        <f>'Raw Data'!F908</f>
        <v>15128.49</v>
      </c>
      <c r="H908" s="4">
        <f>'Raw Data'!G908</f>
        <v>11930.22</v>
      </c>
      <c r="I908" s="4">
        <f t="shared" si="71"/>
        <v>3198.2700000000004</v>
      </c>
      <c r="J908" s="8">
        <f t="shared" si="72"/>
        <v>0.21140708689366886</v>
      </c>
      <c r="K908" s="6">
        <f>'Raw Data'!I908</f>
        <v>3.39</v>
      </c>
      <c r="L908" s="5">
        <f>'Raw Data'!J908</f>
        <v>27</v>
      </c>
      <c r="M908" s="5">
        <f>IF(COUNTIFS($A$2:A908,A908,$D$2:D908,D908)=1,L908,0)</f>
        <v>27</v>
      </c>
      <c r="N908" s="4">
        <f t="shared" si="73"/>
        <v>560.31444444444446</v>
      </c>
      <c r="O908" t="str">
        <f t="shared" si="74"/>
        <v>OK</v>
      </c>
    </row>
    <row r="909" spans="1:15">
      <c r="A909" t="str">
        <f>'Raw Data'!A909</f>
        <v>Cleveland RM-13</v>
      </c>
      <c r="B909" t="str">
        <f>'Raw Data'!B909</f>
        <v>Midwest</v>
      </c>
      <c r="C909" t="str">
        <f>'Raw Data'!C909</f>
        <v>Home Goods</v>
      </c>
      <c r="D909" s="3">
        <f>'Raw Data'!D909</f>
        <v>45870</v>
      </c>
      <c r="E909" t="str">
        <f t="shared" si="70"/>
        <v>Aug</v>
      </c>
      <c r="F909" s="5">
        <f>'Raw Data'!E909</f>
        <v>100</v>
      </c>
      <c r="G909" s="4">
        <f>'Raw Data'!F909</f>
        <v>7405.93</v>
      </c>
      <c r="H909" s="4">
        <f>'Raw Data'!G909</f>
        <v>4966.45</v>
      </c>
      <c r="I909" s="4">
        <f t="shared" si="71"/>
        <v>2439.4800000000005</v>
      </c>
      <c r="J909" s="8">
        <f t="shared" si="72"/>
        <v>0.32939549793206258</v>
      </c>
      <c r="K909" s="6">
        <f>'Raw Data'!I909</f>
        <v>3.65</v>
      </c>
      <c r="L909" s="5">
        <f>'Raw Data'!J909</f>
        <v>27</v>
      </c>
      <c r="M909" s="5">
        <f>IF(COUNTIFS($A$2:A909,A909,$D$2:D909,D909)=1,L909,0)</f>
        <v>0</v>
      </c>
      <c r="N909" s="4">
        <f t="shared" si="73"/>
        <v>274.29370370370373</v>
      </c>
      <c r="O909" t="str">
        <f t="shared" si="74"/>
        <v>OK</v>
      </c>
    </row>
    <row r="910" spans="1:15">
      <c r="A910" t="str">
        <f>'Raw Data'!A910</f>
        <v>Cleveland RM-13</v>
      </c>
      <c r="B910" t="str">
        <f>'Raw Data'!B910</f>
        <v>Midwest</v>
      </c>
      <c r="C910" t="str">
        <f>'Raw Data'!C910</f>
        <v>Apparel</v>
      </c>
      <c r="D910" s="3">
        <f>'Raw Data'!D910</f>
        <v>45870</v>
      </c>
      <c r="E910" t="str">
        <f t="shared" si="70"/>
        <v>Aug</v>
      </c>
      <c r="F910" s="5">
        <f>'Raw Data'!E910</f>
        <v>132</v>
      </c>
      <c r="G910" s="4">
        <f>'Raw Data'!F910</f>
        <v>6074.97</v>
      </c>
      <c r="H910" s="4">
        <f>'Raw Data'!G910</f>
        <v>3831.45</v>
      </c>
      <c r="I910" s="4">
        <f t="shared" si="71"/>
        <v>2243.5200000000004</v>
      </c>
      <c r="J910" s="8">
        <f t="shared" si="72"/>
        <v>0.36930552743470346</v>
      </c>
      <c r="K910" s="6">
        <f>'Raw Data'!I910</f>
        <v>3.7</v>
      </c>
      <c r="L910" s="5">
        <f>'Raw Data'!J910</f>
        <v>27</v>
      </c>
      <c r="M910" s="5">
        <f>IF(COUNTIFS($A$2:A910,A910,$D$2:D910,D910)=1,L910,0)</f>
        <v>0</v>
      </c>
      <c r="N910" s="4">
        <f t="shared" si="73"/>
        <v>224.9988888888889</v>
      </c>
      <c r="O910" t="str">
        <f t="shared" si="74"/>
        <v>OK</v>
      </c>
    </row>
    <row r="911" spans="1:15">
      <c r="A911" t="str">
        <f>'Raw Data'!A911</f>
        <v>Cleveland RM-13</v>
      </c>
      <c r="B911" t="str">
        <f>'Raw Data'!B911</f>
        <v>Midwest</v>
      </c>
      <c r="C911" t="str">
        <f>'Raw Data'!C911</f>
        <v>Beauty</v>
      </c>
      <c r="D911" s="3">
        <f>'Raw Data'!D911</f>
        <v>45870</v>
      </c>
      <c r="E911" t="str">
        <f t="shared" si="70"/>
        <v>Aug</v>
      </c>
      <c r="F911" s="5">
        <f>'Raw Data'!E911</f>
        <v>115</v>
      </c>
      <c r="G911" s="4">
        <f>'Raw Data'!F911</f>
        <v>4159.87</v>
      </c>
      <c r="H911" s="4">
        <f>'Raw Data'!G911</f>
        <v>2070.5500000000002</v>
      </c>
      <c r="I911" s="4">
        <f t="shared" si="71"/>
        <v>2089.3199999999997</v>
      </c>
      <c r="J911" s="8">
        <f t="shared" si="72"/>
        <v>0.50225608011788825</v>
      </c>
      <c r="K911" s="6">
        <f>'Raw Data'!I911</f>
        <v>3.49</v>
      </c>
      <c r="L911" s="5">
        <f>'Raw Data'!J911</f>
        <v>27</v>
      </c>
      <c r="M911" s="5">
        <f>IF(COUNTIFS($A$2:A911,A911,$D$2:D911,D911)=1,L911,0)</f>
        <v>0</v>
      </c>
      <c r="N911" s="4">
        <f t="shared" si="73"/>
        <v>154.06925925925927</v>
      </c>
      <c r="O911" t="str">
        <f t="shared" si="74"/>
        <v>OK</v>
      </c>
    </row>
    <row r="912" spans="1:15">
      <c r="A912" t="str">
        <f>'Raw Data'!A912</f>
        <v>Cleveland RM-13</v>
      </c>
      <c r="B912" t="str">
        <f>'Raw Data'!B912</f>
        <v>Midwest</v>
      </c>
      <c r="C912" t="str">
        <f>'Raw Data'!C912</f>
        <v>Grocery</v>
      </c>
      <c r="D912" s="3">
        <f>'Raw Data'!D912</f>
        <v>45870</v>
      </c>
      <c r="E912" t="str">
        <f t="shared" si="70"/>
        <v>Aug</v>
      </c>
      <c r="F912" s="5">
        <f>'Raw Data'!E912</f>
        <v>171</v>
      </c>
      <c r="G912" s="4">
        <f>'Raw Data'!F912</f>
        <v>3154.73</v>
      </c>
      <c r="H912" s="4">
        <f>'Raw Data'!G912</f>
        <v>2968.31</v>
      </c>
      <c r="I912" s="4">
        <f t="shared" si="71"/>
        <v>186.42000000000007</v>
      </c>
      <c r="J912" s="8">
        <f t="shared" si="72"/>
        <v>5.9092220253397304E-2</v>
      </c>
      <c r="K912" s="6">
        <f>'Raw Data'!I912</f>
        <v>3.66</v>
      </c>
      <c r="L912" s="5">
        <f>'Raw Data'!J912</f>
        <v>27</v>
      </c>
      <c r="M912" s="5">
        <f>IF(COUNTIFS($A$2:A912,A912,$D$2:D912,D912)=1,L912,0)</f>
        <v>0</v>
      </c>
      <c r="N912" s="4">
        <f t="shared" si="73"/>
        <v>116.84185185185186</v>
      </c>
      <c r="O912" t="str">
        <f t="shared" si="74"/>
        <v>OK</v>
      </c>
    </row>
    <row r="913" spans="1:15">
      <c r="A913" t="str">
        <f>'Raw Data'!A913</f>
        <v>Cleveland RM-13</v>
      </c>
      <c r="B913" t="str">
        <f>'Raw Data'!B913</f>
        <v>Midwest</v>
      </c>
      <c r="C913" t="str">
        <f>'Raw Data'!C913</f>
        <v>Sports</v>
      </c>
      <c r="D913" s="3">
        <f>'Raw Data'!D913</f>
        <v>45870</v>
      </c>
      <c r="E913" t="str">
        <f t="shared" si="70"/>
        <v>Aug</v>
      </c>
      <c r="F913" s="5">
        <f>'Raw Data'!E913</f>
        <v>102</v>
      </c>
      <c r="G913" s="4">
        <f>'Raw Data'!F913</f>
        <v>6068.51</v>
      </c>
      <c r="H913" s="4">
        <f>'Raw Data'!G913</f>
        <v>4026.66</v>
      </c>
      <c r="I913" s="4">
        <f t="shared" si="71"/>
        <v>2041.8500000000004</v>
      </c>
      <c r="J913" s="8">
        <f t="shared" si="72"/>
        <v>0.33646644728277619</v>
      </c>
      <c r="K913" s="6">
        <f>'Raw Data'!I913</f>
        <v>3.48</v>
      </c>
      <c r="L913" s="5">
        <f>'Raw Data'!J913</f>
        <v>27</v>
      </c>
      <c r="M913" s="5">
        <f>IF(COUNTIFS($A$2:A913,A913,$D$2:D913,D913)=1,L913,0)</f>
        <v>0</v>
      </c>
      <c r="N913" s="4">
        <f t="shared" si="73"/>
        <v>224.75962962962964</v>
      </c>
      <c r="O913" t="str">
        <f t="shared" si="74"/>
        <v>OK</v>
      </c>
    </row>
    <row r="914" spans="1:15">
      <c r="A914" t="str">
        <f>'Raw Data'!A914</f>
        <v>Cleveland RM-13</v>
      </c>
      <c r="B914" t="str">
        <f>'Raw Data'!B914</f>
        <v>Midwest</v>
      </c>
      <c r="C914" t="str">
        <f>'Raw Data'!C914</f>
        <v>Electronics</v>
      </c>
      <c r="D914" s="3">
        <f>'Raw Data'!D914</f>
        <v>45901</v>
      </c>
      <c r="E914" t="str">
        <f t="shared" si="70"/>
        <v>Sep</v>
      </c>
      <c r="F914" s="5">
        <f>'Raw Data'!E914</f>
        <v>106</v>
      </c>
      <c r="G914" s="4">
        <f>'Raw Data'!F914</f>
        <v>16275.94</v>
      </c>
      <c r="H914" s="4">
        <f>'Raw Data'!G914</f>
        <v>13090.78</v>
      </c>
      <c r="I914" s="4">
        <f t="shared" si="71"/>
        <v>3185.16</v>
      </c>
      <c r="J914" s="8">
        <f t="shared" si="72"/>
        <v>0.19569745280456918</v>
      </c>
      <c r="K914" s="6">
        <f>'Raw Data'!I914</f>
        <v>3.68</v>
      </c>
      <c r="L914" s="5">
        <f>'Raw Data'!J914</f>
        <v>25</v>
      </c>
      <c r="M914" s="5">
        <f>IF(COUNTIFS($A$2:A914,A914,$D$2:D914,D914)=1,L914,0)</f>
        <v>25</v>
      </c>
      <c r="N914" s="4">
        <f t="shared" si="73"/>
        <v>651.0376</v>
      </c>
      <c r="O914" t="str">
        <f t="shared" si="74"/>
        <v>OK</v>
      </c>
    </row>
    <row r="915" spans="1:15">
      <c r="A915" t="str">
        <f>'Raw Data'!A915</f>
        <v>Cleveland RM-13</v>
      </c>
      <c r="B915" t="str">
        <f>'Raw Data'!B915</f>
        <v>Midwest</v>
      </c>
      <c r="C915" t="str">
        <f>'Raw Data'!C915</f>
        <v>Home Goods</v>
      </c>
      <c r="D915" s="3">
        <f>'Raw Data'!D915</f>
        <v>45901</v>
      </c>
      <c r="E915" t="str">
        <f t="shared" si="70"/>
        <v>Sep</v>
      </c>
      <c r="F915" s="5">
        <f>'Raw Data'!E915</f>
        <v>82</v>
      </c>
      <c r="G915" s="4">
        <f>'Raw Data'!F915</f>
        <v>6363.16</v>
      </c>
      <c r="H915" s="4">
        <f>'Raw Data'!G915</f>
        <v>4448.5600000000004</v>
      </c>
      <c r="I915" s="4">
        <f t="shared" si="71"/>
        <v>1914.5999999999995</v>
      </c>
      <c r="J915" s="8">
        <f t="shared" si="72"/>
        <v>0.30088823791952418</v>
      </c>
      <c r="K915" s="6">
        <f>'Raw Data'!I915</f>
        <v>3.46</v>
      </c>
      <c r="L915" s="5">
        <f>'Raw Data'!J915</f>
        <v>25</v>
      </c>
      <c r="M915" s="5">
        <f>IF(COUNTIFS($A$2:A915,A915,$D$2:D915,D915)=1,L915,0)</f>
        <v>0</v>
      </c>
      <c r="N915" s="4">
        <f t="shared" si="73"/>
        <v>254.5264</v>
      </c>
      <c r="O915" t="str">
        <f t="shared" si="74"/>
        <v>OK</v>
      </c>
    </row>
    <row r="916" spans="1:15">
      <c r="A916" t="str">
        <f>'Raw Data'!A916</f>
        <v>Cleveland RM-13</v>
      </c>
      <c r="B916" t="str">
        <f>'Raw Data'!B916</f>
        <v>Midwest</v>
      </c>
      <c r="C916" t="str">
        <f>'Raw Data'!C916</f>
        <v>Apparel</v>
      </c>
      <c r="D916" s="3">
        <f>'Raw Data'!D916</f>
        <v>45901</v>
      </c>
      <c r="E916" t="str">
        <f t="shared" si="70"/>
        <v>Sep</v>
      </c>
      <c r="F916" s="5">
        <f>'Raw Data'!E916</f>
        <v>132</v>
      </c>
      <c r="G916" s="4">
        <f>'Raw Data'!F916</f>
        <v>6748.84</v>
      </c>
      <c r="H916" s="4">
        <f>'Raw Data'!G916</f>
        <v>4248.3599999999997</v>
      </c>
      <c r="I916" s="4">
        <f t="shared" si="71"/>
        <v>2500.4800000000005</v>
      </c>
      <c r="J916" s="8">
        <f t="shared" si="72"/>
        <v>0.37050515347822743</v>
      </c>
      <c r="K916" s="6">
        <f>'Raw Data'!I916</f>
        <v>3.62</v>
      </c>
      <c r="L916" s="5">
        <f>'Raw Data'!J916</f>
        <v>25</v>
      </c>
      <c r="M916" s="5">
        <f>IF(COUNTIFS($A$2:A916,A916,$D$2:D916,D916)=1,L916,0)</f>
        <v>0</v>
      </c>
      <c r="N916" s="4">
        <f t="shared" si="73"/>
        <v>269.95359999999999</v>
      </c>
      <c r="O916" t="str">
        <f t="shared" si="74"/>
        <v>OK</v>
      </c>
    </row>
    <row r="917" spans="1:15">
      <c r="A917" t="str">
        <f>'Raw Data'!A917</f>
        <v>Cleveland RM-13</v>
      </c>
      <c r="B917" t="str">
        <f>'Raw Data'!B917</f>
        <v>Midwest</v>
      </c>
      <c r="C917" t="str">
        <f>'Raw Data'!C917</f>
        <v>Beauty</v>
      </c>
      <c r="D917" s="3">
        <f>'Raw Data'!D917</f>
        <v>45901</v>
      </c>
      <c r="E917" t="str">
        <f t="shared" si="70"/>
        <v>Sep</v>
      </c>
      <c r="F917" s="5">
        <f>'Raw Data'!E917</f>
        <v>105</v>
      </c>
      <c r="G917" s="4">
        <f>'Raw Data'!F917</f>
        <v>3631.86</v>
      </c>
      <c r="H917" s="4">
        <f>'Raw Data'!G917</f>
        <v>1833.08</v>
      </c>
      <c r="I917" s="4">
        <f t="shared" si="71"/>
        <v>1798.7800000000002</v>
      </c>
      <c r="J917" s="8">
        <f t="shared" si="72"/>
        <v>0.49527790168123226</v>
      </c>
      <c r="K917" s="6">
        <f>'Raw Data'!I917</f>
        <v>3.71</v>
      </c>
      <c r="L917" s="5">
        <f>'Raw Data'!J917</f>
        <v>25</v>
      </c>
      <c r="M917" s="5">
        <f>IF(COUNTIFS($A$2:A917,A917,$D$2:D917,D917)=1,L917,0)</f>
        <v>0</v>
      </c>
      <c r="N917" s="4">
        <f t="shared" si="73"/>
        <v>145.27440000000001</v>
      </c>
      <c r="O917" t="str">
        <f t="shared" si="74"/>
        <v>OK</v>
      </c>
    </row>
    <row r="918" spans="1:15">
      <c r="A918" t="str">
        <f>'Raw Data'!A918</f>
        <v>Cleveland RM-13</v>
      </c>
      <c r="B918" t="str">
        <f>'Raw Data'!B918</f>
        <v>Midwest</v>
      </c>
      <c r="C918" t="str">
        <f>'Raw Data'!C918</f>
        <v>Grocery</v>
      </c>
      <c r="D918" s="3">
        <f>'Raw Data'!D918</f>
        <v>45901</v>
      </c>
      <c r="E918" t="str">
        <f t="shared" si="70"/>
        <v>Sep</v>
      </c>
      <c r="F918" s="5">
        <f>'Raw Data'!E918</f>
        <v>149</v>
      </c>
      <c r="G918" s="4">
        <f>'Raw Data'!F918</f>
        <v>2571.35</v>
      </c>
      <c r="H918" s="4">
        <f>'Raw Data'!G918</f>
        <v>2386.37</v>
      </c>
      <c r="I918" s="4">
        <f t="shared" si="71"/>
        <v>184.98000000000002</v>
      </c>
      <c r="J918" s="8">
        <f t="shared" si="72"/>
        <v>7.193886479864664E-2</v>
      </c>
      <c r="K918" s="6">
        <f>'Raw Data'!I918</f>
        <v>3.39</v>
      </c>
      <c r="L918" s="5">
        <f>'Raw Data'!J918</f>
        <v>25</v>
      </c>
      <c r="M918" s="5">
        <f>IF(COUNTIFS($A$2:A918,A918,$D$2:D918,D918)=1,L918,0)</f>
        <v>0</v>
      </c>
      <c r="N918" s="4">
        <f t="shared" si="73"/>
        <v>102.854</v>
      </c>
      <c r="O918" t="str">
        <f t="shared" si="74"/>
        <v>OK</v>
      </c>
    </row>
    <row r="919" spans="1:15">
      <c r="A919" t="str">
        <f>'Raw Data'!A919</f>
        <v>Cleveland RM-13</v>
      </c>
      <c r="B919" t="str">
        <f>'Raw Data'!B919</f>
        <v>Midwest</v>
      </c>
      <c r="C919" t="str">
        <f>'Raw Data'!C919</f>
        <v>Sports</v>
      </c>
      <c r="D919" s="3">
        <f>'Raw Data'!D919</f>
        <v>45901</v>
      </c>
      <c r="E919" t="str">
        <f t="shared" si="70"/>
        <v>Sep</v>
      </c>
      <c r="F919" s="5">
        <f>'Raw Data'!E919</f>
        <v>71</v>
      </c>
      <c r="G919" s="4">
        <f>'Raw Data'!F919</f>
        <v>4362.12</v>
      </c>
      <c r="H919" s="4">
        <f>'Raw Data'!G919</f>
        <v>2828.33</v>
      </c>
      <c r="I919" s="4">
        <f t="shared" si="71"/>
        <v>1533.79</v>
      </c>
      <c r="J919" s="8">
        <f t="shared" si="72"/>
        <v>0.35161572813219261</v>
      </c>
      <c r="K919" s="6">
        <f>'Raw Data'!I919</f>
        <v>3.47</v>
      </c>
      <c r="L919" s="5">
        <f>'Raw Data'!J919</f>
        <v>25</v>
      </c>
      <c r="M919" s="5">
        <f>IF(COUNTIFS($A$2:A919,A919,$D$2:D919,D919)=1,L919,0)</f>
        <v>0</v>
      </c>
      <c r="N919" s="4">
        <f t="shared" si="73"/>
        <v>174.48480000000001</v>
      </c>
      <c r="O919" t="str">
        <f t="shared" si="74"/>
        <v>OK</v>
      </c>
    </row>
    <row r="920" spans="1:15">
      <c r="A920" t="str">
        <f>'Raw Data'!A920</f>
        <v>Cleveland RM-13</v>
      </c>
      <c r="B920" t="str">
        <f>'Raw Data'!B920</f>
        <v>Midwest</v>
      </c>
      <c r="C920" t="str">
        <f>'Raw Data'!C920</f>
        <v>Electronics</v>
      </c>
      <c r="D920" s="3">
        <f>'Raw Data'!D920</f>
        <v>45931</v>
      </c>
      <c r="E920" t="str">
        <f t="shared" si="70"/>
        <v>Oct</v>
      </c>
      <c r="F920" s="5">
        <f>'Raw Data'!E920</f>
        <v>115</v>
      </c>
      <c r="G920" s="4">
        <f>'Raw Data'!F920</f>
        <v>16046.2</v>
      </c>
      <c r="H920" s="4">
        <f>'Raw Data'!G920</f>
        <v>12952.51</v>
      </c>
      <c r="I920" s="4">
        <f t="shared" si="71"/>
        <v>3093.6900000000005</v>
      </c>
      <c r="J920" s="8">
        <f t="shared" si="72"/>
        <v>0.19279891812391722</v>
      </c>
      <c r="K920" s="6">
        <f>'Raw Data'!I920</f>
        <v>3.59</v>
      </c>
      <c r="L920" s="5">
        <f>'Raw Data'!J920</f>
        <v>26</v>
      </c>
      <c r="M920" s="5">
        <f>IF(COUNTIFS($A$2:A920,A920,$D$2:D920,D920)=1,L920,0)</f>
        <v>26</v>
      </c>
      <c r="N920" s="4">
        <f t="shared" si="73"/>
        <v>617.1615384615385</v>
      </c>
      <c r="O920" t="str">
        <f t="shared" si="74"/>
        <v>OK</v>
      </c>
    </row>
    <row r="921" spans="1:15">
      <c r="A921" t="str">
        <f>'Raw Data'!A921</f>
        <v>Cleveland RM-13</v>
      </c>
      <c r="B921" t="str">
        <f>'Raw Data'!B921</f>
        <v>Midwest</v>
      </c>
      <c r="C921" t="str">
        <f>'Raw Data'!C921</f>
        <v>Home Goods</v>
      </c>
      <c r="D921" s="3">
        <f>'Raw Data'!D921</f>
        <v>45931</v>
      </c>
      <c r="E921" t="str">
        <f t="shared" si="70"/>
        <v>Oct</v>
      </c>
      <c r="F921" s="5">
        <f>'Raw Data'!E921</f>
        <v>100</v>
      </c>
      <c r="G921" s="4">
        <f>'Raw Data'!F921</f>
        <v>8072.02</v>
      </c>
      <c r="H921" s="4">
        <f>'Raw Data'!G921</f>
        <v>5483.06</v>
      </c>
      <c r="I921" s="4">
        <f t="shared" si="71"/>
        <v>2588.96</v>
      </c>
      <c r="J921" s="8">
        <f t="shared" si="72"/>
        <v>0.32073260472595461</v>
      </c>
      <c r="K921" s="6">
        <f>'Raw Data'!I921</f>
        <v>3.65</v>
      </c>
      <c r="L921" s="5">
        <f>'Raw Data'!J921</f>
        <v>26</v>
      </c>
      <c r="M921" s="5">
        <f>IF(COUNTIFS($A$2:A921,A921,$D$2:D921,D921)=1,L921,0)</f>
        <v>0</v>
      </c>
      <c r="N921" s="4">
        <f t="shared" si="73"/>
        <v>310.46230769230772</v>
      </c>
      <c r="O921" t="str">
        <f t="shared" si="74"/>
        <v>OK</v>
      </c>
    </row>
    <row r="922" spans="1:15">
      <c r="A922" t="str">
        <f>'Raw Data'!A922</f>
        <v>Cleveland RM-13</v>
      </c>
      <c r="B922" t="str">
        <f>'Raw Data'!B922</f>
        <v>Midwest</v>
      </c>
      <c r="C922" t="str">
        <f>'Raw Data'!C922</f>
        <v>Apparel</v>
      </c>
      <c r="D922" s="3">
        <f>'Raw Data'!D922</f>
        <v>45931</v>
      </c>
      <c r="E922" t="str">
        <f t="shared" si="70"/>
        <v>Oct</v>
      </c>
      <c r="F922" s="5">
        <f>'Raw Data'!E922</f>
        <v>135</v>
      </c>
      <c r="G922" s="4">
        <f>'Raw Data'!F922</f>
        <v>6782.01</v>
      </c>
      <c r="H922" s="4">
        <f>'Raw Data'!G922</f>
        <v>4230.59</v>
      </c>
      <c r="I922" s="4">
        <f t="shared" si="71"/>
        <v>2551.42</v>
      </c>
      <c r="J922" s="8">
        <f t="shared" si="72"/>
        <v>0.37620410468283</v>
      </c>
      <c r="K922" s="6">
        <f>'Raw Data'!I922</f>
        <v>3.48</v>
      </c>
      <c r="L922" s="5">
        <f>'Raw Data'!J922</f>
        <v>26</v>
      </c>
      <c r="M922" s="5">
        <f>IF(COUNTIFS($A$2:A922,A922,$D$2:D922,D922)=1,L922,0)</f>
        <v>0</v>
      </c>
      <c r="N922" s="4">
        <f t="shared" si="73"/>
        <v>260.84653846153844</v>
      </c>
      <c r="O922" t="str">
        <f t="shared" si="74"/>
        <v>OK</v>
      </c>
    </row>
    <row r="923" spans="1:15">
      <c r="A923" t="str">
        <f>'Raw Data'!A923</f>
        <v>Cleveland RM-13</v>
      </c>
      <c r="B923" t="str">
        <f>'Raw Data'!B923</f>
        <v>Midwest</v>
      </c>
      <c r="C923" t="str">
        <f>'Raw Data'!C923</f>
        <v>Beauty</v>
      </c>
      <c r="D923" s="3">
        <f>'Raw Data'!D923</f>
        <v>45931</v>
      </c>
      <c r="E923" t="str">
        <f t="shared" si="70"/>
        <v>Oct</v>
      </c>
      <c r="F923" s="5">
        <f>'Raw Data'!E923</f>
        <v>109</v>
      </c>
      <c r="G923" s="4">
        <f>'Raw Data'!F923</f>
        <v>3817.12</v>
      </c>
      <c r="H923" s="4">
        <f>'Raw Data'!G923</f>
        <v>1981.85</v>
      </c>
      <c r="I923" s="4">
        <f t="shared" si="71"/>
        <v>1835.27</v>
      </c>
      <c r="J923" s="8">
        <f t="shared" si="72"/>
        <v>0.48079966047700884</v>
      </c>
      <c r="K923" s="6">
        <f>'Raw Data'!I923</f>
        <v>3.57</v>
      </c>
      <c r="L923" s="5">
        <f>'Raw Data'!J923</f>
        <v>26</v>
      </c>
      <c r="M923" s="5">
        <f>IF(COUNTIFS($A$2:A923,A923,$D$2:D923,D923)=1,L923,0)</f>
        <v>0</v>
      </c>
      <c r="N923" s="4">
        <f t="shared" si="73"/>
        <v>146.81230769230768</v>
      </c>
      <c r="O923" t="str">
        <f t="shared" si="74"/>
        <v>OK</v>
      </c>
    </row>
    <row r="924" spans="1:15">
      <c r="A924" t="str">
        <f>'Raw Data'!A924</f>
        <v>Cleveland RM-13</v>
      </c>
      <c r="B924" t="str">
        <f>'Raw Data'!B924</f>
        <v>Midwest</v>
      </c>
      <c r="C924" t="str">
        <f>'Raw Data'!C924</f>
        <v>Grocery</v>
      </c>
      <c r="D924" s="3">
        <f>'Raw Data'!D924</f>
        <v>45931</v>
      </c>
      <c r="E924" t="str">
        <f t="shared" si="70"/>
        <v>Oct</v>
      </c>
      <c r="F924" s="5">
        <f>'Raw Data'!E924</f>
        <v>185</v>
      </c>
      <c r="G924" s="4">
        <f>'Raw Data'!F924</f>
        <v>3558.13</v>
      </c>
      <c r="H924" s="4">
        <f>'Raw Data'!G924</f>
        <v>3399.37</v>
      </c>
      <c r="I924" s="4">
        <f t="shared" si="71"/>
        <v>158.76000000000022</v>
      </c>
      <c r="J924" s="8">
        <f t="shared" si="72"/>
        <v>4.4618943096514242E-2</v>
      </c>
      <c r="K924" s="6">
        <f>'Raw Data'!I924</f>
        <v>3.37</v>
      </c>
      <c r="L924" s="5">
        <f>'Raw Data'!J924</f>
        <v>26</v>
      </c>
      <c r="M924" s="5">
        <f>IF(COUNTIFS($A$2:A924,A924,$D$2:D924,D924)=1,L924,0)</f>
        <v>0</v>
      </c>
      <c r="N924" s="4">
        <f t="shared" si="73"/>
        <v>136.85115384615386</v>
      </c>
      <c r="O924" t="str">
        <f t="shared" si="74"/>
        <v>OK</v>
      </c>
    </row>
    <row r="925" spans="1:15">
      <c r="A925" t="str">
        <f>'Raw Data'!A925</f>
        <v>Cleveland RM-13</v>
      </c>
      <c r="B925" t="str">
        <f>'Raw Data'!B925</f>
        <v>Midwest</v>
      </c>
      <c r="C925" t="str">
        <f>'Raw Data'!C925</f>
        <v>Sports</v>
      </c>
      <c r="D925" s="3">
        <f>'Raw Data'!D925</f>
        <v>45931</v>
      </c>
      <c r="E925" t="str">
        <f t="shared" si="70"/>
        <v>Oct</v>
      </c>
      <c r="F925" s="5">
        <f>'Raw Data'!E925</f>
        <v>76</v>
      </c>
      <c r="G925" s="4">
        <f>'Raw Data'!F925</f>
        <v>4857.1000000000004</v>
      </c>
      <c r="H925" s="4">
        <f>'Raw Data'!G925</f>
        <v>3195.75</v>
      </c>
      <c r="I925" s="4">
        <f t="shared" si="71"/>
        <v>1661.3500000000004</v>
      </c>
      <c r="J925" s="8">
        <f t="shared" si="72"/>
        <v>0.34204566510880985</v>
      </c>
      <c r="K925" s="6">
        <f>'Raw Data'!I925</f>
        <v>3.73</v>
      </c>
      <c r="L925" s="5">
        <f>'Raw Data'!J925</f>
        <v>26</v>
      </c>
      <c r="M925" s="5">
        <f>IF(COUNTIFS($A$2:A925,A925,$D$2:D925,D925)=1,L925,0)</f>
        <v>0</v>
      </c>
      <c r="N925" s="4">
        <f t="shared" si="73"/>
        <v>186.81153846153848</v>
      </c>
      <c r="O925" t="str">
        <f t="shared" si="74"/>
        <v>OK</v>
      </c>
    </row>
    <row r="926" spans="1:15">
      <c r="A926" t="str">
        <f>'Raw Data'!A926</f>
        <v>Cleveland RM-13</v>
      </c>
      <c r="B926" t="str">
        <f>'Raw Data'!B926</f>
        <v>Midwest</v>
      </c>
      <c r="C926" t="str">
        <f>'Raw Data'!C926</f>
        <v>Electronics</v>
      </c>
      <c r="D926" s="3">
        <f>'Raw Data'!D926</f>
        <v>45962</v>
      </c>
      <c r="E926" t="str">
        <f t="shared" si="70"/>
        <v>Nov</v>
      </c>
      <c r="F926" s="5">
        <f>'Raw Data'!E926</f>
        <v>192</v>
      </c>
      <c r="G926" s="4">
        <f>'Raw Data'!F926</f>
        <v>28291.26</v>
      </c>
      <c r="H926" s="4">
        <f>'Raw Data'!G926</f>
        <v>22467.48</v>
      </c>
      <c r="I926" s="4">
        <f t="shared" si="71"/>
        <v>5823.7799999999988</v>
      </c>
      <c r="J926" s="8">
        <f t="shared" si="72"/>
        <v>0.2058508528782387</v>
      </c>
      <c r="K926" s="6">
        <f>'Raw Data'!I926</f>
        <v>3.62</v>
      </c>
      <c r="L926" s="5">
        <f>'Raw Data'!J926</f>
        <v>28</v>
      </c>
      <c r="M926" s="5">
        <f>IF(COUNTIFS($A$2:A926,A926,$D$2:D926,D926)=1,L926,0)</f>
        <v>28</v>
      </c>
      <c r="N926" s="4">
        <f t="shared" si="73"/>
        <v>1010.4021428571428</v>
      </c>
      <c r="O926" t="str">
        <f t="shared" si="74"/>
        <v>OK</v>
      </c>
    </row>
    <row r="927" spans="1:15">
      <c r="A927" t="str">
        <f>'Raw Data'!A927</f>
        <v>Cleveland RM-13</v>
      </c>
      <c r="B927" t="str">
        <f>'Raw Data'!B927</f>
        <v>Midwest</v>
      </c>
      <c r="C927" t="str">
        <f>'Raw Data'!C927</f>
        <v>Home Goods</v>
      </c>
      <c r="D927" s="3">
        <f>'Raw Data'!D927</f>
        <v>45962</v>
      </c>
      <c r="E927" t="str">
        <f t="shared" si="70"/>
        <v>Nov</v>
      </c>
      <c r="F927" s="5">
        <f>'Raw Data'!E927</f>
        <v>118</v>
      </c>
      <c r="G927" s="4">
        <f>'Raw Data'!F927</f>
        <v>8888.56</v>
      </c>
      <c r="H927" s="4">
        <f>'Raw Data'!G927</f>
        <v>6279.23</v>
      </c>
      <c r="I927" s="4">
        <f t="shared" si="71"/>
        <v>2609.33</v>
      </c>
      <c r="J927" s="8">
        <f t="shared" si="72"/>
        <v>0.29356048673800933</v>
      </c>
      <c r="K927" s="6">
        <f>'Raw Data'!I927</f>
        <v>3.69</v>
      </c>
      <c r="L927" s="5">
        <f>'Raw Data'!J927</f>
        <v>28</v>
      </c>
      <c r="M927" s="5">
        <f>IF(COUNTIFS($A$2:A927,A927,$D$2:D927,D927)=1,L927,0)</f>
        <v>0</v>
      </c>
      <c r="N927" s="4">
        <f t="shared" si="73"/>
        <v>317.44857142857143</v>
      </c>
      <c r="O927" t="str">
        <f t="shared" si="74"/>
        <v>OK</v>
      </c>
    </row>
    <row r="928" spans="1:15">
      <c r="A928" t="str">
        <f>'Raw Data'!A928</f>
        <v>Cleveland RM-13</v>
      </c>
      <c r="B928" t="str">
        <f>'Raw Data'!B928</f>
        <v>Midwest</v>
      </c>
      <c r="C928" t="str">
        <f>'Raw Data'!C928</f>
        <v>Apparel</v>
      </c>
      <c r="D928" s="3">
        <f>'Raw Data'!D928</f>
        <v>45962</v>
      </c>
      <c r="E928" t="str">
        <f t="shared" si="70"/>
        <v>Nov</v>
      </c>
      <c r="F928" s="5">
        <f>'Raw Data'!E928</f>
        <v>172</v>
      </c>
      <c r="G928" s="4">
        <f>'Raw Data'!F928</f>
        <v>8809.27</v>
      </c>
      <c r="H928" s="4">
        <f>'Raw Data'!G928</f>
        <v>5643.47</v>
      </c>
      <c r="I928" s="4">
        <f t="shared" si="71"/>
        <v>3165.8</v>
      </c>
      <c r="J928" s="8">
        <f t="shared" si="72"/>
        <v>0.35937143486350176</v>
      </c>
      <c r="K928" s="6">
        <f>'Raw Data'!I928</f>
        <v>3.51</v>
      </c>
      <c r="L928" s="5">
        <f>'Raw Data'!J928</f>
        <v>28</v>
      </c>
      <c r="M928" s="5">
        <f>IF(COUNTIFS($A$2:A928,A928,$D$2:D928,D928)=1,L928,0)</f>
        <v>0</v>
      </c>
      <c r="N928" s="4">
        <f t="shared" si="73"/>
        <v>314.61678571428575</v>
      </c>
      <c r="O928" t="str">
        <f t="shared" si="74"/>
        <v>OK</v>
      </c>
    </row>
    <row r="929" spans="1:15">
      <c r="A929" t="str">
        <f>'Raw Data'!A929</f>
        <v>Cleveland RM-13</v>
      </c>
      <c r="B929" t="str">
        <f>'Raw Data'!B929</f>
        <v>Midwest</v>
      </c>
      <c r="C929" t="str">
        <f>'Raw Data'!C929</f>
        <v>Beauty</v>
      </c>
      <c r="D929" s="3">
        <f>'Raw Data'!D929</f>
        <v>45962</v>
      </c>
      <c r="E929" t="str">
        <f t="shared" si="70"/>
        <v>Nov</v>
      </c>
      <c r="F929" s="5">
        <f>'Raw Data'!E929</f>
        <v>130</v>
      </c>
      <c r="G929" s="4">
        <f>'Raw Data'!F929</f>
        <v>4967.7299999999996</v>
      </c>
      <c r="H929" s="4">
        <f>'Raw Data'!G929</f>
        <v>2581.1799999999998</v>
      </c>
      <c r="I929" s="4">
        <f t="shared" si="71"/>
        <v>2386.5499999999997</v>
      </c>
      <c r="J929" s="8">
        <f t="shared" si="72"/>
        <v>0.48041056981760277</v>
      </c>
      <c r="K929" s="6">
        <f>'Raw Data'!I929</f>
        <v>3.56</v>
      </c>
      <c r="L929" s="5">
        <f>'Raw Data'!J929</f>
        <v>28</v>
      </c>
      <c r="M929" s="5">
        <f>IF(COUNTIFS($A$2:A929,A929,$D$2:D929,D929)=1,L929,0)</f>
        <v>0</v>
      </c>
      <c r="N929" s="4">
        <f t="shared" si="73"/>
        <v>177.41892857142855</v>
      </c>
      <c r="O929" t="str">
        <f t="shared" si="74"/>
        <v>OK</v>
      </c>
    </row>
    <row r="930" spans="1:15">
      <c r="A930" t="str">
        <f>'Raw Data'!A930</f>
        <v>Cleveland RM-13</v>
      </c>
      <c r="B930" t="str">
        <f>'Raw Data'!B930</f>
        <v>Midwest</v>
      </c>
      <c r="C930" t="str">
        <f>'Raw Data'!C930</f>
        <v>Grocery</v>
      </c>
      <c r="D930" s="3">
        <f>'Raw Data'!D930</f>
        <v>45962</v>
      </c>
      <c r="E930" t="str">
        <f t="shared" si="70"/>
        <v>Nov</v>
      </c>
      <c r="F930" s="5">
        <f>'Raw Data'!E930</f>
        <v>209</v>
      </c>
      <c r="G930" s="4">
        <f>'Raw Data'!F930</f>
        <v>3609.47</v>
      </c>
      <c r="H930" s="4">
        <f>'Raw Data'!G930</f>
        <v>3324.83</v>
      </c>
      <c r="I930" s="4">
        <f t="shared" si="71"/>
        <v>284.63999999999987</v>
      </c>
      <c r="J930" s="8">
        <f t="shared" si="72"/>
        <v>7.8859223099236139E-2</v>
      </c>
      <c r="K930" s="6">
        <f>'Raw Data'!I930</f>
        <v>3.38</v>
      </c>
      <c r="L930" s="5">
        <f>'Raw Data'!J930</f>
        <v>28</v>
      </c>
      <c r="M930" s="5">
        <f>IF(COUNTIFS($A$2:A930,A930,$D$2:D930,D930)=1,L930,0)</f>
        <v>0</v>
      </c>
      <c r="N930" s="4">
        <f t="shared" si="73"/>
        <v>128.90964285714284</v>
      </c>
      <c r="O930" t="str">
        <f t="shared" si="74"/>
        <v>OK</v>
      </c>
    </row>
    <row r="931" spans="1:15">
      <c r="A931" t="str">
        <f>'Raw Data'!A931</f>
        <v>Cleveland RM-13</v>
      </c>
      <c r="B931" t="str">
        <f>'Raw Data'!B931</f>
        <v>Midwest</v>
      </c>
      <c r="C931" t="str">
        <f>'Raw Data'!C931</f>
        <v>Sports</v>
      </c>
      <c r="D931" s="3">
        <f>'Raw Data'!D931</f>
        <v>45962</v>
      </c>
      <c r="E931" t="str">
        <f t="shared" si="70"/>
        <v>Nov</v>
      </c>
      <c r="F931" s="5">
        <f>'Raw Data'!E931</f>
        <v>93</v>
      </c>
      <c r="G931" s="4">
        <f>'Raw Data'!F931</f>
        <v>5939.48</v>
      </c>
      <c r="H931" s="4">
        <f>'Raw Data'!G931</f>
        <v>3968.94</v>
      </c>
      <c r="I931" s="4">
        <f t="shared" si="71"/>
        <v>1970.5399999999995</v>
      </c>
      <c r="J931" s="8">
        <f t="shared" si="72"/>
        <v>0.33176978456026446</v>
      </c>
      <c r="K931" s="6">
        <f>'Raw Data'!I931</f>
        <v>3.45</v>
      </c>
      <c r="L931" s="5">
        <f>'Raw Data'!J931</f>
        <v>28</v>
      </c>
      <c r="M931" s="5">
        <f>IF(COUNTIFS($A$2:A931,A931,$D$2:D931,D931)=1,L931,0)</f>
        <v>0</v>
      </c>
      <c r="N931" s="4">
        <f t="shared" si="73"/>
        <v>212.12428571428569</v>
      </c>
      <c r="O931" t="str">
        <f t="shared" si="74"/>
        <v>OK</v>
      </c>
    </row>
    <row r="932" spans="1:15">
      <c r="A932" t="str">
        <f>'Raw Data'!A932</f>
        <v>Cleveland RM-13</v>
      </c>
      <c r="B932" t="str">
        <f>'Raw Data'!B932</f>
        <v>Midwest</v>
      </c>
      <c r="C932" t="str">
        <f>'Raw Data'!C932</f>
        <v>Electronics</v>
      </c>
      <c r="D932" s="3">
        <f>'Raw Data'!D932</f>
        <v>45992</v>
      </c>
      <c r="E932" t="str">
        <f t="shared" si="70"/>
        <v>Dec</v>
      </c>
      <c r="F932" s="5">
        <f>'Raw Data'!E932</f>
        <v>185</v>
      </c>
      <c r="G932" s="4">
        <f>'Raw Data'!F932</f>
        <v>27698.3</v>
      </c>
      <c r="H932" s="4">
        <f>'Raw Data'!G932</f>
        <v>23037.15</v>
      </c>
      <c r="I932" s="4">
        <f t="shared" si="71"/>
        <v>4661.1499999999978</v>
      </c>
      <c r="J932" s="8">
        <f t="shared" si="72"/>
        <v>0.16828289100775132</v>
      </c>
      <c r="K932" s="6">
        <f>'Raw Data'!I932</f>
        <v>3.5</v>
      </c>
      <c r="L932" s="5">
        <f>'Raw Data'!J932</f>
        <v>28</v>
      </c>
      <c r="M932" s="5">
        <f>IF(COUNTIFS($A$2:A932,A932,$D$2:D932,D932)=1,L932,0)</f>
        <v>28</v>
      </c>
      <c r="N932" s="4">
        <f t="shared" si="73"/>
        <v>989.22500000000002</v>
      </c>
      <c r="O932" t="str">
        <f t="shared" si="74"/>
        <v>OK</v>
      </c>
    </row>
    <row r="933" spans="1:15">
      <c r="A933" t="str">
        <f>'Raw Data'!A933</f>
        <v>Cleveland RM-13</v>
      </c>
      <c r="B933" t="str">
        <f>'Raw Data'!B933</f>
        <v>Midwest</v>
      </c>
      <c r="C933" t="str">
        <f>'Raw Data'!C933</f>
        <v>Home Goods</v>
      </c>
      <c r="D933" s="3">
        <f>'Raw Data'!D933</f>
        <v>45992</v>
      </c>
      <c r="E933" t="str">
        <f t="shared" si="70"/>
        <v>Dec</v>
      </c>
      <c r="F933" s="5">
        <f>'Raw Data'!E933</f>
        <v>128</v>
      </c>
      <c r="G933" s="4">
        <f>'Raw Data'!F933</f>
        <v>9298.68</v>
      </c>
      <c r="H933" s="4">
        <f>'Raw Data'!G933</f>
        <v>6821.82</v>
      </c>
      <c r="I933" s="4">
        <f t="shared" si="71"/>
        <v>2476.8600000000006</v>
      </c>
      <c r="J933" s="8">
        <f t="shared" si="72"/>
        <v>0.26636683916426851</v>
      </c>
      <c r="K933" s="6">
        <f>'Raw Data'!I933</f>
        <v>3.56</v>
      </c>
      <c r="L933" s="5">
        <f>'Raw Data'!J933</f>
        <v>28</v>
      </c>
      <c r="M933" s="5">
        <f>IF(COUNTIFS($A$2:A933,A933,$D$2:D933,D933)=1,L933,0)</f>
        <v>0</v>
      </c>
      <c r="N933" s="4">
        <f t="shared" si="73"/>
        <v>332.09571428571428</v>
      </c>
      <c r="O933" t="str">
        <f t="shared" si="74"/>
        <v>OK</v>
      </c>
    </row>
    <row r="934" spans="1:15">
      <c r="A934" t="str">
        <f>'Raw Data'!A934</f>
        <v>Cleveland RM-13</v>
      </c>
      <c r="B934" t="str">
        <f>'Raw Data'!B934</f>
        <v>Midwest</v>
      </c>
      <c r="C934" t="str">
        <f>'Raw Data'!C934</f>
        <v>Apparel</v>
      </c>
      <c r="D934" s="3">
        <f>'Raw Data'!D934</f>
        <v>45992</v>
      </c>
      <c r="E934" t="str">
        <f t="shared" si="70"/>
        <v>Dec</v>
      </c>
      <c r="F934" s="5">
        <f>'Raw Data'!E934</f>
        <v>189</v>
      </c>
      <c r="G934" s="4">
        <f>'Raw Data'!F934</f>
        <v>9049.5499999999993</v>
      </c>
      <c r="H934" s="4">
        <f>'Raw Data'!G934</f>
        <v>5934.31</v>
      </c>
      <c r="I934" s="4">
        <f t="shared" si="71"/>
        <v>3115.2399999999989</v>
      </c>
      <c r="J934" s="8">
        <f t="shared" si="72"/>
        <v>0.34424253139658867</v>
      </c>
      <c r="K934" s="6">
        <f>'Raw Data'!I934</f>
        <v>3.43</v>
      </c>
      <c r="L934" s="5">
        <f>'Raw Data'!J934</f>
        <v>28</v>
      </c>
      <c r="M934" s="5">
        <f>IF(COUNTIFS($A$2:A934,A934,$D$2:D934,D934)=1,L934,0)</f>
        <v>0</v>
      </c>
      <c r="N934" s="4">
        <f t="shared" si="73"/>
        <v>323.19821428571424</v>
      </c>
      <c r="O934" t="str">
        <f t="shared" si="74"/>
        <v>OK</v>
      </c>
    </row>
    <row r="935" spans="1:15">
      <c r="A935" t="str">
        <f>'Raw Data'!A935</f>
        <v>Cleveland RM-13</v>
      </c>
      <c r="B935" t="str">
        <f>'Raw Data'!B935</f>
        <v>Midwest</v>
      </c>
      <c r="C935" t="str">
        <f>'Raw Data'!C935</f>
        <v>Beauty</v>
      </c>
      <c r="D935" s="3">
        <f>'Raw Data'!D935</f>
        <v>45992</v>
      </c>
      <c r="E935" t="str">
        <f t="shared" si="70"/>
        <v>Dec</v>
      </c>
      <c r="F935" s="5">
        <f>'Raw Data'!E935</f>
        <v>138</v>
      </c>
      <c r="G935" s="4">
        <f>'Raw Data'!F935</f>
        <v>5081.91</v>
      </c>
      <c r="H935" s="4">
        <f>'Raw Data'!G935</f>
        <v>2713.91</v>
      </c>
      <c r="I935" s="4">
        <f t="shared" si="71"/>
        <v>2368</v>
      </c>
      <c r="J935" s="8">
        <f t="shared" si="72"/>
        <v>0.4659665362039076</v>
      </c>
      <c r="K935" s="6">
        <f>'Raw Data'!I935</f>
        <v>3.57</v>
      </c>
      <c r="L935" s="5">
        <f>'Raw Data'!J935</f>
        <v>28</v>
      </c>
      <c r="M935" s="5">
        <f>IF(COUNTIFS($A$2:A935,A935,$D$2:D935,D935)=1,L935,0)</f>
        <v>0</v>
      </c>
      <c r="N935" s="4">
        <f t="shared" si="73"/>
        <v>181.49678571428572</v>
      </c>
      <c r="O935" t="str">
        <f t="shared" si="74"/>
        <v>OK</v>
      </c>
    </row>
    <row r="936" spans="1:15">
      <c r="A936" t="str">
        <f>'Raw Data'!A936</f>
        <v>Cleveland RM-13</v>
      </c>
      <c r="B936" t="str">
        <f>'Raw Data'!B936</f>
        <v>Midwest</v>
      </c>
      <c r="C936" t="str">
        <f>'Raw Data'!C936</f>
        <v>Grocery</v>
      </c>
      <c r="D936" s="3">
        <f>'Raw Data'!D936</f>
        <v>45992</v>
      </c>
      <c r="E936" t="str">
        <f t="shared" si="70"/>
        <v>Dec</v>
      </c>
      <c r="F936" s="5">
        <f>'Raw Data'!E936</f>
        <v>260</v>
      </c>
      <c r="G936" s="4">
        <f>'Raw Data'!F936</f>
        <v>4508.1899999999996</v>
      </c>
      <c r="H936" s="4">
        <f>'Raw Data'!G936</f>
        <v>4437.5600000000004</v>
      </c>
      <c r="I936" s="4">
        <f t="shared" si="71"/>
        <v>70.6299999999992</v>
      </c>
      <c r="J936" s="8">
        <f t="shared" si="72"/>
        <v>1.5667041539952666E-2</v>
      </c>
      <c r="K936" s="6">
        <f>'Raw Data'!I936</f>
        <v>3.54</v>
      </c>
      <c r="L936" s="5">
        <f>'Raw Data'!J936</f>
        <v>28</v>
      </c>
      <c r="M936" s="5">
        <f>IF(COUNTIFS($A$2:A936,A936,$D$2:D936,D936)=1,L936,0)</f>
        <v>0</v>
      </c>
      <c r="N936" s="4">
        <f t="shared" si="73"/>
        <v>161.00678571428571</v>
      </c>
      <c r="O936" t="str">
        <f t="shared" si="74"/>
        <v>OK</v>
      </c>
    </row>
    <row r="937" spans="1:15">
      <c r="A937" t="str">
        <f>'Raw Data'!A937</f>
        <v>Cleveland RM-13</v>
      </c>
      <c r="B937" t="str">
        <f>'Raw Data'!B937</f>
        <v>Midwest</v>
      </c>
      <c r="C937" t="str">
        <f>'Raw Data'!C937</f>
        <v>Sports</v>
      </c>
      <c r="D937" s="3">
        <f>'Raw Data'!D937</f>
        <v>45992</v>
      </c>
      <c r="E937" t="str">
        <f t="shared" si="70"/>
        <v>Dec</v>
      </c>
      <c r="F937" s="5">
        <f>'Raw Data'!E937</f>
        <v>107</v>
      </c>
      <c r="G937" s="4">
        <f>'Raw Data'!F937</f>
        <v>6612.53</v>
      </c>
      <c r="H937" s="4">
        <f>'Raw Data'!G937</f>
        <v>4799.8900000000003</v>
      </c>
      <c r="I937" s="4">
        <f t="shared" si="71"/>
        <v>1812.6399999999994</v>
      </c>
      <c r="J937" s="8">
        <f t="shared" si="72"/>
        <v>0.27412200776404788</v>
      </c>
      <c r="K937" s="6">
        <f>'Raw Data'!I937</f>
        <v>3.61</v>
      </c>
      <c r="L937" s="5">
        <f>'Raw Data'!J937</f>
        <v>28</v>
      </c>
      <c r="M937" s="5">
        <f>IF(COUNTIFS($A$2:A937,A937,$D$2:D937,D937)=1,L937,0)</f>
        <v>0</v>
      </c>
      <c r="N937" s="4">
        <f t="shared" si="73"/>
        <v>236.16178571428571</v>
      </c>
      <c r="O937" t="str">
        <f t="shared" si="74"/>
        <v>OK</v>
      </c>
    </row>
    <row r="938" spans="1:15">
      <c r="A938" t="str">
        <f>'Raw Data'!A938</f>
        <v>Columbus RM-14</v>
      </c>
      <c r="B938" t="str">
        <f>'Raw Data'!B938</f>
        <v>Midwest</v>
      </c>
      <c r="C938" t="str">
        <f>'Raw Data'!C938</f>
        <v>Electronics</v>
      </c>
      <c r="D938" s="3">
        <f>'Raw Data'!D938</f>
        <v>45658</v>
      </c>
      <c r="E938" t="str">
        <f t="shared" si="70"/>
        <v>Jan</v>
      </c>
      <c r="F938" s="5">
        <f>'Raw Data'!E938</f>
        <v>95</v>
      </c>
      <c r="G938" s="4">
        <f>'Raw Data'!F938</f>
        <v>14118.19</v>
      </c>
      <c r="H938" s="4">
        <f>'Raw Data'!G938</f>
        <v>10570.48</v>
      </c>
      <c r="I938" s="4">
        <f t="shared" si="71"/>
        <v>3547.7100000000009</v>
      </c>
      <c r="J938" s="8">
        <f t="shared" si="72"/>
        <v>0.25128646094152302</v>
      </c>
      <c r="K938" s="6">
        <f>'Raw Data'!I938</f>
        <v>3.88</v>
      </c>
      <c r="L938" s="5">
        <f>'Raw Data'!J938</f>
        <v>23</v>
      </c>
      <c r="M938" s="5">
        <f>IF(COUNTIFS($A$2:A938,A938,$D$2:D938,D938)=1,L938,0)</f>
        <v>23</v>
      </c>
      <c r="N938" s="4">
        <f t="shared" si="73"/>
        <v>613.83434782608697</v>
      </c>
      <c r="O938" t="str">
        <f t="shared" si="74"/>
        <v>OK</v>
      </c>
    </row>
    <row r="939" spans="1:15">
      <c r="A939" t="str">
        <f>'Raw Data'!A939</f>
        <v>Columbus RM-14</v>
      </c>
      <c r="B939" t="str">
        <f>'Raw Data'!B939</f>
        <v>Midwest</v>
      </c>
      <c r="C939" t="str">
        <f>'Raw Data'!C939</f>
        <v>Home Goods</v>
      </c>
      <c r="D939" s="3">
        <f>'Raw Data'!D939</f>
        <v>45658</v>
      </c>
      <c r="E939" t="str">
        <f t="shared" si="70"/>
        <v>Jan</v>
      </c>
      <c r="F939" s="5">
        <f>'Raw Data'!E939</f>
        <v>80</v>
      </c>
      <c r="G939" s="4">
        <f>'Raw Data'!F939</f>
        <v>5901.92</v>
      </c>
      <c r="H939" s="4">
        <f>'Raw Data'!G939</f>
        <v>3757.01</v>
      </c>
      <c r="I939" s="4">
        <f t="shared" si="71"/>
        <v>2144.91</v>
      </c>
      <c r="J939" s="8">
        <f t="shared" si="72"/>
        <v>0.36342580041749123</v>
      </c>
      <c r="K939" s="6">
        <f>'Raw Data'!I939</f>
        <v>3.75</v>
      </c>
      <c r="L939" s="5">
        <f>'Raw Data'!J939</f>
        <v>23</v>
      </c>
      <c r="M939" s="5">
        <f>IF(COUNTIFS($A$2:A939,A939,$D$2:D939,D939)=1,L939,0)</f>
        <v>0</v>
      </c>
      <c r="N939" s="4">
        <f t="shared" si="73"/>
        <v>256.60521739130434</v>
      </c>
      <c r="O939" t="str">
        <f t="shared" si="74"/>
        <v>OK</v>
      </c>
    </row>
    <row r="940" spans="1:15">
      <c r="A940" t="str">
        <f>'Raw Data'!A940</f>
        <v>Columbus RM-14</v>
      </c>
      <c r="B940" t="str">
        <f>'Raw Data'!B940</f>
        <v>Midwest</v>
      </c>
      <c r="C940" t="str">
        <f>'Raw Data'!C940</f>
        <v>Apparel</v>
      </c>
      <c r="D940" s="3">
        <f>'Raw Data'!D940</f>
        <v>45658</v>
      </c>
      <c r="E940" t="str">
        <f t="shared" si="70"/>
        <v>Jan</v>
      </c>
      <c r="F940" s="5">
        <f>'Raw Data'!E940</f>
        <v>89</v>
      </c>
      <c r="G940" s="4">
        <f>'Raw Data'!F940</f>
        <v>4388.41</v>
      </c>
      <c r="H940" s="4">
        <f>'Raw Data'!G940</f>
        <v>2546.9299999999998</v>
      </c>
      <c r="I940" s="4">
        <f t="shared" si="71"/>
        <v>1841.48</v>
      </c>
      <c r="J940" s="8">
        <f t="shared" si="72"/>
        <v>0.41962350828660039</v>
      </c>
      <c r="K940" s="6">
        <f>'Raw Data'!I940</f>
        <v>3.76</v>
      </c>
      <c r="L940" s="5">
        <f>'Raw Data'!J940</f>
        <v>23</v>
      </c>
      <c r="M940" s="5">
        <f>IF(COUNTIFS($A$2:A940,A940,$D$2:D940,D940)=1,L940,0)</f>
        <v>0</v>
      </c>
      <c r="N940" s="4">
        <f t="shared" si="73"/>
        <v>190.80043478260868</v>
      </c>
      <c r="O940" t="str">
        <f t="shared" si="74"/>
        <v>OK</v>
      </c>
    </row>
    <row r="941" spans="1:15">
      <c r="A941" t="str">
        <f>'Raw Data'!A941</f>
        <v>Columbus RM-14</v>
      </c>
      <c r="B941" t="str">
        <f>'Raw Data'!B941</f>
        <v>Midwest</v>
      </c>
      <c r="C941" t="str">
        <f>'Raw Data'!C941</f>
        <v>Beauty</v>
      </c>
      <c r="D941" s="3">
        <f>'Raw Data'!D941</f>
        <v>45658</v>
      </c>
      <c r="E941" t="str">
        <f t="shared" si="70"/>
        <v>Jan</v>
      </c>
      <c r="F941" s="5">
        <f>'Raw Data'!E941</f>
        <v>79</v>
      </c>
      <c r="G941" s="4">
        <f>'Raw Data'!F941</f>
        <v>2946.33</v>
      </c>
      <c r="H941" s="4">
        <f>'Raw Data'!G941</f>
        <v>1389.66</v>
      </c>
      <c r="I941" s="4">
        <f t="shared" si="71"/>
        <v>1556.6699999999998</v>
      </c>
      <c r="J941" s="8">
        <f t="shared" si="72"/>
        <v>0.52834203907912547</v>
      </c>
      <c r="K941" s="6">
        <f>'Raw Data'!I941</f>
        <v>3.92</v>
      </c>
      <c r="L941" s="5">
        <f>'Raw Data'!J941</f>
        <v>23</v>
      </c>
      <c r="M941" s="5">
        <f>IF(COUNTIFS($A$2:A941,A941,$D$2:D941,D941)=1,L941,0)</f>
        <v>0</v>
      </c>
      <c r="N941" s="4">
        <f t="shared" si="73"/>
        <v>128.10130434782607</v>
      </c>
      <c r="O941" t="str">
        <f t="shared" si="74"/>
        <v>OK</v>
      </c>
    </row>
    <row r="942" spans="1:15">
      <c r="A942" t="str">
        <f>'Raw Data'!A942</f>
        <v>Columbus RM-14</v>
      </c>
      <c r="B942" t="str">
        <f>'Raw Data'!B942</f>
        <v>Midwest</v>
      </c>
      <c r="C942" t="str">
        <f>'Raw Data'!C942</f>
        <v>Grocery</v>
      </c>
      <c r="D942" s="3">
        <f>'Raw Data'!D942</f>
        <v>45658</v>
      </c>
      <c r="E942" t="str">
        <f t="shared" si="70"/>
        <v>Jan</v>
      </c>
      <c r="F942" s="5">
        <f>'Raw Data'!E942</f>
        <v>153</v>
      </c>
      <c r="G942" s="4">
        <f>'Raw Data'!F942</f>
        <v>2639.74</v>
      </c>
      <c r="H942" s="4">
        <f>'Raw Data'!G942</f>
        <v>2255.59</v>
      </c>
      <c r="I942" s="4">
        <f t="shared" si="71"/>
        <v>384.14999999999964</v>
      </c>
      <c r="J942" s="8">
        <f t="shared" si="72"/>
        <v>0.14552569571245641</v>
      </c>
      <c r="K942" s="6">
        <f>'Raw Data'!I942</f>
        <v>3.86</v>
      </c>
      <c r="L942" s="5">
        <f>'Raw Data'!J942</f>
        <v>23</v>
      </c>
      <c r="M942" s="5">
        <f>IF(COUNTIFS($A$2:A942,A942,$D$2:D942,D942)=1,L942,0)</f>
        <v>0</v>
      </c>
      <c r="N942" s="4">
        <f t="shared" si="73"/>
        <v>114.77130434782607</v>
      </c>
      <c r="O942" t="str">
        <f t="shared" si="74"/>
        <v>OK</v>
      </c>
    </row>
    <row r="943" spans="1:15">
      <c r="A943" t="str">
        <f>'Raw Data'!A943</f>
        <v>Columbus RM-14</v>
      </c>
      <c r="B943" t="str">
        <f>'Raw Data'!B943</f>
        <v>Midwest</v>
      </c>
      <c r="C943" t="str">
        <f>'Raw Data'!C943</f>
        <v>Sports</v>
      </c>
      <c r="D943" s="3">
        <f>'Raw Data'!D943</f>
        <v>45658</v>
      </c>
      <c r="E943" t="str">
        <f t="shared" si="70"/>
        <v>Jan</v>
      </c>
      <c r="F943" s="5">
        <f>'Raw Data'!E943</f>
        <v>66</v>
      </c>
      <c r="G943" s="4">
        <f>'Raw Data'!F943</f>
        <v>4367.42</v>
      </c>
      <c r="H943" s="4">
        <f>'Raw Data'!G943</f>
        <v>2737.76</v>
      </c>
      <c r="I943" s="4">
        <f t="shared" si="71"/>
        <v>1629.6599999999999</v>
      </c>
      <c r="J943" s="8">
        <f t="shared" si="72"/>
        <v>0.37314020634608069</v>
      </c>
      <c r="K943" s="6">
        <f>'Raw Data'!I943</f>
        <v>4</v>
      </c>
      <c r="L943" s="5">
        <f>'Raw Data'!J943</f>
        <v>23</v>
      </c>
      <c r="M943" s="5">
        <f>IF(COUNTIFS($A$2:A943,A943,$D$2:D943,D943)=1,L943,0)</f>
        <v>0</v>
      </c>
      <c r="N943" s="4">
        <f t="shared" si="73"/>
        <v>189.88782608695652</v>
      </c>
      <c r="O943" t="str">
        <f t="shared" si="74"/>
        <v>OK</v>
      </c>
    </row>
    <row r="944" spans="1:15">
      <c r="A944" t="str">
        <f>'Raw Data'!A944</f>
        <v>Columbus RM-14</v>
      </c>
      <c r="B944" t="str">
        <f>'Raw Data'!B944</f>
        <v>Midwest</v>
      </c>
      <c r="C944" t="str">
        <f>'Raw Data'!C944</f>
        <v>Electronics</v>
      </c>
      <c r="D944" s="3">
        <f>'Raw Data'!D944</f>
        <v>45689</v>
      </c>
      <c r="E944" t="str">
        <f t="shared" si="70"/>
        <v>Feb</v>
      </c>
      <c r="F944" s="5">
        <f>'Raw Data'!E944</f>
        <v>97</v>
      </c>
      <c r="G944" s="4">
        <f>'Raw Data'!F944</f>
        <v>14402.19</v>
      </c>
      <c r="H944" s="4">
        <f>'Raw Data'!G944</f>
        <v>11134.84</v>
      </c>
      <c r="I944" s="4">
        <f t="shared" si="71"/>
        <v>3267.3500000000004</v>
      </c>
      <c r="J944" s="8">
        <f t="shared" si="72"/>
        <v>0.22686480320006888</v>
      </c>
      <c r="K944" s="6">
        <f>'Raw Data'!I944</f>
        <v>3.89</v>
      </c>
      <c r="L944" s="5">
        <f>'Raw Data'!J944</f>
        <v>22</v>
      </c>
      <c r="M944" s="5">
        <f>IF(COUNTIFS($A$2:A944,A944,$D$2:D944,D944)=1,L944,0)</f>
        <v>22</v>
      </c>
      <c r="N944" s="4">
        <f t="shared" si="73"/>
        <v>654.64499999999998</v>
      </c>
      <c r="O944" t="str">
        <f t="shared" si="74"/>
        <v>OK</v>
      </c>
    </row>
    <row r="945" spans="1:15">
      <c r="A945" t="str">
        <f>'Raw Data'!A945</f>
        <v>Columbus RM-14</v>
      </c>
      <c r="B945" t="str">
        <f>'Raw Data'!B945</f>
        <v>Midwest</v>
      </c>
      <c r="C945" t="str">
        <f>'Raw Data'!C945</f>
        <v>Home Goods</v>
      </c>
      <c r="D945" s="3">
        <f>'Raw Data'!D945</f>
        <v>45689</v>
      </c>
      <c r="E945" t="str">
        <f t="shared" si="70"/>
        <v>Feb</v>
      </c>
      <c r="F945" s="5">
        <f>'Raw Data'!E945</f>
        <v>95</v>
      </c>
      <c r="G945" s="4">
        <f>'Raw Data'!F945</f>
        <v>7547.31</v>
      </c>
      <c r="H945" s="4">
        <f>'Raw Data'!G945</f>
        <v>4756.5600000000004</v>
      </c>
      <c r="I945" s="4">
        <f t="shared" si="71"/>
        <v>2790.75</v>
      </c>
      <c r="J945" s="8">
        <f t="shared" si="72"/>
        <v>0.3697675065685655</v>
      </c>
      <c r="K945" s="6">
        <f>'Raw Data'!I945</f>
        <v>3.94</v>
      </c>
      <c r="L945" s="5">
        <f>'Raw Data'!J945</f>
        <v>22</v>
      </c>
      <c r="M945" s="5">
        <f>IF(COUNTIFS($A$2:A945,A945,$D$2:D945,D945)=1,L945,0)</f>
        <v>0</v>
      </c>
      <c r="N945" s="4">
        <f t="shared" si="73"/>
        <v>343.05954545454546</v>
      </c>
      <c r="O945" t="str">
        <f t="shared" si="74"/>
        <v>OK</v>
      </c>
    </row>
    <row r="946" spans="1:15">
      <c r="A946" t="str">
        <f>'Raw Data'!A946</f>
        <v>Columbus RM-14</v>
      </c>
      <c r="B946" t="str">
        <f>'Raw Data'!B946</f>
        <v>Midwest</v>
      </c>
      <c r="C946" t="str">
        <f>'Raw Data'!C946</f>
        <v>Apparel</v>
      </c>
      <c r="D946" s="3">
        <f>'Raw Data'!D946</f>
        <v>45689</v>
      </c>
      <c r="E946" t="str">
        <f t="shared" si="70"/>
        <v>Feb</v>
      </c>
      <c r="F946" s="5">
        <f>'Raw Data'!E946</f>
        <v>111</v>
      </c>
      <c r="G946" s="4">
        <f>'Raw Data'!F946</f>
        <v>5009.22</v>
      </c>
      <c r="H946" s="4">
        <f>'Raw Data'!G946</f>
        <v>3012.5</v>
      </c>
      <c r="I946" s="4">
        <f t="shared" si="71"/>
        <v>1996.7200000000003</v>
      </c>
      <c r="J946" s="8">
        <f t="shared" si="72"/>
        <v>0.39860896506841387</v>
      </c>
      <c r="K946" s="6">
        <f>'Raw Data'!I946</f>
        <v>3.95</v>
      </c>
      <c r="L946" s="5">
        <f>'Raw Data'!J946</f>
        <v>22</v>
      </c>
      <c r="M946" s="5">
        <f>IF(COUNTIFS($A$2:A946,A946,$D$2:D946,D946)=1,L946,0)</f>
        <v>0</v>
      </c>
      <c r="N946" s="4">
        <f t="shared" si="73"/>
        <v>227.69181818181821</v>
      </c>
      <c r="O946" t="str">
        <f t="shared" si="74"/>
        <v>OK</v>
      </c>
    </row>
    <row r="947" spans="1:15">
      <c r="A947" t="str">
        <f>'Raw Data'!A947</f>
        <v>Columbus RM-14</v>
      </c>
      <c r="B947" t="str">
        <f>'Raw Data'!B947</f>
        <v>Midwest</v>
      </c>
      <c r="C947" t="str">
        <f>'Raw Data'!C947</f>
        <v>Beauty</v>
      </c>
      <c r="D947" s="3">
        <f>'Raw Data'!D947</f>
        <v>45689</v>
      </c>
      <c r="E947" t="str">
        <f t="shared" si="70"/>
        <v>Feb</v>
      </c>
      <c r="F947" s="5">
        <f>'Raw Data'!E947</f>
        <v>80</v>
      </c>
      <c r="G947" s="4">
        <f>'Raw Data'!F947</f>
        <v>2881.18</v>
      </c>
      <c r="H947" s="4">
        <f>'Raw Data'!G947</f>
        <v>1336.24</v>
      </c>
      <c r="I947" s="4">
        <f t="shared" si="71"/>
        <v>1544.9399999999998</v>
      </c>
      <c r="J947" s="8">
        <f t="shared" si="72"/>
        <v>0.5362177996515316</v>
      </c>
      <c r="K947" s="6">
        <f>'Raw Data'!I947</f>
        <v>4.0199999999999996</v>
      </c>
      <c r="L947" s="5">
        <f>'Raw Data'!J947</f>
        <v>22</v>
      </c>
      <c r="M947" s="5">
        <f>IF(COUNTIFS($A$2:A947,A947,$D$2:D947,D947)=1,L947,0)</f>
        <v>0</v>
      </c>
      <c r="N947" s="4">
        <f t="shared" si="73"/>
        <v>130.96272727272728</v>
      </c>
      <c r="O947" t="str">
        <f t="shared" si="74"/>
        <v>OK</v>
      </c>
    </row>
    <row r="948" spans="1:15">
      <c r="A948" t="str">
        <f>'Raw Data'!A948</f>
        <v>Columbus RM-14</v>
      </c>
      <c r="B948" t="str">
        <f>'Raw Data'!B948</f>
        <v>Midwest</v>
      </c>
      <c r="C948" t="str">
        <f>'Raw Data'!C948</f>
        <v>Grocery</v>
      </c>
      <c r="D948" s="3">
        <f>'Raw Data'!D948</f>
        <v>45689</v>
      </c>
      <c r="E948" t="str">
        <f t="shared" si="70"/>
        <v>Feb</v>
      </c>
      <c r="F948" s="5">
        <f>'Raw Data'!E948</f>
        <v>136</v>
      </c>
      <c r="G948" s="4">
        <f>'Raw Data'!F948</f>
        <v>2622.74</v>
      </c>
      <c r="H948" s="4">
        <f>'Raw Data'!G948</f>
        <v>2321.25</v>
      </c>
      <c r="I948" s="4">
        <f t="shared" si="71"/>
        <v>301.48999999999978</v>
      </c>
      <c r="J948" s="8">
        <f t="shared" si="72"/>
        <v>0.1149523017912564</v>
      </c>
      <c r="K948" s="6">
        <f>'Raw Data'!I948</f>
        <v>3.95</v>
      </c>
      <c r="L948" s="5">
        <f>'Raw Data'!J948</f>
        <v>22</v>
      </c>
      <c r="M948" s="5">
        <f>IF(COUNTIFS($A$2:A948,A948,$D$2:D948,D948)=1,L948,0)</f>
        <v>0</v>
      </c>
      <c r="N948" s="4">
        <f t="shared" si="73"/>
        <v>119.21545454545453</v>
      </c>
      <c r="O948" t="str">
        <f t="shared" si="74"/>
        <v>OK</v>
      </c>
    </row>
    <row r="949" spans="1:15">
      <c r="A949" t="str">
        <f>'Raw Data'!A949</f>
        <v>Columbus RM-14</v>
      </c>
      <c r="B949" t="str">
        <f>'Raw Data'!B949</f>
        <v>Midwest</v>
      </c>
      <c r="C949" t="str">
        <f>'Raw Data'!C949</f>
        <v>Sports</v>
      </c>
      <c r="D949" s="3">
        <f>'Raw Data'!D949</f>
        <v>45689</v>
      </c>
      <c r="E949" t="str">
        <f t="shared" si="70"/>
        <v>Feb</v>
      </c>
      <c r="F949" s="5">
        <f>'Raw Data'!E949</f>
        <v>58</v>
      </c>
      <c r="G949" s="4">
        <f>'Raw Data'!F949</f>
        <v>3556.7</v>
      </c>
      <c r="H949" s="4">
        <f>'Raw Data'!G949</f>
        <v>2267.19</v>
      </c>
      <c r="I949" s="4">
        <f t="shared" si="71"/>
        <v>1289.5099999999998</v>
      </c>
      <c r="J949" s="8">
        <f t="shared" si="72"/>
        <v>0.36255798914724319</v>
      </c>
      <c r="K949" s="6">
        <f>'Raw Data'!I949</f>
        <v>4.03</v>
      </c>
      <c r="L949" s="5">
        <f>'Raw Data'!J949</f>
        <v>22</v>
      </c>
      <c r="M949" s="5">
        <f>IF(COUNTIFS($A$2:A949,A949,$D$2:D949,D949)=1,L949,0)</f>
        <v>0</v>
      </c>
      <c r="N949" s="4">
        <f t="shared" si="73"/>
        <v>161.66818181818181</v>
      </c>
      <c r="O949" t="str">
        <f t="shared" si="74"/>
        <v>OK</v>
      </c>
    </row>
    <row r="950" spans="1:15">
      <c r="A950" t="str">
        <f>'Raw Data'!A950</f>
        <v>Columbus RM-14</v>
      </c>
      <c r="B950" t="str">
        <f>'Raw Data'!B950</f>
        <v>Midwest</v>
      </c>
      <c r="C950" t="str">
        <f>'Raw Data'!C950</f>
        <v>Electronics</v>
      </c>
      <c r="D950" s="3">
        <f>'Raw Data'!D950</f>
        <v>45717</v>
      </c>
      <c r="E950" t="str">
        <f t="shared" si="70"/>
        <v>Mar</v>
      </c>
      <c r="F950" s="5">
        <f>'Raw Data'!E950</f>
        <v>93</v>
      </c>
      <c r="G950" s="4">
        <f>'Raw Data'!F950</f>
        <v>14121.76</v>
      </c>
      <c r="H950" s="4">
        <f>'Raw Data'!G950</f>
        <v>11025.56</v>
      </c>
      <c r="I950" s="4">
        <f t="shared" si="71"/>
        <v>3096.2000000000007</v>
      </c>
      <c r="J950" s="8">
        <f t="shared" si="72"/>
        <v>0.21925029174833738</v>
      </c>
      <c r="K950" s="6">
        <f>'Raw Data'!I950</f>
        <v>3.73</v>
      </c>
      <c r="L950" s="5">
        <f>'Raw Data'!J950</f>
        <v>22</v>
      </c>
      <c r="M950" s="5">
        <f>IF(COUNTIFS($A$2:A950,A950,$D$2:D950,D950)=1,L950,0)</f>
        <v>22</v>
      </c>
      <c r="N950" s="4">
        <f t="shared" si="73"/>
        <v>641.8981818181818</v>
      </c>
      <c r="O950" t="str">
        <f t="shared" si="74"/>
        <v>OK</v>
      </c>
    </row>
    <row r="951" spans="1:15">
      <c r="A951" t="str">
        <f>'Raw Data'!A951</f>
        <v>Columbus RM-14</v>
      </c>
      <c r="B951" t="str">
        <f>'Raw Data'!B951</f>
        <v>Midwest</v>
      </c>
      <c r="C951" t="str">
        <f>'Raw Data'!C951</f>
        <v>Home Goods</v>
      </c>
      <c r="D951" s="3">
        <f>'Raw Data'!D951</f>
        <v>45717</v>
      </c>
      <c r="E951" t="str">
        <f t="shared" si="70"/>
        <v>Mar</v>
      </c>
      <c r="F951" s="5">
        <f>'Raw Data'!E951</f>
        <v>93</v>
      </c>
      <c r="G951" s="4">
        <f>'Raw Data'!F951</f>
        <v>7235.94</v>
      </c>
      <c r="H951" s="4">
        <f>'Raw Data'!G951</f>
        <v>4730.21</v>
      </c>
      <c r="I951" s="4">
        <f t="shared" si="71"/>
        <v>2505.7299999999996</v>
      </c>
      <c r="J951" s="8">
        <f t="shared" si="72"/>
        <v>0.34628949383217655</v>
      </c>
      <c r="K951" s="6">
        <f>'Raw Data'!I951</f>
        <v>3.79</v>
      </c>
      <c r="L951" s="5">
        <f>'Raw Data'!J951</f>
        <v>22</v>
      </c>
      <c r="M951" s="5">
        <f>IF(COUNTIFS($A$2:A951,A951,$D$2:D951,D951)=1,L951,0)</f>
        <v>0</v>
      </c>
      <c r="N951" s="4">
        <f t="shared" si="73"/>
        <v>328.90636363636361</v>
      </c>
      <c r="O951" t="str">
        <f t="shared" si="74"/>
        <v>OK</v>
      </c>
    </row>
    <row r="952" spans="1:15">
      <c r="A952" t="str">
        <f>'Raw Data'!A952</f>
        <v>Columbus RM-14</v>
      </c>
      <c r="B952" t="str">
        <f>'Raw Data'!B952</f>
        <v>Midwest</v>
      </c>
      <c r="C952" t="str">
        <f>'Raw Data'!C952</f>
        <v>Apparel</v>
      </c>
      <c r="D952" s="3">
        <f>'Raw Data'!D952</f>
        <v>45717</v>
      </c>
      <c r="E952" t="str">
        <f t="shared" si="70"/>
        <v>Mar</v>
      </c>
      <c r="F952" s="5">
        <f>'Raw Data'!E952</f>
        <v>154</v>
      </c>
      <c r="G952" s="4">
        <f>'Raw Data'!F952</f>
        <v>6955.84</v>
      </c>
      <c r="H952" s="4">
        <f>'Raw Data'!G952</f>
        <v>4123.43</v>
      </c>
      <c r="I952" s="4">
        <f t="shared" si="71"/>
        <v>2832.41</v>
      </c>
      <c r="J952" s="8">
        <f t="shared" si="72"/>
        <v>0.40719884298661269</v>
      </c>
      <c r="K952" s="6">
        <f>'Raw Data'!I952</f>
        <v>3.89</v>
      </c>
      <c r="L952" s="5">
        <f>'Raw Data'!J952</f>
        <v>22</v>
      </c>
      <c r="M952" s="5">
        <f>IF(COUNTIFS($A$2:A952,A952,$D$2:D952,D952)=1,L952,0)</f>
        <v>0</v>
      </c>
      <c r="N952" s="4">
        <f t="shared" si="73"/>
        <v>316.17454545454547</v>
      </c>
      <c r="O952" t="str">
        <f t="shared" si="74"/>
        <v>OK</v>
      </c>
    </row>
    <row r="953" spans="1:15">
      <c r="A953" t="str">
        <f>'Raw Data'!A953</f>
        <v>Columbus RM-14</v>
      </c>
      <c r="B953" t="str">
        <f>'Raw Data'!B953</f>
        <v>Midwest</v>
      </c>
      <c r="C953" t="str">
        <f>'Raw Data'!C953</f>
        <v>Beauty</v>
      </c>
      <c r="D953" s="3">
        <f>'Raw Data'!D953</f>
        <v>45717</v>
      </c>
      <c r="E953" t="str">
        <f t="shared" si="70"/>
        <v>Mar</v>
      </c>
      <c r="F953" s="5">
        <f>'Raw Data'!E953</f>
        <v>95</v>
      </c>
      <c r="G953" s="4">
        <f>'Raw Data'!F953</f>
        <v>3394.36</v>
      </c>
      <c r="H953" s="4">
        <f>'Raw Data'!G953</f>
        <v>1573.82</v>
      </c>
      <c r="I953" s="4">
        <f t="shared" si="71"/>
        <v>1820.5400000000002</v>
      </c>
      <c r="J953" s="8">
        <f t="shared" si="72"/>
        <v>0.53634263896581391</v>
      </c>
      <c r="K953" s="6">
        <f>'Raw Data'!I953</f>
        <v>3.99</v>
      </c>
      <c r="L953" s="5">
        <f>'Raw Data'!J953</f>
        <v>22</v>
      </c>
      <c r="M953" s="5">
        <f>IF(COUNTIFS($A$2:A953,A953,$D$2:D953,D953)=1,L953,0)</f>
        <v>0</v>
      </c>
      <c r="N953" s="4">
        <f t="shared" si="73"/>
        <v>154.2890909090909</v>
      </c>
      <c r="O953" t="str">
        <f t="shared" si="74"/>
        <v>OK</v>
      </c>
    </row>
    <row r="954" spans="1:15">
      <c r="A954" t="str">
        <f>'Raw Data'!A954</f>
        <v>Columbus RM-14</v>
      </c>
      <c r="B954" t="str">
        <f>'Raw Data'!B954</f>
        <v>Midwest</v>
      </c>
      <c r="C954" t="str">
        <f>'Raw Data'!C954</f>
        <v>Grocery</v>
      </c>
      <c r="D954" s="3">
        <f>'Raw Data'!D954</f>
        <v>45717</v>
      </c>
      <c r="E954" t="str">
        <f t="shared" si="70"/>
        <v>Mar</v>
      </c>
      <c r="F954" s="5">
        <f>'Raw Data'!E954</f>
        <v>151</v>
      </c>
      <c r="G954" s="4">
        <f>'Raw Data'!F954</f>
        <v>2717.05</v>
      </c>
      <c r="H954" s="4">
        <f>'Raw Data'!G954</f>
        <v>2436.02</v>
      </c>
      <c r="I954" s="4">
        <f t="shared" si="71"/>
        <v>281.0300000000002</v>
      </c>
      <c r="J954" s="8">
        <f t="shared" si="72"/>
        <v>0.10343203106310159</v>
      </c>
      <c r="K954" s="6">
        <f>'Raw Data'!I954</f>
        <v>3.77</v>
      </c>
      <c r="L954" s="5">
        <f>'Raw Data'!J954</f>
        <v>22</v>
      </c>
      <c r="M954" s="5">
        <f>IF(COUNTIFS($A$2:A954,A954,$D$2:D954,D954)=1,L954,0)</f>
        <v>0</v>
      </c>
      <c r="N954" s="4">
        <f t="shared" si="73"/>
        <v>123.50227272727274</v>
      </c>
      <c r="O954" t="str">
        <f t="shared" si="74"/>
        <v>OK</v>
      </c>
    </row>
    <row r="955" spans="1:15">
      <c r="A955" t="str">
        <f>'Raw Data'!A955</f>
        <v>Columbus RM-14</v>
      </c>
      <c r="B955" t="str">
        <f>'Raw Data'!B955</f>
        <v>Midwest</v>
      </c>
      <c r="C955" t="str">
        <f>'Raw Data'!C955</f>
        <v>Sports</v>
      </c>
      <c r="D955" s="3">
        <f>'Raw Data'!D955</f>
        <v>45717</v>
      </c>
      <c r="E955" t="str">
        <f t="shared" si="70"/>
        <v>Mar</v>
      </c>
      <c r="F955" s="5">
        <f>'Raw Data'!E955</f>
        <v>72</v>
      </c>
      <c r="G955" s="4">
        <f>'Raw Data'!F955</f>
        <v>4531.2</v>
      </c>
      <c r="H955" s="4">
        <f>'Raw Data'!G955</f>
        <v>2874.83</v>
      </c>
      <c r="I955" s="4">
        <f t="shared" si="71"/>
        <v>1656.37</v>
      </c>
      <c r="J955" s="8">
        <f t="shared" si="72"/>
        <v>0.36554775776836157</v>
      </c>
      <c r="K955" s="6">
        <f>'Raw Data'!I955</f>
        <v>3.92</v>
      </c>
      <c r="L955" s="5">
        <f>'Raw Data'!J955</f>
        <v>22</v>
      </c>
      <c r="M955" s="5">
        <f>IF(COUNTIFS($A$2:A955,A955,$D$2:D955,D955)=1,L955,0)</f>
        <v>0</v>
      </c>
      <c r="N955" s="4">
        <f t="shared" si="73"/>
        <v>205.96363636363637</v>
      </c>
      <c r="O955" t="str">
        <f t="shared" si="74"/>
        <v>OK</v>
      </c>
    </row>
    <row r="956" spans="1:15">
      <c r="A956" t="str">
        <f>'Raw Data'!A956</f>
        <v>Columbus RM-14</v>
      </c>
      <c r="B956" t="str">
        <f>'Raw Data'!B956</f>
        <v>Midwest</v>
      </c>
      <c r="C956" t="str">
        <f>'Raw Data'!C956</f>
        <v>Electronics</v>
      </c>
      <c r="D956" s="3">
        <f>'Raw Data'!D956</f>
        <v>45748</v>
      </c>
      <c r="E956" t="str">
        <f t="shared" si="70"/>
        <v>Apr</v>
      </c>
      <c r="F956" s="5">
        <f>'Raw Data'!E956</f>
        <v>108</v>
      </c>
      <c r="G956" s="4">
        <f>'Raw Data'!F956</f>
        <v>16438.78</v>
      </c>
      <c r="H956" s="4">
        <f>'Raw Data'!G956</f>
        <v>12611.7</v>
      </c>
      <c r="I956" s="4">
        <f t="shared" si="71"/>
        <v>3827.0799999999981</v>
      </c>
      <c r="J956" s="8">
        <f t="shared" si="72"/>
        <v>0.23280803076627332</v>
      </c>
      <c r="K956" s="6">
        <f>'Raw Data'!I956</f>
        <v>3.84</v>
      </c>
      <c r="L956" s="5">
        <f>'Raw Data'!J956</f>
        <v>24</v>
      </c>
      <c r="M956" s="5">
        <f>IF(COUNTIFS($A$2:A956,A956,$D$2:D956,D956)=1,L956,0)</f>
        <v>24</v>
      </c>
      <c r="N956" s="4">
        <f t="shared" si="73"/>
        <v>684.94916666666666</v>
      </c>
      <c r="O956" t="str">
        <f t="shared" si="74"/>
        <v>OK</v>
      </c>
    </row>
    <row r="957" spans="1:15">
      <c r="A957" t="str">
        <f>'Raw Data'!A957</f>
        <v>Columbus RM-14</v>
      </c>
      <c r="B957" t="str">
        <f>'Raw Data'!B957</f>
        <v>Midwest</v>
      </c>
      <c r="C957" t="str">
        <f>'Raw Data'!C957</f>
        <v>Home Goods</v>
      </c>
      <c r="D957" s="3">
        <f>'Raw Data'!D957</f>
        <v>45748</v>
      </c>
      <c r="E957" t="str">
        <f t="shared" si="70"/>
        <v>Apr</v>
      </c>
      <c r="F957" s="5">
        <f>'Raw Data'!E957</f>
        <v>89</v>
      </c>
      <c r="G957" s="4">
        <f>'Raw Data'!F957</f>
        <v>6883.64</v>
      </c>
      <c r="H957" s="4">
        <f>'Raw Data'!G957</f>
        <v>4462.5200000000004</v>
      </c>
      <c r="I957" s="4">
        <f t="shared" si="71"/>
        <v>2421.12</v>
      </c>
      <c r="J957" s="8">
        <f t="shared" si="72"/>
        <v>0.35172089185372851</v>
      </c>
      <c r="K957" s="6">
        <f>'Raw Data'!I957</f>
        <v>3.81</v>
      </c>
      <c r="L957" s="5">
        <f>'Raw Data'!J957</f>
        <v>24</v>
      </c>
      <c r="M957" s="5">
        <f>IF(COUNTIFS($A$2:A957,A957,$D$2:D957,D957)=1,L957,0)</f>
        <v>0</v>
      </c>
      <c r="N957" s="4">
        <f t="shared" si="73"/>
        <v>286.81833333333333</v>
      </c>
      <c r="O957" t="str">
        <f t="shared" si="74"/>
        <v>OK</v>
      </c>
    </row>
    <row r="958" spans="1:15">
      <c r="A958" t="str">
        <f>'Raw Data'!A958</f>
        <v>Columbus RM-14</v>
      </c>
      <c r="B958" t="str">
        <f>'Raw Data'!B958</f>
        <v>Midwest</v>
      </c>
      <c r="C958" t="str">
        <f>'Raw Data'!C958</f>
        <v>Apparel</v>
      </c>
      <c r="D958" s="3">
        <f>'Raw Data'!D958</f>
        <v>45748</v>
      </c>
      <c r="E958" t="str">
        <f t="shared" si="70"/>
        <v>Apr</v>
      </c>
      <c r="F958" s="5">
        <f>'Raw Data'!E958</f>
        <v>134</v>
      </c>
      <c r="G958" s="4">
        <f>'Raw Data'!F958</f>
        <v>6708.64</v>
      </c>
      <c r="H958" s="4">
        <f>'Raw Data'!G958</f>
        <v>4097.22</v>
      </c>
      <c r="I958" s="4">
        <f t="shared" si="71"/>
        <v>2611.42</v>
      </c>
      <c r="J958" s="8">
        <f t="shared" si="72"/>
        <v>0.38926220515633569</v>
      </c>
      <c r="K958" s="6">
        <f>'Raw Data'!I958</f>
        <v>3.94</v>
      </c>
      <c r="L958" s="5">
        <f>'Raw Data'!J958</f>
        <v>24</v>
      </c>
      <c r="M958" s="5">
        <f>IF(COUNTIFS($A$2:A958,A958,$D$2:D958,D958)=1,L958,0)</f>
        <v>0</v>
      </c>
      <c r="N958" s="4">
        <f t="shared" si="73"/>
        <v>279.5266666666667</v>
      </c>
      <c r="O958" t="str">
        <f t="shared" si="74"/>
        <v>OK</v>
      </c>
    </row>
    <row r="959" spans="1:15">
      <c r="A959" t="str">
        <f>'Raw Data'!A959</f>
        <v>Columbus RM-14</v>
      </c>
      <c r="B959" t="str">
        <f>'Raw Data'!B959</f>
        <v>Midwest</v>
      </c>
      <c r="C959" t="str">
        <f>'Raw Data'!C959</f>
        <v>Beauty</v>
      </c>
      <c r="D959" s="3">
        <f>'Raw Data'!D959</f>
        <v>45748</v>
      </c>
      <c r="E959" t="str">
        <f t="shared" si="70"/>
        <v>Apr</v>
      </c>
      <c r="F959" s="5">
        <f>'Raw Data'!E959</f>
        <v>114</v>
      </c>
      <c r="G959" s="4">
        <f>'Raw Data'!F959</f>
        <v>4287.42</v>
      </c>
      <c r="H959" s="4">
        <f>'Raw Data'!G959</f>
        <v>2042.82</v>
      </c>
      <c r="I959" s="4">
        <f t="shared" si="71"/>
        <v>2244.6000000000004</v>
      </c>
      <c r="J959" s="8">
        <f t="shared" si="72"/>
        <v>0.52353163440950512</v>
      </c>
      <c r="K959" s="6">
        <f>'Raw Data'!I959</f>
        <v>3.95</v>
      </c>
      <c r="L959" s="5">
        <f>'Raw Data'!J959</f>
        <v>24</v>
      </c>
      <c r="M959" s="5">
        <f>IF(COUNTIFS($A$2:A959,A959,$D$2:D959,D959)=1,L959,0)</f>
        <v>0</v>
      </c>
      <c r="N959" s="4">
        <f t="shared" si="73"/>
        <v>178.64250000000001</v>
      </c>
      <c r="O959" t="str">
        <f t="shared" si="74"/>
        <v>OK</v>
      </c>
    </row>
    <row r="960" spans="1:15">
      <c r="A960" t="str">
        <f>'Raw Data'!A960</f>
        <v>Columbus RM-14</v>
      </c>
      <c r="B960" t="str">
        <f>'Raw Data'!B960</f>
        <v>Midwest</v>
      </c>
      <c r="C960" t="str">
        <f>'Raw Data'!C960</f>
        <v>Grocery</v>
      </c>
      <c r="D960" s="3">
        <f>'Raw Data'!D960</f>
        <v>45748</v>
      </c>
      <c r="E960" t="str">
        <f t="shared" si="70"/>
        <v>Apr</v>
      </c>
      <c r="F960" s="5">
        <f>'Raw Data'!E960</f>
        <v>175</v>
      </c>
      <c r="G960" s="4">
        <f>'Raw Data'!F960</f>
        <v>3137.65</v>
      </c>
      <c r="H960" s="4">
        <f>'Raw Data'!G960</f>
        <v>2790.29</v>
      </c>
      <c r="I960" s="4">
        <f t="shared" si="71"/>
        <v>347.36000000000013</v>
      </c>
      <c r="J960" s="8">
        <f t="shared" si="72"/>
        <v>0.11070705782990459</v>
      </c>
      <c r="K960" s="6">
        <f>'Raw Data'!I960</f>
        <v>3.87</v>
      </c>
      <c r="L960" s="5">
        <f>'Raw Data'!J960</f>
        <v>24</v>
      </c>
      <c r="M960" s="5">
        <f>IF(COUNTIFS($A$2:A960,A960,$D$2:D960,D960)=1,L960,0)</f>
        <v>0</v>
      </c>
      <c r="N960" s="4">
        <f t="shared" si="73"/>
        <v>130.73541666666668</v>
      </c>
      <c r="O960" t="str">
        <f t="shared" si="74"/>
        <v>OK</v>
      </c>
    </row>
    <row r="961" spans="1:15">
      <c r="A961" t="str">
        <f>'Raw Data'!A961</f>
        <v>Columbus RM-14</v>
      </c>
      <c r="B961" t="str">
        <f>'Raw Data'!B961</f>
        <v>Midwest</v>
      </c>
      <c r="C961" t="str">
        <f>'Raw Data'!C961</f>
        <v>Sports</v>
      </c>
      <c r="D961" s="3">
        <f>'Raw Data'!D961</f>
        <v>45748</v>
      </c>
      <c r="E961" t="str">
        <f t="shared" si="70"/>
        <v>Apr</v>
      </c>
      <c r="F961" s="5">
        <f>'Raw Data'!E961</f>
        <v>81</v>
      </c>
      <c r="G961" s="4">
        <f>'Raw Data'!F961</f>
        <v>5210.7700000000004</v>
      </c>
      <c r="H961" s="4">
        <f>'Raw Data'!G961</f>
        <v>3365.72</v>
      </c>
      <c r="I961" s="4">
        <f t="shared" si="71"/>
        <v>1845.0500000000006</v>
      </c>
      <c r="J961" s="8">
        <f t="shared" si="72"/>
        <v>0.35408394536699961</v>
      </c>
      <c r="K961" s="6">
        <f>'Raw Data'!I961</f>
        <v>3.76</v>
      </c>
      <c r="L961" s="5">
        <f>'Raw Data'!J961</f>
        <v>24</v>
      </c>
      <c r="M961" s="5">
        <f>IF(COUNTIFS($A$2:A961,A961,$D$2:D961,D961)=1,L961,0)</f>
        <v>0</v>
      </c>
      <c r="N961" s="4">
        <f t="shared" si="73"/>
        <v>217.11541666666668</v>
      </c>
      <c r="O961" t="str">
        <f t="shared" si="74"/>
        <v>OK</v>
      </c>
    </row>
    <row r="962" spans="1:15">
      <c r="A962" t="str">
        <f>'Raw Data'!A962</f>
        <v>Columbus RM-14</v>
      </c>
      <c r="B962" t="str">
        <f>'Raw Data'!B962</f>
        <v>Midwest</v>
      </c>
      <c r="C962" t="str">
        <f>'Raw Data'!C962</f>
        <v>Electronics</v>
      </c>
      <c r="D962" s="3">
        <f>'Raw Data'!D962</f>
        <v>45778</v>
      </c>
      <c r="E962" t="str">
        <f t="shared" ref="E962:E1025" si="75">TEXT(D962,"mmm")</f>
        <v>May</v>
      </c>
      <c r="F962" s="5">
        <f>'Raw Data'!E962</f>
        <v>121</v>
      </c>
      <c r="G962" s="4">
        <f>'Raw Data'!F962</f>
        <v>17650.86</v>
      </c>
      <c r="H962" s="4">
        <f>'Raw Data'!G962</f>
        <v>13743.94</v>
      </c>
      <c r="I962" s="4">
        <f t="shared" ref="I962:I1025" si="76">G962-H962</f>
        <v>3906.92</v>
      </c>
      <c r="J962" s="8">
        <f t="shared" ref="J962:J1025" si="77">IFERROR(I962/G962,0)</f>
        <v>0.22134445573756745</v>
      </c>
      <c r="K962" s="6">
        <f>'Raw Data'!I962</f>
        <v>3.73</v>
      </c>
      <c r="L962" s="5">
        <f>'Raw Data'!J962</f>
        <v>22</v>
      </c>
      <c r="M962" s="5">
        <f>IF(COUNTIFS($A$2:A962,A962,$D$2:D962,D962)=1,L962,0)</f>
        <v>22</v>
      </c>
      <c r="N962" s="4">
        <f t="shared" ref="N962:N1025" si="78">IFERROR(G962/L962,0)</f>
        <v>802.31181818181824</v>
      </c>
      <c r="O962" t="str">
        <f t="shared" ref="O962:O1025" si="79">IF(OR(A962="",B962="",C962="",F962&lt;0,G962&lt;0,H962&lt;0,K962&lt;1,K962&gt;5),"Review","OK")</f>
        <v>OK</v>
      </c>
    </row>
    <row r="963" spans="1:15">
      <c r="A963" t="str">
        <f>'Raw Data'!A963</f>
        <v>Columbus RM-14</v>
      </c>
      <c r="B963" t="str">
        <f>'Raw Data'!B963</f>
        <v>Midwest</v>
      </c>
      <c r="C963" t="str">
        <f>'Raw Data'!C963</f>
        <v>Home Goods</v>
      </c>
      <c r="D963" s="3">
        <f>'Raw Data'!D963</f>
        <v>45778</v>
      </c>
      <c r="E963" t="str">
        <f t="shared" si="75"/>
        <v>May</v>
      </c>
      <c r="F963" s="5">
        <f>'Raw Data'!E963</f>
        <v>89</v>
      </c>
      <c r="G963" s="4">
        <f>'Raw Data'!F963</f>
        <v>6607.3</v>
      </c>
      <c r="H963" s="4">
        <f>'Raw Data'!G963</f>
        <v>4353.24</v>
      </c>
      <c r="I963" s="4">
        <f t="shared" si="76"/>
        <v>2254.0600000000004</v>
      </c>
      <c r="J963" s="8">
        <f t="shared" si="77"/>
        <v>0.34114691326260355</v>
      </c>
      <c r="K963" s="6">
        <f>'Raw Data'!I963</f>
        <v>3.92</v>
      </c>
      <c r="L963" s="5">
        <f>'Raw Data'!J963</f>
        <v>22</v>
      </c>
      <c r="M963" s="5">
        <f>IF(COUNTIFS($A$2:A963,A963,$D$2:D963,D963)=1,L963,0)</f>
        <v>0</v>
      </c>
      <c r="N963" s="4">
        <f t="shared" si="78"/>
        <v>300.33181818181816</v>
      </c>
      <c r="O963" t="str">
        <f t="shared" si="79"/>
        <v>OK</v>
      </c>
    </row>
    <row r="964" spans="1:15">
      <c r="A964" t="str">
        <f>'Raw Data'!A964</f>
        <v>Columbus RM-14</v>
      </c>
      <c r="B964" t="str">
        <f>'Raw Data'!B964</f>
        <v>Midwest</v>
      </c>
      <c r="C964" t="str">
        <f>'Raw Data'!C964</f>
        <v>Apparel</v>
      </c>
      <c r="D964" s="3">
        <f>'Raw Data'!D964</f>
        <v>45778</v>
      </c>
      <c r="E964" t="str">
        <f t="shared" si="75"/>
        <v>May</v>
      </c>
      <c r="F964" s="5">
        <f>'Raw Data'!E964</f>
        <v>127</v>
      </c>
      <c r="G964" s="4">
        <f>'Raw Data'!F964</f>
        <v>6072.17</v>
      </c>
      <c r="H964" s="4">
        <f>'Raw Data'!G964</f>
        <v>3701.96</v>
      </c>
      <c r="I964" s="4">
        <f t="shared" si="76"/>
        <v>2370.21</v>
      </c>
      <c r="J964" s="8">
        <f t="shared" si="77"/>
        <v>0.39033986202626081</v>
      </c>
      <c r="K964" s="6">
        <f>'Raw Data'!I964</f>
        <v>3.8</v>
      </c>
      <c r="L964" s="5">
        <f>'Raw Data'!J964</f>
        <v>22</v>
      </c>
      <c r="M964" s="5">
        <f>IF(COUNTIFS($A$2:A964,A964,$D$2:D964,D964)=1,L964,0)</f>
        <v>0</v>
      </c>
      <c r="N964" s="4">
        <f t="shared" si="78"/>
        <v>276.00772727272727</v>
      </c>
      <c r="O964" t="str">
        <f t="shared" si="79"/>
        <v>OK</v>
      </c>
    </row>
    <row r="965" spans="1:15">
      <c r="A965" t="str">
        <f>'Raw Data'!A965</f>
        <v>Columbus RM-14</v>
      </c>
      <c r="B965" t="str">
        <f>'Raw Data'!B965</f>
        <v>Midwest</v>
      </c>
      <c r="C965" t="str">
        <f>'Raw Data'!C965</f>
        <v>Beauty</v>
      </c>
      <c r="D965" s="3">
        <f>'Raw Data'!D965</f>
        <v>45778</v>
      </c>
      <c r="E965" t="str">
        <f t="shared" si="75"/>
        <v>May</v>
      </c>
      <c r="F965" s="5">
        <f>'Raw Data'!E965</f>
        <v>88</v>
      </c>
      <c r="G965" s="4">
        <f>'Raw Data'!F965</f>
        <v>3405.26</v>
      </c>
      <c r="H965" s="4">
        <f>'Raw Data'!G965</f>
        <v>1604.39</v>
      </c>
      <c r="I965" s="4">
        <f t="shared" si="76"/>
        <v>1800.8700000000001</v>
      </c>
      <c r="J965" s="8">
        <f t="shared" si="77"/>
        <v>0.52884948579550461</v>
      </c>
      <c r="K965" s="6">
        <f>'Raw Data'!I965</f>
        <v>3.98</v>
      </c>
      <c r="L965" s="5">
        <f>'Raw Data'!J965</f>
        <v>22</v>
      </c>
      <c r="M965" s="5">
        <f>IF(COUNTIFS($A$2:A965,A965,$D$2:D965,D965)=1,L965,0)</f>
        <v>0</v>
      </c>
      <c r="N965" s="4">
        <f t="shared" si="78"/>
        <v>154.78454545454545</v>
      </c>
      <c r="O965" t="str">
        <f t="shared" si="79"/>
        <v>OK</v>
      </c>
    </row>
    <row r="966" spans="1:15">
      <c r="A966" t="str">
        <f>'Raw Data'!A966</f>
        <v>Columbus RM-14</v>
      </c>
      <c r="B966" t="str">
        <f>'Raw Data'!B966</f>
        <v>Midwest</v>
      </c>
      <c r="C966" t="str">
        <f>'Raw Data'!C966</f>
        <v>Grocery</v>
      </c>
      <c r="D966" s="3">
        <f>'Raw Data'!D966</f>
        <v>45778</v>
      </c>
      <c r="E966" t="str">
        <f t="shared" si="75"/>
        <v>May</v>
      </c>
      <c r="F966" s="5">
        <f>'Raw Data'!E966</f>
        <v>189</v>
      </c>
      <c r="G966" s="4">
        <f>'Raw Data'!F966</f>
        <v>3202.98</v>
      </c>
      <c r="H966" s="4">
        <f>'Raw Data'!G966</f>
        <v>2956.4</v>
      </c>
      <c r="I966" s="4">
        <f t="shared" si="76"/>
        <v>246.57999999999993</v>
      </c>
      <c r="J966" s="8">
        <f t="shared" si="77"/>
        <v>7.6984558130241187E-2</v>
      </c>
      <c r="K966" s="6">
        <f>'Raw Data'!I966</f>
        <v>4.01</v>
      </c>
      <c r="L966" s="5">
        <f>'Raw Data'!J966</f>
        <v>22</v>
      </c>
      <c r="M966" s="5">
        <f>IF(COUNTIFS($A$2:A966,A966,$D$2:D966,D966)=1,L966,0)</f>
        <v>0</v>
      </c>
      <c r="N966" s="4">
        <f t="shared" si="78"/>
        <v>145.59</v>
      </c>
      <c r="O966" t="str">
        <f t="shared" si="79"/>
        <v>OK</v>
      </c>
    </row>
    <row r="967" spans="1:15">
      <c r="A967" t="str">
        <f>'Raw Data'!A967</f>
        <v>Columbus RM-14</v>
      </c>
      <c r="B967" t="str">
        <f>'Raw Data'!B967</f>
        <v>Midwest</v>
      </c>
      <c r="C967" t="str">
        <f>'Raw Data'!C967</f>
        <v>Sports</v>
      </c>
      <c r="D967" s="3">
        <f>'Raw Data'!D967</f>
        <v>45778</v>
      </c>
      <c r="E967" t="str">
        <f t="shared" si="75"/>
        <v>May</v>
      </c>
      <c r="F967" s="5">
        <f>'Raw Data'!E967</f>
        <v>114</v>
      </c>
      <c r="G967" s="4">
        <f>'Raw Data'!F967</f>
        <v>7156.64</v>
      </c>
      <c r="H967" s="4">
        <f>'Raw Data'!G967</f>
        <v>4524.47</v>
      </c>
      <c r="I967" s="4">
        <f t="shared" si="76"/>
        <v>2632.17</v>
      </c>
      <c r="J967" s="8">
        <f t="shared" si="77"/>
        <v>0.36779410449596456</v>
      </c>
      <c r="K967" s="6">
        <f>'Raw Data'!I967</f>
        <v>3.98</v>
      </c>
      <c r="L967" s="5">
        <f>'Raw Data'!J967</f>
        <v>22</v>
      </c>
      <c r="M967" s="5">
        <f>IF(COUNTIFS($A$2:A967,A967,$D$2:D967,D967)=1,L967,0)</f>
        <v>0</v>
      </c>
      <c r="N967" s="4">
        <f t="shared" si="78"/>
        <v>325.30181818181819</v>
      </c>
      <c r="O967" t="str">
        <f t="shared" si="79"/>
        <v>OK</v>
      </c>
    </row>
    <row r="968" spans="1:15">
      <c r="A968" t="str">
        <f>'Raw Data'!A968</f>
        <v>Columbus RM-14</v>
      </c>
      <c r="B968" t="str">
        <f>'Raw Data'!B968</f>
        <v>Midwest</v>
      </c>
      <c r="C968" t="str">
        <f>'Raw Data'!C968</f>
        <v>Electronics</v>
      </c>
      <c r="D968" s="3">
        <f>'Raw Data'!D968</f>
        <v>45809</v>
      </c>
      <c r="E968" t="str">
        <f t="shared" si="75"/>
        <v>Jun</v>
      </c>
      <c r="F968" s="5">
        <f>'Raw Data'!E968</f>
        <v>109</v>
      </c>
      <c r="G968" s="4">
        <f>'Raw Data'!F968</f>
        <v>15652.7</v>
      </c>
      <c r="H968" s="4">
        <f>'Raw Data'!G968</f>
        <v>12322.66</v>
      </c>
      <c r="I968" s="4">
        <f t="shared" si="76"/>
        <v>3330.0400000000009</v>
      </c>
      <c r="J968" s="8">
        <f t="shared" si="77"/>
        <v>0.21274540494611158</v>
      </c>
      <c r="K968" s="6">
        <f>'Raw Data'!I968</f>
        <v>4.05</v>
      </c>
      <c r="L968" s="5">
        <f>'Raw Data'!J968</f>
        <v>24</v>
      </c>
      <c r="M968" s="5">
        <f>IF(COUNTIFS($A$2:A968,A968,$D$2:D968,D968)=1,L968,0)</f>
        <v>24</v>
      </c>
      <c r="N968" s="4">
        <f t="shared" si="78"/>
        <v>652.19583333333333</v>
      </c>
      <c r="O968" t="str">
        <f t="shared" si="79"/>
        <v>OK</v>
      </c>
    </row>
    <row r="969" spans="1:15">
      <c r="A969" t="str">
        <f>'Raw Data'!A969</f>
        <v>Columbus RM-14</v>
      </c>
      <c r="B969" t="str">
        <f>'Raw Data'!B969</f>
        <v>Midwest</v>
      </c>
      <c r="C969" t="str">
        <f>'Raw Data'!C969</f>
        <v>Home Goods</v>
      </c>
      <c r="D969" s="3">
        <f>'Raw Data'!D969</f>
        <v>45809</v>
      </c>
      <c r="E969" t="str">
        <f t="shared" si="75"/>
        <v>Jun</v>
      </c>
      <c r="F969" s="5">
        <f>'Raw Data'!E969</f>
        <v>100</v>
      </c>
      <c r="G969" s="4">
        <f>'Raw Data'!F969</f>
        <v>7236.4</v>
      </c>
      <c r="H969" s="4">
        <f>'Raw Data'!G969</f>
        <v>4783.21</v>
      </c>
      <c r="I969" s="4">
        <f t="shared" si="76"/>
        <v>2453.1899999999996</v>
      </c>
      <c r="J969" s="8">
        <f t="shared" si="77"/>
        <v>0.33900696478912162</v>
      </c>
      <c r="K969" s="6">
        <f>'Raw Data'!I969</f>
        <v>3.85</v>
      </c>
      <c r="L969" s="5">
        <f>'Raw Data'!J969</f>
        <v>24</v>
      </c>
      <c r="M969" s="5">
        <f>IF(COUNTIFS($A$2:A969,A969,$D$2:D969,D969)=1,L969,0)</f>
        <v>0</v>
      </c>
      <c r="N969" s="4">
        <f t="shared" si="78"/>
        <v>301.51666666666665</v>
      </c>
      <c r="O969" t="str">
        <f t="shared" si="79"/>
        <v>OK</v>
      </c>
    </row>
    <row r="970" spans="1:15">
      <c r="A970" t="str">
        <f>'Raw Data'!A970</f>
        <v>Columbus RM-14</v>
      </c>
      <c r="B970" t="str">
        <f>'Raw Data'!B970</f>
        <v>Midwest</v>
      </c>
      <c r="C970" t="str">
        <f>'Raw Data'!C970</f>
        <v>Apparel</v>
      </c>
      <c r="D970" s="3">
        <f>'Raw Data'!D970</f>
        <v>45809</v>
      </c>
      <c r="E970" t="str">
        <f t="shared" si="75"/>
        <v>Jun</v>
      </c>
      <c r="F970" s="5">
        <f>'Raw Data'!E970</f>
        <v>132</v>
      </c>
      <c r="G970" s="4">
        <f>'Raw Data'!F970</f>
        <v>6133.52</v>
      </c>
      <c r="H970" s="4">
        <f>'Raw Data'!G970</f>
        <v>3632.66</v>
      </c>
      <c r="I970" s="4">
        <f t="shared" si="76"/>
        <v>2500.8600000000006</v>
      </c>
      <c r="J970" s="8">
        <f t="shared" si="77"/>
        <v>0.40773650367162745</v>
      </c>
      <c r="K970" s="6">
        <f>'Raw Data'!I970</f>
        <v>3.96</v>
      </c>
      <c r="L970" s="5">
        <f>'Raw Data'!J970</f>
        <v>24</v>
      </c>
      <c r="M970" s="5">
        <f>IF(COUNTIFS($A$2:A970,A970,$D$2:D970,D970)=1,L970,0)</f>
        <v>0</v>
      </c>
      <c r="N970" s="4">
        <f t="shared" si="78"/>
        <v>255.56333333333336</v>
      </c>
      <c r="O970" t="str">
        <f t="shared" si="79"/>
        <v>OK</v>
      </c>
    </row>
    <row r="971" spans="1:15">
      <c r="A971" t="str">
        <f>'Raw Data'!A971</f>
        <v>Columbus RM-14</v>
      </c>
      <c r="B971" t="str">
        <f>'Raw Data'!B971</f>
        <v>Midwest</v>
      </c>
      <c r="C971" t="str">
        <f>'Raw Data'!C971</f>
        <v>Beauty</v>
      </c>
      <c r="D971" s="3">
        <f>'Raw Data'!D971</f>
        <v>45809</v>
      </c>
      <c r="E971" t="str">
        <f t="shared" si="75"/>
        <v>Jun</v>
      </c>
      <c r="F971" s="5">
        <f>'Raw Data'!E971</f>
        <v>106</v>
      </c>
      <c r="G971" s="4">
        <f>'Raw Data'!F971</f>
        <v>4078.1</v>
      </c>
      <c r="H971" s="4">
        <f>'Raw Data'!G971</f>
        <v>2004.22</v>
      </c>
      <c r="I971" s="4">
        <f t="shared" si="76"/>
        <v>2073.88</v>
      </c>
      <c r="J971" s="8">
        <f t="shared" si="77"/>
        <v>0.50854074201221156</v>
      </c>
      <c r="K971" s="6">
        <f>'Raw Data'!I971</f>
        <v>3.96</v>
      </c>
      <c r="L971" s="5">
        <f>'Raw Data'!J971</f>
        <v>24</v>
      </c>
      <c r="M971" s="5">
        <f>IF(COUNTIFS($A$2:A971,A971,$D$2:D971,D971)=1,L971,0)</f>
        <v>0</v>
      </c>
      <c r="N971" s="4">
        <f t="shared" si="78"/>
        <v>169.92083333333332</v>
      </c>
      <c r="O971" t="str">
        <f t="shared" si="79"/>
        <v>OK</v>
      </c>
    </row>
    <row r="972" spans="1:15">
      <c r="A972" t="str">
        <f>'Raw Data'!A972</f>
        <v>Columbus RM-14</v>
      </c>
      <c r="B972" t="str">
        <f>'Raw Data'!B972</f>
        <v>Midwest</v>
      </c>
      <c r="C972" t="str">
        <f>'Raw Data'!C972</f>
        <v>Grocery</v>
      </c>
      <c r="D972" s="3">
        <f>'Raw Data'!D972</f>
        <v>45809</v>
      </c>
      <c r="E972" t="str">
        <f t="shared" si="75"/>
        <v>Jun</v>
      </c>
      <c r="F972" s="5">
        <f>'Raw Data'!E972</f>
        <v>170</v>
      </c>
      <c r="G972" s="4">
        <f>'Raw Data'!F972</f>
        <v>3025.26</v>
      </c>
      <c r="H972" s="4">
        <f>'Raw Data'!G972</f>
        <v>2805.1</v>
      </c>
      <c r="I972" s="4">
        <f t="shared" si="76"/>
        <v>220.16000000000031</v>
      </c>
      <c r="J972" s="8">
        <f t="shared" si="77"/>
        <v>7.2773910341590572E-2</v>
      </c>
      <c r="K972" s="6">
        <f>'Raw Data'!I972</f>
        <v>3.75</v>
      </c>
      <c r="L972" s="5">
        <f>'Raw Data'!J972</f>
        <v>24</v>
      </c>
      <c r="M972" s="5">
        <f>IF(COUNTIFS($A$2:A972,A972,$D$2:D972,D972)=1,L972,0)</f>
        <v>0</v>
      </c>
      <c r="N972" s="4">
        <f t="shared" si="78"/>
        <v>126.05250000000001</v>
      </c>
      <c r="O972" t="str">
        <f t="shared" si="79"/>
        <v>OK</v>
      </c>
    </row>
    <row r="973" spans="1:15">
      <c r="A973" t="str">
        <f>'Raw Data'!A973</f>
        <v>Columbus RM-14</v>
      </c>
      <c r="B973" t="str">
        <f>'Raw Data'!B973</f>
        <v>Midwest</v>
      </c>
      <c r="C973" t="str">
        <f>'Raw Data'!C973</f>
        <v>Sports</v>
      </c>
      <c r="D973" s="3">
        <f>'Raw Data'!D973</f>
        <v>45809</v>
      </c>
      <c r="E973" t="str">
        <f t="shared" si="75"/>
        <v>Jun</v>
      </c>
      <c r="F973" s="5">
        <f>'Raw Data'!E973</f>
        <v>106</v>
      </c>
      <c r="G973" s="4">
        <f>'Raw Data'!F973</f>
        <v>7063.77</v>
      </c>
      <c r="H973" s="4">
        <f>'Raw Data'!G973</f>
        <v>4578.99</v>
      </c>
      <c r="I973" s="4">
        <f t="shared" si="76"/>
        <v>2484.7800000000007</v>
      </c>
      <c r="J973" s="8">
        <f t="shared" si="77"/>
        <v>0.35176400137603581</v>
      </c>
      <c r="K973" s="6">
        <f>'Raw Data'!I973</f>
        <v>3.85</v>
      </c>
      <c r="L973" s="5">
        <f>'Raw Data'!J973</f>
        <v>24</v>
      </c>
      <c r="M973" s="5">
        <f>IF(COUNTIFS($A$2:A973,A973,$D$2:D973,D973)=1,L973,0)</f>
        <v>0</v>
      </c>
      <c r="N973" s="4">
        <f t="shared" si="78"/>
        <v>294.32375000000002</v>
      </c>
      <c r="O973" t="str">
        <f t="shared" si="79"/>
        <v>OK</v>
      </c>
    </row>
    <row r="974" spans="1:15">
      <c r="A974" t="str">
        <f>'Raw Data'!A974</f>
        <v>Columbus RM-14</v>
      </c>
      <c r="B974" t="str">
        <f>'Raw Data'!B974</f>
        <v>Midwest</v>
      </c>
      <c r="C974" t="str">
        <f>'Raw Data'!C974</f>
        <v>Electronics</v>
      </c>
      <c r="D974" s="3">
        <f>'Raw Data'!D974</f>
        <v>45839</v>
      </c>
      <c r="E974" t="str">
        <f t="shared" si="75"/>
        <v>Jul</v>
      </c>
      <c r="F974" s="5">
        <f>'Raw Data'!E974</f>
        <v>125</v>
      </c>
      <c r="G974" s="4">
        <f>'Raw Data'!F974</f>
        <v>17307.650000000001</v>
      </c>
      <c r="H974" s="4">
        <f>'Raw Data'!G974</f>
        <v>13254.79</v>
      </c>
      <c r="I974" s="4">
        <f t="shared" si="76"/>
        <v>4052.8600000000006</v>
      </c>
      <c r="J974" s="8">
        <f t="shared" si="77"/>
        <v>0.23416581684977453</v>
      </c>
      <c r="K974" s="6">
        <f>'Raw Data'!I974</f>
        <v>3.81</v>
      </c>
      <c r="L974" s="5">
        <f>'Raw Data'!J974</f>
        <v>23</v>
      </c>
      <c r="M974" s="5">
        <f>IF(COUNTIFS($A$2:A974,A974,$D$2:D974,D974)=1,L974,0)</f>
        <v>23</v>
      </c>
      <c r="N974" s="4">
        <f t="shared" si="78"/>
        <v>752.50652173913045</v>
      </c>
      <c r="O974" t="str">
        <f t="shared" si="79"/>
        <v>OK</v>
      </c>
    </row>
    <row r="975" spans="1:15">
      <c r="A975" t="str">
        <f>'Raw Data'!A975</f>
        <v>Columbus RM-14</v>
      </c>
      <c r="B975" t="str">
        <f>'Raw Data'!B975</f>
        <v>Midwest</v>
      </c>
      <c r="C975" t="str">
        <f>'Raw Data'!C975</f>
        <v>Home Goods</v>
      </c>
      <c r="D975" s="3">
        <f>'Raw Data'!D975</f>
        <v>45839</v>
      </c>
      <c r="E975" t="str">
        <f t="shared" si="75"/>
        <v>Jul</v>
      </c>
      <c r="F975" s="5">
        <f>'Raw Data'!E975</f>
        <v>123</v>
      </c>
      <c r="G975" s="4">
        <f>'Raw Data'!F975</f>
        <v>10026.5</v>
      </c>
      <c r="H975" s="4">
        <f>'Raw Data'!G975</f>
        <v>6901.11</v>
      </c>
      <c r="I975" s="4">
        <f t="shared" si="76"/>
        <v>3125.3900000000003</v>
      </c>
      <c r="J975" s="8">
        <f t="shared" si="77"/>
        <v>0.31171296065426624</v>
      </c>
      <c r="K975" s="6">
        <f>'Raw Data'!I975</f>
        <v>4.05</v>
      </c>
      <c r="L975" s="5">
        <f>'Raw Data'!J975</f>
        <v>23</v>
      </c>
      <c r="M975" s="5">
        <f>IF(COUNTIFS($A$2:A975,A975,$D$2:D975,D975)=1,L975,0)</f>
        <v>0</v>
      </c>
      <c r="N975" s="4">
        <f t="shared" si="78"/>
        <v>435.93478260869563</v>
      </c>
      <c r="O975" t="str">
        <f t="shared" si="79"/>
        <v>OK</v>
      </c>
    </row>
    <row r="976" spans="1:15">
      <c r="A976" t="str">
        <f>'Raw Data'!A976</f>
        <v>Columbus RM-14</v>
      </c>
      <c r="B976" t="str">
        <f>'Raw Data'!B976</f>
        <v>Midwest</v>
      </c>
      <c r="C976" t="str">
        <f>'Raw Data'!C976</f>
        <v>Apparel</v>
      </c>
      <c r="D976" s="3">
        <f>'Raw Data'!D976</f>
        <v>45839</v>
      </c>
      <c r="E976" t="str">
        <f t="shared" si="75"/>
        <v>Jul</v>
      </c>
      <c r="F976" s="5">
        <f>'Raw Data'!E976</f>
        <v>159</v>
      </c>
      <c r="G976" s="4">
        <f>'Raw Data'!F976</f>
        <v>7788.34</v>
      </c>
      <c r="H976" s="4">
        <f>'Raw Data'!G976</f>
        <v>4853.5200000000004</v>
      </c>
      <c r="I976" s="4">
        <f t="shared" si="76"/>
        <v>2934.8199999999997</v>
      </c>
      <c r="J976" s="8">
        <f t="shared" si="77"/>
        <v>0.37682227535007456</v>
      </c>
      <c r="K976" s="6">
        <f>'Raw Data'!I976</f>
        <v>4.05</v>
      </c>
      <c r="L976" s="5">
        <f>'Raw Data'!J976</f>
        <v>23</v>
      </c>
      <c r="M976" s="5">
        <f>IF(COUNTIFS($A$2:A976,A976,$D$2:D976,D976)=1,L976,0)</f>
        <v>0</v>
      </c>
      <c r="N976" s="4">
        <f t="shared" si="78"/>
        <v>338.62347826086955</v>
      </c>
      <c r="O976" t="str">
        <f t="shared" si="79"/>
        <v>OK</v>
      </c>
    </row>
    <row r="977" spans="1:15">
      <c r="A977" t="str">
        <f>'Raw Data'!A977</f>
        <v>Columbus RM-14</v>
      </c>
      <c r="B977" t="str">
        <f>'Raw Data'!B977</f>
        <v>Midwest</v>
      </c>
      <c r="C977" t="str">
        <f>'Raw Data'!C977</f>
        <v>Beauty</v>
      </c>
      <c r="D977" s="3">
        <f>'Raw Data'!D977</f>
        <v>45839</v>
      </c>
      <c r="E977" t="str">
        <f t="shared" si="75"/>
        <v>Jul</v>
      </c>
      <c r="F977" s="5">
        <f>'Raw Data'!E977</f>
        <v>107</v>
      </c>
      <c r="G977" s="4">
        <f>'Raw Data'!F977</f>
        <v>3924.59</v>
      </c>
      <c r="H977" s="4">
        <f>'Raw Data'!G977</f>
        <v>1978.13</v>
      </c>
      <c r="I977" s="4">
        <f t="shared" si="76"/>
        <v>1946.46</v>
      </c>
      <c r="J977" s="8">
        <f t="shared" si="77"/>
        <v>0.49596518362427666</v>
      </c>
      <c r="K977" s="6">
        <f>'Raw Data'!I977</f>
        <v>3.97</v>
      </c>
      <c r="L977" s="5">
        <f>'Raw Data'!J977</f>
        <v>23</v>
      </c>
      <c r="M977" s="5">
        <f>IF(COUNTIFS($A$2:A977,A977,$D$2:D977,D977)=1,L977,0)</f>
        <v>0</v>
      </c>
      <c r="N977" s="4">
        <f t="shared" si="78"/>
        <v>170.63434782608695</v>
      </c>
      <c r="O977" t="str">
        <f t="shared" si="79"/>
        <v>OK</v>
      </c>
    </row>
    <row r="978" spans="1:15">
      <c r="A978" t="str">
        <f>'Raw Data'!A978</f>
        <v>Columbus RM-14</v>
      </c>
      <c r="B978" t="str">
        <f>'Raw Data'!B978</f>
        <v>Midwest</v>
      </c>
      <c r="C978" t="str">
        <f>'Raw Data'!C978</f>
        <v>Grocery</v>
      </c>
      <c r="D978" s="3">
        <f>'Raw Data'!D978</f>
        <v>45839</v>
      </c>
      <c r="E978" t="str">
        <f t="shared" si="75"/>
        <v>Jul</v>
      </c>
      <c r="F978" s="5">
        <f>'Raw Data'!E978</f>
        <v>215</v>
      </c>
      <c r="G978" s="4">
        <f>'Raw Data'!F978</f>
        <v>3887.42</v>
      </c>
      <c r="H978" s="4">
        <f>'Raw Data'!G978</f>
        <v>3579.43</v>
      </c>
      <c r="I978" s="4">
        <f t="shared" si="76"/>
        <v>307.99000000000024</v>
      </c>
      <c r="J978" s="8">
        <f t="shared" si="77"/>
        <v>7.9227353874806491E-2</v>
      </c>
      <c r="K978" s="6">
        <f>'Raw Data'!I978</f>
        <v>3.68</v>
      </c>
      <c r="L978" s="5">
        <f>'Raw Data'!J978</f>
        <v>23</v>
      </c>
      <c r="M978" s="5">
        <f>IF(COUNTIFS($A$2:A978,A978,$D$2:D978,D978)=1,L978,0)</f>
        <v>0</v>
      </c>
      <c r="N978" s="4">
        <f t="shared" si="78"/>
        <v>169.01826086956521</v>
      </c>
      <c r="O978" t="str">
        <f t="shared" si="79"/>
        <v>OK</v>
      </c>
    </row>
    <row r="979" spans="1:15">
      <c r="A979" t="str">
        <f>'Raw Data'!A979</f>
        <v>Columbus RM-14</v>
      </c>
      <c r="B979" t="str">
        <f>'Raw Data'!B979</f>
        <v>Midwest</v>
      </c>
      <c r="C979" t="str">
        <f>'Raw Data'!C979</f>
        <v>Sports</v>
      </c>
      <c r="D979" s="3">
        <f>'Raw Data'!D979</f>
        <v>45839</v>
      </c>
      <c r="E979" t="str">
        <f t="shared" si="75"/>
        <v>Jul</v>
      </c>
      <c r="F979" s="5">
        <f>'Raw Data'!E979</f>
        <v>112</v>
      </c>
      <c r="G979" s="4">
        <f>'Raw Data'!F979</f>
        <v>6640.39</v>
      </c>
      <c r="H979" s="4">
        <f>'Raw Data'!G979</f>
        <v>4243.07</v>
      </c>
      <c r="I979" s="4">
        <f t="shared" si="76"/>
        <v>2397.3200000000006</v>
      </c>
      <c r="J979" s="8">
        <f t="shared" si="77"/>
        <v>0.36102096413011892</v>
      </c>
      <c r="K979" s="6">
        <f>'Raw Data'!I979</f>
        <v>3.93</v>
      </c>
      <c r="L979" s="5">
        <f>'Raw Data'!J979</f>
        <v>23</v>
      </c>
      <c r="M979" s="5">
        <f>IF(COUNTIFS($A$2:A979,A979,$D$2:D979,D979)=1,L979,0)</f>
        <v>0</v>
      </c>
      <c r="N979" s="4">
        <f t="shared" si="78"/>
        <v>288.71260869565219</v>
      </c>
      <c r="O979" t="str">
        <f t="shared" si="79"/>
        <v>OK</v>
      </c>
    </row>
    <row r="980" spans="1:15">
      <c r="A980" t="str">
        <f>'Raw Data'!A980</f>
        <v>Columbus RM-14</v>
      </c>
      <c r="B980" t="str">
        <f>'Raw Data'!B980</f>
        <v>Midwest</v>
      </c>
      <c r="C980" t="str">
        <f>'Raw Data'!C980</f>
        <v>Electronics</v>
      </c>
      <c r="D980" s="3">
        <f>'Raw Data'!D980</f>
        <v>45870</v>
      </c>
      <c r="E980" t="str">
        <f t="shared" si="75"/>
        <v>Aug</v>
      </c>
      <c r="F980" s="5">
        <f>'Raw Data'!E980</f>
        <v>117</v>
      </c>
      <c r="G980" s="4">
        <f>'Raw Data'!F980</f>
        <v>16696.990000000002</v>
      </c>
      <c r="H980" s="4">
        <f>'Raw Data'!G980</f>
        <v>13585.39</v>
      </c>
      <c r="I980" s="4">
        <f t="shared" si="76"/>
        <v>3111.6000000000022</v>
      </c>
      <c r="J980" s="8">
        <f t="shared" si="77"/>
        <v>0.18635694217939891</v>
      </c>
      <c r="K980" s="6">
        <f>'Raw Data'!I980</f>
        <v>3.89</v>
      </c>
      <c r="L980" s="5">
        <f>'Raw Data'!J980</f>
        <v>24</v>
      </c>
      <c r="M980" s="5">
        <f>IF(COUNTIFS($A$2:A980,A980,$D$2:D980,D980)=1,L980,0)</f>
        <v>24</v>
      </c>
      <c r="N980" s="4">
        <f t="shared" si="78"/>
        <v>695.70791666666673</v>
      </c>
      <c r="O980" t="str">
        <f t="shared" si="79"/>
        <v>OK</v>
      </c>
    </row>
    <row r="981" spans="1:15">
      <c r="A981" t="str">
        <f>'Raw Data'!A981</f>
        <v>Columbus RM-14</v>
      </c>
      <c r="B981" t="str">
        <f>'Raw Data'!B981</f>
        <v>Midwest</v>
      </c>
      <c r="C981" t="str">
        <f>'Raw Data'!C981</f>
        <v>Home Goods</v>
      </c>
      <c r="D981" s="3">
        <f>'Raw Data'!D981</f>
        <v>45870</v>
      </c>
      <c r="E981" t="str">
        <f t="shared" si="75"/>
        <v>Aug</v>
      </c>
      <c r="F981" s="5">
        <f>'Raw Data'!E981</f>
        <v>103</v>
      </c>
      <c r="G981" s="4">
        <f>'Raw Data'!F981</f>
        <v>7368.98</v>
      </c>
      <c r="H981" s="4">
        <f>'Raw Data'!G981</f>
        <v>5125.8100000000004</v>
      </c>
      <c r="I981" s="4">
        <f t="shared" si="76"/>
        <v>2243.1699999999992</v>
      </c>
      <c r="J981" s="8">
        <f t="shared" si="77"/>
        <v>0.30440712283111088</v>
      </c>
      <c r="K981" s="6">
        <f>'Raw Data'!I981</f>
        <v>3.79</v>
      </c>
      <c r="L981" s="5">
        <f>'Raw Data'!J981</f>
        <v>24</v>
      </c>
      <c r="M981" s="5">
        <f>IF(COUNTIFS($A$2:A981,A981,$D$2:D981,D981)=1,L981,0)</f>
        <v>0</v>
      </c>
      <c r="N981" s="4">
        <f t="shared" si="78"/>
        <v>307.0408333333333</v>
      </c>
      <c r="O981" t="str">
        <f t="shared" si="79"/>
        <v>OK</v>
      </c>
    </row>
    <row r="982" spans="1:15">
      <c r="A982" t="str">
        <f>'Raw Data'!A982</f>
        <v>Columbus RM-14</v>
      </c>
      <c r="B982" t="str">
        <f>'Raw Data'!B982</f>
        <v>Midwest</v>
      </c>
      <c r="C982" t="str">
        <f>'Raw Data'!C982</f>
        <v>Apparel</v>
      </c>
      <c r="D982" s="3">
        <f>'Raw Data'!D982</f>
        <v>45870</v>
      </c>
      <c r="E982" t="str">
        <f t="shared" si="75"/>
        <v>Aug</v>
      </c>
      <c r="F982" s="5">
        <f>'Raw Data'!E982</f>
        <v>178</v>
      </c>
      <c r="G982" s="4">
        <f>'Raw Data'!F982</f>
        <v>9013.5</v>
      </c>
      <c r="H982" s="4">
        <f>'Raw Data'!G982</f>
        <v>5463.78</v>
      </c>
      <c r="I982" s="4">
        <f t="shared" si="76"/>
        <v>3549.7200000000003</v>
      </c>
      <c r="J982" s="8">
        <f t="shared" si="77"/>
        <v>0.39382259943418207</v>
      </c>
      <c r="K982" s="6">
        <f>'Raw Data'!I982</f>
        <v>4.04</v>
      </c>
      <c r="L982" s="5">
        <f>'Raw Data'!J982</f>
        <v>24</v>
      </c>
      <c r="M982" s="5">
        <f>IF(COUNTIFS($A$2:A982,A982,$D$2:D982,D982)=1,L982,0)</f>
        <v>0</v>
      </c>
      <c r="N982" s="4">
        <f t="shared" si="78"/>
        <v>375.5625</v>
      </c>
      <c r="O982" t="str">
        <f t="shared" si="79"/>
        <v>OK</v>
      </c>
    </row>
    <row r="983" spans="1:15">
      <c r="A983" t="str">
        <f>'Raw Data'!A983</f>
        <v>Columbus RM-14</v>
      </c>
      <c r="B983" t="str">
        <f>'Raw Data'!B983</f>
        <v>Midwest</v>
      </c>
      <c r="C983" t="str">
        <f>'Raw Data'!C983</f>
        <v>Beauty</v>
      </c>
      <c r="D983" s="3">
        <f>'Raw Data'!D983</f>
        <v>45870</v>
      </c>
      <c r="E983" t="str">
        <f t="shared" si="75"/>
        <v>Aug</v>
      </c>
      <c r="F983" s="5">
        <f>'Raw Data'!E983</f>
        <v>122</v>
      </c>
      <c r="G983" s="4">
        <f>'Raw Data'!F983</f>
        <v>4421.5</v>
      </c>
      <c r="H983" s="4">
        <f>'Raw Data'!G983</f>
        <v>2200.09</v>
      </c>
      <c r="I983" s="4">
        <f t="shared" si="76"/>
        <v>2221.41</v>
      </c>
      <c r="J983" s="8">
        <f t="shared" si="77"/>
        <v>0.50241094651136486</v>
      </c>
      <c r="K983" s="6">
        <f>'Raw Data'!I983</f>
        <v>4.0199999999999996</v>
      </c>
      <c r="L983" s="5">
        <f>'Raw Data'!J983</f>
        <v>24</v>
      </c>
      <c r="M983" s="5">
        <f>IF(COUNTIFS($A$2:A983,A983,$D$2:D983,D983)=1,L983,0)</f>
        <v>0</v>
      </c>
      <c r="N983" s="4">
        <f t="shared" si="78"/>
        <v>184.22916666666666</v>
      </c>
      <c r="O983" t="str">
        <f t="shared" si="79"/>
        <v>OK</v>
      </c>
    </row>
    <row r="984" spans="1:15">
      <c r="A984" t="str">
        <f>'Raw Data'!A984</f>
        <v>Columbus RM-14</v>
      </c>
      <c r="B984" t="str">
        <f>'Raw Data'!B984</f>
        <v>Midwest</v>
      </c>
      <c r="C984" t="str">
        <f>'Raw Data'!C984</f>
        <v>Grocery</v>
      </c>
      <c r="D984" s="3">
        <f>'Raw Data'!D984</f>
        <v>45870</v>
      </c>
      <c r="E984" t="str">
        <f t="shared" si="75"/>
        <v>Aug</v>
      </c>
      <c r="F984" s="5">
        <f>'Raw Data'!E984</f>
        <v>184</v>
      </c>
      <c r="G984" s="4">
        <f>'Raw Data'!F984</f>
        <v>3430.02</v>
      </c>
      <c r="H984" s="4">
        <f>'Raw Data'!G984</f>
        <v>3240.26</v>
      </c>
      <c r="I984" s="4">
        <f t="shared" si="76"/>
        <v>189.75999999999976</v>
      </c>
      <c r="J984" s="8">
        <f t="shared" si="77"/>
        <v>5.5323292575553427E-2</v>
      </c>
      <c r="K984" s="6">
        <f>'Raw Data'!I984</f>
        <v>3.85</v>
      </c>
      <c r="L984" s="5">
        <f>'Raw Data'!J984</f>
        <v>24</v>
      </c>
      <c r="M984" s="5">
        <f>IF(COUNTIFS($A$2:A984,A984,$D$2:D984,D984)=1,L984,0)</f>
        <v>0</v>
      </c>
      <c r="N984" s="4">
        <f t="shared" si="78"/>
        <v>142.91749999999999</v>
      </c>
      <c r="O984" t="str">
        <f t="shared" si="79"/>
        <v>OK</v>
      </c>
    </row>
    <row r="985" spans="1:15">
      <c r="A985" t="str">
        <f>'Raw Data'!A985</f>
        <v>Columbus RM-14</v>
      </c>
      <c r="B985" t="str">
        <f>'Raw Data'!B985</f>
        <v>Midwest</v>
      </c>
      <c r="C985" t="str">
        <f>'Raw Data'!C985</f>
        <v>Sports</v>
      </c>
      <c r="D985" s="3">
        <f>'Raw Data'!D985</f>
        <v>45870</v>
      </c>
      <c r="E985" t="str">
        <f t="shared" si="75"/>
        <v>Aug</v>
      </c>
      <c r="F985" s="5">
        <f>'Raw Data'!E985</f>
        <v>131</v>
      </c>
      <c r="G985" s="4">
        <f>'Raw Data'!F985</f>
        <v>7861.72</v>
      </c>
      <c r="H985" s="4">
        <f>'Raw Data'!G985</f>
        <v>5277.97</v>
      </c>
      <c r="I985" s="4">
        <f t="shared" si="76"/>
        <v>2583.75</v>
      </c>
      <c r="J985" s="8">
        <f t="shared" si="77"/>
        <v>0.32864945584426819</v>
      </c>
      <c r="K985" s="6">
        <f>'Raw Data'!I985</f>
        <v>4.0199999999999996</v>
      </c>
      <c r="L985" s="5">
        <f>'Raw Data'!J985</f>
        <v>24</v>
      </c>
      <c r="M985" s="5">
        <f>IF(COUNTIFS($A$2:A985,A985,$D$2:D985,D985)=1,L985,0)</f>
        <v>0</v>
      </c>
      <c r="N985" s="4">
        <f t="shared" si="78"/>
        <v>327.57166666666666</v>
      </c>
      <c r="O985" t="str">
        <f t="shared" si="79"/>
        <v>OK</v>
      </c>
    </row>
    <row r="986" spans="1:15">
      <c r="A986" t="str">
        <f>'Raw Data'!A986</f>
        <v>Columbus RM-14</v>
      </c>
      <c r="B986" t="str">
        <f>'Raw Data'!B986</f>
        <v>Midwest</v>
      </c>
      <c r="C986" t="str">
        <f>'Raw Data'!C986</f>
        <v>Electronics</v>
      </c>
      <c r="D986" s="3">
        <f>'Raw Data'!D986</f>
        <v>45901</v>
      </c>
      <c r="E986" t="str">
        <f t="shared" si="75"/>
        <v>Sep</v>
      </c>
      <c r="F986" s="5">
        <f>'Raw Data'!E986</f>
        <v>117</v>
      </c>
      <c r="G986" s="4">
        <f>'Raw Data'!F986</f>
        <v>17933.48</v>
      </c>
      <c r="H986" s="4">
        <f>'Raw Data'!G986</f>
        <v>14187.29</v>
      </c>
      <c r="I986" s="4">
        <f t="shared" si="76"/>
        <v>3746.1899999999987</v>
      </c>
      <c r="J986" s="8">
        <f t="shared" si="77"/>
        <v>0.20889364473599095</v>
      </c>
      <c r="K986" s="6">
        <f>'Raw Data'!I986</f>
        <v>3.98</v>
      </c>
      <c r="L986" s="5">
        <f>'Raw Data'!J986</f>
        <v>23</v>
      </c>
      <c r="M986" s="5">
        <f>IF(COUNTIFS($A$2:A986,A986,$D$2:D986,D986)=1,L986,0)</f>
        <v>23</v>
      </c>
      <c r="N986" s="4">
        <f t="shared" si="78"/>
        <v>779.71652173913037</v>
      </c>
      <c r="O986" t="str">
        <f t="shared" si="79"/>
        <v>OK</v>
      </c>
    </row>
    <row r="987" spans="1:15">
      <c r="A987" t="str">
        <f>'Raw Data'!A987</f>
        <v>Columbus RM-14</v>
      </c>
      <c r="B987" t="str">
        <f>'Raw Data'!B987</f>
        <v>Midwest</v>
      </c>
      <c r="C987" t="str">
        <f>'Raw Data'!C987</f>
        <v>Home Goods</v>
      </c>
      <c r="D987" s="3">
        <f>'Raw Data'!D987</f>
        <v>45901</v>
      </c>
      <c r="E987" t="str">
        <f t="shared" si="75"/>
        <v>Sep</v>
      </c>
      <c r="F987" s="5">
        <f>'Raw Data'!E987</f>
        <v>119</v>
      </c>
      <c r="G987" s="4">
        <f>'Raw Data'!F987</f>
        <v>8653.15</v>
      </c>
      <c r="H987" s="4">
        <f>'Raw Data'!G987</f>
        <v>5802.8</v>
      </c>
      <c r="I987" s="4">
        <f t="shared" si="76"/>
        <v>2850.3499999999995</v>
      </c>
      <c r="J987" s="8">
        <f t="shared" si="77"/>
        <v>0.32940027619999651</v>
      </c>
      <c r="K987" s="6">
        <f>'Raw Data'!I987</f>
        <v>4.05</v>
      </c>
      <c r="L987" s="5">
        <f>'Raw Data'!J987</f>
        <v>23</v>
      </c>
      <c r="M987" s="5">
        <f>IF(COUNTIFS($A$2:A987,A987,$D$2:D987,D987)=1,L987,0)</f>
        <v>0</v>
      </c>
      <c r="N987" s="4">
        <f t="shared" si="78"/>
        <v>376.22391304347826</v>
      </c>
      <c r="O987" t="str">
        <f t="shared" si="79"/>
        <v>OK</v>
      </c>
    </row>
    <row r="988" spans="1:15">
      <c r="A988" t="str">
        <f>'Raw Data'!A988</f>
        <v>Columbus RM-14</v>
      </c>
      <c r="B988" t="str">
        <f>'Raw Data'!B988</f>
        <v>Midwest</v>
      </c>
      <c r="C988" t="str">
        <f>'Raw Data'!C988</f>
        <v>Apparel</v>
      </c>
      <c r="D988" s="3">
        <f>'Raw Data'!D988</f>
        <v>45901</v>
      </c>
      <c r="E988" t="str">
        <f t="shared" si="75"/>
        <v>Sep</v>
      </c>
      <c r="F988" s="5">
        <f>'Raw Data'!E988</f>
        <v>130</v>
      </c>
      <c r="G988" s="4">
        <f>'Raw Data'!F988</f>
        <v>6614.35</v>
      </c>
      <c r="H988" s="4">
        <f>'Raw Data'!G988</f>
        <v>4267.96</v>
      </c>
      <c r="I988" s="4">
        <f t="shared" si="76"/>
        <v>2346.3900000000003</v>
      </c>
      <c r="J988" s="8">
        <f t="shared" si="77"/>
        <v>0.35474234051720882</v>
      </c>
      <c r="K988" s="6">
        <f>'Raw Data'!I988</f>
        <v>4.01</v>
      </c>
      <c r="L988" s="5">
        <f>'Raw Data'!J988</f>
        <v>23</v>
      </c>
      <c r="M988" s="5">
        <f>IF(COUNTIFS($A$2:A988,A988,$D$2:D988,D988)=1,L988,0)</f>
        <v>0</v>
      </c>
      <c r="N988" s="4">
        <f t="shared" si="78"/>
        <v>287.58043478260873</v>
      </c>
      <c r="O988" t="str">
        <f t="shared" si="79"/>
        <v>OK</v>
      </c>
    </row>
    <row r="989" spans="1:15">
      <c r="A989" t="str">
        <f>'Raw Data'!A989</f>
        <v>Columbus RM-14</v>
      </c>
      <c r="B989" t="str">
        <f>'Raw Data'!B989</f>
        <v>Midwest</v>
      </c>
      <c r="C989" t="str">
        <f>'Raw Data'!C989</f>
        <v>Beauty</v>
      </c>
      <c r="D989" s="3">
        <f>'Raw Data'!D989</f>
        <v>45901</v>
      </c>
      <c r="E989" t="str">
        <f t="shared" si="75"/>
        <v>Sep</v>
      </c>
      <c r="F989" s="5">
        <f>'Raw Data'!E989</f>
        <v>109</v>
      </c>
      <c r="G989" s="4">
        <f>'Raw Data'!F989</f>
        <v>3892.48</v>
      </c>
      <c r="H989" s="4">
        <f>'Raw Data'!G989</f>
        <v>1955.48</v>
      </c>
      <c r="I989" s="4">
        <f t="shared" si="76"/>
        <v>1937</v>
      </c>
      <c r="J989" s="8">
        <f t="shared" si="77"/>
        <v>0.49762619204209141</v>
      </c>
      <c r="K989" s="6">
        <f>'Raw Data'!I989</f>
        <v>4.03</v>
      </c>
      <c r="L989" s="5">
        <f>'Raw Data'!J989</f>
        <v>23</v>
      </c>
      <c r="M989" s="5">
        <f>IF(COUNTIFS($A$2:A989,A989,$D$2:D989,D989)=1,L989,0)</f>
        <v>0</v>
      </c>
      <c r="N989" s="4">
        <f t="shared" si="78"/>
        <v>169.23826086956521</v>
      </c>
      <c r="O989" t="str">
        <f t="shared" si="79"/>
        <v>OK</v>
      </c>
    </row>
    <row r="990" spans="1:15">
      <c r="A990" t="str">
        <f>'Raw Data'!A990</f>
        <v>Columbus RM-14</v>
      </c>
      <c r="B990" t="str">
        <f>'Raw Data'!B990</f>
        <v>Midwest</v>
      </c>
      <c r="C990" t="str">
        <f>'Raw Data'!C990</f>
        <v>Grocery</v>
      </c>
      <c r="D990" s="3">
        <f>'Raw Data'!D990</f>
        <v>45901</v>
      </c>
      <c r="E990" t="str">
        <f t="shared" si="75"/>
        <v>Sep</v>
      </c>
      <c r="F990" s="5">
        <f>'Raw Data'!E990</f>
        <v>194</v>
      </c>
      <c r="G990" s="4">
        <f>'Raw Data'!F990</f>
        <v>3416.79</v>
      </c>
      <c r="H990" s="4">
        <f>'Raw Data'!G990</f>
        <v>3110.45</v>
      </c>
      <c r="I990" s="4">
        <f t="shared" si="76"/>
        <v>306.34000000000015</v>
      </c>
      <c r="J990" s="8">
        <f t="shared" si="77"/>
        <v>8.9657251396778895E-2</v>
      </c>
      <c r="K990" s="6">
        <f>'Raw Data'!I990</f>
        <v>3.95</v>
      </c>
      <c r="L990" s="5">
        <f>'Raw Data'!J990</f>
        <v>23</v>
      </c>
      <c r="M990" s="5">
        <f>IF(COUNTIFS($A$2:A990,A990,$D$2:D990,D990)=1,L990,0)</f>
        <v>0</v>
      </c>
      <c r="N990" s="4">
        <f t="shared" si="78"/>
        <v>148.55608695652174</v>
      </c>
      <c r="O990" t="str">
        <f t="shared" si="79"/>
        <v>OK</v>
      </c>
    </row>
    <row r="991" spans="1:15">
      <c r="A991" t="str">
        <f>'Raw Data'!A991</f>
        <v>Columbus RM-14</v>
      </c>
      <c r="B991" t="str">
        <f>'Raw Data'!B991</f>
        <v>Midwest</v>
      </c>
      <c r="C991" t="str">
        <f>'Raw Data'!C991</f>
        <v>Sports</v>
      </c>
      <c r="D991" s="3">
        <f>'Raw Data'!D991</f>
        <v>45901</v>
      </c>
      <c r="E991" t="str">
        <f t="shared" si="75"/>
        <v>Sep</v>
      </c>
      <c r="F991" s="5">
        <f>'Raw Data'!E991</f>
        <v>76</v>
      </c>
      <c r="G991" s="4">
        <f>'Raw Data'!F991</f>
        <v>4766.46</v>
      </c>
      <c r="H991" s="4">
        <f>'Raw Data'!G991</f>
        <v>3164.49</v>
      </c>
      <c r="I991" s="4">
        <f t="shared" si="76"/>
        <v>1601.9700000000003</v>
      </c>
      <c r="J991" s="8">
        <f t="shared" si="77"/>
        <v>0.33609219420702163</v>
      </c>
      <c r="K991" s="6">
        <f>'Raw Data'!I991</f>
        <v>3.97</v>
      </c>
      <c r="L991" s="5">
        <f>'Raw Data'!J991</f>
        <v>23</v>
      </c>
      <c r="M991" s="5">
        <f>IF(COUNTIFS($A$2:A991,A991,$D$2:D991,D991)=1,L991,0)</f>
        <v>0</v>
      </c>
      <c r="N991" s="4">
        <f t="shared" si="78"/>
        <v>207.23739130434782</v>
      </c>
      <c r="O991" t="str">
        <f t="shared" si="79"/>
        <v>OK</v>
      </c>
    </row>
    <row r="992" spans="1:15">
      <c r="A992" t="str">
        <f>'Raw Data'!A992</f>
        <v>Columbus RM-14</v>
      </c>
      <c r="B992" t="str">
        <f>'Raw Data'!B992</f>
        <v>Midwest</v>
      </c>
      <c r="C992" t="str">
        <f>'Raw Data'!C992</f>
        <v>Electronics</v>
      </c>
      <c r="D992" s="3">
        <f>'Raw Data'!D992</f>
        <v>45931</v>
      </c>
      <c r="E992" t="str">
        <f t="shared" si="75"/>
        <v>Oct</v>
      </c>
      <c r="F992" s="5">
        <f>'Raw Data'!E992</f>
        <v>137</v>
      </c>
      <c r="G992" s="4">
        <f>'Raw Data'!F992</f>
        <v>20003.36</v>
      </c>
      <c r="H992" s="4">
        <f>'Raw Data'!G992</f>
        <v>16122.04</v>
      </c>
      <c r="I992" s="4">
        <f t="shared" si="76"/>
        <v>3881.3199999999997</v>
      </c>
      <c r="J992" s="8">
        <f t="shared" si="77"/>
        <v>0.19403340238839872</v>
      </c>
      <c r="K992" s="6">
        <f>'Raw Data'!I992</f>
        <v>3.88</v>
      </c>
      <c r="L992" s="5">
        <f>'Raw Data'!J992</f>
        <v>23</v>
      </c>
      <c r="M992" s="5">
        <f>IF(COUNTIFS($A$2:A992,A992,$D$2:D992,D992)=1,L992,0)</f>
        <v>23</v>
      </c>
      <c r="N992" s="4">
        <f t="shared" si="78"/>
        <v>869.71130434782606</v>
      </c>
      <c r="O992" t="str">
        <f t="shared" si="79"/>
        <v>OK</v>
      </c>
    </row>
    <row r="993" spans="1:15">
      <c r="A993" t="str">
        <f>'Raw Data'!A993</f>
        <v>Columbus RM-14</v>
      </c>
      <c r="B993" t="str">
        <f>'Raw Data'!B993</f>
        <v>Midwest</v>
      </c>
      <c r="C993" t="str">
        <f>'Raw Data'!C993</f>
        <v>Home Goods</v>
      </c>
      <c r="D993" s="3">
        <f>'Raw Data'!D993</f>
        <v>45931</v>
      </c>
      <c r="E993" t="str">
        <f t="shared" si="75"/>
        <v>Oct</v>
      </c>
      <c r="F993" s="5">
        <f>'Raw Data'!E993</f>
        <v>115</v>
      </c>
      <c r="G993" s="4">
        <f>'Raw Data'!F993</f>
        <v>8697.35</v>
      </c>
      <c r="H993" s="4">
        <f>'Raw Data'!G993</f>
        <v>6103.45</v>
      </c>
      <c r="I993" s="4">
        <f t="shared" si="76"/>
        <v>2593.9000000000005</v>
      </c>
      <c r="J993" s="8">
        <f t="shared" si="77"/>
        <v>0.29824026858755831</v>
      </c>
      <c r="K993" s="6">
        <f>'Raw Data'!I993</f>
        <v>3.76</v>
      </c>
      <c r="L993" s="5">
        <f>'Raw Data'!J993</f>
        <v>23</v>
      </c>
      <c r="M993" s="5">
        <f>IF(COUNTIFS($A$2:A993,A993,$D$2:D993,D993)=1,L993,0)</f>
        <v>0</v>
      </c>
      <c r="N993" s="4">
        <f t="shared" si="78"/>
        <v>378.14565217391305</v>
      </c>
      <c r="O993" t="str">
        <f t="shared" si="79"/>
        <v>OK</v>
      </c>
    </row>
    <row r="994" spans="1:15">
      <c r="A994" t="str">
        <f>'Raw Data'!A994</f>
        <v>Columbus RM-14</v>
      </c>
      <c r="B994" t="str">
        <f>'Raw Data'!B994</f>
        <v>Midwest</v>
      </c>
      <c r="C994" t="str">
        <f>'Raw Data'!C994</f>
        <v>Apparel</v>
      </c>
      <c r="D994" s="3">
        <f>'Raw Data'!D994</f>
        <v>45931</v>
      </c>
      <c r="E994" t="str">
        <f t="shared" si="75"/>
        <v>Oct</v>
      </c>
      <c r="F994" s="5">
        <f>'Raw Data'!E994</f>
        <v>155</v>
      </c>
      <c r="G994" s="4">
        <f>'Raw Data'!F994</f>
        <v>7472.81</v>
      </c>
      <c r="H994" s="4">
        <f>'Raw Data'!G994</f>
        <v>4791.55</v>
      </c>
      <c r="I994" s="4">
        <f t="shared" si="76"/>
        <v>2681.26</v>
      </c>
      <c r="J994" s="8">
        <f t="shared" si="77"/>
        <v>0.35880211058490719</v>
      </c>
      <c r="K994" s="6">
        <f>'Raw Data'!I994</f>
        <v>3.71</v>
      </c>
      <c r="L994" s="5">
        <f>'Raw Data'!J994</f>
        <v>23</v>
      </c>
      <c r="M994" s="5">
        <f>IF(COUNTIFS($A$2:A994,A994,$D$2:D994,D994)=1,L994,0)</f>
        <v>0</v>
      </c>
      <c r="N994" s="4">
        <f t="shared" si="78"/>
        <v>324.90478260869565</v>
      </c>
      <c r="O994" t="str">
        <f t="shared" si="79"/>
        <v>OK</v>
      </c>
    </row>
    <row r="995" spans="1:15">
      <c r="A995" t="str">
        <f>'Raw Data'!A995</f>
        <v>Columbus RM-14</v>
      </c>
      <c r="B995" t="str">
        <f>'Raw Data'!B995</f>
        <v>Midwest</v>
      </c>
      <c r="C995" t="str">
        <f>'Raw Data'!C995</f>
        <v>Beauty</v>
      </c>
      <c r="D995" s="3">
        <f>'Raw Data'!D995</f>
        <v>45931</v>
      </c>
      <c r="E995" t="str">
        <f t="shared" si="75"/>
        <v>Oct</v>
      </c>
      <c r="F995" s="5">
        <f>'Raw Data'!E995</f>
        <v>113</v>
      </c>
      <c r="G995" s="4">
        <f>'Raw Data'!F995</f>
        <v>3943.95</v>
      </c>
      <c r="H995" s="4">
        <f>'Raw Data'!G995</f>
        <v>2037.04</v>
      </c>
      <c r="I995" s="4">
        <f t="shared" si="76"/>
        <v>1906.9099999999999</v>
      </c>
      <c r="J995" s="8">
        <f t="shared" si="77"/>
        <v>0.48350257990086082</v>
      </c>
      <c r="K995" s="6">
        <f>'Raw Data'!I995</f>
        <v>3.82</v>
      </c>
      <c r="L995" s="5">
        <f>'Raw Data'!J995</f>
        <v>23</v>
      </c>
      <c r="M995" s="5">
        <f>IF(COUNTIFS($A$2:A995,A995,$D$2:D995,D995)=1,L995,0)</f>
        <v>0</v>
      </c>
      <c r="N995" s="4">
        <f t="shared" si="78"/>
        <v>171.47608695652173</v>
      </c>
      <c r="O995" t="str">
        <f t="shared" si="79"/>
        <v>OK</v>
      </c>
    </row>
    <row r="996" spans="1:15">
      <c r="A996" t="str">
        <f>'Raw Data'!A996</f>
        <v>Columbus RM-14</v>
      </c>
      <c r="B996" t="str">
        <f>'Raw Data'!B996</f>
        <v>Midwest</v>
      </c>
      <c r="C996" t="str">
        <f>'Raw Data'!C996</f>
        <v>Grocery</v>
      </c>
      <c r="D996" s="3">
        <f>'Raw Data'!D996</f>
        <v>45931</v>
      </c>
      <c r="E996" t="str">
        <f t="shared" si="75"/>
        <v>Oct</v>
      </c>
      <c r="F996" s="5">
        <f>'Raw Data'!E996</f>
        <v>182</v>
      </c>
      <c r="G996" s="4">
        <f>'Raw Data'!F996</f>
        <v>3331.03</v>
      </c>
      <c r="H996" s="4">
        <f>'Raw Data'!G996</f>
        <v>3062.12</v>
      </c>
      <c r="I996" s="4">
        <f t="shared" si="76"/>
        <v>268.91000000000031</v>
      </c>
      <c r="J996" s="8">
        <f t="shared" si="77"/>
        <v>8.0728783589460409E-2</v>
      </c>
      <c r="K996" s="6">
        <f>'Raw Data'!I996</f>
        <v>3.84</v>
      </c>
      <c r="L996" s="5">
        <f>'Raw Data'!J996</f>
        <v>23</v>
      </c>
      <c r="M996" s="5">
        <f>IF(COUNTIFS($A$2:A996,A996,$D$2:D996,D996)=1,L996,0)</f>
        <v>0</v>
      </c>
      <c r="N996" s="4">
        <f t="shared" si="78"/>
        <v>144.82739130434783</v>
      </c>
      <c r="O996" t="str">
        <f t="shared" si="79"/>
        <v>OK</v>
      </c>
    </row>
    <row r="997" spans="1:15">
      <c r="A997" t="str">
        <f>'Raw Data'!A997</f>
        <v>Columbus RM-14</v>
      </c>
      <c r="B997" t="str">
        <f>'Raw Data'!B997</f>
        <v>Midwest</v>
      </c>
      <c r="C997" t="str">
        <f>'Raw Data'!C997</f>
        <v>Sports</v>
      </c>
      <c r="D997" s="3">
        <f>'Raw Data'!D997</f>
        <v>45931</v>
      </c>
      <c r="E997" t="str">
        <f t="shared" si="75"/>
        <v>Oct</v>
      </c>
      <c r="F997" s="5">
        <f>'Raw Data'!E997</f>
        <v>83</v>
      </c>
      <c r="G997" s="4">
        <f>'Raw Data'!F997</f>
        <v>5278.93</v>
      </c>
      <c r="H997" s="4">
        <f>'Raw Data'!G997</f>
        <v>3529.38</v>
      </c>
      <c r="I997" s="4">
        <f t="shared" si="76"/>
        <v>1749.5500000000002</v>
      </c>
      <c r="J997" s="8">
        <f t="shared" si="77"/>
        <v>0.33142132970128418</v>
      </c>
      <c r="K997" s="6">
        <f>'Raw Data'!I997</f>
        <v>3.88</v>
      </c>
      <c r="L997" s="5">
        <f>'Raw Data'!J997</f>
        <v>23</v>
      </c>
      <c r="M997" s="5">
        <f>IF(COUNTIFS($A$2:A997,A997,$D$2:D997,D997)=1,L997,0)</f>
        <v>0</v>
      </c>
      <c r="N997" s="4">
        <f t="shared" si="78"/>
        <v>229.51869565217393</v>
      </c>
      <c r="O997" t="str">
        <f t="shared" si="79"/>
        <v>OK</v>
      </c>
    </row>
    <row r="998" spans="1:15">
      <c r="A998" t="str">
        <f>'Raw Data'!A998</f>
        <v>Columbus RM-14</v>
      </c>
      <c r="B998" t="str">
        <f>'Raw Data'!B998</f>
        <v>Midwest</v>
      </c>
      <c r="C998" t="str">
        <f>'Raw Data'!C998</f>
        <v>Electronics</v>
      </c>
      <c r="D998" s="3">
        <f>'Raw Data'!D998</f>
        <v>45962</v>
      </c>
      <c r="E998" t="str">
        <f t="shared" si="75"/>
        <v>Nov</v>
      </c>
      <c r="F998" s="5">
        <f>'Raw Data'!E998</f>
        <v>174</v>
      </c>
      <c r="G998" s="4">
        <f>'Raw Data'!F998</f>
        <v>25005.73</v>
      </c>
      <c r="H998" s="4">
        <f>'Raw Data'!G998</f>
        <v>20133.830000000002</v>
      </c>
      <c r="I998" s="4">
        <f t="shared" si="76"/>
        <v>4871.8999999999978</v>
      </c>
      <c r="J998" s="8">
        <f t="shared" si="77"/>
        <v>0.19483134465580482</v>
      </c>
      <c r="K998" s="6">
        <f>'Raw Data'!I998</f>
        <v>3.86</v>
      </c>
      <c r="L998" s="5">
        <f>'Raw Data'!J998</f>
        <v>25</v>
      </c>
      <c r="M998" s="5">
        <f>IF(COUNTIFS($A$2:A998,A998,$D$2:D998,D998)=1,L998,0)</f>
        <v>25</v>
      </c>
      <c r="N998" s="4">
        <f t="shared" si="78"/>
        <v>1000.2292</v>
      </c>
      <c r="O998" t="str">
        <f t="shared" si="79"/>
        <v>OK</v>
      </c>
    </row>
    <row r="999" spans="1:15">
      <c r="A999" t="str">
        <f>'Raw Data'!A999</f>
        <v>Columbus RM-14</v>
      </c>
      <c r="B999" t="str">
        <f>'Raw Data'!B999</f>
        <v>Midwest</v>
      </c>
      <c r="C999" t="str">
        <f>'Raw Data'!C999</f>
        <v>Home Goods</v>
      </c>
      <c r="D999" s="3">
        <f>'Raw Data'!D999</f>
        <v>45962</v>
      </c>
      <c r="E999" t="str">
        <f t="shared" si="75"/>
        <v>Nov</v>
      </c>
      <c r="F999" s="5">
        <f>'Raw Data'!E999</f>
        <v>139</v>
      </c>
      <c r="G999" s="4">
        <f>'Raw Data'!F999</f>
        <v>10775.25</v>
      </c>
      <c r="H999" s="4">
        <f>'Raw Data'!G999</f>
        <v>7759.58</v>
      </c>
      <c r="I999" s="4">
        <f t="shared" si="76"/>
        <v>3015.67</v>
      </c>
      <c r="J999" s="8">
        <f t="shared" si="77"/>
        <v>0.27987007262012481</v>
      </c>
      <c r="K999" s="6">
        <f>'Raw Data'!I999</f>
        <v>3.95</v>
      </c>
      <c r="L999" s="5">
        <f>'Raw Data'!J999</f>
        <v>25</v>
      </c>
      <c r="M999" s="5">
        <f>IF(COUNTIFS($A$2:A999,A999,$D$2:D999,D999)=1,L999,0)</f>
        <v>0</v>
      </c>
      <c r="N999" s="4">
        <f t="shared" si="78"/>
        <v>431.01</v>
      </c>
      <c r="O999" t="str">
        <f t="shared" si="79"/>
        <v>OK</v>
      </c>
    </row>
    <row r="1000" spans="1:15">
      <c r="A1000" t="str">
        <f>'Raw Data'!A1000</f>
        <v>Columbus RM-14</v>
      </c>
      <c r="B1000" t="str">
        <f>'Raw Data'!B1000</f>
        <v>Midwest</v>
      </c>
      <c r="C1000" t="str">
        <f>'Raw Data'!C1000</f>
        <v>Apparel</v>
      </c>
      <c r="D1000" s="3">
        <f>'Raw Data'!D1000</f>
        <v>45962</v>
      </c>
      <c r="E1000" t="str">
        <f t="shared" si="75"/>
        <v>Nov</v>
      </c>
      <c r="F1000" s="5">
        <f>'Raw Data'!E1000</f>
        <v>205</v>
      </c>
      <c r="G1000" s="4">
        <f>'Raw Data'!F1000</f>
        <v>10357.31</v>
      </c>
      <c r="H1000" s="4">
        <f>'Raw Data'!G1000</f>
        <v>6650.69</v>
      </c>
      <c r="I1000" s="4">
        <f t="shared" si="76"/>
        <v>3706.62</v>
      </c>
      <c r="J1000" s="8">
        <f t="shared" si="77"/>
        <v>0.35787477636567799</v>
      </c>
      <c r="K1000" s="6">
        <f>'Raw Data'!I1000</f>
        <v>4.01</v>
      </c>
      <c r="L1000" s="5">
        <f>'Raw Data'!J1000</f>
        <v>25</v>
      </c>
      <c r="M1000" s="5">
        <f>IF(COUNTIFS($A$2:A1000,A1000,$D$2:D1000,D1000)=1,L1000,0)</f>
        <v>0</v>
      </c>
      <c r="N1000" s="4">
        <f t="shared" si="78"/>
        <v>414.29239999999999</v>
      </c>
      <c r="O1000" t="str">
        <f t="shared" si="79"/>
        <v>OK</v>
      </c>
    </row>
    <row r="1001" spans="1:15">
      <c r="A1001" t="str">
        <f>'Raw Data'!A1001</f>
        <v>Columbus RM-14</v>
      </c>
      <c r="B1001" t="str">
        <f>'Raw Data'!B1001</f>
        <v>Midwest</v>
      </c>
      <c r="C1001" t="str">
        <f>'Raw Data'!C1001</f>
        <v>Beauty</v>
      </c>
      <c r="D1001" s="3">
        <f>'Raw Data'!D1001</f>
        <v>45962</v>
      </c>
      <c r="E1001" t="str">
        <f t="shared" si="75"/>
        <v>Nov</v>
      </c>
      <c r="F1001" s="5">
        <f>'Raw Data'!E1001</f>
        <v>122</v>
      </c>
      <c r="G1001" s="4">
        <f>'Raw Data'!F1001</f>
        <v>4249.04</v>
      </c>
      <c r="H1001" s="4">
        <f>'Raw Data'!G1001</f>
        <v>2249.27</v>
      </c>
      <c r="I1001" s="4">
        <f t="shared" si="76"/>
        <v>1999.77</v>
      </c>
      <c r="J1001" s="8">
        <f t="shared" si="77"/>
        <v>0.47064042701410203</v>
      </c>
      <c r="K1001" s="6">
        <f>'Raw Data'!I1001</f>
        <v>3.97</v>
      </c>
      <c r="L1001" s="5">
        <f>'Raw Data'!J1001</f>
        <v>25</v>
      </c>
      <c r="M1001" s="5">
        <f>IF(COUNTIFS($A$2:A1001,A1001,$D$2:D1001,D1001)=1,L1001,0)</f>
        <v>0</v>
      </c>
      <c r="N1001" s="4">
        <f t="shared" si="78"/>
        <v>169.9616</v>
      </c>
      <c r="O1001" t="str">
        <f t="shared" si="79"/>
        <v>OK</v>
      </c>
    </row>
    <row r="1002" spans="1:15">
      <c r="A1002" t="str">
        <f>'Raw Data'!A1002</f>
        <v>Columbus RM-14</v>
      </c>
      <c r="B1002" t="str">
        <f>'Raw Data'!B1002</f>
        <v>Midwest</v>
      </c>
      <c r="C1002" t="str">
        <f>'Raw Data'!C1002</f>
        <v>Grocery</v>
      </c>
      <c r="D1002" s="3">
        <f>'Raw Data'!D1002</f>
        <v>45962</v>
      </c>
      <c r="E1002" t="str">
        <f t="shared" si="75"/>
        <v>Nov</v>
      </c>
      <c r="F1002" s="5">
        <f>'Raw Data'!E1002</f>
        <v>234</v>
      </c>
      <c r="G1002" s="4">
        <f>'Raw Data'!F1002</f>
        <v>4207.84</v>
      </c>
      <c r="H1002" s="4">
        <f>'Raw Data'!G1002</f>
        <v>3868.62</v>
      </c>
      <c r="I1002" s="4">
        <f t="shared" si="76"/>
        <v>339.22000000000025</v>
      </c>
      <c r="J1002" s="8">
        <f t="shared" si="77"/>
        <v>8.0616183124833707E-2</v>
      </c>
      <c r="K1002" s="6">
        <f>'Raw Data'!I1002</f>
        <v>3.99</v>
      </c>
      <c r="L1002" s="5">
        <f>'Raw Data'!J1002</f>
        <v>25</v>
      </c>
      <c r="M1002" s="5">
        <f>IF(COUNTIFS($A$2:A1002,A1002,$D$2:D1002,D1002)=1,L1002,0)</f>
        <v>0</v>
      </c>
      <c r="N1002" s="4">
        <f t="shared" si="78"/>
        <v>168.31360000000001</v>
      </c>
      <c r="O1002" t="str">
        <f t="shared" si="79"/>
        <v>OK</v>
      </c>
    </row>
    <row r="1003" spans="1:15">
      <c r="A1003" t="str">
        <f>'Raw Data'!A1003</f>
        <v>Columbus RM-14</v>
      </c>
      <c r="B1003" t="str">
        <f>'Raw Data'!B1003</f>
        <v>Midwest</v>
      </c>
      <c r="C1003" t="str">
        <f>'Raw Data'!C1003</f>
        <v>Sports</v>
      </c>
      <c r="D1003" s="3">
        <f>'Raw Data'!D1003</f>
        <v>45962</v>
      </c>
      <c r="E1003" t="str">
        <f t="shared" si="75"/>
        <v>Nov</v>
      </c>
      <c r="F1003" s="5">
        <f>'Raw Data'!E1003</f>
        <v>103</v>
      </c>
      <c r="G1003" s="4">
        <f>'Raw Data'!F1003</f>
        <v>6566.67</v>
      </c>
      <c r="H1003" s="4">
        <f>'Raw Data'!G1003</f>
        <v>4474.4399999999996</v>
      </c>
      <c r="I1003" s="4">
        <f t="shared" si="76"/>
        <v>2092.2300000000005</v>
      </c>
      <c r="J1003" s="8">
        <f t="shared" si="77"/>
        <v>0.31861354385099305</v>
      </c>
      <c r="K1003" s="6">
        <f>'Raw Data'!I1003</f>
        <v>3.82</v>
      </c>
      <c r="L1003" s="5">
        <f>'Raw Data'!J1003</f>
        <v>25</v>
      </c>
      <c r="M1003" s="5">
        <f>IF(COUNTIFS($A$2:A1003,A1003,$D$2:D1003,D1003)=1,L1003,0)</f>
        <v>0</v>
      </c>
      <c r="N1003" s="4">
        <f t="shared" si="78"/>
        <v>262.66680000000002</v>
      </c>
      <c r="O1003" t="str">
        <f t="shared" si="79"/>
        <v>OK</v>
      </c>
    </row>
    <row r="1004" spans="1:15">
      <c r="A1004" t="str">
        <f>'Raw Data'!A1004</f>
        <v>Columbus RM-14</v>
      </c>
      <c r="B1004" t="str">
        <f>'Raw Data'!B1004</f>
        <v>Midwest</v>
      </c>
      <c r="C1004" t="str">
        <f>'Raw Data'!C1004</f>
        <v>Electronics</v>
      </c>
      <c r="D1004" s="3">
        <f>'Raw Data'!D1004</f>
        <v>45992</v>
      </c>
      <c r="E1004" t="str">
        <f t="shared" si="75"/>
        <v>Dec</v>
      </c>
      <c r="F1004" s="5">
        <f>'Raw Data'!E1004</f>
        <v>212</v>
      </c>
      <c r="G1004" s="4">
        <f>'Raw Data'!F1004</f>
        <v>31339.33</v>
      </c>
      <c r="H1004" s="4">
        <f>'Raw Data'!G1004</f>
        <v>26039.97</v>
      </c>
      <c r="I1004" s="4">
        <f t="shared" si="76"/>
        <v>5299.3600000000006</v>
      </c>
      <c r="J1004" s="8">
        <f t="shared" si="77"/>
        <v>0.16909614851370466</v>
      </c>
      <c r="K1004" s="6">
        <f>'Raw Data'!I1004</f>
        <v>3.95</v>
      </c>
      <c r="L1004" s="5">
        <f>'Raw Data'!J1004</f>
        <v>26</v>
      </c>
      <c r="M1004" s="5">
        <f>IF(COUNTIFS($A$2:A1004,A1004,$D$2:D1004,D1004)=1,L1004,0)</f>
        <v>26</v>
      </c>
      <c r="N1004" s="4">
        <f t="shared" si="78"/>
        <v>1205.3588461538461</v>
      </c>
      <c r="O1004" t="str">
        <f t="shared" si="79"/>
        <v>OK</v>
      </c>
    </row>
    <row r="1005" spans="1:15">
      <c r="A1005" t="str">
        <f>'Raw Data'!A1005</f>
        <v>Columbus RM-14</v>
      </c>
      <c r="B1005" t="str">
        <f>'Raw Data'!B1005</f>
        <v>Midwest</v>
      </c>
      <c r="C1005" t="str">
        <f>'Raw Data'!C1005</f>
        <v>Home Goods</v>
      </c>
      <c r="D1005" s="3">
        <f>'Raw Data'!D1005</f>
        <v>45992</v>
      </c>
      <c r="E1005" t="str">
        <f t="shared" si="75"/>
        <v>Dec</v>
      </c>
      <c r="F1005" s="5">
        <f>'Raw Data'!E1005</f>
        <v>160</v>
      </c>
      <c r="G1005" s="4">
        <f>'Raw Data'!F1005</f>
        <v>11532.61</v>
      </c>
      <c r="H1005" s="4">
        <f>'Raw Data'!G1005</f>
        <v>8530.32</v>
      </c>
      <c r="I1005" s="4">
        <f t="shared" si="76"/>
        <v>3002.2900000000009</v>
      </c>
      <c r="J1005" s="8">
        <f t="shared" si="77"/>
        <v>0.26033048893528876</v>
      </c>
      <c r="K1005" s="6">
        <f>'Raw Data'!I1005</f>
        <v>3.87</v>
      </c>
      <c r="L1005" s="5">
        <f>'Raw Data'!J1005</f>
        <v>26</v>
      </c>
      <c r="M1005" s="5">
        <f>IF(COUNTIFS($A$2:A1005,A1005,$D$2:D1005,D1005)=1,L1005,0)</f>
        <v>0</v>
      </c>
      <c r="N1005" s="4">
        <f t="shared" si="78"/>
        <v>443.56192307692311</v>
      </c>
      <c r="O1005" t="str">
        <f t="shared" si="79"/>
        <v>OK</v>
      </c>
    </row>
    <row r="1006" spans="1:15">
      <c r="A1006" t="str">
        <f>'Raw Data'!A1006</f>
        <v>Columbus RM-14</v>
      </c>
      <c r="B1006" t="str">
        <f>'Raw Data'!B1006</f>
        <v>Midwest</v>
      </c>
      <c r="C1006" t="str">
        <f>'Raw Data'!C1006</f>
        <v>Apparel</v>
      </c>
      <c r="D1006" s="3">
        <f>'Raw Data'!D1006</f>
        <v>45992</v>
      </c>
      <c r="E1006" t="str">
        <f t="shared" si="75"/>
        <v>Dec</v>
      </c>
      <c r="F1006" s="5">
        <f>'Raw Data'!E1006</f>
        <v>206</v>
      </c>
      <c r="G1006" s="4">
        <f>'Raw Data'!F1006</f>
        <v>9757.99</v>
      </c>
      <c r="H1006" s="4">
        <f>'Raw Data'!G1006</f>
        <v>6444.61</v>
      </c>
      <c r="I1006" s="4">
        <f t="shared" si="76"/>
        <v>3313.38</v>
      </c>
      <c r="J1006" s="8">
        <f t="shared" si="77"/>
        <v>0.33955558470545677</v>
      </c>
      <c r="K1006" s="6">
        <f>'Raw Data'!I1006</f>
        <v>3.9</v>
      </c>
      <c r="L1006" s="5">
        <f>'Raw Data'!J1006</f>
        <v>26</v>
      </c>
      <c r="M1006" s="5">
        <f>IF(COUNTIFS($A$2:A1006,A1006,$D$2:D1006,D1006)=1,L1006,0)</f>
        <v>0</v>
      </c>
      <c r="N1006" s="4">
        <f t="shared" si="78"/>
        <v>375.30730769230769</v>
      </c>
      <c r="O1006" t="str">
        <f t="shared" si="79"/>
        <v>OK</v>
      </c>
    </row>
    <row r="1007" spans="1:15">
      <c r="A1007" t="str">
        <f>'Raw Data'!A1007</f>
        <v>Columbus RM-14</v>
      </c>
      <c r="B1007" t="str">
        <f>'Raw Data'!B1007</f>
        <v>Midwest</v>
      </c>
      <c r="C1007" t="str">
        <f>'Raw Data'!C1007</f>
        <v>Beauty</v>
      </c>
      <c r="D1007" s="3">
        <f>'Raw Data'!D1007</f>
        <v>45992</v>
      </c>
      <c r="E1007" t="str">
        <f t="shared" si="75"/>
        <v>Dec</v>
      </c>
      <c r="F1007" s="5">
        <f>'Raw Data'!E1007</f>
        <v>145</v>
      </c>
      <c r="G1007" s="4">
        <f>'Raw Data'!F1007</f>
        <v>5587.79</v>
      </c>
      <c r="H1007" s="4">
        <f>'Raw Data'!G1007</f>
        <v>3006.58</v>
      </c>
      <c r="I1007" s="4">
        <f t="shared" si="76"/>
        <v>2581.21</v>
      </c>
      <c r="J1007" s="8">
        <f t="shared" si="77"/>
        <v>0.46193754597076842</v>
      </c>
      <c r="K1007" s="6">
        <f>'Raw Data'!I1007</f>
        <v>3.71</v>
      </c>
      <c r="L1007" s="5">
        <f>'Raw Data'!J1007</f>
        <v>26</v>
      </c>
      <c r="M1007" s="5">
        <f>IF(COUNTIFS($A$2:A1007,A1007,$D$2:D1007,D1007)=1,L1007,0)</f>
        <v>0</v>
      </c>
      <c r="N1007" s="4">
        <f t="shared" si="78"/>
        <v>214.91499999999999</v>
      </c>
      <c r="O1007" t="str">
        <f t="shared" si="79"/>
        <v>OK</v>
      </c>
    </row>
    <row r="1008" spans="1:15">
      <c r="A1008" t="str">
        <f>'Raw Data'!A1008</f>
        <v>Columbus RM-14</v>
      </c>
      <c r="B1008" t="str">
        <f>'Raw Data'!B1008</f>
        <v>Midwest</v>
      </c>
      <c r="C1008" t="str">
        <f>'Raw Data'!C1008</f>
        <v>Grocery</v>
      </c>
      <c r="D1008" s="3">
        <f>'Raw Data'!D1008</f>
        <v>45992</v>
      </c>
      <c r="E1008" t="str">
        <f t="shared" si="75"/>
        <v>Dec</v>
      </c>
      <c r="F1008" s="5">
        <f>'Raw Data'!E1008</f>
        <v>294</v>
      </c>
      <c r="G1008" s="4">
        <f>'Raw Data'!F1008</f>
        <v>5688.03</v>
      </c>
      <c r="H1008" s="4">
        <f>'Raw Data'!G1008</f>
        <v>5361.88</v>
      </c>
      <c r="I1008" s="4">
        <f t="shared" si="76"/>
        <v>326.14999999999964</v>
      </c>
      <c r="J1008" s="8">
        <f t="shared" si="77"/>
        <v>5.7339711640058098E-2</v>
      </c>
      <c r="K1008" s="6">
        <f>'Raw Data'!I1008</f>
        <v>3.88</v>
      </c>
      <c r="L1008" s="5">
        <f>'Raw Data'!J1008</f>
        <v>26</v>
      </c>
      <c r="M1008" s="5">
        <f>IF(COUNTIFS($A$2:A1008,A1008,$D$2:D1008,D1008)=1,L1008,0)</f>
        <v>0</v>
      </c>
      <c r="N1008" s="4">
        <f t="shared" si="78"/>
        <v>218.77038461538461</v>
      </c>
      <c r="O1008" t="str">
        <f t="shared" si="79"/>
        <v>OK</v>
      </c>
    </row>
    <row r="1009" spans="1:15">
      <c r="A1009" t="str">
        <f>'Raw Data'!A1009</f>
        <v>Columbus RM-14</v>
      </c>
      <c r="B1009" t="str">
        <f>'Raw Data'!B1009</f>
        <v>Midwest</v>
      </c>
      <c r="C1009" t="str">
        <f>'Raw Data'!C1009</f>
        <v>Sports</v>
      </c>
      <c r="D1009" s="3">
        <f>'Raw Data'!D1009</f>
        <v>45992</v>
      </c>
      <c r="E1009" t="str">
        <f t="shared" si="75"/>
        <v>Dec</v>
      </c>
      <c r="F1009" s="5">
        <f>'Raw Data'!E1009</f>
        <v>127</v>
      </c>
      <c r="G1009" s="4">
        <f>'Raw Data'!F1009</f>
        <v>8117.14</v>
      </c>
      <c r="H1009" s="4">
        <f>'Raw Data'!G1009</f>
        <v>5618.79</v>
      </c>
      <c r="I1009" s="4">
        <f t="shared" si="76"/>
        <v>2498.3500000000004</v>
      </c>
      <c r="J1009" s="8">
        <f t="shared" si="77"/>
        <v>0.30778697915768366</v>
      </c>
      <c r="K1009" s="6">
        <f>'Raw Data'!I1009</f>
        <v>3.98</v>
      </c>
      <c r="L1009" s="5">
        <f>'Raw Data'!J1009</f>
        <v>26</v>
      </c>
      <c r="M1009" s="5">
        <f>IF(COUNTIFS($A$2:A1009,A1009,$D$2:D1009,D1009)=1,L1009,0)</f>
        <v>0</v>
      </c>
      <c r="N1009" s="4">
        <f t="shared" si="78"/>
        <v>312.19769230769231</v>
      </c>
      <c r="O1009" t="str">
        <f t="shared" si="79"/>
        <v>OK</v>
      </c>
    </row>
    <row r="1010" spans="1:15">
      <c r="A1010" t="str">
        <f>'Raw Data'!A1010</f>
        <v>Indianapolis RM-15</v>
      </c>
      <c r="B1010" t="str">
        <f>'Raw Data'!B1010</f>
        <v>Midwest</v>
      </c>
      <c r="C1010" t="str">
        <f>'Raw Data'!C1010</f>
        <v>Electronics</v>
      </c>
      <c r="D1010" s="3">
        <f>'Raw Data'!D1010</f>
        <v>45658</v>
      </c>
      <c r="E1010" t="str">
        <f t="shared" si="75"/>
        <v>Jan</v>
      </c>
      <c r="F1010" s="5">
        <f>'Raw Data'!E1010</f>
        <v>83</v>
      </c>
      <c r="G1010" s="4">
        <f>'Raw Data'!F1010</f>
        <v>12618.27</v>
      </c>
      <c r="H1010" s="4">
        <f>'Raw Data'!G1010</f>
        <v>9433.57</v>
      </c>
      <c r="I1010" s="4">
        <f t="shared" si="76"/>
        <v>3184.7000000000007</v>
      </c>
      <c r="J1010" s="8">
        <f t="shared" si="77"/>
        <v>0.2523880056457819</v>
      </c>
      <c r="K1010" s="6">
        <f>'Raw Data'!I1010</f>
        <v>3.93</v>
      </c>
      <c r="L1010" s="5">
        <f>'Raw Data'!J1010</f>
        <v>26</v>
      </c>
      <c r="M1010" s="5">
        <f>IF(COUNTIFS($A$2:A1010,A1010,$D$2:D1010,D1010)=1,L1010,0)</f>
        <v>26</v>
      </c>
      <c r="N1010" s="4">
        <f t="shared" si="78"/>
        <v>485.31807692307694</v>
      </c>
      <c r="O1010" t="str">
        <f t="shared" si="79"/>
        <v>OK</v>
      </c>
    </row>
    <row r="1011" spans="1:15">
      <c r="A1011" t="str">
        <f>'Raw Data'!A1011</f>
        <v>Indianapolis RM-15</v>
      </c>
      <c r="B1011" t="str">
        <f>'Raw Data'!B1011</f>
        <v>Midwest</v>
      </c>
      <c r="C1011" t="str">
        <f>'Raw Data'!C1011</f>
        <v>Home Goods</v>
      </c>
      <c r="D1011" s="3">
        <f>'Raw Data'!D1011</f>
        <v>45658</v>
      </c>
      <c r="E1011" t="str">
        <f t="shared" si="75"/>
        <v>Jan</v>
      </c>
      <c r="F1011" s="5">
        <f>'Raw Data'!E1011</f>
        <v>87</v>
      </c>
      <c r="G1011" s="4">
        <f>'Raw Data'!F1011</f>
        <v>6783.34</v>
      </c>
      <c r="H1011" s="4">
        <f>'Raw Data'!G1011</f>
        <v>4331.8900000000003</v>
      </c>
      <c r="I1011" s="4">
        <f t="shared" si="76"/>
        <v>2451.4499999999998</v>
      </c>
      <c r="J1011" s="8">
        <f t="shared" si="77"/>
        <v>0.36139276521595554</v>
      </c>
      <c r="K1011" s="6">
        <f>'Raw Data'!I1011</f>
        <v>4.24</v>
      </c>
      <c r="L1011" s="5">
        <f>'Raw Data'!J1011</f>
        <v>26</v>
      </c>
      <c r="M1011" s="5">
        <f>IF(COUNTIFS($A$2:A1011,A1011,$D$2:D1011,D1011)=1,L1011,0)</f>
        <v>0</v>
      </c>
      <c r="N1011" s="4">
        <f t="shared" si="78"/>
        <v>260.8976923076923</v>
      </c>
      <c r="O1011" t="str">
        <f t="shared" si="79"/>
        <v>OK</v>
      </c>
    </row>
    <row r="1012" spans="1:15">
      <c r="A1012" t="str">
        <f>'Raw Data'!A1012</f>
        <v>Indianapolis RM-15</v>
      </c>
      <c r="B1012" t="str">
        <f>'Raw Data'!B1012</f>
        <v>Midwest</v>
      </c>
      <c r="C1012" t="str">
        <f>'Raw Data'!C1012</f>
        <v>Apparel</v>
      </c>
      <c r="D1012" s="3">
        <f>'Raw Data'!D1012</f>
        <v>45658</v>
      </c>
      <c r="E1012" t="str">
        <f t="shared" si="75"/>
        <v>Jan</v>
      </c>
      <c r="F1012" s="5">
        <f>'Raw Data'!E1012</f>
        <v>109</v>
      </c>
      <c r="G1012" s="4">
        <f>'Raw Data'!F1012</f>
        <v>5598.24</v>
      </c>
      <c r="H1012" s="4">
        <f>'Raw Data'!G1012</f>
        <v>3231.75</v>
      </c>
      <c r="I1012" s="4">
        <f t="shared" si="76"/>
        <v>2366.4899999999998</v>
      </c>
      <c r="J1012" s="8">
        <f t="shared" si="77"/>
        <v>0.42272035496870441</v>
      </c>
      <c r="K1012" s="6">
        <f>'Raw Data'!I1012</f>
        <v>4.12</v>
      </c>
      <c r="L1012" s="5">
        <f>'Raw Data'!J1012</f>
        <v>26</v>
      </c>
      <c r="M1012" s="5">
        <f>IF(COUNTIFS($A$2:A1012,A1012,$D$2:D1012,D1012)=1,L1012,0)</f>
        <v>0</v>
      </c>
      <c r="N1012" s="4">
        <f t="shared" si="78"/>
        <v>215.31692307692308</v>
      </c>
      <c r="O1012" t="str">
        <f t="shared" si="79"/>
        <v>OK</v>
      </c>
    </row>
    <row r="1013" spans="1:15">
      <c r="A1013" t="str">
        <f>'Raw Data'!A1013</f>
        <v>Indianapolis RM-15</v>
      </c>
      <c r="B1013" t="str">
        <f>'Raw Data'!B1013</f>
        <v>Midwest</v>
      </c>
      <c r="C1013" t="str">
        <f>'Raw Data'!C1013</f>
        <v>Beauty</v>
      </c>
      <c r="D1013" s="3">
        <f>'Raw Data'!D1013</f>
        <v>45658</v>
      </c>
      <c r="E1013" t="str">
        <f t="shared" si="75"/>
        <v>Jan</v>
      </c>
      <c r="F1013" s="5">
        <f>'Raw Data'!E1013</f>
        <v>76</v>
      </c>
      <c r="G1013" s="4">
        <f>'Raw Data'!F1013</f>
        <v>2726.88</v>
      </c>
      <c r="H1013" s="4">
        <f>'Raw Data'!G1013</f>
        <v>1285</v>
      </c>
      <c r="I1013" s="4">
        <f t="shared" si="76"/>
        <v>1441.88</v>
      </c>
      <c r="J1013" s="8">
        <f t="shared" si="77"/>
        <v>0.5287654755618143</v>
      </c>
      <c r="K1013" s="6">
        <f>'Raw Data'!I1013</f>
        <v>3.93</v>
      </c>
      <c r="L1013" s="5">
        <f>'Raw Data'!J1013</f>
        <v>26</v>
      </c>
      <c r="M1013" s="5">
        <f>IF(COUNTIFS($A$2:A1013,A1013,$D$2:D1013,D1013)=1,L1013,0)</f>
        <v>0</v>
      </c>
      <c r="N1013" s="4">
        <f t="shared" si="78"/>
        <v>104.88000000000001</v>
      </c>
      <c r="O1013" t="str">
        <f t="shared" si="79"/>
        <v>OK</v>
      </c>
    </row>
    <row r="1014" spans="1:15">
      <c r="A1014" t="str">
        <f>'Raw Data'!A1014</f>
        <v>Indianapolis RM-15</v>
      </c>
      <c r="B1014" t="str">
        <f>'Raw Data'!B1014</f>
        <v>Midwest</v>
      </c>
      <c r="C1014" t="str">
        <f>'Raw Data'!C1014</f>
        <v>Grocery</v>
      </c>
      <c r="D1014" s="3">
        <f>'Raw Data'!D1014</f>
        <v>45658</v>
      </c>
      <c r="E1014" t="str">
        <f t="shared" si="75"/>
        <v>Jan</v>
      </c>
      <c r="F1014" s="5">
        <f>'Raw Data'!E1014</f>
        <v>132</v>
      </c>
      <c r="G1014" s="4">
        <f>'Raw Data'!F1014</f>
        <v>2450.66</v>
      </c>
      <c r="H1014" s="4">
        <f>'Raw Data'!G1014</f>
        <v>2183.81</v>
      </c>
      <c r="I1014" s="4">
        <f t="shared" si="76"/>
        <v>266.84999999999991</v>
      </c>
      <c r="J1014" s="8">
        <f t="shared" si="77"/>
        <v>0.10888903397452111</v>
      </c>
      <c r="K1014" s="6">
        <f>'Raw Data'!I1014</f>
        <v>4.09</v>
      </c>
      <c r="L1014" s="5">
        <f>'Raw Data'!J1014</f>
        <v>26</v>
      </c>
      <c r="M1014" s="5">
        <f>IF(COUNTIFS($A$2:A1014,A1014,$D$2:D1014,D1014)=1,L1014,0)</f>
        <v>0</v>
      </c>
      <c r="N1014" s="4">
        <f t="shared" si="78"/>
        <v>94.256153846153836</v>
      </c>
      <c r="O1014" t="str">
        <f t="shared" si="79"/>
        <v>OK</v>
      </c>
    </row>
    <row r="1015" spans="1:15">
      <c r="A1015" t="str">
        <f>'Raw Data'!A1015</f>
        <v>Indianapolis RM-15</v>
      </c>
      <c r="B1015" t="str">
        <f>'Raw Data'!B1015</f>
        <v>Midwest</v>
      </c>
      <c r="C1015" t="str">
        <f>'Raw Data'!C1015</f>
        <v>Sports</v>
      </c>
      <c r="D1015" s="3">
        <f>'Raw Data'!D1015</f>
        <v>45658</v>
      </c>
      <c r="E1015" t="str">
        <f t="shared" si="75"/>
        <v>Jan</v>
      </c>
      <c r="F1015" s="5">
        <f>'Raw Data'!E1015</f>
        <v>67</v>
      </c>
      <c r="G1015" s="4">
        <f>'Raw Data'!F1015</f>
        <v>4134.74</v>
      </c>
      <c r="H1015" s="4">
        <f>'Raw Data'!G1015</f>
        <v>2623.17</v>
      </c>
      <c r="I1015" s="4">
        <f t="shared" si="76"/>
        <v>1511.5699999999997</v>
      </c>
      <c r="J1015" s="8">
        <f t="shared" si="77"/>
        <v>0.36557800490478237</v>
      </c>
      <c r="K1015" s="6">
        <f>'Raw Data'!I1015</f>
        <v>4.18</v>
      </c>
      <c r="L1015" s="5">
        <f>'Raw Data'!J1015</f>
        <v>26</v>
      </c>
      <c r="M1015" s="5">
        <f>IF(COUNTIFS($A$2:A1015,A1015,$D$2:D1015,D1015)=1,L1015,0)</f>
        <v>0</v>
      </c>
      <c r="N1015" s="4">
        <f t="shared" si="78"/>
        <v>159.02846153846153</v>
      </c>
      <c r="O1015" t="str">
        <f t="shared" si="79"/>
        <v>OK</v>
      </c>
    </row>
    <row r="1016" spans="1:15">
      <c r="A1016" t="str">
        <f>'Raw Data'!A1016</f>
        <v>Indianapolis RM-15</v>
      </c>
      <c r="B1016" t="str">
        <f>'Raw Data'!B1016</f>
        <v>Midwest</v>
      </c>
      <c r="C1016" t="str">
        <f>'Raw Data'!C1016</f>
        <v>Electronics</v>
      </c>
      <c r="D1016" s="3">
        <f>'Raw Data'!D1016</f>
        <v>45689</v>
      </c>
      <c r="E1016" t="str">
        <f t="shared" si="75"/>
        <v>Feb</v>
      </c>
      <c r="F1016" s="5">
        <f>'Raw Data'!E1016</f>
        <v>87</v>
      </c>
      <c r="G1016" s="4">
        <f>'Raw Data'!F1016</f>
        <v>12653.35</v>
      </c>
      <c r="H1016" s="4">
        <f>'Raw Data'!G1016</f>
        <v>9374.99</v>
      </c>
      <c r="I1016" s="4">
        <f t="shared" si="76"/>
        <v>3278.3600000000006</v>
      </c>
      <c r="J1016" s="8">
        <f t="shared" si="77"/>
        <v>0.25909028043956744</v>
      </c>
      <c r="K1016" s="6">
        <f>'Raw Data'!I1016</f>
        <v>4.21</v>
      </c>
      <c r="L1016" s="5">
        <f>'Raw Data'!J1016</f>
        <v>26</v>
      </c>
      <c r="M1016" s="5">
        <f>IF(COUNTIFS($A$2:A1016,A1016,$D$2:D1016,D1016)=1,L1016,0)</f>
        <v>26</v>
      </c>
      <c r="N1016" s="4">
        <f t="shared" si="78"/>
        <v>486.6673076923077</v>
      </c>
      <c r="O1016" t="str">
        <f t="shared" si="79"/>
        <v>OK</v>
      </c>
    </row>
    <row r="1017" spans="1:15">
      <c r="A1017" t="str">
        <f>'Raw Data'!A1017</f>
        <v>Indianapolis RM-15</v>
      </c>
      <c r="B1017" t="str">
        <f>'Raw Data'!B1017</f>
        <v>Midwest</v>
      </c>
      <c r="C1017" t="str">
        <f>'Raw Data'!C1017</f>
        <v>Home Goods</v>
      </c>
      <c r="D1017" s="3">
        <f>'Raw Data'!D1017</f>
        <v>45689</v>
      </c>
      <c r="E1017" t="str">
        <f t="shared" si="75"/>
        <v>Feb</v>
      </c>
      <c r="F1017" s="5">
        <f>'Raw Data'!E1017</f>
        <v>70</v>
      </c>
      <c r="G1017" s="4">
        <f>'Raw Data'!F1017</f>
        <v>5093.93</v>
      </c>
      <c r="H1017" s="4">
        <f>'Raw Data'!G1017</f>
        <v>3238.28</v>
      </c>
      <c r="I1017" s="4">
        <f t="shared" si="76"/>
        <v>1855.65</v>
      </c>
      <c r="J1017" s="8">
        <f t="shared" si="77"/>
        <v>0.36428651355633079</v>
      </c>
      <c r="K1017" s="6">
        <f>'Raw Data'!I1017</f>
        <v>3.99</v>
      </c>
      <c r="L1017" s="5">
        <f>'Raw Data'!J1017</f>
        <v>26</v>
      </c>
      <c r="M1017" s="5">
        <f>IF(COUNTIFS($A$2:A1017,A1017,$D$2:D1017,D1017)=1,L1017,0)</f>
        <v>0</v>
      </c>
      <c r="N1017" s="4">
        <f t="shared" si="78"/>
        <v>195.92038461538462</v>
      </c>
      <c r="O1017" t="str">
        <f t="shared" si="79"/>
        <v>OK</v>
      </c>
    </row>
    <row r="1018" spans="1:15">
      <c r="A1018" t="str">
        <f>'Raw Data'!A1018</f>
        <v>Indianapolis RM-15</v>
      </c>
      <c r="B1018" t="str">
        <f>'Raw Data'!B1018</f>
        <v>Midwest</v>
      </c>
      <c r="C1018" t="str">
        <f>'Raw Data'!C1018</f>
        <v>Apparel</v>
      </c>
      <c r="D1018" s="3">
        <f>'Raw Data'!D1018</f>
        <v>45689</v>
      </c>
      <c r="E1018" t="str">
        <f t="shared" si="75"/>
        <v>Feb</v>
      </c>
      <c r="F1018" s="5">
        <f>'Raw Data'!E1018</f>
        <v>99</v>
      </c>
      <c r="G1018" s="4">
        <f>'Raw Data'!F1018</f>
        <v>4606.97</v>
      </c>
      <c r="H1018" s="4">
        <f>'Raw Data'!G1018</f>
        <v>2683.01</v>
      </c>
      <c r="I1018" s="4">
        <f t="shared" si="76"/>
        <v>1923.96</v>
      </c>
      <c r="J1018" s="8">
        <f t="shared" si="77"/>
        <v>0.41761938975074725</v>
      </c>
      <c r="K1018" s="6">
        <f>'Raw Data'!I1018</f>
        <v>3.93</v>
      </c>
      <c r="L1018" s="5">
        <f>'Raw Data'!J1018</f>
        <v>26</v>
      </c>
      <c r="M1018" s="5">
        <f>IF(COUNTIFS($A$2:A1018,A1018,$D$2:D1018,D1018)=1,L1018,0)</f>
        <v>0</v>
      </c>
      <c r="N1018" s="4">
        <f t="shared" si="78"/>
        <v>177.19115384615387</v>
      </c>
      <c r="O1018" t="str">
        <f t="shared" si="79"/>
        <v>OK</v>
      </c>
    </row>
    <row r="1019" spans="1:15">
      <c r="A1019" t="str">
        <f>'Raw Data'!A1019</f>
        <v>Indianapolis RM-15</v>
      </c>
      <c r="B1019" t="str">
        <f>'Raw Data'!B1019</f>
        <v>Midwest</v>
      </c>
      <c r="C1019" t="str">
        <f>'Raw Data'!C1019</f>
        <v>Beauty</v>
      </c>
      <c r="D1019" s="3">
        <f>'Raw Data'!D1019</f>
        <v>45689</v>
      </c>
      <c r="E1019" t="str">
        <f t="shared" si="75"/>
        <v>Feb</v>
      </c>
      <c r="F1019" s="5">
        <f>'Raw Data'!E1019</f>
        <v>71</v>
      </c>
      <c r="G1019" s="4">
        <f>'Raw Data'!F1019</f>
        <v>2737.86</v>
      </c>
      <c r="H1019" s="4">
        <f>'Raw Data'!G1019</f>
        <v>1273.79</v>
      </c>
      <c r="I1019" s="4">
        <f t="shared" si="76"/>
        <v>1464.0700000000002</v>
      </c>
      <c r="J1019" s="8">
        <f t="shared" si="77"/>
        <v>0.53474976806703045</v>
      </c>
      <c r="K1019" s="6">
        <f>'Raw Data'!I1019</f>
        <v>3.92</v>
      </c>
      <c r="L1019" s="5">
        <f>'Raw Data'!J1019</f>
        <v>26</v>
      </c>
      <c r="M1019" s="5">
        <f>IF(COUNTIFS($A$2:A1019,A1019,$D$2:D1019,D1019)=1,L1019,0)</f>
        <v>0</v>
      </c>
      <c r="N1019" s="4">
        <f t="shared" si="78"/>
        <v>105.30230769230769</v>
      </c>
      <c r="O1019" t="str">
        <f t="shared" si="79"/>
        <v>OK</v>
      </c>
    </row>
    <row r="1020" spans="1:15">
      <c r="A1020" t="str">
        <f>'Raw Data'!A1020</f>
        <v>Indianapolis RM-15</v>
      </c>
      <c r="B1020" t="str">
        <f>'Raw Data'!B1020</f>
        <v>Midwest</v>
      </c>
      <c r="C1020" t="str">
        <f>'Raw Data'!C1020</f>
        <v>Grocery</v>
      </c>
      <c r="D1020" s="3">
        <f>'Raw Data'!D1020</f>
        <v>45689</v>
      </c>
      <c r="E1020" t="str">
        <f t="shared" si="75"/>
        <v>Feb</v>
      </c>
      <c r="F1020" s="5">
        <f>'Raw Data'!E1020</f>
        <v>139</v>
      </c>
      <c r="G1020" s="4">
        <f>'Raw Data'!F1020</f>
        <v>2700.76</v>
      </c>
      <c r="H1020" s="4">
        <f>'Raw Data'!G1020</f>
        <v>2336.0100000000002</v>
      </c>
      <c r="I1020" s="4">
        <f t="shared" si="76"/>
        <v>364.75</v>
      </c>
      <c r="J1020" s="8">
        <f t="shared" si="77"/>
        <v>0.13505457723011299</v>
      </c>
      <c r="K1020" s="6">
        <f>'Raw Data'!I1020</f>
        <v>4.09</v>
      </c>
      <c r="L1020" s="5">
        <f>'Raw Data'!J1020</f>
        <v>26</v>
      </c>
      <c r="M1020" s="5">
        <f>IF(COUNTIFS($A$2:A1020,A1020,$D$2:D1020,D1020)=1,L1020,0)</f>
        <v>0</v>
      </c>
      <c r="N1020" s="4">
        <f t="shared" si="78"/>
        <v>103.87538461538462</v>
      </c>
      <c r="O1020" t="str">
        <f t="shared" si="79"/>
        <v>OK</v>
      </c>
    </row>
    <row r="1021" spans="1:15">
      <c r="A1021" t="str">
        <f>'Raw Data'!A1021</f>
        <v>Indianapolis RM-15</v>
      </c>
      <c r="B1021" t="str">
        <f>'Raw Data'!B1021</f>
        <v>Midwest</v>
      </c>
      <c r="C1021" t="str">
        <f>'Raw Data'!C1021</f>
        <v>Sports</v>
      </c>
      <c r="D1021" s="3">
        <f>'Raw Data'!D1021</f>
        <v>45689</v>
      </c>
      <c r="E1021" t="str">
        <f t="shared" si="75"/>
        <v>Feb</v>
      </c>
      <c r="F1021" s="5">
        <f>'Raw Data'!E1021</f>
        <v>55</v>
      </c>
      <c r="G1021" s="4">
        <f>'Raw Data'!F1021</f>
        <v>3245.65</v>
      </c>
      <c r="H1021" s="4">
        <f>'Raw Data'!G1021</f>
        <v>2084.39</v>
      </c>
      <c r="I1021" s="4">
        <f t="shared" si="76"/>
        <v>1161.2600000000002</v>
      </c>
      <c r="J1021" s="8">
        <f t="shared" si="77"/>
        <v>0.35778965692542331</v>
      </c>
      <c r="K1021" s="6">
        <f>'Raw Data'!I1021</f>
        <v>4.04</v>
      </c>
      <c r="L1021" s="5">
        <f>'Raw Data'!J1021</f>
        <v>26</v>
      </c>
      <c r="M1021" s="5">
        <f>IF(COUNTIFS($A$2:A1021,A1021,$D$2:D1021,D1021)=1,L1021,0)</f>
        <v>0</v>
      </c>
      <c r="N1021" s="4">
        <f t="shared" si="78"/>
        <v>124.83269230769231</v>
      </c>
      <c r="O1021" t="str">
        <f t="shared" si="79"/>
        <v>OK</v>
      </c>
    </row>
    <row r="1022" spans="1:15">
      <c r="A1022" t="str">
        <f>'Raw Data'!A1022</f>
        <v>Indianapolis RM-15</v>
      </c>
      <c r="B1022" t="str">
        <f>'Raw Data'!B1022</f>
        <v>Midwest</v>
      </c>
      <c r="C1022" t="str">
        <f>'Raw Data'!C1022</f>
        <v>Electronics</v>
      </c>
      <c r="D1022" s="3">
        <f>'Raw Data'!D1022</f>
        <v>45717</v>
      </c>
      <c r="E1022" t="str">
        <f t="shared" si="75"/>
        <v>Mar</v>
      </c>
      <c r="F1022" s="5">
        <f>'Raw Data'!E1022</f>
        <v>97</v>
      </c>
      <c r="G1022" s="4">
        <f>'Raw Data'!F1022</f>
        <v>14454.7</v>
      </c>
      <c r="H1022" s="4">
        <f>'Raw Data'!G1022</f>
        <v>10770.81</v>
      </c>
      <c r="I1022" s="4">
        <f t="shared" si="76"/>
        <v>3683.8900000000012</v>
      </c>
      <c r="J1022" s="8">
        <f t="shared" si="77"/>
        <v>0.25485758957294175</v>
      </c>
      <c r="K1022" s="6">
        <f>'Raw Data'!I1022</f>
        <v>4.2</v>
      </c>
      <c r="L1022" s="5">
        <f>'Raw Data'!J1022</f>
        <v>26</v>
      </c>
      <c r="M1022" s="5">
        <f>IF(COUNTIFS($A$2:A1022,A1022,$D$2:D1022,D1022)=1,L1022,0)</f>
        <v>26</v>
      </c>
      <c r="N1022" s="4">
        <f t="shared" si="78"/>
        <v>555.95000000000005</v>
      </c>
      <c r="O1022" t="str">
        <f t="shared" si="79"/>
        <v>OK</v>
      </c>
    </row>
    <row r="1023" spans="1:15">
      <c r="A1023" t="str">
        <f>'Raw Data'!A1023</f>
        <v>Indianapolis RM-15</v>
      </c>
      <c r="B1023" t="str">
        <f>'Raw Data'!B1023</f>
        <v>Midwest</v>
      </c>
      <c r="C1023" t="str">
        <f>'Raw Data'!C1023</f>
        <v>Home Goods</v>
      </c>
      <c r="D1023" s="3">
        <f>'Raw Data'!D1023</f>
        <v>45717</v>
      </c>
      <c r="E1023" t="str">
        <f t="shared" si="75"/>
        <v>Mar</v>
      </c>
      <c r="F1023" s="5">
        <f>'Raw Data'!E1023</f>
        <v>94</v>
      </c>
      <c r="G1023" s="4">
        <f>'Raw Data'!F1023</f>
        <v>6743.94</v>
      </c>
      <c r="H1023" s="4">
        <f>'Raw Data'!G1023</f>
        <v>4440.1899999999996</v>
      </c>
      <c r="I1023" s="4">
        <f t="shared" si="76"/>
        <v>2303.75</v>
      </c>
      <c r="J1023" s="8">
        <f t="shared" si="77"/>
        <v>0.34160297986043769</v>
      </c>
      <c r="K1023" s="6">
        <f>'Raw Data'!I1023</f>
        <v>4.21</v>
      </c>
      <c r="L1023" s="5">
        <f>'Raw Data'!J1023</f>
        <v>26</v>
      </c>
      <c r="M1023" s="5">
        <f>IF(COUNTIFS($A$2:A1023,A1023,$D$2:D1023,D1023)=1,L1023,0)</f>
        <v>0</v>
      </c>
      <c r="N1023" s="4">
        <f t="shared" si="78"/>
        <v>259.38230769230768</v>
      </c>
      <c r="O1023" t="str">
        <f t="shared" si="79"/>
        <v>OK</v>
      </c>
    </row>
    <row r="1024" spans="1:15">
      <c r="A1024" t="str">
        <f>'Raw Data'!A1024</f>
        <v>Indianapolis RM-15</v>
      </c>
      <c r="B1024" t="str">
        <f>'Raw Data'!B1024</f>
        <v>Midwest</v>
      </c>
      <c r="C1024" t="str">
        <f>'Raw Data'!C1024</f>
        <v>Apparel</v>
      </c>
      <c r="D1024" s="3">
        <f>'Raw Data'!D1024</f>
        <v>45717</v>
      </c>
      <c r="E1024" t="str">
        <f t="shared" si="75"/>
        <v>Mar</v>
      </c>
      <c r="F1024" s="5">
        <f>'Raw Data'!E1024</f>
        <v>125</v>
      </c>
      <c r="G1024" s="4">
        <f>'Raw Data'!F1024</f>
        <v>6458.98</v>
      </c>
      <c r="H1024" s="4">
        <f>'Raw Data'!G1024</f>
        <v>3833.03</v>
      </c>
      <c r="I1024" s="4">
        <f t="shared" si="76"/>
        <v>2625.9499999999994</v>
      </c>
      <c r="J1024" s="8">
        <f t="shared" si="77"/>
        <v>0.40655800141818049</v>
      </c>
      <c r="K1024" s="6">
        <f>'Raw Data'!I1024</f>
        <v>4</v>
      </c>
      <c r="L1024" s="5">
        <f>'Raw Data'!J1024</f>
        <v>26</v>
      </c>
      <c r="M1024" s="5">
        <f>IF(COUNTIFS($A$2:A1024,A1024,$D$2:D1024,D1024)=1,L1024,0)</f>
        <v>0</v>
      </c>
      <c r="N1024" s="4">
        <f t="shared" si="78"/>
        <v>248.42230769230767</v>
      </c>
      <c r="O1024" t="str">
        <f t="shared" si="79"/>
        <v>OK</v>
      </c>
    </row>
    <row r="1025" spans="1:15">
      <c r="A1025" t="str">
        <f>'Raw Data'!A1025</f>
        <v>Indianapolis RM-15</v>
      </c>
      <c r="B1025" t="str">
        <f>'Raw Data'!B1025</f>
        <v>Midwest</v>
      </c>
      <c r="C1025" t="str">
        <f>'Raw Data'!C1025</f>
        <v>Beauty</v>
      </c>
      <c r="D1025" s="3">
        <f>'Raw Data'!D1025</f>
        <v>45717</v>
      </c>
      <c r="E1025" t="str">
        <f t="shared" si="75"/>
        <v>Mar</v>
      </c>
      <c r="F1025" s="5">
        <f>'Raw Data'!E1025</f>
        <v>101</v>
      </c>
      <c r="G1025" s="4">
        <f>'Raw Data'!F1025</f>
        <v>3644.28</v>
      </c>
      <c r="H1025" s="4">
        <f>'Raw Data'!G1025</f>
        <v>1768.56</v>
      </c>
      <c r="I1025" s="4">
        <f t="shared" si="76"/>
        <v>1875.7200000000003</v>
      </c>
      <c r="J1025" s="8">
        <f t="shared" si="77"/>
        <v>0.51470249267344992</v>
      </c>
      <c r="K1025" s="6">
        <f>'Raw Data'!I1025</f>
        <v>4.1500000000000004</v>
      </c>
      <c r="L1025" s="5">
        <f>'Raw Data'!J1025</f>
        <v>26</v>
      </c>
      <c r="M1025" s="5">
        <f>IF(COUNTIFS($A$2:A1025,A1025,$D$2:D1025,D1025)=1,L1025,0)</f>
        <v>0</v>
      </c>
      <c r="N1025" s="4">
        <f t="shared" si="78"/>
        <v>140.16461538461539</v>
      </c>
      <c r="O1025" t="str">
        <f t="shared" si="79"/>
        <v>OK</v>
      </c>
    </row>
    <row r="1026" spans="1:15">
      <c r="A1026" t="str">
        <f>'Raw Data'!A1026</f>
        <v>Indianapolis RM-15</v>
      </c>
      <c r="B1026" t="str">
        <f>'Raw Data'!B1026</f>
        <v>Midwest</v>
      </c>
      <c r="C1026" t="str">
        <f>'Raw Data'!C1026</f>
        <v>Grocery</v>
      </c>
      <c r="D1026" s="3">
        <f>'Raw Data'!D1026</f>
        <v>45717</v>
      </c>
      <c r="E1026" t="str">
        <f t="shared" ref="E1026:E1089" si="80">TEXT(D1026,"mmm")</f>
        <v>Mar</v>
      </c>
      <c r="F1026" s="5">
        <f>'Raw Data'!E1026</f>
        <v>161</v>
      </c>
      <c r="G1026" s="4">
        <f>'Raw Data'!F1026</f>
        <v>2980.15</v>
      </c>
      <c r="H1026" s="4">
        <f>'Raw Data'!G1026</f>
        <v>2679.96</v>
      </c>
      <c r="I1026" s="4">
        <f t="shared" ref="I1026:I1089" si="81">G1026-H1026</f>
        <v>300.19000000000005</v>
      </c>
      <c r="J1026" s="8">
        <f t="shared" ref="J1026:J1089" si="82">IFERROR(I1026/G1026,0)</f>
        <v>0.10072982903545125</v>
      </c>
      <c r="K1026" s="6">
        <f>'Raw Data'!I1026</f>
        <v>4.07</v>
      </c>
      <c r="L1026" s="5">
        <f>'Raw Data'!J1026</f>
        <v>26</v>
      </c>
      <c r="M1026" s="5">
        <f>IF(COUNTIFS($A$2:A1026,A1026,$D$2:D1026,D1026)=1,L1026,0)</f>
        <v>0</v>
      </c>
      <c r="N1026" s="4">
        <f t="shared" ref="N1026:N1089" si="83">IFERROR(G1026/L1026,0)</f>
        <v>114.62115384615385</v>
      </c>
      <c r="O1026" t="str">
        <f t="shared" ref="O1026:O1089" si="84">IF(OR(A1026="",B1026="",C1026="",F1026&lt;0,G1026&lt;0,H1026&lt;0,K1026&lt;1,K1026&gt;5),"Review","OK")</f>
        <v>OK</v>
      </c>
    </row>
    <row r="1027" spans="1:15">
      <c r="A1027" t="str">
        <f>'Raw Data'!A1027</f>
        <v>Indianapolis RM-15</v>
      </c>
      <c r="B1027" t="str">
        <f>'Raw Data'!B1027</f>
        <v>Midwest</v>
      </c>
      <c r="C1027" t="str">
        <f>'Raw Data'!C1027</f>
        <v>Sports</v>
      </c>
      <c r="D1027" s="3">
        <f>'Raw Data'!D1027</f>
        <v>45717</v>
      </c>
      <c r="E1027" t="str">
        <f t="shared" si="80"/>
        <v>Mar</v>
      </c>
      <c r="F1027" s="5">
        <f>'Raw Data'!E1027</f>
        <v>77</v>
      </c>
      <c r="G1027" s="4">
        <f>'Raw Data'!F1027</f>
        <v>4837.42</v>
      </c>
      <c r="H1027" s="4">
        <f>'Raw Data'!G1027</f>
        <v>3082.84</v>
      </c>
      <c r="I1027" s="4">
        <f t="shared" si="81"/>
        <v>1754.58</v>
      </c>
      <c r="J1027" s="8">
        <f t="shared" si="82"/>
        <v>0.36270987427182255</v>
      </c>
      <c r="K1027" s="6">
        <f>'Raw Data'!I1027</f>
        <v>4.01</v>
      </c>
      <c r="L1027" s="5">
        <f>'Raw Data'!J1027</f>
        <v>26</v>
      </c>
      <c r="M1027" s="5">
        <f>IF(COUNTIFS($A$2:A1027,A1027,$D$2:D1027,D1027)=1,L1027,0)</f>
        <v>0</v>
      </c>
      <c r="N1027" s="4">
        <f t="shared" si="83"/>
        <v>186.05461538461537</v>
      </c>
      <c r="O1027" t="str">
        <f t="shared" si="84"/>
        <v>OK</v>
      </c>
    </row>
    <row r="1028" spans="1:15">
      <c r="A1028" t="str">
        <f>'Raw Data'!A1028</f>
        <v>Indianapolis RM-15</v>
      </c>
      <c r="B1028" t="str">
        <f>'Raw Data'!B1028</f>
        <v>Midwest</v>
      </c>
      <c r="C1028" t="str">
        <f>'Raw Data'!C1028</f>
        <v>Electronics</v>
      </c>
      <c r="D1028" s="3">
        <f>'Raw Data'!D1028</f>
        <v>45748</v>
      </c>
      <c r="E1028" t="str">
        <f t="shared" si="80"/>
        <v>Apr</v>
      </c>
      <c r="F1028" s="5">
        <f>'Raw Data'!E1028</f>
        <v>99</v>
      </c>
      <c r="G1028" s="4">
        <f>'Raw Data'!F1028</f>
        <v>13673.68</v>
      </c>
      <c r="H1028" s="4">
        <f>'Raw Data'!G1028</f>
        <v>10380.32</v>
      </c>
      <c r="I1028" s="4">
        <f t="shared" si="81"/>
        <v>3293.3600000000006</v>
      </c>
      <c r="J1028" s="8">
        <f t="shared" si="82"/>
        <v>0.24085396177181276</v>
      </c>
      <c r="K1028" s="6">
        <f>'Raw Data'!I1028</f>
        <v>4.05</v>
      </c>
      <c r="L1028" s="5">
        <f>'Raw Data'!J1028</f>
        <v>26</v>
      </c>
      <c r="M1028" s="5">
        <f>IF(COUNTIFS($A$2:A1028,A1028,$D$2:D1028,D1028)=1,L1028,0)</f>
        <v>26</v>
      </c>
      <c r="N1028" s="4">
        <f t="shared" si="83"/>
        <v>525.91076923076923</v>
      </c>
      <c r="O1028" t="str">
        <f t="shared" si="84"/>
        <v>OK</v>
      </c>
    </row>
    <row r="1029" spans="1:15">
      <c r="A1029" t="str">
        <f>'Raw Data'!A1029</f>
        <v>Indianapolis RM-15</v>
      </c>
      <c r="B1029" t="str">
        <f>'Raw Data'!B1029</f>
        <v>Midwest</v>
      </c>
      <c r="C1029" t="str">
        <f>'Raw Data'!C1029</f>
        <v>Home Goods</v>
      </c>
      <c r="D1029" s="3">
        <f>'Raw Data'!D1029</f>
        <v>45748</v>
      </c>
      <c r="E1029" t="str">
        <f t="shared" si="80"/>
        <v>Apr</v>
      </c>
      <c r="F1029" s="5">
        <f>'Raw Data'!E1029</f>
        <v>96</v>
      </c>
      <c r="G1029" s="4">
        <f>'Raw Data'!F1029</f>
        <v>7017.3</v>
      </c>
      <c r="H1029" s="4">
        <f>'Raw Data'!G1029</f>
        <v>4481.78</v>
      </c>
      <c r="I1029" s="4">
        <f t="shared" si="81"/>
        <v>2535.5200000000004</v>
      </c>
      <c r="J1029" s="8">
        <f t="shared" si="82"/>
        <v>0.36132415601442153</v>
      </c>
      <c r="K1029" s="6">
        <f>'Raw Data'!I1029</f>
        <v>4.09</v>
      </c>
      <c r="L1029" s="5">
        <f>'Raw Data'!J1029</f>
        <v>26</v>
      </c>
      <c r="M1029" s="5">
        <f>IF(COUNTIFS($A$2:A1029,A1029,$D$2:D1029,D1029)=1,L1029,0)</f>
        <v>0</v>
      </c>
      <c r="N1029" s="4">
        <f t="shared" si="83"/>
        <v>269.89615384615388</v>
      </c>
      <c r="O1029" t="str">
        <f t="shared" si="84"/>
        <v>OK</v>
      </c>
    </row>
    <row r="1030" spans="1:15">
      <c r="A1030" t="str">
        <f>'Raw Data'!A1030</f>
        <v>Indianapolis RM-15</v>
      </c>
      <c r="B1030" t="str">
        <f>'Raw Data'!B1030</f>
        <v>Midwest</v>
      </c>
      <c r="C1030" t="str">
        <f>'Raw Data'!C1030</f>
        <v>Apparel</v>
      </c>
      <c r="D1030" s="3">
        <f>'Raw Data'!D1030</f>
        <v>45748</v>
      </c>
      <c r="E1030" t="str">
        <f t="shared" si="80"/>
        <v>Apr</v>
      </c>
      <c r="F1030" s="5">
        <f>'Raw Data'!E1030</f>
        <v>142</v>
      </c>
      <c r="G1030" s="4">
        <f>'Raw Data'!F1030</f>
        <v>6680.68</v>
      </c>
      <c r="H1030" s="4">
        <f>'Raw Data'!G1030</f>
        <v>4003.46</v>
      </c>
      <c r="I1030" s="4">
        <f t="shared" si="81"/>
        <v>2677.2200000000003</v>
      </c>
      <c r="J1030" s="8">
        <f t="shared" si="82"/>
        <v>0.40074064316806074</v>
      </c>
      <c r="K1030" s="6">
        <f>'Raw Data'!I1030</f>
        <v>4.1500000000000004</v>
      </c>
      <c r="L1030" s="5">
        <f>'Raw Data'!J1030</f>
        <v>26</v>
      </c>
      <c r="M1030" s="5">
        <f>IF(COUNTIFS($A$2:A1030,A1030,$D$2:D1030,D1030)=1,L1030,0)</f>
        <v>0</v>
      </c>
      <c r="N1030" s="4">
        <f t="shared" si="83"/>
        <v>256.94923076923078</v>
      </c>
      <c r="O1030" t="str">
        <f t="shared" si="84"/>
        <v>OK</v>
      </c>
    </row>
    <row r="1031" spans="1:15">
      <c r="A1031" t="str">
        <f>'Raw Data'!A1031</f>
        <v>Indianapolis RM-15</v>
      </c>
      <c r="B1031" t="str">
        <f>'Raw Data'!B1031</f>
        <v>Midwest</v>
      </c>
      <c r="C1031" t="str">
        <f>'Raw Data'!C1031</f>
        <v>Beauty</v>
      </c>
      <c r="D1031" s="3">
        <f>'Raw Data'!D1031</f>
        <v>45748</v>
      </c>
      <c r="E1031" t="str">
        <f t="shared" si="80"/>
        <v>Apr</v>
      </c>
      <c r="F1031" s="5">
        <f>'Raw Data'!E1031</f>
        <v>95</v>
      </c>
      <c r="G1031" s="4">
        <f>'Raw Data'!F1031</f>
        <v>3450.34</v>
      </c>
      <c r="H1031" s="4">
        <f>'Raw Data'!G1031</f>
        <v>1674.54</v>
      </c>
      <c r="I1031" s="4">
        <f t="shared" si="81"/>
        <v>1775.8000000000002</v>
      </c>
      <c r="J1031" s="8">
        <f t="shared" si="82"/>
        <v>0.51467391619376646</v>
      </c>
      <c r="K1031" s="6">
        <f>'Raw Data'!I1031</f>
        <v>4.01</v>
      </c>
      <c r="L1031" s="5">
        <f>'Raw Data'!J1031</f>
        <v>26</v>
      </c>
      <c r="M1031" s="5">
        <f>IF(COUNTIFS($A$2:A1031,A1031,$D$2:D1031,D1031)=1,L1031,0)</f>
        <v>0</v>
      </c>
      <c r="N1031" s="4">
        <f t="shared" si="83"/>
        <v>132.70538461538462</v>
      </c>
      <c r="O1031" t="str">
        <f t="shared" si="84"/>
        <v>OK</v>
      </c>
    </row>
    <row r="1032" spans="1:15">
      <c r="A1032" t="str">
        <f>'Raw Data'!A1032</f>
        <v>Indianapolis RM-15</v>
      </c>
      <c r="B1032" t="str">
        <f>'Raw Data'!B1032</f>
        <v>Midwest</v>
      </c>
      <c r="C1032" t="str">
        <f>'Raw Data'!C1032</f>
        <v>Grocery</v>
      </c>
      <c r="D1032" s="3">
        <f>'Raw Data'!D1032</f>
        <v>45748</v>
      </c>
      <c r="E1032" t="str">
        <f t="shared" si="80"/>
        <v>Apr</v>
      </c>
      <c r="F1032" s="5">
        <f>'Raw Data'!E1032</f>
        <v>168</v>
      </c>
      <c r="G1032" s="4">
        <f>'Raw Data'!F1032</f>
        <v>3095.31</v>
      </c>
      <c r="H1032" s="4">
        <f>'Raw Data'!G1032</f>
        <v>2829.08</v>
      </c>
      <c r="I1032" s="4">
        <f t="shared" si="81"/>
        <v>266.23</v>
      </c>
      <c r="J1032" s="8">
        <f t="shared" si="82"/>
        <v>8.6010771134393649E-2</v>
      </c>
      <c r="K1032" s="6">
        <f>'Raw Data'!I1032</f>
        <v>4.07</v>
      </c>
      <c r="L1032" s="5">
        <f>'Raw Data'!J1032</f>
        <v>26</v>
      </c>
      <c r="M1032" s="5">
        <f>IF(COUNTIFS($A$2:A1032,A1032,$D$2:D1032,D1032)=1,L1032,0)</f>
        <v>0</v>
      </c>
      <c r="N1032" s="4">
        <f t="shared" si="83"/>
        <v>119.05038461538462</v>
      </c>
      <c r="O1032" t="str">
        <f t="shared" si="84"/>
        <v>OK</v>
      </c>
    </row>
    <row r="1033" spans="1:15">
      <c r="A1033" t="str">
        <f>'Raw Data'!A1033</f>
        <v>Indianapolis RM-15</v>
      </c>
      <c r="B1033" t="str">
        <f>'Raw Data'!B1033</f>
        <v>Midwest</v>
      </c>
      <c r="C1033" t="str">
        <f>'Raw Data'!C1033</f>
        <v>Sports</v>
      </c>
      <c r="D1033" s="3">
        <f>'Raw Data'!D1033</f>
        <v>45748</v>
      </c>
      <c r="E1033" t="str">
        <f t="shared" si="80"/>
        <v>Apr</v>
      </c>
      <c r="F1033" s="5">
        <f>'Raw Data'!E1033</f>
        <v>63</v>
      </c>
      <c r="G1033" s="4">
        <f>'Raw Data'!F1033</f>
        <v>3774.76</v>
      </c>
      <c r="H1033" s="4">
        <f>'Raw Data'!G1033</f>
        <v>2463.52</v>
      </c>
      <c r="I1033" s="4">
        <f t="shared" si="81"/>
        <v>1311.2400000000002</v>
      </c>
      <c r="J1033" s="8">
        <f t="shared" si="82"/>
        <v>0.34737042884845665</v>
      </c>
      <c r="K1033" s="6">
        <f>'Raw Data'!I1033</f>
        <v>4.0599999999999996</v>
      </c>
      <c r="L1033" s="5">
        <f>'Raw Data'!J1033</f>
        <v>26</v>
      </c>
      <c r="M1033" s="5">
        <f>IF(COUNTIFS($A$2:A1033,A1033,$D$2:D1033,D1033)=1,L1033,0)</f>
        <v>0</v>
      </c>
      <c r="N1033" s="4">
        <f t="shared" si="83"/>
        <v>145.18307692307692</v>
      </c>
      <c r="O1033" t="str">
        <f t="shared" si="84"/>
        <v>OK</v>
      </c>
    </row>
    <row r="1034" spans="1:15">
      <c r="A1034" t="str">
        <f>'Raw Data'!A1034</f>
        <v>Indianapolis RM-15</v>
      </c>
      <c r="B1034" t="str">
        <f>'Raw Data'!B1034</f>
        <v>Midwest</v>
      </c>
      <c r="C1034" t="str">
        <f>'Raw Data'!C1034</f>
        <v>Electronics</v>
      </c>
      <c r="D1034" s="3">
        <f>'Raw Data'!D1034</f>
        <v>45778</v>
      </c>
      <c r="E1034" t="str">
        <f t="shared" si="80"/>
        <v>May</v>
      </c>
      <c r="F1034" s="5">
        <f>'Raw Data'!E1034</f>
        <v>120</v>
      </c>
      <c r="G1034" s="4">
        <f>'Raw Data'!F1034</f>
        <v>17305.37</v>
      </c>
      <c r="H1034" s="4">
        <f>'Raw Data'!G1034</f>
        <v>13296.59</v>
      </c>
      <c r="I1034" s="4">
        <f t="shared" si="81"/>
        <v>4008.7799999999988</v>
      </c>
      <c r="J1034" s="8">
        <f t="shared" si="82"/>
        <v>0.23164948221274662</v>
      </c>
      <c r="K1034" s="6">
        <f>'Raw Data'!I1034</f>
        <v>3.99</v>
      </c>
      <c r="L1034" s="5">
        <f>'Raw Data'!J1034</f>
        <v>26</v>
      </c>
      <c r="M1034" s="5">
        <f>IF(COUNTIFS($A$2:A1034,A1034,$D$2:D1034,D1034)=1,L1034,0)</f>
        <v>26</v>
      </c>
      <c r="N1034" s="4">
        <f t="shared" si="83"/>
        <v>665.59115384615382</v>
      </c>
      <c r="O1034" t="str">
        <f t="shared" si="84"/>
        <v>OK</v>
      </c>
    </row>
    <row r="1035" spans="1:15">
      <c r="A1035" t="str">
        <f>'Raw Data'!A1035</f>
        <v>Indianapolis RM-15</v>
      </c>
      <c r="B1035" t="str">
        <f>'Raw Data'!B1035</f>
        <v>Midwest</v>
      </c>
      <c r="C1035" t="str">
        <f>'Raw Data'!C1035</f>
        <v>Home Goods</v>
      </c>
      <c r="D1035" s="3">
        <f>'Raw Data'!D1035</f>
        <v>45778</v>
      </c>
      <c r="E1035" t="str">
        <f t="shared" si="80"/>
        <v>May</v>
      </c>
      <c r="F1035" s="5">
        <f>'Raw Data'!E1035</f>
        <v>114</v>
      </c>
      <c r="G1035" s="4">
        <f>'Raw Data'!F1035</f>
        <v>8656.32</v>
      </c>
      <c r="H1035" s="4">
        <f>'Raw Data'!G1035</f>
        <v>5657.98</v>
      </c>
      <c r="I1035" s="4">
        <f t="shared" si="81"/>
        <v>2998.34</v>
      </c>
      <c r="J1035" s="8">
        <f t="shared" si="82"/>
        <v>0.3463758271413257</v>
      </c>
      <c r="K1035" s="6">
        <f>'Raw Data'!I1035</f>
        <v>4.17</v>
      </c>
      <c r="L1035" s="5">
        <f>'Raw Data'!J1035</f>
        <v>26</v>
      </c>
      <c r="M1035" s="5">
        <f>IF(COUNTIFS($A$2:A1035,A1035,$D$2:D1035,D1035)=1,L1035,0)</f>
        <v>0</v>
      </c>
      <c r="N1035" s="4">
        <f t="shared" si="83"/>
        <v>332.93538461538458</v>
      </c>
      <c r="O1035" t="str">
        <f t="shared" si="84"/>
        <v>OK</v>
      </c>
    </row>
    <row r="1036" spans="1:15">
      <c r="A1036" t="str">
        <f>'Raw Data'!A1036</f>
        <v>Indianapolis RM-15</v>
      </c>
      <c r="B1036" t="str">
        <f>'Raw Data'!B1036</f>
        <v>Midwest</v>
      </c>
      <c r="C1036" t="str">
        <f>'Raw Data'!C1036</f>
        <v>Apparel</v>
      </c>
      <c r="D1036" s="3">
        <f>'Raw Data'!D1036</f>
        <v>45778</v>
      </c>
      <c r="E1036" t="str">
        <f t="shared" si="80"/>
        <v>May</v>
      </c>
      <c r="F1036" s="5">
        <f>'Raw Data'!E1036</f>
        <v>145</v>
      </c>
      <c r="G1036" s="4">
        <f>'Raw Data'!F1036</f>
        <v>7209.51</v>
      </c>
      <c r="H1036" s="4">
        <f>'Raw Data'!G1036</f>
        <v>4298.29</v>
      </c>
      <c r="I1036" s="4">
        <f t="shared" si="81"/>
        <v>2911.2200000000003</v>
      </c>
      <c r="J1036" s="8">
        <f t="shared" si="82"/>
        <v>0.40380275497225193</v>
      </c>
      <c r="K1036" s="6">
        <f>'Raw Data'!I1036</f>
        <v>4.17</v>
      </c>
      <c r="L1036" s="5">
        <f>'Raw Data'!J1036</f>
        <v>26</v>
      </c>
      <c r="M1036" s="5">
        <f>IF(COUNTIFS($A$2:A1036,A1036,$D$2:D1036,D1036)=1,L1036,0)</f>
        <v>0</v>
      </c>
      <c r="N1036" s="4">
        <f t="shared" si="83"/>
        <v>277.28884615384618</v>
      </c>
      <c r="O1036" t="str">
        <f t="shared" si="84"/>
        <v>OK</v>
      </c>
    </row>
    <row r="1037" spans="1:15">
      <c r="A1037" t="str">
        <f>'Raw Data'!A1037</f>
        <v>Indianapolis RM-15</v>
      </c>
      <c r="B1037" t="str">
        <f>'Raw Data'!B1037</f>
        <v>Midwest</v>
      </c>
      <c r="C1037" t="str">
        <f>'Raw Data'!C1037</f>
        <v>Beauty</v>
      </c>
      <c r="D1037" s="3">
        <f>'Raw Data'!D1037</f>
        <v>45778</v>
      </c>
      <c r="E1037" t="str">
        <f t="shared" si="80"/>
        <v>May</v>
      </c>
      <c r="F1037" s="5">
        <f>'Raw Data'!E1037</f>
        <v>98</v>
      </c>
      <c r="G1037" s="4">
        <f>'Raw Data'!F1037</f>
        <v>3715.81</v>
      </c>
      <c r="H1037" s="4">
        <f>'Raw Data'!G1037</f>
        <v>1789.05</v>
      </c>
      <c r="I1037" s="4">
        <f t="shared" si="81"/>
        <v>1926.76</v>
      </c>
      <c r="J1037" s="8">
        <f t="shared" si="82"/>
        <v>0.51853028007352364</v>
      </c>
      <c r="K1037" s="6">
        <f>'Raw Data'!I1037</f>
        <v>4.21</v>
      </c>
      <c r="L1037" s="5">
        <f>'Raw Data'!J1037</f>
        <v>26</v>
      </c>
      <c r="M1037" s="5">
        <f>IF(COUNTIFS($A$2:A1037,A1037,$D$2:D1037,D1037)=1,L1037,0)</f>
        <v>0</v>
      </c>
      <c r="N1037" s="4">
        <f t="shared" si="83"/>
        <v>142.91576923076923</v>
      </c>
      <c r="O1037" t="str">
        <f t="shared" si="84"/>
        <v>OK</v>
      </c>
    </row>
    <row r="1038" spans="1:15">
      <c r="A1038" t="str">
        <f>'Raw Data'!A1038</f>
        <v>Indianapolis RM-15</v>
      </c>
      <c r="B1038" t="str">
        <f>'Raw Data'!B1038</f>
        <v>Midwest</v>
      </c>
      <c r="C1038" t="str">
        <f>'Raw Data'!C1038</f>
        <v>Grocery</v>
      </c>
      <c r="D1038" s="3">
        <f>'Raw Data'!D1038</f>
        <v>45778</v>
      </c>
      <c r="E1038" t="str">
        <f t="shared" si="80"/>
        <v>May</v>
      </c>
      <c r="F1038" s="5">
        <f>'Raw Data'!E1038</f>
        <v>182</v>
      </c>
      <c r="G1038" s="4">
        <f>'Raw Data'!F1038</f>
        <v>3371.54</v>
      </c>
      <c r="H1038" s="4">
        <f>'Raw Data'!G1038</f>
        <v>3069.41</v>
      </c>
      <c r="I1038" s="4">
        <f t="shared" si="81"/>
        <v>302.13000000000011</v>
      </c>
      <c r="J1038" s="8">
        <f t="shared" si="82"/>
        <v>8.9611868760269817E-2</v>
      </c>
      <c r="K1038" s="6">
        <f>'Raw Data'!I1038</f>
        <v>3.97</v>
      </c>
      <c r="L1038" s="5">
        <f>'Raw Data'!J1038</f>
        <v>26</v>
      </c>
      <c r="M1038" s="5">
        <f>IF(COUNTIFS($A$2:A1038,A1038,$D$2:D1038,D1038)=1,L1038,0)</f>
        <v>0</v>
      </c>
      <c r="N1038" s="4">
        <f t="shared" si="83"/>
        <v>129.67461538461538</v>
      </c>
      <c r="O1038" t="str">
        <f t="shared" si="84"/>
        <v>OK</v>
      </c>
    </row>
    <row r="1039" spans="1:15">
      <c r="A1039" t="str">
        <f>'Raw Data'!A1039</f>
        <v>Indianapolis RM-15</v>
      </c>
      <c r="B1039" t="str">
        <f>'Raw Data'!B1039</f>
        <v>Midwest</v>
      </c>
      <c r="C1039" t="str">
        <f>'Raw Data'!C1039</f>
        <v>Sports</v>
      </c>
      <c r="D1039" s="3">
        <f>'Raw Data'!D1039</f>
        <v>45778</v>
      </c>
      <c r="E1039" t="str">
        <f t="shared" si="80"/>
        <v>May</v>
      </c>
      <c r="F1039" s="5">
        <f>'Raw Data'!E1039</f>
        <v>109</v>
      </c>
      <c r="G1039" s="4">
        <f>'Raw Data'!F1039</f>
        <v>6941.72</v>
      </c>
      <c r="H1039" s="4">
        <f>'Raw Data'!G1039</f>
        <v>4386.72</v>
      </c>
      <c r="I1039" s="4">
        <f t="shared" si="81"/>
        <v>2555</v>
      </c>
      <c r="J1039" s="8">
        <f t="shared" si="82"/>
        <v>0.36806439902502547</v>
      </c>
      <c r="K1039" s="6">
        <f>'Raw Data'!I1039</f>
        <v>3.91</v>
      </c>
      <c r="L1039" s="5">
        <f>'Raw Data'!J1039</f>
        <v>26</v>
      </c>
      <c r="M1039" s="5">
        <f>IF(COUNTIFS($A$2:A1039,A1039,$D$2:D1039,D1039)=1,L1039,0)</f>
        <v>0</v>
      </c>
      <c r="N1039" s="4">
        <f t="shared" si="83"/>
        <v>266.9892307692308</v>
      </c>
      <c r="O1039" t="str">
        <f t="shared" si="84"/>
        <v>OK</v>
      </c>
    </row>
    <row r="1040" spans="1:15">
      <c r="A1040" t="str">
        <f>'Raw Data'!A1040</f>
        <v>Indianapolis RM-15</v>
      </c>
      <c r="B1040" t="str">
        <f>'Raw Data'!B1040</f>
        <v>Midwest</v>
      </c>
      <c r="C1040" t="str">
        <f>'Raw Data'!C1040</f>
        <v>Electronics</v>
      </c>
      <c r="D1040" s="3">
        <f>'Raw Data'!D1040</f>
        <v>45809</v>
      </c>
      <c r="E1040" t="str">
        <f t="shared" si="80"/>
        <v>Jun</v>
      </c>
      <c r="F1040" s="5">
        <f>'Raw Data'!E1040</f>
        <v>120</v>
      </c>
      <c r="G1040" s="4">
        <f>'Raw Data'!F1040</f>
        <v>18724.599999999999</v>
      </c>
      <c r="H1040" s="4">
        <f>'Raw Data'!G1040</f>
        <v>14414.25</v>
      </c>
      <c r="I1040" s="4">
        <f t="shared" si="81"/>
        <v>4310.3499999999985</v>
      </c>
      <c r="J1040" s="8">
        <f t="shared" si="82"/>
        <v>0.23019717377140228</v>
      </c>
      <c r="K1040" s="6">
        <f>'Raw Data'!I1040</f>
        <v>3.94</v>
      </c>
      <c r="L1040" s="5">
        <f>'Raw Data'!J1040</f>
        <v>26</v>
      </c>
      <c r="M1040" s="5">
        <f>IF(COUNTIFS($A$2:A1040,A1040,$D$2:D1040,D1040)=1,L1040,0)</f>
        <v>26</v>
      </c>
      <c r="N1040" s="4">
        <f t="shared" si="83"/>
        <v>720.176923076923</v>
      </c>
      <c r="O1040" t="str">
        <f t="shared" si="84"/>
        <v>OK</v>
      </c>
    </row>
    <row r="1041" spans="1:15">
      <c r="A1041" t="str">
        <f>'Raw Data'!A1041</f>
        <v>Indianapolis RM-15</v>
      </c>
      <c r="B1041" t="str">
        <f>'Raw Data'!B1041</f>
        <v>Midwest</v>
      </c>
      <c r="C1041" t="str">
        <f>'Raw Data'!C1041</f>
        <v>Home Goods</v>
      </c>
      <c r="D1041" s="3">
        <f>'Raw Data'!D1041</f>
        <v>45809</v>
      </c>
      <c r="E1041" t="str">
        <f t="shared" si="80"/>
        <v>Jun</v>
      </c>
      <c r="F1041" s="5">
        <f>'Raw Data'!E1041</f>
        <v>106</v>
      </c>
      <c r="G1041" s="4">
        <f>'Raw Data'!F1041</f>
        <v>8067.1</v>
      </c>
      <c r="H1041" s="4">
        <f>'Raw Data'!G1041</f>
        <v>5245.47</v>
      </c>
      <c r="I1041" s="4">
        <f t="shared" si="81"/>
        <v>2821.63</v>
      </c>
      <c r="J1041" s="8">
        <f t="shared" si="82"/>
        <v>0.34977005367480257</v>
      </c>
      <c r="K1041" s="6">
        <f>'Raw Data'!I1041</f>
        <v>3.93</v>
      </c>
      <c r="L1041" s="5">
        <f>'Raw Data'!J1041</f>
        <v>26</v>
      </c>
      <c r="M1041" s="5">
        <f>IF(COUNTIFS($A$2:A1041,A1041,$D$2:D1041,D1041)=1,L1041,0)</f>
        <v>0</v>
      </c>
      <c r="N1041" s="4">
        <f t="shared" si="83"/>
        <v>310.27307692307693</v>
      </c>
      <c r="O1041" t="str">
        <f t="shared" si="84"/>
        <v>OK</v>
      </c>
    </row>
    <row r="1042" spans="1:15">
      <c r="A1042" t="str">
        <f>'Raw Data'!A1042</f>
        <v>Indianapolis RM-15</v>
      </c>
      <c r="B1042" t="str">
        <f>'Raw Data'!B1042</f>
        <v>Midwest</v>
      </c>
      <c r="C1042" t="str">
        <f>'Raw Data'!C1042</f>
        <v>Apparel</v>
      </c>
      <c r="D1042" s="3">
        <f>'Raw Data'!D1042</f>
        <v>45809</v>
      </c>
      <c r="E1042" t="str">
        <f t="shared" si="80"/>
        <v>Jun</v>
      </c>
      <c r="F1042" s="5">
        <f>'Raw Data'!E1042</f>
        <v>142</v>
      </c>
      <c r="G1042" s="4">
        <f>'Raw Data'!F1042</f>
        <v>6808.05</v>
      </c>
      <c r="H1042" s="4">
        <f>'Raw Data'!G1042</f>
        <v>4224.1099999999997</v>
      </c>
      <c r="I1042" s="4">
        <f t="shared" si="81"/>
        <v>2583.9400000000005</v>
      </c>
      <c r="J1042" s="8">
        <f t="shared" si="82"/>
        <v>0.37954186587936345</v>
      </c>
      <c r="K1042" s="6">
        <f>'Raw Data'!I1042</f>
        <v>4.08</v>
      </c>
      <c r="L1042" s="5">
        <f>'Raw Data'!J1042</f>
        <v>26</v>
      </c>
      <c r="M1042" s="5">
        <f>IF(COUNTIFS($A$2:A1042,A1042,$D$2:D1042,D1042)=1,L1042,0)</f>
        <v>0</v>
      </c>
      <c r="N1042" s="4">
        <f t="shared" si="83"/>
        <v>261.84807692307692</v>
      </c>
      <c r="O1042" t="str">
        <f t="shared" si="84"/>
        <v>OK</v>
      </c>
    </row>
    <row r="1043" spans="1:15">
      <c r="A1043" t="str">
        <f>'Raw Data'!A1043</f>
        <v>Indianapolis RM-15</v>
      </c>
      <c r="B1043" t="str">
        <f>'Raw Data'!B1043</f>
        <v>Midwest</v>
      </c>
      <c r="C1043" t="str">
        <f>'Raw Data'!C1043</f>
        <v>Beauty</v>
      </c>
      <c r="D1043" s="3">
        <f>'Raw Data'!D1043</f>
        <v>45809</v>
      </c>
      <c r="E1043" t="str">
        <f t="shared" si="80"/>
        <v>Jun</v>
      </c>
      <c r="F1043" s="5">
        <f>'Raw Data'!E1043</f>
        <v>112</v>
      </c>
      <c r="G1043" s="4">
        <f>'Raw Data'!F1043</f>
        <v>3999.73</v>
      </c>
      <c r="H1043" s="4">
        <f>'Raw Data'!G1043</f>
        <v>1983.02</v>
      </c>
      <c r="I1043" s="4">
        <f t="shared" si="81"/>
        <v>2016.71</v>
      </c>
      <c r="J1043" s="8">
        <f t="shared" si="82"/>
        <v>0.5042115342785638</v>
      </c>
      <c r="K1043" s="6">
        <f>'Raw Data'!I1043</f>
        <v>3.91</v>
      </c>
      <c r="L1043" s="5">
        <f>'Raw Data'!J1043</f>
        <v>26</v>
      </c>
      <c r="M1043" s="5">
        <f>IF(COUNTIFS($A$2:A1043,A1043,$D$2:D1043,D1043)=1,L1043,0)</f>
        <v>0</v>
      </c>
      <c r="N1043" s="4">
        <f t="shared" si="83"/>
        <v>153.83576923076924</v>
      </c>
      <c r="O1043" t="str">
        <f t="shared" si="84"/>
        <v>OK</v>
      </c>
    </row>
    <row r="1044" spans="1:15">
      <c r="A1044" t="str">
        <f>'Raw Data'!A1044</f>
        <v>Indianapolis RM-15</v>
      </c>
      <c r="B1044" t="str">
        <f>'Raw Data'!B1044</f>
        <v>Midwest</v>
      </c>
      <c r="C1044" t="str">
        <f>'Raw Data'!C1044</f>
        <v>Grocery</v>
      </c>
      <c r="D1044" s="3">
        <f>'Raw Data'!D1044</f>
        <v>45809</v>
      </c>
      <c r="E1044" t="str">
        <f t="shared" si="80"/>
        <v>Jun</v>
      </c>
      <c r="F1044" s="5">
        <f>'Raw Data'!E1044</f>
        <v>207</v>
      </c>
      <c r="G1044" s="4">
        <f>'Raw Data'!F1044</f>
        <v>3578.65</v>
      </c>
      <c r="H1044" s="4">
        <f>'Raw Data'!G1044</f>
        <v>3210.94</v>
      </c>
      <c r="I1044" s="4">
        <f t="shared" si="81"/>
        <v>367.71000000000004</v>
      </c>
      <c r="J1044" s="8">
        <f t="shared" si="82"/>
        <v>0.10275103740237242</v>
      </c>
      <c r="K1044" s="6">
        <f>'Raw Data'!I1044</f>
        <v>4.01</v>
      </c>
      <c r="L1044" s="5">
        <f>'Raw Data'!J1044</f>
        <v>26</v>
      </c>
      <c r="M1044" s="5">
        <f>IF(COUNTIFS($A$2:A1044,A1044,$D$2:D1044,D1044)=1,L1044,0)</f>
        <v>0</v>
      </c>
      <c r="N1044" s="4">
        <f t="shared" si="83"/>
        <v>137.64038461538462</v>
      </c>
      <c r="O1044" t="str">
        <f t="shared" si="84"/>
        <v>OK</v>
      </c>
    </row>
    <row r="1045" spans="1:15">
      <c r="A1045" t="str">
        <f>'Raw Data'!A1045</f>
        <v>Indianapolis RM-15</v>
      </c>
      <c r="B1045" t="str">
        <f>'Raw Data'!B1045</f>
        <v>Midwest</v>
      </c>
      <c r="C1045" t="str">
        <f>'Raw Data'!C1045</f>
        <v>Sports</v>
      </c>
      <c r="D1045" s="3">
        <f>'Raw Data'!D1045</f>
        <v>45809</v>
      </c>
      <c r="E1045" t="str">
        <f t="shared" si="80"/>
        <v>Jun</v>
      </c>
      <c r="F1045" s="5">
        <f>'Raw Data'!E1045</f>
        <v>115</v>
      </c>
      <c r="G1045" s="4">
        <f>'Raw Data'!F1045</f>
        <v>7244.41</v>
      </c>
      <c r="H1045" s="4">
        <f>'Raw Data'!G1045</f>
        <v>4618.91</v>
      </c>
      <c r="I1045" s="4">
        <f t="shared" si="81"/>
        <v>2625.5</v>
      </c>
      <c r="J1045" s="8">
        <f t="shared" si="82"/>
        <v>0.36241736732183849</v>
      </c>
      <c r="K1045" s="6">
        <f>'Raw Data'!I1045</f>
        <v>4.22</v>
      </c>
      <c r="L1045" s="5">
        <f>'Raw Data'!J1045</f>
        <v>26</v>
      </c>
      <c r="M1045" s="5">
        <f>IF(COUNTIFS($A$2:A1045,A1045,$D$2:D1045,D1045)=1,L1045,0)</f>
        <v>0</v>
      </c>
      <c r="N1045" s="4">
        <f t="shared" si="83"/>
        <v>278.63115384615384</v>
      </c>
      <c r="O1045" t="str">
        <f t="shared" si="84"/>
        <v>OK</v>
      </c>
    </row>
    <row r="1046" spans="1:15">
      <c r="A1046" t="str">
        <f>'Raw Data'!A1046</f>
        <v>Indianapolis RM-15</v>
      </c>
      <c r="B1046" t="str">
        <f>'Raw Data'!B1046</f>
        <v>Midwest</v>
      </c>
      <c r="C1046" t="str">
        <f>'Raw Data'!C1046</f>
        <v>Electronics</v>
      </c>
      <c r="D1046" s="3">
        <f>'Raw Data'!D1046</f>
        <v>45839</v>
      </c>
      <c r="E1046" t="str">
        <f t="shared" si="80"/>
        <v>Jul</v>
      </c>
      <c r="F1046" s="5">
        <f>'Raw Data'!E1046</f>
        <v>130</v>
      </c>
      <c r="G1046" s="4">
        <f>'Raw Data'!F1046</f>
        <v>18040.86</v>
      </c>
      <c r="H1046" s="4">
        <f>'Raw Data'!G1046</f>
        <v>14408.25</v>
      </c>
      <c r="I1046" s="4">
        <f t="shared" si="81"/>
        <v>3632.6100000000006</v>
      </c>
      <c r="J1046" s="8">
        <f t="shared" si="82"/>
        <v>0.20135459174340917</v>
      </c>
      <c r="K1046" s="6">
        <f>'Raw Data'!I1046</f>
        <v>3.99</v>
      </c>
      <c r="L1046" s="5">
        <f>'Raw Data'!J1046</f>
        <v>27</v>
      </c>
      <c r="M1046" s="5">
        <f>IF(COUNTIFS($A$2:A1046,A1046,$D$2:D1046,D1046)=1,L1046,0)</f>
        <v>27</v>
      </c>
      <c r="N1046" s="4">
        <f t="shared" si="83"/>
        <v>668.18000000000006</v>
      </c>
      <c r="O1046" t="str">
        <f t="shared" si="84"/>
        <v>OK</v>
      </c>
    </row>
    <row r="1047" spans="1:15">
      <c r="A1047" t="str">
        <f>'Raw Data'!A1047</f>
        <v>Indianapolis RM-15</v>
      </c>
      <c r="B1047" t="str">
        <f>'Raw Data'!B1047</f>
        <v>Midwest</v>
      </c>
      <c r="C1047" t="str">
        <f>'Raw Data'!C1047</f>
        <v>Home Goods</v>
      </c>
      <c r="D1047" s="3">
        <f>'Raw Data'!D1047</f>
        <v>45839</v>
      </c>
      <c r="E1047" t="str">
        <f t="shared" si="80"/>
        <v>Jul</v>
      </c>
      <c r="F1047" s="5">
        <f>'Raw Data'!E1047</f>
        <v>96</v>
      </c>
      <c r="G1047" s="4">
        <f>'Raw Data'!F1047</f>
        <v>7646</v>
      </c>
      <c r="H1047" s="4">
        <f>'Raw Data'!G1047</f>
        <v>5151.01</v>
      </c>
      <c r="I1047" s="4">
        <f t="shared" si="81"/>
        <v>2494.9899999999998</v>
      </c>
      <c r="J1047" s="8">
        <f t="shared" si="82"/>
        <v>0.32631310489144649</v>
      </c>
      <c r="K1047" s="6">
        <f>'Raw Data'!I1047</f>
        <v>4.16</v>
      </c>
      <c r="L1047" s="5">
        <f>'Raw Data'!J1047</f>
        <v>27</v>
      </c>
      <c r="M1047" s="5">
        <f>IF(COUNTIFS($A$2:A1047,A1047,$D$2:D1047,D1047)=1,L1047,0)</f>
        <v>0</v>
      </c>
      <c r="N1047" s="4">
        <f t="shared" si="83"/>
        <v>283.18518518518516</v>
      </c>
      <c r="O1047" t="str">
        <f t="shared" si="84"/>
        <v>OK</v>
      </c>
    </row>
    <row r="1048" spans="1:15">
      <c r="A1048" t="str">
        <f>'Raw Data'!A1048</f>
        <v>Indianapolis RM-15</v>
      </c>
      <c r="B1048" t="str">
        <f>'Raw Data'!B1048</f>
        <v>Midwest</v>
      </c>
      <c r="C1048" t="str">
        <f>'Raw Data'!C1048</f>
        <v>Apparel</v>
      </c>
      <c r="D1048" s="3">
        <f>'Raw Data'!D1048</f>
        <v>45839</v>
      </c>
      <c r="E1048" t="str">
        <f t="shared" si="80"/>
        <v>Jul</v>
      </c>
      <c r="F1048" s="5">
        <f>'Raw Data'!E1048</f>
        <v>153</v>
      </c>
      <c r="G1048" s="4">
        <f>'Raw Data'!F1048</f>
        <v>7696.07</v>
      </c>
      <c r="H1048" s="4">
        <f>'Raw Data'!G1048</f>
        <v>4746.79</v>
      </c>
      <c r="I1048" s="4">
        <f t="shared" si="81"/>
        <v>2949.2799999999997</v>
      </c>
      <c r="J1048" s="8">
        <f t="shared" si="82"/>
        <v>0.38321896760294538</v>
      </c>
      <c r="K1048" s="6">
        <f>'Raw Data'!I1048</f>
        <v>4.25</v>
      </c>
      <c r="L1048" s="5">
        <f>'Raw Data'!J1048</f>
        <v>27</v>
      </c>
      <c r="M1048" s="5">
        <f>IF(COUNTIFS($A$2:A1048,A1048,$D$2:D1048,D1048)=1,L1048,0)</f>
        <v>0</v>
      </c>
      <c r="N1048" s="4">
        <f t="shared" si="83"/>
        <v>285.03962962962964</v>
      </c>
      <c r="O1048" t="str">
        <f t="shared" si="84"/>
        <v>OK</v>
      </c>
    </row>
    <row r="1049" spans="1:15">
      <c r="A1049" t="str">
        <f>'Raw Data'!A1049</f>
        <v>Indianapolis RM-15</v>
      </c>
      <c r="B1049" t="str">
        <f>'Raw Data'!B1049</f>
        <v>Midwest</v>
      </c>
      <c r="C1049" t="str">
        <f>'Raw Data'!C1049</f>
        <v>Beauty</v>
      </c>
      <c r="D1049" s="3">
        <f>'Raw Data'!D1049</f>
        <v>45839</v>
      </c>
      <c r="E1049" t="str">
        <f t="shared" si="80"/>
        <v>Jul</v>
      </c>
      <c r="F1049" s="5">
        <f>'Raw Data'!E1049</f>
        <v>119</v>
      </c>
      <c r="G1049" s="4">
        <f>'Raw Data'!F1049</f>
        <v>4310.54</v>
      </c>
      <c r="H1049" s="4">
        <f>'Raw Data'!G1049</f>
        <v>2161.3000000000002</v>
      </c>
      <c r="I1049" s="4">
        <f t="shared" si="81"/>
        <v>2149.2399999999998</v>
      </c>
      <c r="J1049" s="8">
        <f t="shared" si="82"/>
        <v>0.49860110334204061</v>
      </c>
      <c r="K1049" s="6">
        <f>'Raw Data'!I1049</f>
        <v>4.01</v>
      </c>
      <c r="L1049" s="5">
        <f>'Raw Data'!J1049</f>
        <v>27</v>
      </c>
      <c r="M1049" s="5">
        <f>IF(COUNTIFS($A$2:A1049,A1049,$D$2:D1049,D1049)=1,L1049,0)</f>
        <v>0</v>
      </c>
      <c r="N1049" s="4">
        <f t="shared" si="83"/>
        <v>159.64962962962963</v>
      </c>
      <c r="O1049" t="str">
        <f t="shared" si="84"/>
        <v>OK</v>
      </c>
    </row>
    <row r="1050" spans="1:15">
      <c r="A1050" t="str">
        <f>'Raw Data'!A1050</f>
        <v>Indianapolis RM-15</v>
      </c>
      <c r="B1050" t="str">
        <f>'Raw Data'!B1050</f>
        <v>Midwest</v>
      </c>
      <c r="C1050" t="str">
        <f>'Raw Data'!C1050</f>
        <v>Grocery</v>
      </c>
      <c r="D1050" s="3">
        <f>'Raw Data'!D1050</f>
        <v>45839</v>
      </c>
      <c r="E1050" t="str">
        <f t="shared" si="80"/>
        <v>Jul</v>
      </c>
      <c r="F1050" s="5">
        <f>'Raw Data'!E1050</f>
        <v>183</v>
      </c>
      <c r="G1050" s="4">
        <f>'Raw Data'!F1050</f>
        <v>3115.81</v>
      </c>
      <c r="H1050" s="4">
        <f>'Raw Data'!G1050</f>
        <v>2928.99</v>
      </c>
      <c r="I1050" s="4">
        <f t="shared" si="81"/>
        <v>186.82000000000016</v>
      </c>
      <c r="J1050" s="8">
        <f t="shared" si="82"/>
        <v>5.9958726623253716E-2</v>
      </c>
      <c r="K1050" s="6">
        <f>'Raw Data'!I1050</f>
        <v>4.0599999999999996</v>
      </c>
      <c r="L1050" s="5">
        <f>'Raw Data'!J1050</f>
        <v>27</v>
      </c>
      <c r="M1050" s="5">
        <f>IF(COUNTIFS($A$2:A1050,A1050,$D$2:D1050,D1050)=1,L1050,0)</f>
        <v>0</v>
      </c>
      <c r="N1050" s="4">
        <f t="shared" si="83"/>
        <v>115.40037037037037</v>
      </c>
      <c r="O1050" t="str">
        <f t="shared" si="84"/>
        <v>OK</v>
      </c>
    </row>
    <row r="1051" spans="1:15">
      <c r="A1051" t="str">
        <f>'Raw Data'!A1051</f>
        <v>Indianapolis RM-15</v>
      </c>
      <c r="B1051" t="str">
        <f>'Raw Data'!B1051</f>
        <v>Midwest</v>
      </c>
      <c r="C1051" t="str">
        <f>'Raw Data'!C1051</f>
        <v>Sports</v>
      </c>
      <c r="D1051" s="3">
        <f>'Raw Data'!D1051</f>
        <v>45839</v>
      </c>
      <c r="E1051" t="str">
        <f t="shared" si="80"/>
        <v>Jul</v>
      </c>
      <c r="F1051" s="5">
        <f>'Raw Data'!E1051</f>
        <v>124</v>
      </c>
      <c r="G1051" s="4">
        <f>'Raw Data'!F1051</f>
        <v>7499.37</v>
      </c>
      <c r="H1051" s="4">
        <f>'Raw Data'!G1051</f>
        <v>4960.47</v>
      </c>
      <c r="I1051" s="4">
        <f t="shared" si="81"/>
        <v>2538.8999999999996</v>
      </c>
      <c r="J1051" s="8">
        <f t="shared" si="82"/>
        <v>0.33854843806879775</v>
      </c>
      <c r="K1051" s="6">
        <f>'Raw Data'!I1051</f>
        <v>3.97</v>
      </c>
      <c r="L1051" s="5">
        <f>'Raw Data'!J1051</f>
        <v>27</v>
      </c>
      <c r="M1051" s="5">
        <f>IF(COUNTIFS($A$2:A1051,A1051,$D$2:D1051,D1051)=1,L1051,0)</f>
        <v>0</v>
      </c>
      <c r="N1051" s="4">
        <f t="shared" si="83"/>
        <v>277.75444444444446</v>
      </c>
      <c r="O1051" t="str">
        <f t="shared" si="84"/>
        <v>OK</v>
      </c>
    </row>
    <row r="1052" spans="1:15">
      <c r="A1052" t="str">
        <f>'Raw Data'!A1052</f>
        <v>Indianapolis RM-15</v>
      </c>
      <c r="B1052" t="str">
        <f>'Raw Data'!B1052</f>
        <v>Midwest</v>
      </c>
      <c r="C1052" t="str">
        <f>'Raw Data'!C1052</f>
        <v>Electronics</v>
      </c>
      <c r="D1052" s="3">
        <f>'Raw Data'!D1052</f>
        <v>45870</v>
      </c>
      <c r="E1052" t="str">
        <f t="shared" si="80"/>
        <v>Aug</v>
      </c>
      <c r="F1052" s="5">
        <f>'Raw Data'!E1052</f>
        <v>121</v>
      </c>
      <c r="G1052" s="4">
        <f>'Raw Data'!F1052</f>
        <v>16769.689999999999</v>
      </c>
      <c r="H1052" s="4">
        <f>'Raw Data'!G1052</f>
        <v>13387.51</v>
      </c>
      <c r="I1052" s="4">
        <f t="shared" si="81"/>
        <v>3382.1799999999985</v>
      </c>
      <c r="J1052" s="8">
        <f t="shared" si="82"/>
        <v>0.20168410984341384</v>
      </c>
      <c r="K1052" s="6">
        <f>'Raw Data'!I1052</f>
        <v>4.0199999999999996</v>
      </c>
      <c r="L1052" s="5">
        <f>'Raw Data'!J1052</f>
        <v>26</v>
      </c>
      <c r="M1052" s="5">
        <f>IF(COUNTIFS($A$2:A1052,A1052,$D$2:D1052,D1052)=1,L1052,0)</f>
        <v>26</v>
      </c>
      <c r="N1052" s="4">
        <f t="shared" si="83"/>
        <v>644.98807692307685</v>
      </c>
      <c r="O1052" t="str">
        <f t="shared" si="84"/>
        <v>OK</v>
      </c>
    </row>
    <row r="1053" spans="1:15">
      <c r="A1053" t="str">
        <f>'Raw Data'!A1053</f>
        <v>Indianapolis RM-15</v>
      </c>
      <c r="B1053" t="str">
        <f>'Raw Data'!B1053</f>
        <v>Midwest</v>
      </c>
      <c r="C1053" t="str">
        <f>'Raw Data'!C1053</f>
        <v>Home Goods</v>
      </c>
      <c r="D1053" s="3">
        <f>'Raw Data'!D1053</f>
        <v>45870</v>
      </c>
      <c r="E1053" t="str">
        <f t="shared" si="80"/>
        <v>Aug</v>
      </c>
      <c r="F1053" s="5">
        <f>'Raw Data'!E1053</f>
        <v>101</v>
      </c>
      <c r="G1053" s="4">
        <f>'Raw Data'!F1053</f>
        <v>7395.29</v>
      </c>
      <c r="H1053" s="4">
        <f>'Raw Data'!G1053</f>
        <v>4975.83</v>
      </c>
      <c r="I1053" s="4">
        <f t="shared" si="81"/>
        <v>2419.46</v>
      </c>
      <c r="J1053" s="8">
        <f t="shared" si="82"/>
        <v>0.32716228842952744</v>
      </c>
      <c r="K1053" s="6">
        <f>'Raw Data'!I1053</f>
        <v>3.94</v>
      </c>
      <c r="L1053" s="5">
        <f>'Raw Data'!J1053</f>
        <v>26</v>
      </c>
      <c r="M1053" s="5">
        <f>IF(COUNTIFS($A$2:A1053,A1053,$D$2:D1053,D1053)=1,L1053,0)</f>
        <v>0</v>
      </c>
      <c r="N1053" s="4">
        <f t="shared" si="83"/>
        <v>284.43423076923079</v>
      </c>
      <c r="O1053" t="str">
        <f t="shared" si="84"/>
        <v>OK</v>
      </c>
    </row>
    <row r="1054" spans="1:15">
      <c r="A1054" t="str">
        <f>'Raw Data'!A1054</f>
        <v>Indianapolis RM-15</v>
      </c>
      <c r="B1054" t="str">
        <f>'Raw Data'!B1054</f>
        <v>Midwest</v>
      </c>
      <c r="C1054" t="str">
        <f>'Raw Data'!C1054</f>
        <v>Apparel</v>
      </c>
      <c r="D1054" s="3">
        <f>'Raw Data'!D1054</f>
        <v>45870</v>
      </c>
      <c r="E1054" t="str">
        <f t="shared" si="80"/>
        <v>Aug</v>
      </c>
      <c r="F1054" s="5">
        <f>'Raw Data'!E1054</f>
        <v>158</v>
      </c>
      <c r="G1054" s="4">
        <f>'Raw Data'!F1054</f>
        <v>7173.55</v>
      </c>
      <c r="H1054" s="4">
        <f>'Raw Data'!G1054</f>
        <v>4537.84</v>
      </c>
      <c r="I1054" s="4">
        <f t="shared" si="81"/>
        <v>2635.71</v>
      </c>
      <c r="J1054" s="8">
        <f t="shared" si="82"/>
        <v>0.36742059370883312</v>
      </c>
      <c r="K1054" s="6">
        <f>'Raw Data'!I1054</f>
        <v>4.07</v>
      </c>
      <c r="L1054" s="5">
        <f>'Raw Data'!J1054</f>
        <v>26</v>
      </c>
      <c r="M1054" s="5">
        <f>IF(COUNTIFS($A$2:A1054,A1054,$D$2:D1054,D1054)=1,L1054,0)</f>
        <v>0</v>
      </c>
      <c r="N1054" s="4">
        <f t="shared" si="83"/>
        <v>275.90576923076924</v>
      </c>
      <c r="O1054" t="str">
        <f t="shared" si="84"/>
        <v>OK</v>
      </c>
    </row>
    <row r="1055" spans="1:15">
      <c r="A1055" t="str">
        <f>'Raw Data'!A1055</f>
        <v>Indianapolis RM-15</v>
      </c>
      <c r="B1055" t="str">
        <f>'Raw Data'!B1055</f>
        <v>Midwest</v>
      </c>
      <c r="C1055" t="str">
        <f>'Raw Data'!C1055</f>
        <v>Beauty</v>
      </c>
      <c r="D1055" s="3">
        <f>'Raw Data'!D1055</f>
        <v>45870</v>
      </c>
      <c r="E1055" t="str">
        <f t="shared" si="80"/>
        <v>Aug</v>
      </c>
      <c r="F1055" s="5">
        <f>'Raw Data'!E1055</f>
        <v>110</v>
      </c>
      <c r="G1055" s="4">
        <f>'Raw Data'!F1055</f>
        <v>4052.94</v>
      </c>
      <c r="H1055" s="4">
        <f>'Raw Data'!G1055</f>
        <v>2018.88</v>
      </c>
      <c r="I1055" s="4">
        <f t="shared" si="81"/>
        <v>2034.06</v>
      </c>
      <c r="J1055" s="8">
        <f t="shared" si="82"/>
        <v>0.50187271462197813</v>
      </c>
      <c r="K1055" s="6">
        <f>'Raw Data'!I1055</f>
        <v>3.93</v>
      </c>
      <c r="L1055" s="5">
        <f>'Raw Data'!J1055</f>
        <v>26</v>
      </c>
      <c r="M1055" s="5">
        <f>IF(COUNTIFS($A$2:A1055,A1055,$D$2:D1055,D1055)=1,L1055,0)</f>
        <v>0</v>
      </c>
      <c r="N1055" s="4">
        <f t="shared" si="83"/>
        <v>155.88230769230771</v>
      </c>
      <c r="O1055" t="str">
        <f t="shared" si="84"/>
        <v>OK</v>
      </c>
    </row>
    <row r="1056" spans="1:15">
      <c r="A1056" t="str">
        <f>'Raw Data'!A1056</f>
        <v>Indianapolis RM-15</v>
      </c>
      <c r="B1056" t="str">
        <f>'Raw Data'!B1056</f>
        <v>Midwest</v>
      </c>
      <c r="C1056" t="str">
        <f>'Raw Data'!C1056</f>
        <v>Grocery</v>
      </c>
      <c r="D1056" s="3">
        <f>'Raw Data'!D1056</f>
        <v>45870</v>
      </c>
      <c r="E1056" t="str">
        <f t="shared" si="80"/>
        <v>Aug</v>
      </c>
      <c r="F1056" s="5">
        <f>'Raw Data'!E1056</f>
        <v>187</v>
      </c>
      <c r="G1056" s="4">
        <f>'Raw Data'!F1056</f>
        <v>3455.57</v>
      </c>
      <c r="H1056" s="4">
        <f>'Raw Data'!G1056</f>
        <v>3268.4</v>
      </c>
      <c r="I1056" s="4">
        <f t="shared" si="81"/>
        <v>187.17000000000007</v>
      </c>
      <c r="J1056" s="8">
        <f t="shared" si="82"/>
        <v>5.4164725356453509E-2</v>
      </c>
      <c r="K1056" s="6">
        <f>'Raw Data'!I1056</f>
        <v>4.2300000000000004</v>
      </c>
      <c r="L1056" s="5">
        <f>'Raw Data'!J1056</f>
        <v>26</v>
      </c>
      <c r="M1056" s="5">
        <f>IF(COUNTIFS($A$2:A1056,A1056,$D$2:D1056,D1056)=1,L1056,0)</f>
        <v>0</v>
      </c>
      <c r="N1056" s="4">
        <f t="shared" si="83"/>
        <v>132.90653846153847</v>
      </c>
      <c r="O1056" t="str">
        <f t="shared" si="84"/>
        <v>OK</v>
      </c>
    </row>
    <row r="1057" spans="1:15">
      <c r="A1057" t="str">
        <f>'Raw Data'!A1057</f>
        <v>Indianapolis RM-15</v>
      </c>
      <c r="B1057" t="str">
        <f>'Raw Data'!B1057</f>
        <v>Midwest</v>
      </c>
      <c r="C1057" t="str">
        <f>'Raw Data'!C1057</f>
        <v>Sports</v>
      </c>
      <c r="D1057" s="3">
        <f>'Raw Data'!D1057</f>
        <v>45870</v>
      </c>
      <c r="E1057" t="str">
        <f t="shared" si="80"/>
        <v>Aug</v>
      </c>
      <c r="F1057" s="5">
        <f>'Raw Data'!E1057</f>
        <v>110</v>
      </c>
      <c r="G1057" s="4">
        <f>'Raw Data'!F1057</f>
        <v>7007.68</v>
      </c>
      <c r="H1057" s="4">
        <f>'Raw Data'!G1057</f>
        <v>4516.55</v>
      </c>
      <c r="I1057" s="4">
        <f t="shared" si="81"/>
        <v>2491.13</v>
      </c>
      <c r="J1057" s="8">
        <f t="shared" si="82"/>
        <v>0.35548569569386729</v>
      </c>
      <c r="K1057" s="6">
        <f>'Raw Data'!I1057</f>
        <v>4.13</v>
      </c>
      <c r="L1057" s="5">
        <f>'Raw Data'!J1057</f>
        <v>26</v>
      </c>
      <c r="M1057" s="5">
        <f>IF(COUNTIFS($A$2:A1057,A1057,$D$2:D1057,D1057)=1,L1057,0)</f>
        <v>0</v>
      </c>
      <c r="N1057" s="4">
        <f t="shared" si="83"/>
        <v>269.52615384615387</v>
      </c>
      <c r="O1057" t="str">
        <f t="shared" si="84"/>
        <v>OK</v>
      </c>
    </row>
    <row r="1058" spans="1:15">
      <c r="A1058" t="str">
        <f>'Raw Data'!A1058</f>
        <v>Indianapolis RM-15</v>
      </c>
      <c r="B1058" t="str">
        <f>'Raw Data'!B1058</f>
        <v>Midwest</v>
      </c>
      <c r="C1058" t="str">
        <f>'Raw Data'!C1058</f>
        <v>Electronics</v>
      </c>
      <c r="D1058" s="3">
        <f>'Raw Data'!D1058</f>
        <v>45901</v>
      </c>
      <c r="E1058" t="str">
        <f t="shared" si="80"/>
        <v>Sep</v>
      </c>
      <c r="F1058" s="5">
        <f>'Raw Data'!E1058</f>
        <v>116</v>
      </c>
      <c r="G1058" s="4">
        <f>'Raw Data'!F1058</f>
        <v>18122.45</v>
      </c>
      <c r="H1058" s="4">
        <f>'Raw Data'!G1058</f>
        <v>14712.1</v>
      </c>
      <c r="I1058" s="4">
        <f t="shared" si="81"/>
        <v>3410.3500000000004</v>
      </c>
      <c r="J1058" s="8">
        <f t="shared" si="82"/>
        <v>0.18818371688154747</v>
      </c>
      <c r="K1058" s="6">
        <f>'Raw Data'!I1058</f>
        <v>4.17</v>
      </c>
      <c r="L1058" s="5">
        <f>'Raw Data'!J1058</f>
        <v>25</v>
      </c>
      <c r="M1058" s="5">
        <f>IF(COUNTIFS($A$2:A1058,A1058,$D$2:D1058,D1058)=1,L1058,0)</f>
        <v>25</v>
      </c>
      <c r="N1058" s="4">
        <f t="shared" si="83"/>
        <v>724.89800000000002</v>
      </c>
      <c r="O1058" t="str">
        <f t="shared" si="84"/>
        <v>OK</v>
      </c>
    </row>
    <row r="1059" spans="1:15">
      <c r="A1059" t="str">
        <f>'Raw Data'!A1059</f>
        <v>Indianapolis RM-15</v>
      </c>
      <c r="B1059" t="str">
        <f>'Raw Data'!B1059</f>
        <v>Midwest</v>
      </c>
      <c r="C1059" t="str">
        <f>'Raw Data'!C1059</f>
        <v>Home Goods</v>
      </c>
      <c r="D1059" s="3">
        <f>'Raw Data'!D1059</f>
        <v>45901</v>
      </c>
      <c r="E1059" t="str">
        <f t="shared" si="80"/>
        <v>Sep</v>
      </c>
      <c r="F1059" s="5">
        <f>'Raw Data'!E1059</f>
        <v>105</v>
      </c>
      <c r="G1059" s="4">
        <f>'Raw Data'!F1059</f>
        <v>8401.1299999999992</v>
      </c>
      <c r="H1059" s="4">
        <f>'Raw Data'!G1059</f>
        <v>5758.73</v>
      </c>
      <c r="I1059" s="4">
        <f t="shared" si="81"/>
        <v>2642.3999999999996</v>
      </c>
      <c r="J1059" s="8">
        <f t="shared" si="82"/>
        <v>0.31452911691641477</v>
      </c>
      <c r="K1059" s="6">
        <f>'Raw Data'!I1059</f>
        <v>3.97</v>
      </c>
      <c r="L1059" s="5">
        <f>'Raw Data'!J1059</f>
        <v>25</v>
      </c>
      <c r="M1059" s="5">
        <f>IF(COUNTIFS($A$2:A1059,A1059,$D$2:D1059,D1059)=1,L1059,0)</f>
        <v>0</v>
      </c>
      <c r="N1059" s="4">
        <f t="shared" si="83"/>
        <v>336.04519999999997</v>
      </c>
      <c r="O1059" t="str">
        <f t="shared" si="84"/>
        <v>OK</v>
      </c>
    </row>
    <row r="1060" spans="1:15">
      <c r="A1060" t="str">
        <f>'Raw Data'!A1060</f>
        <v>Indianapolis RM-15</v>
      </c>
      <c r="B1060" t="str">
        <f>'Raw Data'!B1060</f>
        <v>Midwest</v>
      </c>
      <c r="C1060" t="str">
        <f>'Raw Data'!C1060</f>
        <v>Apparel</v>
      </c>
      <c r="D1060" s="3">
        <f>'Raw Data'!D1060</f>
        <v>45901</v>
      </c>
      <c r="E1060" t="str">
        <f t="shared" si="80"/>
        <v>Sep</v>
      </c>
      <c r="F1060" s="5">
        <f>'Raw Data'!E1060</f>
        <v>124</v>
      </c>
      <c r="G1060" s="4">
        <f>'Raw Data'!F1060</f>
        <v>5707.15</v>
      </c>
      <c r="H1060" s="4">
        <f>'Raw Data'!G1060</f>
        <v>3669.82</v>
      </c>
      <c r="I1060" s="4">
        <f t="shared" si="81"/>
        <v>2037.3299999999995</v>
      </c>
      <c r="J1060" s="8">
        <f t="shared" si="82"/>
        <v>0.35697852693551063</v>
      </c>
      <c r="K1060" s="6">
        <f>'Raw Data'!I1060</f>
        <v>4.07</v>
      </c>
      <c r="L1060" s="5">
        <f>'Raw Data'!J1060</f>
        <v>25</v>
      </c>
      <c r="M1060" s="5">
        <f>IF(COUNTIFS($A$2:A1060,A1060,$D$2:D1060,D1060)=1,L1060,0)</f>
        <v>0</v>
      </c>
      <c r="N1060" s="4">
        <f t="shared" si="83"/>
        <v>228.28599999999997</v>
      </c>
      <c r="O1060" t="str">
        <f t="shared" si="84"/>
        <v>OK</v>
      </c>
    </row>
    <row r="1061" spans="1:15">
      <c r="A1061" t="str">
        <f>'Raw Data'!A1061</f>
        <v>Indianapolis RM-15</v>
      </c>
      <c r="B1061" t="str">
        <f>'Raw Data'!B1061</f>
        <v>Midwest</v>
      </c>
      <c r="C1061" t="str">
        <f>'Raw Data'!C1061</f>
        <v>Beauty</v>
      </c>
      <c r="D1061" s="3">
        <f>'Raw Data'!D1061</f>
        <v>45901</v>
      </c>
      <c r="E1061" t="str">
        <f t="shared" si="80"/>
        <v>Sep</v>
      </c>
      <c r="F1061" s="5">
        <f>'Raw Data'!E1061</f>
        <v>99</v>
      </c>
      <c r="G1061" s="4">
        <f>'Raw Data'!F1061</f>
        <v>3568.46</v>
      </c>
      <c r="H1061" s="4">
        <f>'Raw Data'!G1061</f>
        <v>1790.45</v>
      </c>
      <c r="I1061" s="4">
        <f t="shared" si="81"/>
        <v>1778.01</v>
      </c>
      <c r="J1061" s="8">
        <f t="shared" si="82"/>
        <v>0.49825695117781899</v>
      </c>
      <c r="K1061" s="6">
        <f>'Raw Data'!I1061</f>
        <v>4.1500000000000004</v>
      </c>
      <c r="L1061" s="5">
        <f>'Raw Data'!J1061</f>
        <v>25</v>
      </c>
      <c r="M1061" s="5">
        <f>IF(COUNTIFS($A$2:A1061,A1061,$D$2:D1061,D1061)=1,L1061,0)</f>
        <v>0</v>
      </c>
      <c r="N1061" s="4">
        <f t="shared" si="83"/>
        <v>142.73840000000001</v>
      </c>
      <c r="O1061" t="str">
        <f t="shared" si="84"/>
        <v>OK</v>
      </c>
    </row>
    <row r="1062" spans="1:15">
      <c r="A1062" t="str">
        <f>'Raw Data'!A1062</f>
        <v>Indianapolis RM-15</v>
      </c>
      <c r="B1062" t="str">
        <f>'Raw Data'!B1062</f>
        <v>Midwest</v>
      </c>
      <c r="C1062" t="str">
        <f>'Raw Data'!C1062</f>
        <v>Grocery</v>
      </c>
      <c r="D1062" s="3">
        <f>'Raw Data'!D1062</f>
        <v>45901</v>
      </c>
      <c r="E1062" t="str">
        <f t="shared" si="80"/>
        <v>Sep</v>
      </c>
      <c r="F1062" s="5">
        <f>'Raw Data'!E1062</f>
        <v>179</v>
      </c>
      <c r="G1062" s="4">
        <f>'Raw Data'!F1062</f>
        <v>3185.5</v>
      </c>
      <c r="H1062" s="4">
        <f>'Raw Data'!G1062</f>
        <v>2997.37</v>
      </c>
      <c r="I1062" s="4">
        <f t="shared" si="81"/>
        <v>188.13000000000011</v>
      </c>
      <c r="J1062" s="8">
        <f t="shared" si="82"/>
        <v>5.9058232616543749E-2</v>
      </c>
      <c r="K1062" s="6">
        <f>'Raw Data'!I1062</f>
        <v>3.97</v>
      </c>
      <c r="L1062" s="5">
        <f>'Raw Data'!J1062</f>
        <v>25</v>
      </c>
      <c r="M1062" s="5">
        <f>IF(COUNTIFS($A$2:A1062,A1062,$D$2:D1062,D1062)=1,L1062,0)</f>
        <v>0</v>
      </c>
      <c r="N1062" s="4">
        <f t="shared" si="83"/>
        <v>127.42</v>
      </c>
      <c r="O1062" t="str">
        <f t="shared" si="84"/>
        <v>OK</v>
      </c>
    </row>
    <row r="1063" spans="1:15">
      <c r="A1063" t="str">
        <f>'Raw Data'!A1063</f>
        <v>Indianapolis RM-15</v>
      </c>
      <c r="B1063" t="str">
        <f>'Raw Data'!B1063</f>
        <v>Midwest</v>
      </c>
      <c r="C1063" t="str">
        <f>'Raw Data'!C1063</f>
        <v>Sports</v>
      </c>
      <c r="D1063" s="3">
        <f>'Raw Data'!D1063</f>
        <v>45901</v>
      </c>
      <c r="E1063" t="str">
        <f t="shared" si="80"/>
        <v>Sep</v>
      </c>
      <c r="F1063" s="5">
        <f>'Raw Data'!E1063</f>
        <v>84</v>
      </c>
      <c r="G1063" s="4">
        <f>'Raw Data'!F1063</f>
        <v>5501.67</v>
      </c>
      <c r="H1063" s="4">
        <f>'Raw Data'!G1063</f>
        <v>3766.51</v>
      </c>
      <c r="I1063" s="4">
        <f t="shared" si="81"/>
        <v>1735.1599999999999</v>
      </c>
      <c r="J1063" s="8">
        <f t="shared" si="82"/>
        <v>0.31538787313670208</v>
      </c>
      <c r="K1063" s="6">
        <f>'Raw Data'!I1063</f>
        <v>4.0999999999999996</v>
      </c>
      <c r="L1063" s="5">
        <f>'Raw Data'!J1063</f>
        <v>25</v>
      </c>
      <c r="M1063" s="5">
        <f>IF(COUNTIFS($A$2:A1063,A1063,$D$2:D1063,D1063)=1,L1063,0)</f>
        <v>0</v>
      </c>
      <c r="N1063" s="4">
        <f t="shared" si="83"/>
        <v>220.0668</v>
      </c>
      <c r="O1063" t="str">
        <f t="shared" si="84"/>
        <v>OK</v>
      </c>
    </row>
    <row r="1064" spans="1:15">
      <c r="A1064" t="str">
        <f>'Raw Data'!A1064</f>
        <v>Indianapolis RM-15</v>
      </c>
      <c r="B1064" t="str">
        <f>'Raw Data'!B1064</f>
        <v>Midwest</v>
      </c>
      <c r="C1064" t="str">
        <f>'Raw Data'!C1064</f>
        <v>Electronics</v>
      </c>
      <c r="D1064" s="3">
        <f>'Raw Data'!D1064</f>
        <v>45931</v>
      </c>
      <c r="E1064" t="str">
        <f t="shared" si="80"/>
        <v>Oct</v>
      </c>
      <c r="F1064" s="5">
        <f>'Raw Data'!E1064</f>
        <v>108</v>
      </c>
      <c r="G1064" s="4">
        <f>'Raw Data'!F1064</f>
        <v>16516.89</v>
      </c>
      <c r="H1064" s="4">
        <f>'Raw Data'!G1064</f>
        <v>13312.73</v>
      </c>
      <c r="I1064" s="4">
        <f t="shared" si="81"/>
        <v>3204.16</v>
      </c>
      <c r="J1064" s="8">
        <f t="shared" si="82"/>
        <v>0.19399293692698807</v>
      </c>
      <c r="K1064" s="6">
        <f>'Raw Data'!I1064</f>
        <v>4.0599999999999996</v>
      </c>
      <c r="L1064" s="5">
        <f>'Raw Data'!J1064</f>
        <v>25</v>
      </c>
      <c r="M1064" s="5">
        <f>IF(COUNTIFS($A$2:A1064,A1064,$D$2:D1064,D1064)=1,L1064,0)</f>
        <v>25</v>
      </c>
      <c r="N1064" s="4">
        <f t="shared" si="83"/>
        <v>660.67560000000003</v>
      </c>
      <c r="O1064" t="str">
        <f t="shared" si="84"/>
        <v>OK</v>
      </c>
    </row>
    <row r="1065" spans="1:15">
      <c r="A1065" t="str">
        <f>'Raw Data'!A1065</f>
        <v>Indianapolis RM-15</v>
      </c>
      <c r="B1065" t="str">
        <f>'Raw Data'!B1065</f>
        <v>Midwest</v>
      </c>
      <c r="C1065" t="str">
        <f>'Raw Data'!C1065</f>
        <v>Home Goods</v>
      </c>
      <c r="D1065" s="3">
        <f>'Raw Data'!D1065</f>
        <v>45931</v>
      </c>
      <c r="E1065" t="str">
        <f t="shared" si="80"/>
        <v>Oct</v>
      </c>
      <c r="F1065" s="5">
        <f>'Raw Data'!E1065</f>
        <v>105</v>
      </c>
      <c r="G1065" s="4">
        <f>'Raw Data'!F1065</f>
        <v>8368.06</v>
      </c>
      <c r="H1065" s="4">
        <f>'Raw Data'!G1065</f>
        <v>5809.51</v>
      </c>
      <c r="I1065" s="4">
        <f t="shared" si="81"/>
        <v>2558.5499999999993</v>
      </c>
      <c r="J1065" s="8">
        <f t="shared" si="82"/>
        <v>0.30575187080398558</v>
      </c>
      <c r="K1065" s="6">
        <f>'Raw Data'!I1065</f>
        <v>4.16</v>
      </c>
      <c r="L1065" s="5">
        <f>'Raw Data'!J1065</f>
        <v>25</v>
      </c>
      <c r="M1065" s="5">
        <f>IF(COUNTIFS($A$2:A1065,A1065,$D$2:D1065,D1065)=1,L1065,0)</f>
        <v>0</v>
      </c>
      <c r="N1065" s="4">
        <f t="shared" si="83"/>
        <v>334.72239999999999</v>
      </c>
      <c r="O1065" t="str">
        <f t="shared" si="84"/>
        <v>OK</v>
      </c>
    </row>
    <row r="1066" spans="1:15">
      <c r="A1066" t="str">
        <f>'Raw Data'!A1066</f>
        <v>Indianapolis RM-15</v>
      </c>
      <c r="B1066" t="str">
        <f>'Raw Data'!B1066</f>
        <v>Midwest</v>
      </c>
      <c r="C1066" t="str">
        <f>'Raw Data'!C1066</f>
        <v>Apparel</v>
      </c>
      <c r="D1066" s="3">
        <f>'Raw Data'!D1066</f>
        <v>45931</v>
      </c>
      <c r="E1066" t="str">
        <f t="shared" si="80"/>
        <v>Oct</v>
      </c>
      <c r="F1066" s="5">
        <f>'Raw Data'!E1066</f>
        <v>146</v>
      </c>
      <c r="G1066" s="4">
        <f>'Raw Data'!F1066</f>
        <v>6944.72</v>
      </c>
      <c r="H1066" s="4">
        <f>'Raw Data'!G1066</f>
        <v>4434.71</v>
      </c>
      <c r="I1066" s="4">
        <f t="shared" si="81"/>
        <v>2510.0100000000002</v>
      </c>
      <c r="J1066" s="8">
        <f t="shared" si="82"/>
        <v>0.36142709857272864</v>
      </c>
      <c r="K1066" s="6">
        <f>'Raw Data'!I1066</f>
        <v>4.01</v>
      </c>
      <c r="L1066" s="5">
        <f>'Raw Data'!J1066</f>
        <v>25</v>
      </c>
      <c r="M1066" s="5">
        <f>IF(COUNTIFS($A$2:A1066,A1066,$D$2:D1066,D1066)=1,L1066,0)</f>
        <v>0</v>
      </c>
      <c r="N1066" s="4">
        <f t="shared" si="83"/>
        <v>277.78880000000004</v>
      </c>
      <c r="O1066" t="str">
        <f t="shared" si="84"/>
        <v>OK</v>
      </c>
    </row>
    <row r="1067" spans="1:15">
      <c r="A1067" t="str">
        <f>'Raw Data'!A1067</f>
        <v>Indianapolis RM-15</v>
      </c>
      <c r="B1067" t="str">
        <f>'Raw Data'!B1067</f>
        <v>Midwest</v>
      </c>
      <c r="C1067" t="str">
        <f>'Raw Data'!C1067</f>
        <v>Beauty</v>
      </c>
      <c r="D1067" s="3">
        <f>'Raw Data'!D1067</f>
        <v>45931</v>
      </c>
      <c r="E1067" t="str">
        <f t="shared" si="80"/>
        <v>Oct</v>
      </c>
      <c r="F1067" s="5">
        <f>'Raw Data'!E1067</f>
        <v>104</v>
      </c>
      <c r="G1067" s="4">
        <f>'Raw Data'!F1067</f>
        <v>3552.56</v>
      </c>
      <c r="H1067" s="4">
        <f>'Raw Data'!G1067</f>
        <v>1877.2</v>
      </c>
      <c r="I1067" s="4">
        <f t="shared" si="81"/>
        <v>1675.36</v>
      </c>
      <c r="J1067" s="8">
        <f t="shared" si="82"/>
        <v>0.47159231652667372</v>
      </c>
      <c r="K1067" s="6">
        <f>'Raw Data'!I1067</f>
        <v>4.1900000000000004</v>
      </c>
      <c r="L1067" s="5">
        <f>'Raw Data'!J1067</f>
        <v>25</v>
      </c>
      <c r="M1067" s="5">
        <f>IF(COUNTIFS($A$2:A1067,A1067,$D$2:D1067,D1067)=1,L1067,0)</f>
        <v>0</v>
      </c>
      <c r="N1067" s="4">
        <f t="shared" si="83"/>
        <v>142.10239999999999</v>
      </c>
      <c r="O1067" t="str">
        <f t="shared" si="84"/>
        <v>OK</v>
      </c>
    </row>
    <row r="1068" spans="1:15">
      <c r="A1068" t="str">
        <f>'Raw Data'!A1068</f>
        <v>Indianapolis RM-15</v>
      </c>
      <c r="B1068" t="str">
        <f>'Raw Data'!B1068</f>
        <v>Midwest</v>
      </c>
      <c r="C1068" t="str">
        <f>'Raw Data'!C1068</f>
        <v>Grocery</v>
      </c>
      <c r="D1068" s="3">
        <f>'Raw Data'!D1068</f>
        <v>45931</v>
      </c>
      <c r="E1068" t="str">
        <f t="shared" si="80"/>
        <v>Oct</v>
      </c>
      <c r="F1068" s="5">
        <f>'Raw Data'!E1068</f>
        <v>194</v>
      </c>
      <c r="G1068" s="4">
        <f>'Raw Data'!F1068</f>
        <v>3656.83</v>
      </c>
      <c r="H1068" s="4">
        <f>'Raw Data'!G1068</f>
        <v>3344.6</v>
      </c>
      <c r="I1068" s="4">
        <f t="shared" si="81"/>
        <v>312.23</v>
      </c>
      <c r="J1068" s="8">
        <f t="shared" si="82"/>
        <v>8.5382694847723303E-2</v>
      </c>
      <c r="K1068" s="6">
        <f>'Raw Data'!I1068</f>
        <v>3.97</v>
      </c>
      <c r="L1068" s="5">
        <f>'Raw Data'!J1068</f>
        <v>25</v>
      </c>
      <c r="M1068" s="5">
        <f>IF(COUNTIFS($A$2:A1068,A1068,$D$2:D1068,D1068)=1,L1068,0)</f>
        <v>0</v>
      </c>
      <c r="N1068" s="4">
        <f t="shared" si="83"/>
        <v>146.2732</v>
      </c>
      <c r="O1068" t="str">
        <f t="shared" si="84"/>
        <v>OK</v>
      </c>
    </row>
    <row r="1069" spans="1:15">
      <c r="A1069" t="str">
        <f>'Raw Data'!A1069</f>
        <v>Indianapolis RM-15</v>
      </c>
      <c r="B1069" t="str">
        <f>'Raw Data'!B1069</f>
        <v>Midwest</v>
      </c>
      <c r="C1069" t="str">
        <f>'Raw Data'!C1069</f>
        <v>Sports</v>
      </c>
      <c r="D1069" s="3">
        <f>'Raw Data'!D1069</f>
        <v>45931</v>
      </c>
      <c r="E1069" t="str">
        <f t="shared" si="80"/>
        <v>Oct</v>
      </c>
      <c r="F1069" s="5">
        <f>'Raw Data'!E1069</f>
        <v>94</v>
      </c>
      <c r="G1069" s="4">
        <f>'Raw Data'!F1069</f>
        <v>5812.69</v>
      </c>
      <c r="H1069" s="4">
        <f>'Raw Data'!G1069</f>
        <v>3875.92</v>
      </c>
      <c r="I1069" s="4">
        <f t="shared" si="81"/>
        <v>1936.7699999999995</v>
      </c>
      <c r="J1069" s="8">
        <f t="shared" si="82"/>
        <v>0.33319685033951574</v>
      </c>
      <c r="K1069" s="6">
        <f>'Raw Data'!I1069</f>
        <v>3.93</v>
      </c>
      <c r="L1069" s="5">
        <f>'Raw Data'!J1069</f>
        <v>25</v>
      </c>
      <c r="M1069" s="5">
        <f>IF(COUNTIFS($A$2:A1069,A1069,$D$2:D1069,D1069)=1,L1069,0)</f>
        <v>0</v>
      </c>
      <c r="N1069" s="4">
        <f t="shared" si="83"/>
        <v>232.5076</v>
      </c>
      <c r="O1069" t="str">
        <f t="shared" si="84"/>
        <v>OK</v>
      </c>
    </row>
    <row r="1070" spans="1:15">
      <c r="A1070" t="str">
        <f>'Raw Data'!A1070</f>
        <v>Indianapolis RM-15</v>
      </c>
      <c r="B1070" t="str">
        <f>'Raw Data'!B1070</f>
        <v>Midwest</v>
      </c>
      <c r="C1070" t="str">
        <f>'Raw Data'!C1070</f>
        <v>Electronics</v>
      </c>
      <c r="D1070" s="3">
        <f>'Raw Data'!D1070</f>
        <v>45962</v>
      </c>
      <c r="E1070" t="str">
        <f t="shared" si="80"/>
        <v>Nov</v>
      </c>
      <c r="F1070" s="5">
        <f>'Raw Data'!E1070</f>
        <v>224</v>
      </c>
      <c r="G1070" s="4">
        <f>'Raw Data'!F1070</f>
        <v>31343.51</v>
      </c>
      <c r="H1070" s="4">
        <f>'Raw Data'!G1070</f>
        <v>24674.23</v>
      </c>
      <c r="I1070" s="4">
        <f t="shared" si="81"/>
        <v>6669.2799999999988</v>
      </c>
      <c r="J1070" s="8">
        <f t="shared" si="82"/>
        <v>0.21278025339216952</v>
      </c>
      <c r="K1070" s="6">
        <f>'Raw Data'!I1070</f>
        <v>3.94</v>
      </c>
      <c r="L1070" s="5">
        <f>'Raw Data'!J1070</f>
        <v>27</v>
      </c>
      <c r="M1070" s="5">
        <f>IF(COUNTIFS($A$2:A1070,A1070,$D$2:D1070,D1070)=1,L1070,0)</f>
        <v>27</v>
      </c>
      <c r="N1070" s="4">
        <f t="shared" si="83"/>
        <v>1160.8707407407408</v>
      </c>
      <c r="O1070" t="str">
        <f t="shared" si="84"/>
        <v>OK</v>
      </c>
    </row>
    <row r="1071" spans="1:15">
      <c r="A1071" t="str">
        <f>'Raw Data'!A1071</f>
        <v>Indianapolis RM-15</v>
      </c>
      <c r="B1071" t="str">
        <f>'Raw Data'!B1071</f>
        <v>Midwest</v>
      </c>
      <c r="C1071" t="str">
        <f>'Raw Data'!C1071</f>
        <v>Home Goods</v>
      </c>
      <c r="D1071" s="3">
        <f>'Raw Data'!D1071</f>
        <v>45962</v>
      </c>
      <c r="E1071" t="str">
        <f t="shared" si="80"/>
        <v>Nov</v>
      </c>
      <c r="F1071" s="5">
        <f>'Raw Data'!E1071</f>
        <v>134</v>
      </c>
      <c r="G1071" s="4">
        <f>'Raw Data'!F1071</f>
        <v>9846.16</v>
      </c>
      <c r="H1071" s="4">
        <f>'Raw Data'!G1071</f>
        <v>6698.7</v>
      </c>
      <c r="I1071" s="4">
        <f t="shared" si="81"/>
        <v>3147.46</v>
      </c>
      <c r="J1071" s="8">
        <f t="shared" si="82"/>
        <v>0.31966370646018349</v>
      </c>
      <c r="K1071" s="6">
        <f>'Raw Data'!I1071</f>
        <v>4.13</v>
      </c>
      <c r="L1071" s="5">
        <f>'Raw Data'!J1071</f>
        <v>27</v>
      </c>
      <c r="M1071" s="5">
        <f>IF(COUNTIFS($A$2:A1071,A1071,$D$2:D1071,D1071)=1,L1071,0)</f>
        <v>0</v>
      </c>
      <c r="N1071" s="4">
        <f t="shared" si="83"/>
        <v>364.67259259259259</v>
      </c>
      <c r="O1071" t="str">
        <f t="shared" si="84"/>
        <v>OK</v>
      </c>
    </row>
    <row r="1072" spans="1:15">
      <c r="A1072" t="str">
        <f>'Raw Data'!A1072</f>
        <v>Indianapolis RM-15</v>
      </c>
      <c r="B1072" t="str">
        <f>'Raw Data'!B1072</f>
        <v>Midwest</v>
      </c>
      <c r="C1072" t="str">
        <f>'Raw Data'!C1072</f>
        <v>Apparel</v>
      </c>
      <c r="D1072" s="3">
        <f>'Raw Data'!D1072</f>
        <v>45962</v>
      </c>
      <c r="E1072" t="str">
        <f t="shared" si="80"/>
        <v>Nov</v>
      </c>
      <c r="F1072" s="5">
        <f>'Raw Data'!E1072</f>
        <v>178</v>
      </c>
      <c r="G1072" s="4">
        <f>'Raw Data'!F1072</f>
        <v>8777.73</v>
      </c>
      <c r="H1072" s="4">
        <f>'Raw Data'!G1072</f>
        <v>5648.18</v>
      </c>
      <c r="I1072" s="4">
        <f t="shared" si="81"/>
        <v>3129.5499999999993</v>
      </c>
      <c r="J1072" s="8">
        <f t="shared" si="82"/>
        <v>0.35653295328063173</v>
      </c>
      <c r="K1072" s="6">
        <f>'Raw Data'!I1072</f>
        <v>3.92</v>
      </c>
      <c r="L1072" s="5">
        <f>'Raw Data'!J1072</f>
        <v>27</v>
      </c>
      <c r="M1072" s="5">
        <f>IF(COUNTIFS($A$2:A1072,A1072,$D$2:D1072,D1072)=1,L1072,0)</f>
        <v>0</v>
      </c>
      <c r="N1072" s="4">
        <f t="shared" si="83"/>
        <v>325.10111111111109</v>
      </c>
      <c r="O1072" t="str">
        <f t="shared" si="84"/>
        <v>OK</v>
      </c>
    </row>
    <row r="1073" spans="1:15">
      <c r="A1073" t="str">
        <f>'Raw Data'!A1073</f>
        <v>Indianapolis RM-15</v>
      </c>
      <c r="B1073" t="str">
        <f>'Raw Data'!B1073</f>
        <v>Midwest</v>
      </c>
      <c r="C1073" t="str">
        <f>'Raw Data'!C1073</f>
        <v>Beauty</v>
      </c>
      <c r="D1073" s="3">
        <f>'Raw Data'!D1073</f>
        <v>45962</v>
      </c>
      <c r="E1073" t="str">
        <f t="shared" si="80"/>
        <v>Nov</v>
      </c>
      <c r="F1073" s="5">
        <f>'Raw Data'!E1073</f>
        <v>142</v>
      </c>
      <c r="G1073" s="4">
        <f>'Raw Data'!F1073</f>
        <v>4963.25</v>
      </c>
      <c r="H1073" s="4">
        <f>'Raw Data'!G1073</f>
        <v>2614.62</v>
      </c>
      <c r="I1073" s="4">
        <f t="shared" si="81"/>
        <v>2348.63</v>
      </c>
      <c r="J1073" s="8">
        <f t="shared" si="82"/>
        <v>0.47320404976577851</v>
      </c>
      <c r="K1073" s="6">
        <f>'Raw Data'!I1073</f>
        <v>3.9</v>
      </c>
      <c r="L1073" s="5">
        <f>'Raw Data'!J1073</f>
        <v>27</v>
      </c>
      <c r="M1073" s="5">
        <f>IF(COUNTIFS($A$2:A1073,A1073,$D$2:D1073,D1073)=1,L1073,0)</f>
        <v>0</v>
      </c>
      <c r="N1073" s="4">
        <f t="shared" si="83"/>
        <v>183.82407407407408</v>
      </c>
      <c r="O1073" t="str">
        <f t="shared" si="84"/>
        <v>OK</v>
      </c>
    </row>
    <row r="1074" spans="1:15">
      <c r="A1074" t="str">
        <f>'Raw Data'!A1074</f>
        <v>Indianapolis RM-15</v>
      </c>
      <c r="B1074" t="str">
        <f>'Raw Data'!B1074</f>
        <v>Midwest</v>
      </c>
      <c r="C1074" t="str">
        <f>'Raw Data'!C1074</f>
        <v>Grocery</v>
      </c>
      <c r="D1074" s="3">
        <f>'Raw Data'!D1074</f>
        <v>45962</v>
      </c>
      <c r="E1074" t="str">
        <f t="shared" si="80"/>
        <v>Nov</v>
      </c>
      <c r="F1074" s="5">
        <f>'Raw Data'!E1074</f>
        <v>254</v>
      </c>
      <c r="G1074" s="4">
        <f>'Raw Data'!F1074</f>
        <v>4891.93</v>
      </c>
      <c r="H1074" s="4">
        <f>'Raw Data'!G1074</f>
        <v>4690.04</v>
      </c>
      <c r="I1074" s="4">
        <f t="shared" si="81"/>
        <v>201.89000000000033</v>
      </c>
      <c r="J1074" s="8">
        <f t="shared" si="82"/>
        <v>4.1270009996054791E-2</v>
      </c>
      <c r="K1074" s="6">
        <f>'Raw Data'!I1074</f>
        <v>4.04</v>
      </c>
      <c r="L1074" s="5">
        <f>'Raw Data'!J1074</f>
        <v>27</v>
      </c>
      <c r="M1074" s="5">
        <f>IF(COUNTIFS($A$2:A1074,A1074,$D$2:D1074,D1074)=1,L1074,0)</f>
        <v>0</v>
      </c>
      <c r="N1074" s="4">
        <f t="shared" si="83"/>
        <v>181.18259259259261</v>
      </c>
      <c r="O1074" t="str">
        <f t="shared" si="84"/>
        <v>OK</v>
      </c>
    </row>
    <row r="1075" spans="1:15">
      <c r="A1075" t="str">
        <f>'Raw Data'!A1075</f>
        <v>Indianapolis RM-15</v>
      </c>
      <c r="B1075" t="str">
        <f>'Raw Data'!B1075</f>
        <v>Midwest</v>
      </c>
      <c r="C1075" t="str">
        <f>'Raw Data'!C1075</f>
        <v>Sports</v>
      </c>
      <c r="D1075" s="3">
        <f>'Raw Data'!D1075</f>
        <v>45962</v>
      </c>
      <c r="E1075" t="str">
        <f t="shared" si="80"/>
        <v>Nov</v>
      </c>
      <c r="F1075" s="5">
        <f>'Raw Data'!E1075</f>
        <v>96</v>
      </c>
      <c r="G1075" s="4">
        <f>'Raw Data'!F1075</f>
        <v>6127.28</v>
      </c>
      <c r="H1075" s="4">
        <f>'Raw Data'!G1075</f>
        <v>4131.78</v>
      </c>
      <c r="I1075" s="4">
        <f t="shared" si="81"/>
        <v>1995.5</v>
      </c>
      <c r="J1075" s="8">
        <f t="shared" si="82"/>
        <v>0.32567468762648355</v>
      </c>
      <c r="K1075" s="6">
        <f>'Raw Data'!I1075</f>
        <v>4.17</v>
      </c>
      <c r="L1075" s="5">
        <f>'Raw Data'!J1075</f>
        <v>27</v>
      </c>
      <c r="M1075" s="5">
        <f>IF(COUNTIFS($A$2:A1075,A1075,$D$2:D1075,D1075)=1,L1075,0)</f>
        <v>0</v>
      </c>
      <c r="N1075" s="4">
        <f t="shared" si="83"/>
        <v>226.93629629629629</v>
      </c>
      <c r="O1075" t="str">
        <f t="shared" si="84"/>
        <v>OK</v>
      </c>
    </row>
    <row r="1076" spans="1:15">
      <c r="A1076" t="str">
        <f>'Raw Data'!A1076</f>
        <v>Indianapolis RM-15</v>
      </c>
      <c r="B1076" t="str">
        <f>'Raw Data'!B1076</f>
        <v>Midwest</v>
      </c>
      <c r="C1076" t="str">
        <f>'Raw Data'!C1076</f>
        <v>Electronics</v>
      </c>
      <c r="D1076" s="3">
        <f>'Raw Data'!D1076</f>
        <v>45992</v>
      </c>
      <c r="E1076" t="str">
        <f t="shared" si="80"/>
        <v>Dec</v>
      </c>
      <c r="F1076" s="5">
        <f>'Raw Data'!E1076</f>
        <v>226</v>
      </c>
      <c r="G1076" s="4">
        <f>'Raw Data'!F1076</f>
        <v>31071.27</v>
      </c>
      <c r="H1076" s="4">
        <f>'Raw Data'!G1076</f>
        <v>26157.83</v>
      </c>
      <c r="I1076" s="4">
        <f t="shared" si="81"/>
        <v>4913.4399999999987</v>
      </c>
      <c r="J1076" s="8">
        <f t="shared" si="82"/>
        <v>0.15813450818070837</v>
      </c>
      <c r="K1076" s="6">
        <f>'Raw Data'!I1076</f>
        <v>4.09</v>
      </c>
      <c r="L1076" s="5">
        <f>'Raw Data'!J1076</f>
        <v>29</v>
      </c>
      <c r="M1076" s="5">
        <f>IF(COUNTIFS($A$2:A1076,A1076,$D$2:D1076,D1076)=1,L1076,0)</f>
        <v>29</v>
      </c>
      <c r="N1076" s="4">
        <f t="shared" si="83"/>
        <v>1071.4231034482759</v>
      </c>
      <c r="O1076" t="str">
        <f t="shared" si="84"/>
        <v>OK</v>
      </c>
    </row>
    <row r="1077" spans="1:15">
      <c r="A1077" t="str">
        <f>'Raw Data'!A1077</f>
        <v>Indianapolis RM-15</v>
      </c>
      <c r="B1077" t="str">
        <f>'Raw Data'!B1077</f>
        <v>Midwest</v>
      </c>
      <c r="C1077" t="str">
        <f>'Raw Data'!C1077</f>
        <v>Home Goods</v>
      </c>
      <c r="D1077" s="3">
        <f>'Raw Data'!D1077</f>
        <v>45992</v>
      </c>
      <c r="E1077" t="str">
        <f t="shared" si="80"/>
        <v>Dec</v>
      </c>
      <c r="F1077" s="5">
        <f>'Raw Data'!E1077</f>
        <v>126</v>
      </c>
      <c r="G1077" s="4">
        <f>'Raw Data'!F1077</f>
        <v>9985.8700000000008</v>
      </c>
      <c r="H1077" s="4">
        <f>'Raw Data'!G1077</f>
        <v>7395.23</v>
      </c>
      <c r="I1077" s="4">
        <f t="shared" si="81"/>
        <v>2590.6400000000012</v>
      </c>
      <c r="J1077" s="8">
        <f t="shared" si="82"/>
        <v>0.25943057540304459</v>
      </c>
      <c r="K1077" s="6">
        <f>'Raw Data'!I1077</f>
        <v>3.93</v>
      </c>
      <c r="L1077" s="5">
        <f>'Raw Data'!J1077</f>
        <v>29</v>
      </c>
      <c r="M1077" s="5">
        <f>IF(COUNTIFS($A$2:A1077,A1077,$D$2:D1077,D1077)=1,L1077,0)</f>
        <v>0</v>
      </c>
      <c r="N1077" s="4">
        <f t="shared" si="83"/>
        <v>344.34034482758625</v>
      </c>
      <c r="O1077" t="str">
        <f t="shared" si="84"/>
        <v>OK</v>
      </c>
    </row>
    <row r="1078" spans="1:15">
      <c r="A1078" t="str">
        <f>'Raw Data'!A1078</f>
        <v>Indianapolis RM-15</v>
      </c>
      <c r="B1078" t="str">
        <f>'Raw Data'!B1078</f>
        <v>Midwest</v>
      </c>
      <c r="C1078" t="str">
        <f>'Raw Data'!C1078</f>
        <v>Apparel</v>
      </c>
      <c r="D1078" s="3">
        <f>'Raw Data'!D1078</f>
        <v>45992</v>
      </c>
      <c r="E1078" t="str">
        <f t="shared" si="80"/>
        <v>Dec</v>
      </c>
      <c r="F1078" s="5">
        <f>'Raw Data'!E1078</f>
        <v>217</v>
      </c>
      <c r="G1078" s="4">
        <f>'Raw Data'!F1078</f>
        <v>9938.65</v>
      </c>
      <c r="H1078" s="4">
        <f>'Raw Data'!G1078</f>
        <v>6512.32</v>
      </c>
      <c r="I1078" s="4">
        <f t="shared" si="81"/>
        <v>3426.33</v>
      </c>
      <c r="J1078" s="8">
        <f t="shared" si="82"/>
        <v>0.3447480291588898</v>
      </c>
      <c r="K1078" s="6">
        <f>'Raw Data'!I1078</f>
        <v>4.04</v>
      </c>
      <c r="L1078" s="5">
        <f>'Raw Data'!J1078</f>
        <v>29</v>
      </c>
      <c r="M1078" s="5">
        <f>IF(COUNTIFS($A$2:A1078,A1078,$D$2:D1078,D1078)=1,L1078,0)</f>
        <v>0</v>
      </c>
      <c r="N1078" s="4">
        <f t="shared" si="83"/>
        <v>342.71206896551723</v>
      </c>
      <c r="O1078" t="str">
        <f t="shared" si="84"/>
        <v>OK</v>
      </c>
    </row>
    <row r="1079" spans="1:15">
      <c r="A1079" t="str">
        <f>'Raw Data'!A1079</f>
        <v>Indianapolis RM-15</v>
      </c>
      <c r="B1079" t="str">
        <f>'Raw Data'!B1079</f>
        <v>Midwest</v>
      </c>
      <c r="C1079" t="str">
        <f>'Raw Data'!C1079</f>
        <v>Beauty</v>
      </c>
      <c r="D1079" s="3">
        <f>'Raw Data'!D1079</f>
        <v>45992</v>
      </c>
      <c r="E1079" t="str">
        <f t="shared" si="80"/>
        <v>Dec</v>
      </c>
      <c r="F1079" s="5">
        <f>'Raw Data'!E1079</f>
        <v>164</v>
      </c>
      <c r="G1079" s="4">
        <f>'Raw Data'!F1079</f>
        <v>5709.38</v>
      </c>
      <c r="H1079" s="4">
        <f>'Raw Data'!G1079</f>
        <v>3146.67</v>
      </c>
      <c r="I1079" s="4">
        <f t="shared" si="81"/>
        <v>2562.71</v>
      </c>
      <c r="J1079" s="8">
        <f t="shared" si="82"/>
        <v>0.44885959596313435</v>
      </c>
      <c r="K1079" s="6">
        <f>'Raw Data'!I1079</f>
        <v>4.0999999999999996</v>
      </c>
      <c r="L1079" s="5">
        <f>'Raw Data'!J1079</f>
        <v>29</v>
      </c>
      <c r="M1079" s="5">
        <f>IF(COUNTIFS($A$2:A1079,A1079,$D$2:D1079,D1079)=1,L1079,0)</f>
        <v>0</v>
      </c>
      <c r="N1079" s="4">
        <f t="shared" si="83"/>
        <v>196.87517241379311</v>
      </c>
      <c r="O1079" t="str">
        <f t="shared" si="84"/>
        <v>OK</v>
      </c>
    </row>
    <row r="1080" spans="1:15">
      <c r="A1080" t="str">
        <f>'Raw Data'!A1080</f>
        <v>Indianapolis RM-15</v>
      </c>
      <c r="B1080" t="str">
        <f>'Raw Data'!B1080</f>
        <v>Midwest</v>
      </c>
      <c r="C1080" t="str">
        <f>'Raw Data'!C1080</f>
        <v>Grocery</v>
      </c>
      <c r="D1080" s="3">
        <f>'Raw Data'!D1080</f>
        <v>45992</v>
      </c>
      <c r="E1080" t="str">
        <f t="shared" si="80"/>
        <v>Dec</v>
      </c>
      <c r="F1080" s="5">
        <f>'Raw Data'!E1080</f>
        <v>282</v>
      </c>
      <c r="G1080" s="4">
        <f>'Raw Data'!F1080</f>
        <v>5168.08</v>
      </c>
      <c r="H1080" s="4">
        <f>'Raw Data'!G1080</f>
        <v>5034.62</v>
      </c>
      <c r="I1080" s="4">
        <f t="shared" si="81"/>
        <v>133.46000000000004</v>
      </c>
      <c r="J1080" s="8">
        <f t="shared" si="82"/>
        <v>2.5823903654742193E-2</v>
      </c>
      <c r="K1080" s="6">
        <f>'Raw Data'!I1080</f>
        <v>4.1500000000000004</v>
      </c>
      <c r="L1080" s="5">
        <f>'Raw Data'!J1080</f>
        <v>29</v>
      </c>
      <c r="M1080" s="5">
        <f>IF(COUNTIFS($A$2:A1080,A1080,$D$2:D1080,D1080)=1,L1080,0)</f>
        <v>0</v>
      </c>
      <c r="N1080" s="4">
        <f t="shared" si="83"/>
        <v>178.20965517241379</v>
      </c>
      <c r="O1080" t="str">
        <f t="shared" si="84"/>
        <v>OK</v>
      </c>
    </row>
    <row r="1081" spans="1:15">
      <c r="A1081" t="str">
        <f>'Raw Data'!A1081</f>
        <v>Indianapolis RM-15</v>
      </c>
      <c r="B1081" t="str">
        <f>'Raw Data'!B1081</f>
        <v>Midwest</v>
      </c>
      <c r="C1081" t="str">
        <f>'Raw Data'!C1081</f>
        <v>Sports</v>
      </c>
      <c r="D1081" s="3">
        <f>'Raw Data'!D1081</f>
        <v>45992</v>
      </c>
      <c r="E1081" t="str">
        <f t="shared" si="80"/>
        <v>Dec</v>
      </c>
      <c r="F1081" s="5">
        <f>'Raw Data'!E1081</f>
        <v>109</v>
      </c>
      <c r="G1081" s="4">
        <f>'Raw Data'!F1081</f>
        <v>6898.02</v>
      </c>
      <c r="H1081" s="4">
        <f>'Raw Data'!G1081</f>
        <v>4920.99</v>
      </c>
      <c r="I1081" s="4">
        <f t="shared" si="81"/>
        <v>1977.0300000000007</v>
      </c>
      <c r="J1081" s="8">
        <f t="shared" si="82"/>
        <v>0.28660833108631179</v>
      </c>
      <c r="K1081" s="6">
        <f>'Raw Data'!I1081</f>
        <v>4.1500000000000004</v>
      </c>
      <c r="L1081" s="5">
        <f>'Raw Data'!J1081</f>
        <v>29</v>
      </c>
      <c r="M1081" s="5">
        <f>IF(COUNTIFS($A$2:A1081,A1081,$D$2:D1081,D1081)=1,L1081,0)</f>
        <v>0</v>
      </c>
      <c r="N1081" s="4">
        <f t="shared" si="83"/>
        <v>237.86275862068968</v>
      </c>
      <c r="O1081" t="str">
        <f t="shared" si="84"/>
        <v>OK</v>
      </c>
    </row>
    <row r="1082" spans="1:15">
      <c r="A1082" t="str">
        <f>'Raw Data'!A1082</f>
        <v>Seattle RM-16</v>
      </c>
      <c r="B1082" t="str">
        <f>'Raw Data'!B1082</f>
        <v>West</v>
      </c>
      <c r="C1082" t="str">
        <f>'Raw Data'!C1082</f>
        <v>Electronics</v>
      </c>
      <c r="D1082" s="3">
        <f>'Raw Data'!D1082</f>
        <v>45658</v>
      </c>
      <c r="E1082" t="str">
        <f t="shared" si="80"/>
        <v>Jan</v>
      </c>
      <c r="F1082" s="5">
        <f>'Raw Data'!E1082</f>
        <v>121</v>
      </c>
      <c r="G1082" s="4">
        <f>'Raw Data'!F1082</f>
        <v>16935.41</v>
      </c>
      <c r="H1082" s="4">
        <f>'Raw Data'!G1082</f>
        <v>12626.53</v>
      </c>
      <c r="I1082" s="4">
        <f t="shared" si="81"/>
        <v>4308.8799999999992</v>
      </c>
      <c r="J1082" s="8">
        <f t="shared" si="82"/>
        <v>0.25443021456226916</v>
      </c>
      <c r="K1082" s="6">
        <f>'Raw Data'!I1082</f>
        <v>4.59</v>
      </c>
      <c r="L1082" s="5">
        <f>'Raw Data'!J1082</f>
        <v>32</v>
      </c>
      <c r="M1082" s="5">
        <f>IF(COUNTIFS($A$2:A1082,A1082,$D$2:D1082,D1082)=1,L1082,0)</f>
        <v>32</v>
      </c>
      <c r="N1082" s="4">
        <f t="shared" si="83"/>
        <v>529.2315625</v>
      </c>
      <c r="O1082" t="str">
        <f t="shared" si="84"/>
        <v>OK</v>
      </c>
    </row>
    <row r="1083" spans="1:15">
      <c r="A1083" t="str">
        <f>'Raw Data'!A1083</f>
        <v>Seattle RM-16</v>
      </c>
      <c r="B1083" t="str">
        <f>'Raw Data'!B1083</f>
        <v>West</v>
      </c>
      <c r="C1083" t="str">
        <f>'Raw Data'!C1083</f>
        <v>Home Goods</v>
      </c>
      <c r="D1083" s="3">
        <f>'Raw Data'!D1083</f>
        <v>45658</v>
      </c>
      <c r="E1083" t="str">
        <f t="shared" si="80"/>
        <v>Jan</v>
      </c>
      <c r="F1083" s="5">
        <f>'Raw Data'!E1083</f>
        <v>101</v>
      </c>
      <c r="G1083" s="4">
        <f>'Raw Data'!F1083</f>
        <v>7385.42</v>
      </c>
      <c r="H1083" s="4">
        <f>'Raw Data'!G1083</f>
        <v>4868.03</v>
      </c>
      <c r="I1083" s="4">
        <f t="shared" si="81"/>
        <v>2517.3900000000003</v>
      </c>
      <c r="J1083" s="8">
        <f t="shared" si="82"/>
        <v>0.34085942302536626</v>
      </c>
      <c r="K1083" s="6">
        <f>'Raw Data'!I1083</f>
        <v>4.63</v>
      </c>
      <c r="L1083" s="5">
        <f>'Raw Data'!J1083</f>
        <v>32</v>
      </c>
      <c r="M1083" s="5">
        <f>IF(COUNTIFS($A$2:A1083,A1083,$D$2:D1083,D1083)=1,L1083,0)</f>
        <v>0</v>
      </c>
      <c r="N1083" s="4">
        <f t="shared" si="83"/>
        <v>230.794375</v>
      </c>
      <c r="O1083" t="str">
        <f t="shared" si="84"/>
        <v>OK</v>
      </c>
    </row>
    <row r="1084" spans="1:15">
      <c r="A1084" t="str">
        <f>'Raw Data'!A1084</f>
        <v>Seattle RM-16</v>
      </c>
      <c r="B1084" t="str">
        <f>'Raw Data'!B1084</f>
        <v>West</v>
      </c>
      <c r="C1084" t="str">
        <f>'Raw Data'!C1084</f>
        <v>Apparel</v>
      </c>
      <c r="D1084" s="3">
        <f>'Raw Data'!D1084</f>
        <v>45658</v>
      </c>
      <c r="E1084" t="str">
        <f t="shared" si="80"/>
        <v>Jan</v>
      </c>
      <c r="F1084" s="5">
        <f>'Raw Data'!E1084</f>
        <v>126</v>
      </c>
      <c r="G1084" s="4">
        <f>'Raw Data'!F1084</f>
        <v>6524.61</v>
      </c>
      <c r="H1084" s="4">
        <f>'Raw Data'!G1084</f>
        <v>3744.46</v>
      </c>
      <c r="I1084" s="4">
        <f t="shared" si="81"/>
        <v>2780.1499999999996</v>
      </c>
      <c r="J1084" s="8">
        <f t="shared" si="82"/>
        <v>0.42610209652377684</v>
      </c>
      <c r="K1084" s="6">
        <f>'Raw Data'!I1084</f>
        <v>4.5999999999999996</v>
      </c>
      <c r="L1084" s="5">
        <f>'Raw Data'!J1084</f>
        <v>32</v>
      </c>
      <c r="M1084" s="5">
        <f>IF(COUNTIFS($A$2:A1084,A1084,$D$2:D1084,D1084)=1,L1084,0)</f>
        <v>0</v>
      </c>
      <c r="N1084" s="4">
        <f t="shared" si="83"/>
        <v>203.89406249999999</v>
      </c>
      <c r="O1084" t="str">
        <f t="shared" si="84"/>
        <v>OK</v>
      </c>
    </row>
    <row r="1085" spans="1:15">
      <c r="A1085" t="str">
        <f>'Raw Data'!A1085</f>
        <v>Seattle RM-16</v>
      </c>
      <c r="B1085" t="str">
        <f>'Raw Data'!B1085</f>
        <v>West</v>
      </c>
      <c r="C1085" t="str">
        <f>'Raw Data'!C1085</f>
        <v>Beauty</v>
      </c>
      <c r="D1085" s="3">
        <f>'Raw Data'!D1085</f>
        <v>45658</v>
      </c>
      <c r="E1085" t="str">
        <f t="shared" si="80"/>
        <v>Jan</v>
      </c>
      <c r="F1085" s="5">
        <f>'Raw Data'!E1085</f>
        <v>117</v>
      </c>
      <c r="G1085" s="4">
        <f>'Raw Data'!F1085</f>
        <v>4409.8999999999996</v>
      </c>
      <c r="H1085" s="4">
        <f>'Raw Data'!G1085</f>
        <v>2020.11</v>
      </c>
      <c r="I1085" s="4">
        <f t="shared" si="81"/>
        <v>2389.79</v>
      </c>
      <c r="J1085" s="8">
        <f t="shared" si="82"/>
        <v>0.54191478264813264</v>
      </c>
      <c r="K1085" s="6">
        <f>'Raw Data'!I1085</f>
        <v>4.7300000000000004</v>
      </c>
      <c r="L1085" s="5">
        <f>'Raw Data'!J1085</f>
        <v>32</v>
      </c>
      <c r="M1085" s="5">
        <f>IF(COUNTIFS($A$2:A1085,A1085,$D$2:D1085,D1085)=1,L1085,0)</f>
        <v>0</v>
      </c>
      <c r="N1085" s="4">
        <f t="shared" si="83"/>
        <v>137.80937499999999</v>
      </c>
      <c r="O1085" t="str">
        <f t="shared" si="84"/>
        <v>OK</v>
      </c>
    </row>
    <row r="1086" spans="1:15">
      <c r="A1086" t="str">
        <f>'Raw Data'!A1086</f>
        <v>Seattle RM-16</v>
      </c>
      <c r="B1086" t="str">
        <f>'Raw Data'!B1086</f>
        <v>West</v>
      </c>
      <c r="C1086" t="str">
        <f>'Raw Data'!C1086</f>
        <v>Grocery</v>
      </c>
      <c r="D1086" s="3">
        <f>'Raw Data'!D1086</f>
        <v>45658</v>
      </c>
      <c r="E1086" t="str">
        <f t="shared" si="80"/>
        <v>Jan</v>
      </c>
      <c r="F1086" s="5">
        <f>'Raw Data'!E1086</f>
        <v>166</v>
      </c>
      <c r="G1086" s="4">
        <f>'Raw Data'!F1086</f>
        <v>2898.21</v>
      </c>
      <c r="H1086" s="4">
        <f>'Raw Data'!G1086</f>
        <v>2591.09</v>
      </c>
      <c r="I1086" s="4">
        <f t="shared" si="81"/>
        <v>307.11999999999989</v>
      </c>
      <c r="J1086" s="8">
        <f t="shared" si="82"/>
        <v>0.10596885663909789</v>
      </c>
      <c r="K1086" s="6">
        <f>'Raw Data'!I1086</f>
        <v>4.7699999999999996</v>
      </c>
      <c r="L1086" s="5">
        <f>'Raw Data'!J1086</f>
        <v>32</v>
      </c>
      <c r="M1086" s="5">
        <f>IF(COUNTIFS($A$2:A1086,A1086,$D$2:D1086,D1086)=1,L1086,0)</f>
        <v>0</v>
      </c>
      <c r="N1086" s="4">
        <f t="shared" si="83"/>
        <v>90.569062500000001</v>
      </c>
      <c r="O1086" t="str">
        <f t="shared" si="84"/>
        <v>OK</v>
      </c>
    </row>
    <row r="1087" spans="1:15">
      <c r="A1087" t="str">
        <f>'Raw Data'!A1087</f>
        <v>Seattle RM-16</v>
      </c>
      <c r="B1087" t="str">
        <f>'Raw Data'!B1087</f>
        <v>West</v>
      </c>
      <c r="C1087" t="str">
        <f>'Raw Data'!C1087</f>
        <v>Sports</v>
      </c>
      <c r="D1087" s="3">
        <f>'Raw Data'!D1087</f>
        <v>45658</v>
      </c>
      <c r="E1087" t="str">
        <f t="shared" si="80"/>
        <v>Jan</v>
      </c>
      <c r="F1087" s="5">
        <f>'Raw Data'!E1087</f>
        <v>77</v>
      </c>
      <c r="G1087" s="4">
        <f>'Raw Data'!F1087</f>
        <v>4657.38</v>
      </c>
      <c r="H1087" s="4">
        <f>'Raw Data'!G1087</f>
        <v>2967.56</v>
      </c>
      <c r="I1087" s="4">
        <f t="shared" si="81"/>
        <v>1689.8200000000002</v>
      </c>
      <c r="J1087" s="8">
        <f t="shared" si="82"/>
        <v>0.36282631007132771</v>
      </c>
      <c r="K1087" s="6">
        <f>'Raw Data'!I1087</f>
        <v>4.63</v>
      </c>
      <c r="L1087" s="5">
        <f>'Raw Data'!J1087</f>
        <v>32</v>
      </c>
      <c r="M1087" s="5">
        <f>IF(COUNTIFS($A$2:A1087,A1087,$D$2:D1087,D1087)=1,L1087,0)</f>
        <v>0</v>
      </c>
      <c r="N1087" s="4">
        <f t="shared" si="83"/>
        <v>145.543125</v>
      </c>
      <c r="O1087" t="str">
        <f t="shared" si="84"/>
        <v>OK</v>
      </c>
    </row>
    <row r="1088" spans="1:15">
      <c r="A1088" t="str">
        <f>'Raw Data'!A1088</f>
        <v>Seattle RM-16</v>
      </c>
      <c r="B1088" t="str">
        <f>'Raw Data'!B1088</f>
        <v>West</v>
      </c>
      <c r="C1088" t="str">
        <f>'Raw Data'!C1088</f>
        <v>Electronics</v>
      </c>
      <c r="D1088" s="3">
        <f>'Raw Data'!D1088</f>
        <v>45689</v>
      </c>
      <c r="E1088" t="str">
        <f t="shared" si="80"/>
        <v>Feb</v>
      </c>
      <c r="F1088" s="5">
        <f>'Raw Data'!E1088</f>
        <v>118</v>
      </c>
      <c r="G1088" s="4">
        <f>'Raw Data'!F1088</f>
        <v>16764.849999999999</v>
      </c>
      <c r="H1088" s="4">
        <f>'Raw Data'!G1088</f>
        <v>12306.4</v>
      </c>
      <c r="I1088" s="4">
        <f t="shared" si="81"/>
        <v>4458.4499999999989</v>
      </c>
      <c r="J1088" s="8">
        <f t="shared" si="82"/>
        <v>0.2659403454251007</v>
      </c>
      <c r="K1088" s="6">
        <f>'Raw Data'!I1088</f>
        <v>4.5199999999999996</v>
      </c>
      <c r="L1088" s="5">
        <f>'Raw Data'!J1088</f>
        <v>32</v>
      </c>
      <c r="M1088" s="5">
        <f>IF(COUNTIFS($A$2:A1088,A1088,$D$2:D1088,D1088)=1,L1088,0)</f>
        <v>32</v>
      </c>
      <c r="N1088" s="4">
        <f t="shared" si="83"/>
        <v>523.90156249999995</v>
      </c>
      <c r="O1088" t="str">
        <f t="shared" si="84"/>
        <v>OK</v>
      </c>
    </row>
    <row r="1089" spans="1:15">
      <c r="A1089" t="str">
        <f>'Raw Data'!A1089</f>
        <v>Seattle RM-16</v>
      </c>
      <c r="B1089" t="str">
        <f>'Raw Data'!B1089</f>
        <v>West</v>
      </c>
      <c r="C1089" t="str">
        <f>'Raw Data'!C1089</f>
        <v>Home Goods</v>
      </c>
      <c r="D1089" s="3">
        <f>'Raw Data'!D1089</f>
        <v>45689</v>
      </c>
      <c r="E1089" t="str">
        <f t="shared" si="80"/>
        <v>Feb</v>
      </c>
      <c r="F1089" s="5">
        <f>'Raw Data'!E1089</f>
        <v>104</v>
      </c>
      <c r="G1089" s="4">
        <f>'Raw Data'!F1089</f>
        <v>8414.9599999999991</v>
      </c>
      <c r="H1089" s="4">
        <f>'Raw Data'!G1089</f>
        <v>5275.12</v>
      </c>
      <c r="I1089" s="4">
        <f t="shared" si="81"/>
        <v>3139.8399999999992</v>
      </c>
      <c r="J1089" s="8">
        <f t="shared" si="82"/>
        <v>0.3731259566296215</v>
      </c>
      <c r="K1089" s="6">
        <f>'Raw Data'!I1089</f>
        <v>4.82</v>
      </c>
      <c r="L1089" s="5">
        <f>'Raw Data'!J1089</f>
        <v>32</v>
      </c>
      <c r="M1089" s="5">
        <f>IF(COUNTIFS($A$2:A1089,A1089,$D$2:D1089,D1089)=1,L1089,0)</f>
        <v>0</v>
      </c>
      <c r="N1089" s="4">
        <f t="shared" si="83"/>
        <v>262.96749999999997</v>
      </c>
      <c r="O1089" t="str">
        <f t="shared" si="84"/>
        <v>OK</v>
      </c>
    </row>
    <row r="1090" spans="1:15">
      <c r="A1090" t="str">
        <f>'Raw Data'!A1090</f>
        <v>Seattle RM-16</v>
      </c>
      <c r="B1090" t="str">
        <f>'Raw Data'!B1090</f>
        <v>West</v>
      </c>
      <c r="C1090" t="str">
        <f>'Raw Data'!C1090</f>
        <v>Apparel</v>
      </c>
      <c r="D1090" s="3">
        <f>'Raw Data'!D1090</f>
        <v>45689</v>
      </c>
      <c r="E1090" t="str">
        <f t="shared" ref="E1090:E1153" si="85">TEXT(D1090,"mmm")</f>
        <v>Feb</v>
      </c>
      <c r="F1090" s="5">
        <f>'Raw Data'!E1090</f>
        <v>134</v>
      </c>
      <c r="G1090" s="4">
        <f>'Raw Data'!F1090</f>
        <v>6740.82</v>
      </c>
      <c r="H1090" s="4">
        <f>'Raw Data'!G1090</f>
        <v>4055.2</v>
      </c>
      <c r="I1090" s="4">
        <f t="shared" ref="I1090:I1153" si="86">G1090-H1090</f>
        <v>2685.62</v>
      </c>
      <c r="J1090" s="8">
        <f t="shared" ref="J1090:J1153" si="87">IFERROR(I1090/G1090,0)</f>
        <v>0.39841146922777942</v>
      </c>
      <c r="K1090" s="6">
        <f>'Raw Data'!I1090</f>
        <v>4.7699999999999996</v>
      </c>
      <c r="L1090" s="5">
        <f>'Raw Data'!J1090</f>
        <v>32</v>
      </c>
      <c r="M1090" s="5">
        <f>IF(COUNTIFS($A$2:A1090,A1090,$D$2:D1090,D1090)=1,L1090,0)</f>
        <v>0</v>
      </c>
      <c r="N1090" s="4">
        <f t="shared" ref="N1090:N1153" si="88">IFERROR(G1090/L1090,0)</f>
        <v>210.65062499999999</v>
      </c>
      <c r="O1090" t="str">
        <f t="shared" ref="O1090:O1153" si="89">IF(OR(A1090="",B1090="",C1090="",F1090&lt;0,G1090&lt;0,H1090&lt;0,K1090&lt;1,K1090&gt;5),"Review","OK")</f>
        <v>OK</v>
      </c>
    </row>
    <row r="1091" spans="1:15">
      <c r="A1091" t="str">
        <f>'Raw Data'!A1091</f>
        <v>Seattle RM-16</v>
      </c>
      <c r="B1091" t="str">
        <f>'Raw Data'!B1091</f>
        <v>West</v>
      </c>
      <c r="C1091" t="str">
        <f>'Raw Data'!C1091</f>
        <v>Beauty</v>
      </c>
      <c r="D1091" s="3">
        <f>'Raw Data'!D1091</f>
        <v>45689</v>
      </c>
      <c r="E1091" t="str">
        <f t="shared" si="85"/>
        <v>Feb</v>
      </c>
      <c r="F1091" s="5">
        <f>'Raw Data'!E1091</f>
        <v>118</v>
      </c>
      <c r="G1091" s="4">
        <f>'Raw Data'!F1091</f>
        <v>4539.7299999999996</v>
      </c>
      <c r="H1091" s="4">
        <f>'Raw Data'!G1091</f>
        <v>2116.9499999999998</v>
      </c>
      <c r="I1091" s="4">
        <f t="shared" si="86"/>
        <v>2422.7799999999997</v>
      </c>
      <c r="J1091" s="8">
        <f t="shared" si="87"/>
        <v>0.53368372127857822</v>
      </c>
      <c r="K1091" s="6">
        <f>'Raw Data'!I1091</f>
        <v>4.68</v>
      </c>
      <c r="L1091" s="5">
        <f>'Raw Data'!J1091</f>
        <v>32</v>
      </c>
      <c r="M1091" s="5">
        <f>IF(COUNTIFS($A$2:A1091,A1091,$D$2:D1091,D1091)=1,L1091,0)</f>
        <v>0</v>
      </c>
      <c r="N1091" s="4">
        <f t="shared" si="88"/>
        <v>141.86656249999999</v>
      </c>
      <c r="O1091" t="str">
        <f t="shared" si="89"/>
        <v>OK</v>
      </c>
    </row>
    <row r="1092" spans="1:15">
      <c r="A1092" t="str">
        <f>'Raw Data'!A1092</f>
        <v>Seattle RM-16</v>
      </c>
      <c r="B1092" t="str">
        <f>'Raw Data'!B1092</f>
        <v>West</v>
      </c>
      <c r="C1092" t="str">
        <f>'Raw Data'!C1092</f>
        <v>Grocery</v>
      </c>
      <c r="D1092" s="3">
        <f>'Raw Data'!D1092</f>
        <v>45689</v>
      </c>
      <c r="E1092" t="str">
        <f t="shared" si="85"/>
        <v>Feb</v>
      </c>
      <c r="F1092" s="5">
        <f>'Raw Data'!E1092</f>
        <v>175</v>
      </c>
      <c r="G1092" s="4">
        <f>'Raw Data'!F1092</f>
        <v>3164.02</v>
      </c>
      <c r="H1092" s="4">
        <f>'Raw Data'!G1092</f>
        <v>2745.48</v>
      </c>
      <c r="I1092" s="4">
        <f t="shared" si="86"/>
        <v>418.53999999999996</v>
      </c>
      <c r="J1092" s="8">
        <f t="shared" si="87"/>
        <v>0.13228108545457992</v>
      </c>
      <c r="K1092" s="6">
        <f>'Raw Data'!I1092</f>
        <v>4.54</v>
      </c>
      <c r="L1092" s="5">
        <f>'Raw Data'!J1092</f>
        <v>32</v>
      </c>
      <c r="M1092" s="5">
        <f>IF(COUNTIFS($A$2:A1092,A1092,$D$2:D1092,D1092)=1,L1092,0)</f>
        <v>0</v>
      </c>
      <c r="N1092" s="4">
        <f t="shared" si="88"/>
        <v>98.875624999999999</v>
      </c>
      <c r="O1092" t="str">
        <f t="shared" si="89"/>
        <v>OK</v>
      </c>
    </row>
    <row r="1093" spans="1:15">
      <c r="A1093" t="str">
        <f>'Raw Data'!A1093</f>
        <v>Seattle RM-16</v>
      </c>
      <c r="B1093" t="str">
        <f>'Raw Data'!B1093</f>
        <v>West</v>
      </c>
      <c r="C1093" t="str">
        <f>'Raw Data'!C1093</f>
        <v>Sports</v>
      </c>
      <c r="D1093" s="3">
        <f>'Raw Data'!D1093</f>
        <v>45689</v>
      </c>
      <c r="E1093" t="str">
        <f t="shared" si="85"/>
        <v>Feb</v>
      </c>
      <c r="F1093" s="5">
        <f>'Raw Data'!E1093</f>
        <v>81</v>
      </c>
      <c r="G1093" s="4">
        <f>'Raw Data'!F1093</f>
        <v>5346.16</v>
      </c>
      <c r="H1093" s="4">
        <f>'Raw Data'!G1093</f>
        <v>3296.47</v>
      </c>
      <c r="I1093" s="4">
        <f t="shared" si="86"/>
        <v>2049.69</v>
      </c>
      <c r="J1093" s="8">
        <f t="shared" si="87"/>
        <v>0.38339481048079371</v>
      </c>
      <c r="K1093" s="6">
        <f>'Raw Data'!I1093</f>
        <v>4.5599999999999996</v>
      </c>
      <c r="L1093" s="5">
        <f>'Raw Data'!J1093</f>
        <v>32</v>
      </c>
      <c r="M1093" s="5">
        <f>IF(COUNTIFS($A$2:A1093,A1093,$D$2:D1093,D1093)=1,L1093,0)</f>
        <v>0</v>
      </c>
      <c r="N1093" s="4">
        <f t="shared" si="88"/>
        <v>167.0675</v>
      </c>
      <c r="O1093" t="str">
        <f t="shared" si="89"/>
        <v>OK</v>
      </c>
    </row>
    <row r="1094" spans="1:15">
      <c r="A1094" t="str">
        <f>'Raw Data'!A1094</f>
        <v>Seattle RM-16</v>
      </c>
      <c r="B1094" t="str">
        <f>'Raw Data'!B1094</f>
        <v>West</v>
      </c>
      <c r="C1094" t="str">
        <f>'Raw Data'!C1094</f>
        <v>Electronics</v>
      </c>
      <c r="D1094" s="3">
        <f>'Raw Data'!D1094</f>
        <v>45717</v>
      </c>
      <c r="E1094" t="str">
        <f t="shared" si="85"/>
        <v>Mar</v>
      </c>
      <c r="F1094" s="5">
        <f>'Raw Data'!E1094</f>
        <v>138</v>
      </c>
      <c r="G1094" s="4">
        <f>'Raw Data'!F1094</f>
        <v>21380.75</v>
      </c>
      <c r="H1094" s="4">
        <f>'Raw Data'!G1094</f>
        <v>16521.14</v>
      </c>
      <c r="I1094" s="4">
        <f t="shared" si="86"/>
        <v>4859.6100000000006</v>
      </c>
      <c r="J1094" s="8">
        <f t="shared" si="87"/>
        <v>0.2272890333594472</v>
      </c>
      <c r="K1094" s="6">
        <f>'Raw Data'!I1094</f>
        <v>4.7300000000000004</v>
      </c>
      <c r="L1094" s="5">
        <f>'Raw Data'!J1094</f>
        <v>31</v>
      </c>
      <c r="M1094" s="5">
        <f>IF(COUNTIFS($A$2:A1094,A1094,$D$2:D1094,D1094)=1,L1094,0)</f>
        <v>31</v>
      </c>
      <c r="N1094" s="4">
        <f t="shared" si="88"/>
        <v>689.70161290322585</v>
      </c>
      <c r="O1094" t="str">
        <f t="shared" si="89"/>
        <v>OK</v>
      </c>
    </row>
    <row r="1095" spans="1:15">
      <c r="A1095" t="str">
        <f>'Raw Data'!A1095</f>
        <v>Seattle RM-16</v>
      </c>
      <c r="B1095" t="str">
        <f>'Raw Data'!B1095</f>
        <v>West</v>
      </c>
      <c r="C1095" t="str">
        <f>'Raw Data'!C1095</f>
        <v>Home Goods</v>
      </c>
      <c r="D1095" s="3">
        <f>'Raw Data'!D1095</f>
        <v>45717</v>
      </c>
      <c r="E1095" t="str">
        <f t="shared" si="85"/>
        <v>Mar</v>
      </c>
      <c r="F1095" s="5">
        <f>'Raw Data'!E1095</f>
        <v>122</v>
      </c>
      <c r="G1095" s="4">
        <f>'Raw Data'!F1095</f>
        <v>9744.93</v>
      </c>
      <c r="H1095" s="4">
        <f>'Raw Data'!G1095</f>
        <v>6229</v>
      </c>
      <c r="I1095" s="4">
        <f t="shared" si="86"/>
        <v>3515.9300000000003</v>
      </c>
      <c r="J1095" s="8">
        <f t="shared" si="87"/>
        <v>0.36079581895406126</v>
      </c>
      <c r="K1095" s="6">
        <f>'Raw Data'!I1095</f>
        <v>4.7699999999999996</v>
      </c>
      <c r="L1095" s="5">
        <f>'Raw Data'!J1095</f>
        <v>31</v>
      </c>
      <c r="M1095" s="5">
        <f>IF(COUNTIFS($A$2:A1095,A1095,$D$2:D1095,D1095)=1,L1095,0)</f>
        <v>0</v>
      </c>
      <c r="N1095" s="4">
        <f t="shared" si="88"/>
        <v>314.35258064516131</v>
      </c>
      <c r="O1095" t="str">
        <f t="shared" si="89"/>
        <v>OK</v>
      </c>
    </row>
    <row r="1096" spans="1:15">
      <c r="A1096" t="str">
        <f>'Raw Data'!A1096</f>
        <v>Seattle RM-16</v>
      </c>
      <c r="B1096" t="str">
        <f>'Raw Data'!B1096</f>
        <v>West</v>
      </c>
      <c r="C1096" t="str">
        <f>'Raw Data'!C1096</f>
        <v>Apparel</v>
      </c>
      <c r="D1096" s="3">
        <f>'Raw Data'!D1096</f>
        <v>45717</v>
      </c>
      <c r="E1096" t="str">
        <f t="shared" si="85"/>
        <v>Mar</v>
      </c>
      <c r="F1096" s="5">
        <f>'Raw Data'!E1096</f>
        <v>166</v>
      </c>
      <c r="G1096" s="4">
        <f>'Raw Data'!F1096</f>
        <v>8502.43</v>
      </c>
      <c r="H1096" s="4">
        <f>'Raw Data'!G1096</f>
        <v>5062.2</v>
      </c>
      <c r="I1096" s="4">
        <f t="shared" si="86"/>
        <v>3440.2300000000005</v>
      </c>
      <c r="J1096" s="8">
        <f t="shared" si="87"/>
        <v>0.40461726823978561</v>
      </c>
      <c r="K1096" s="6">
        <f>'Raw Data'!I1096</f>
        <v>4.58</v>
      </c>
      <c r="L1096" s="5">
        <f>'Raw Data'!J1096</f>
        <v>31</v>
      </c>
      <c r="M1096" s="5">
        <f>IF(COUNTIFS($A$2:A1096,A1096,$D$2:D1096,D1096)=1,L1096,0)</f>
        <v>0</v>
      </c>
      <c r="N1096" s="4">
        <f t="shared" si="88"/>
        <v>274.271935483871</v>
      </c>
      <c r="O1096" t="str">
        <f t="shared" si="89"/>
        <v>OK</v>
      </c>
    </row>
    <row r="1097" spans="1:15">
      <c r="A1097" t="str">
        <f>'Raw Data'!A1097</f>
        <v>Seattle RM-16</v>
      </c>
      <c r="B1097" t="str">
        <f>'Raw Data'!B1097</f>
        <v>West</v>
      </c>
      <c r="C1097" t="str">
        <f>'Raw Data'!C1097</f>
        <v>Beauty</v>
      </c>
      <c r="D1097" s="3">
        <f>'Raw Data'!D1097</f>
        <v>45717</v>
      </c>
      <c r="E1097" t="str">
        <f t="shared" si="85"/>
        <v>Mar</v>
      </c>
      <c r="F1097" s="5">
        <f>'Raw Data'!E1097</f>
        <v>109</v>
      </c>
      <c r="G1097" s="4">
        <f>'Raw Data'!F1097</f>
        <v>4090.03</v>
      </c>
      <c r="H1097" s="4">
        <f>'Raw Data'!G1097</f>
        <v>1939.33</v>
      </c>
      <c r="I1097" s="4">
        <f t="shared" si="86"/>
        <v>2150.7000000000003</v>
      </c>
      <c r="J1097" s="8">
        <f t="shared" si="87"/>
        <v>0.52583966376774749</v>
      </c>
      <c r="K1097" s="6">
        <f>'Raw Data'!I1097</f>
        <v>4.5</v>
      </c>
      <c r="L1097" s="5">
        <f>'Raw Data'!J1097</f>
        <v>31</v>
      </c>
      <c r="M1097" s="5">
        <f>IF(COUNTIFS($A$2:A1097,A1097,$D$2:D1097,D1097)=1,L1097,0)</f>
        <v>0</v>
      </c>
      <c r="N1097" s="4">
        <f t="shared" si="88"/>
        <v>131.93645161290323</v>
      </c>
      <c r="O1097" t="str">
        <f t="shared" si="89"/>
        <v>OK</v>
      </c>
    </row>
    <row r="1098" spans="1:15">
      <c r="A1098" t="str">
        <f>'Raw Data'!A1098</f>
        <v>Seattle RM-16</v>
      </c>
      <c r="B1098" t="str">
        <f>'Raw Data'!B1098</f>
        <v>West</v>
      </c>
      <c r="C1098" t="str">
        <f>'Raw Data'!C1098</f>
        <v>Grocery</v>
      </c>
      <c r="D1098" s="3">
        <f>'Raw Data'!D1098</f>
        <v>45717</v>
      </c>
      <c r="E1098" t="str">
        <f t="shared" si="85"/>
        <v>Mar</v>
      </c>
      <c r="F1098" s="5">
        <f>'Raw Data'!E1098</f>
        <v>230</v>
      </c>
      <c r="G1098" s="4">
        <f>'Raw Data'!F1098</f>
        <v>4093.26</v>
      </c>
      <c r="H1098" s="4">
        <f>'Raw Data'!G1098</f>
        <v>3720.66</v>
      </c>
      <c r="I1098" s="4">
        <f t="shared" si="86"/>
        <v>372.60000000000036</v>
      </c>
      <c r="J1098" s="8">
        <f t="shared" si="87"/>
        <v>9.1027689421146071E-2</v>
      </c>
      <c r="K1098" s="6">
        <f>'Raw Data'!I1098</f>
        <v>4.59</v>
      </c>
      <c r="L1098" s="5">
        <f>'Raw Data'!J1098</f>
        <v>31</v>
      </c>
      <c r="M1098" s="5">
        <f>IF(COUNTIFS($A$2:A1098,A1098,$D$2:D1098,D1098)=1,L1098,0)</f>
        <v>0</v>
      </c>
      <c r="N1098" s="4">
        <f t="shared" si="88"/>
        <v>132.04064516129034</v>
      </c>
      <c r="O1098" t="str">
        <f t="shared" si="89"/>
        <v>OK</v>
      </c>
    </row>
    <row r="1099" spans="1:15">
      <c r="A1099" t="str">
        <f>'Raw Data'!A1099</f>
        <v>Seattle RM-16</v>
      </c>
      <c r="B1099" t="str">
        <f>'Raw Data'!B1099</f>
        <v>West</v>
      </c>
      <c r="C1099" t="str">
        <f>'Raw Data'!C1099</f>
        <v>Sports</v>
      </c>
      <c r="D1099" s="3">
        <f>'Raw Data'!D1099</f>
        <v>45717</v>
      </c>
      <c r="E1099" t="str">
        <f t="shared" si="85"/>
        <v>Mar</v>
      </c>
      <c r="F1099" s="5">
        <f>'Raw Data'!E1099</f>
        <v>96</v>
      </c>
      <c r="G1099" s="4">
        <f>'Raw Data'!F1099</f>
        <v>6318.03</v>
      </c>
      <c r="H1099" s="4">
        <f>'Raw Data'!G1099</f>
        <v>4081.59</v>
      </c>
      <c r="I1099" s="4">
        <f t="shared" si="86"/>
        <v>2236.4399999999996</v>
      </c>
      <c r="J1099" s="8">
        <f t="shared" si="87"/>
        <v>0.35397742650794628</v>
      </c>
      <c r="K1099" s="6">
        <f>'Raw Data'!I1099</f>
        <v>4.55</v>
      </c>
      <c r="L1099" s="5">
        <f>'Raw Data'!J1099</f>
        <v>31</v>
      </c>
      <c r="M1099" s="5">
        <f>IF(COUNTIFS($A$2:A1099,A1099,$D$2:D1099,D1099)=1,L1099,0)</f>
        <v>0</v>
      </c>
      <c r="N1099" s="4">
        <f t="shared" si="88"/>
        <v>203.80741935483871</v>
      </c>
      <c r="O1099" t="str">
        <f t="shared" si="89"/>
        <v>OK</v>
      </c>
    </row>
    <row r="1100" spans="1:15">
      <c r="A1100" t="str">
        <f>'Raw Data'!A1100</f>
        <v>Seattle RM-16</v>
      </c>
      <c r="B1100" t="str">
        <f>'Raw Data'!B1100</f>
        <v>West</v>
      </c>
      <c r="C1100" t="str">
        <f>'Raw Data'!C1100</f>
        <v>Electronics</v>
      </c>
      <c r="D1100" s="3">
        <f>'Raw Data'!D1100</f>
        <v>45748</v>
      </c>
      <c r="E1100" t="str">
        <f t="shared" si="85"/>
        <v>Apr</v>
      </c>
      <c r="F1100" s="5">
        <f>'Raw Data'!E1100</f>
        <v>128</v>
      </c>
      <c r="G1100" s="4">
        <f>'Raw Data'!F1100</f>
        <v>17587.05</v>
      </c>
      <c r="H1100" s="4">
        <f>'Raw Data'!G1100</f>
        <v>13526.61</v>
      </c>
      <c r="I1100" s="4">
        <f t="shared" si="86"/>
        <v>4060.4399999999987</v>
      </c>
      <c r="J1100" s="8">
        <f t="shared" si="87"/>
        <v>0.23087669620544657</v>
      </c>
      <c r="K1100" s="6">
        <f>'Raw Data'!I1100</f>
        <v>4.58</v>
      </c>
      <c r="L1100" s="5">
        <f>'Raw Data'!J1100</f>
        <v>30</v>
      </c>
      <c r="M1100" s="5">
        <f>IF(COUNTIFS($A$2:A1100,A1100,$D$2:D1100,D1100)=1,L1100,0)</f>
        <v>30</v>
      </c>
      <c r="N1100" s="4">
        <f t="shared" si="88"/>
        <v>586.23500000000001</v>
      </c>
      <c r="O1100" t="str">
        <f t="shared" si="89"/>
        <v>OK</v>
      </c>
    </row>
    <row r="1101" spans="1:15">
      <c r="A1101" t="str">
        <f>'Raw Data'!A1101</f>
        <v>Seattle RM-16</v>
      </c>
      <c r="B1101" t="str">
        <f>'Raw Data'!B1101</f>
        <v>West</v>
      </c>
      <c r="C1101" t="str">
        <f>'Raw Data'!C1101</f>
        <v>Home Goods</v>
      </c>
      <c r="D1101" s="3">
        <f>'Raw Data'!D1101</f>
        <v>45748</v>
      </c>
      <c r="E1101" t="str">
        <f t="shared" si="85"/>
        <v>Apr</v>
      </c>
      <c r="F1101" s="5">
        <f>'Raw Data'!E1101</f>
        <v>114</v>
      </c>
      <c r="G1101" s="4">
        <f>'Raw Data'!F1101</f>
        <v>8829.3799999999992</v>
      </c>
      <c r="H1101" s="4">
        <f>'Raw Data'!G1101</f>
        <v>5749.37</v>
      </c>
      <c r="I1101" s="4">
        <f t="shared" si="86"/>
        <v>3080.0099999999993</v>
      </c>
      <c r="J1101" s="8">
        <f t="shared" si="87"/>
        <v>0.34883649814596263</v>
      </c>
      <c r="K1101" s="6">
        <f>'Raw Data'!I1101</f>
        <v>4.72</v>
      </c>
      <c r="L1101" s="5">
        <f>'Raw Data'!J1101</f>
        <v>30</v>
      </c>
      <c r="M1101" s="5">
        <f>IF(COUNTIFS($A$2:A1101,A1101,$D$2:D1101,D1101)=1,L1101,0)</f>
        <v>0</v>
      </c>
      <c r="N1101" s="4">
        <f t="shared" si="88"/>
        <v>294.31266666666664</v>
      </c>
      <c r="O1101" t="str">
        <f t="shared" si="89"/>
        <v>OK</v>
      </c>
    </row>
    <row r="1102" spans="1:15">
      <c r="A1102" t="str">
        <f>'Raw Data'!A1102</f>
        <v>Seattle RM-16</v>
      </c>
      <c r="B1102" t="str">
        <f>'Raw Data'!B1102</f>
        <v>West</v>
      </c>
      <c r="C1102" t="str">
        <f>'Raw Data'!C1102</f>
        <v>Apparel</v>
      </c>
      <c r="D1102" s="3">
        <f>'Raw Data'!D1102</f>
        <v>45748</v>
      </c>
      <c r="E1102" t="str">
        <f t="shared" si="85"/>
        <v>Apr</v>
      </c>
      <c r="F1102" s="5">
        <f>'Raw Data'!E1102</f>
        <v>201</v>
      </c>
      <c r="G1102" s="4">
        <f>'Raw Data'!F1102</f>
        <v>10416.280000000001</v>
      </c>
      <c r="H1102" s="4">
        <f>'Raw Data'!G1102</f>
        <v>6404.98</v>
      </c>
      <c r="I1102" s="4">
        <f t="shared" si="86"/>
        <v>4011.3000000000011</v>
      </c>
      <c r="J1102" s="8">
        <f t="shared" si="87"/>
        <v>0.38509909487840199</v>
      </c>
      <c r="K1102" s="6">
        <f>'Raw Data'!I1102</f>
        <v>4.74</v>
      </c>
      <c r="L1102" s="5">
        <f>'Raw Data'!J1102</f>
        <v>30</v>
      </c>
      <c r="M1102" s="5">
        <f>IF(COUNTIFS($A$2:A1102,A1102,$D$2:D1102,D1102)=1,L1102,0)</f>
        <v>0</v>
      </c>
      <c r="N1102" s="4">
        <f t="shared" si="88"/>
        <v>347.20933333333335</v>
      </c>
      <c r="O1102" t="str">
        <f t="shared" si="89"/>
        <v>OK</v>
      </c>
    </row>
    <row r="1103" spans="1:15">
      <c r="A1103" t="str">
        <f>'Raw Data'!A1103</f>
        <v>Seattle RM-16</v>
      </c>
      <c r="B1103" t="str">
        <f>'Raw Data'!B1103</f>
        <v>West</v>
      </c>
      <c r="C1103" t="str">
        <f>'Raw Data'!C1103</f>
        <v>Beauty</v>
      </c>
      <c r="D1103" s="3">
        <f>'Raw Data'!D1103</f>
        <v>45748</v>
      </c>
      <c r="E1103" t="str">
        <f t="shared" si="85"/>
        <v>Apr</v>
      </c>
      <c r="F1103" s="5">
        <f>'Raw Data'!E1103</f>
        <v>146</v>
      </c>
      <c r="G1103" s="4">
        <f>'Raw Data'!F1103</f>
        <v>5363.94</v>
      </c>
      <c r="H1103" s="4">
        <f>'Raw Data'!G1103</f>
        <v>2500.9</v>
      </c>
      <c r="I1103" s="4">
        <f t="shared" si="86"/>
        <v>2863.0399999999995</v>
      </c>
      <c r="J1103" s="8">
        <f t="shared" si="87"/>
        <v>0.53375690257534569</v>
      </c>
      <c r="K1103" s="6">
        <f>'Raw Data'!I1103</f>
        <v>4.63</v>
      </c>
      <c r="L1103" s="5">
        <f>'Raw Data'!J1103</f>
        <v>30</v>
      </c>
      <c r="M1103" s="5">
        <f>IF(COUNTIFS($A$2:A1103,A1103,$D$2:D1103,D1103)=1,L1103,0)</f>
        <v>0</v>
      </c>
      <c r="N1103" s="4">
        <f t="shared" si="88"/>
        <v>178.79799999999997</v>
      </c>
      <c r="O1103" t="str">
        <f t="shared" si="89"/>
        <v>OK</v>
      </c>
    </row>
    <row r="1104" spans="1:15">
      <c r="A1104" t="str">
        <f>'Raw Data'!A1104</f>
        <v>Seattle RM-16</v>
      </c>
      <c r="B1104" t="str">
        <f>'Raw Data'!B1104</f>
        <v>West</v>
      </c>
      <c r="C1104" t="str">
        <f>'Raw Data'!C1104</f>
        <v>Grocery</v>
      </c>
      <c r="D1104" s="3">
        <f>'Raw Data'!D1104</f>
        <v>45748</v>
      </c>
      <c r="E1104" t="str">
        <f t="shared" si="85"/>
        <v>Apr</v>
      </c>
      <c r="F1104" s="5">
        <f>'Raw Data'!E1104</f>
        <v>221</v>
      </c>
      <c r="G1104" s="4">
        <f>'Raw Data'!F1104</f>
        <v>3926.54</v>
      </c>
      <c r="H1104" s="4">
        <f>'Raw Data'!G1104</f>
        <v>3520.92</v>
      </c>
      <c r="I1104" s="4">
        <f t="shared" si="86"/>
        <v>405.61999999999989</v>
      </c>
      <c r="J1104" s="8">
        <f t="shared" si="87"/>
        <v>0.10330214387221316</v>
      </c>
      <c r="K1104" s="6">
        <f>'Raw Data'!I1104</f>
        <v>4.71</v>
      </c>
      <c r="L1104" s="5">
        <f>'Raw Data'!J1104</f>
        <v>30</v>
      </c>
      <c r="M1104" s="5">
        <f>IF(COUNTIFS($A$2:A1104,A1104,$D$2:D1104,D1104)=1,L1104,0)</f>
        <v>0</v>
      </c>
      <c r="N1104" s="4">
        <f t="shared" si="88"/>
        <v>130.88466666666667</v>
      </c>
      <c r="O1104" t="str">
        <f t="shared" si="89"/>
        <v>OK</v>
      </c>
    </row>
    <row r="1105" spans="1:15">
      <c r="A1105" t="str">
        <f>'Raw Data'!A1105</f>
        <v>Seattle RM-16</v>
      </c>
      <c r="B1105" t="str">
        <f>'Raw Data'!B1105</f>
        <v>West</v>
      </c>
      <c r="C1105" t="str">
        <f>'Raw Data'!C1105</f>
        <v>Sports</v>
      </c>
      <c r="D1105" s="3">
        <f>'Raw Data'!D1105</f>
        <v>45748</v>
      </c>
      <c r="E1105" t="str">
        <f t="shared" si="85"/>
        <v>Apr</v>
      </c>
      <c r="F1105" s="5">
        <f>'Raw Data'!E1105</f>
        <v>94</v>
      </c>
      <c r="G1105" s="4">
        <f>'Raw Data'!F1105</f>
        <v>5925.57</v>
      </c>
      <c r="H1105" s="4">
        <f>'Raw Data'!G1105</f>
        <v>3726.65</v>
      </c>
      <c r="I1105" s="4">
        <f t="shared" si="86"/>
        <v>2198.9199999999996</v>
      </c>
      <c r="J1105" s="8">
        <f t="shared" si="87"/>
        <v>0.37109003859544309</v>
      </c>
      <c r="K1105" s="6">
        <f>'Raw Data'!I1105</f>
        <v>4.6100000000000003</v>
      </c>
      <c r="L1105" s="5">
        <f>'Raw Data'!J1105</f>
        <v>30</v>
      </c>
      <c r="M1105" s="5">
        <f>IF(COUNTIFS($A$2:A1105,A1105,$D$2:D1105,D1105)=1,L1105,0)</f>
        <v>0</v>
      </c>
      <c r="N1105" s="4">
        <f t="shared" si="88"/>
        <v>197.51899999999998</v>
      </c>
      <c r="O1105" t="str">
        <f t="shared" si="89"/>
        <v>OK</v>
      </c>
    </row>
    <row r="1106" spans="1:15">
      <c r="A1106" t="str">
        <f>'Raw Data'!A1106</f>
        <v>Seattle RM-16</v>
      </c>
      <c r="B1106" t="str">
        <f>'Raw Data'!B1106</f>
        <v>West</v>
      </c>
      <c r="C1106" t="str">
        <f>'Raw Data'!C1106</f>
        <v>Electronics</v>
      </c>
      <c r="D1106" s="3">
        <f>'Raw Data'!D1106</f>
        <v>45778</v>
      </c>
      <c r="E1106" t="str">
        <f t="shared" si="85"/>
        <v>May</v>
      </c>
      <c r="F1106" s="5">
        <f>'Raw Data'!E1106</f>
        <v>149</v>
      </c>
      <c r="G1106" s="4">
        <f>'Raw Data'!F1106</f>
        <v>20716.64</v>
      </c>
      <c r="H1106" s="4">
        <f>'Raw Data'!G1106</f>
        <v>16091.73</v>
      </c>
      <c r="I1106" s="4">
        <f t="shared" si="86"/>
        <v>4624.91</v>
      </c>
      <c r="J1106" s="8">
        <f t="shared" si="87"/>
        <v>0.22324614416237382</v>
      </c>
      <c r="K1106" s="6">
        <f>'Raw Data'!I1106</f>
        <v>4.6500000000000004</v>
      </c>
      <c r="L1106" s="5">
        <f>'Raw Data'!J1106</f>
        <v>32</v>
      </c>
      <c r="M1106" s="5">
        <f>IF(COUNTIFS($A$2:A1106,A1106,$D$2:D1106,D1106)=1,L1106,0)</f>
        <v>32</v>
      </c>
      <c r="N1106" s="4">
        <f t="shared" si="88"/>
        <v>647.39499999999998</v>
      </c>
      <c r="O1106" t="str">
        <f t="shared" si="89"/>
        <v>OK</v>
      </c>
    </row>
    <row r="1107" spans="1:15">
      <c r="A1107" t="str">
        <f>'Raw Data'!A1107</f>
        <v>Seattle RM-16</v>
      </c>
      <c r="B1107" t="str">
        <f>'Raw Data'!B1107</f>
        <v>West</v>
      </c>
      <c r="C1107" t="str">
        <f>'Raw Data'!C1107</f>
        <v>Home Goods</v>
      </c>
      <c r="D1107" s="3">
        <f>'Raw Data'!D1107</f>
        <v>45778</v>
      </c>
      <c r="E1107" t="str">
        <f t="shared" si="85"/>
        <v>May</v>
      </c>
      <c r="F1107" s="5">
        <f>'Raw Data'!E1107</f>
        <v>128</v>
      </c>
      <c r="G1107" s="4">
        <f>'Raw Data'!F1107</f>
        <v>10032.629999999999</v>
      </c>
      <c r="H1107" s="4">
        <f>'Raw Data'!G1107</f>
        <v>6540.2</v>
      </c>
      <c r="I1107" s="4">
        <f t="shared" si="86"/>
        <v>3492.4299999999994</v>
      </c>
      <c r="J1107" s="8">
        <f t="shared" si="87"/>
        <v>0.34810712644640535</v>
      </c>
      <c r="K1107" s="6">
        <f>'Raw Data'!I1107</f>
        <v>4.6900000000000004</v>
      </c>
      <c r="L1107" s="5">
        <f>'Raw Data'!J1107</f>
        <v>32</v>
      </c>
      <c r="M1107" s="5">
        <f>IF(COUNTIFS($A$2:A1107,A1107,$D$2:D1107,D1107)=1,L1107,0)</f>
        <v>0</v>
      </c>
      <c r="N1107" s="4">
        <f t="shared" si="88"/>
        <v>313.51968749999997</v>
      </c>
      <c r="O1107" t="str">
        <f t="shared" si="89"/>
        <v>OK</v>
      </c>
    </row>
    <row r="1108" spans="1:15">
      <c r="A1108" t="str">
        <f>'Raw Data'!A1108</f>
        <v>Seattle RM-16</v>
      </c>
      <c r="B1108" t="str">
        <f>'Raw Data'!B1108</f>
        <v>West</v>
      </c>
      <c r="C1108" t="str">
        <f>'Raw Data'!C1108</f>
        <v>Apparel</v>
      </c>
      <c r="D1108" s="3">
        <f>'Raw Data'!D1108</f>
        <v>45778</v>
      </c>
      <c r="E1108" t="str">
        <f t="shared" si="85"/>
        <v>May</v>
      </c>
      <c r="F1108" s="5">
        <f>'Raw Data'!E1108</f>
        <v>169</v>
      </c>
      <c r="G1108" s="4">
        <f>'Raw Data'!F1108</f>
        <v>7706.64</v>
      </c>
      <c r="H1108" s="4">
        <f>'Raw Data'!G1108</f>
        <v>4732.1099999999997</v>
      </c>
      <c r="I1108" s="4">
        <f t="shared" si="86"/>
        <v>2974.5300000000007</v>
      </c>
      <c r="J1108" s="8">
        <f t="shared" si="87"/>
        <v>0.38596976114104209</v>
      </c>
      <c r="K1108" s="6">
        <f>'Raw Data'!I1108</f>
        <v>4.59</v>
      </c>
      <c r="L1108" s="5">
        <f>'Raw Data'!J1108</f>
        <v>32</v>
      </c>
      <c r="M1108" s="5">
        <f>IF(COUNTIFS($A$2:A1108,A1108,$D$2:D1108,D1108)=1,L1108,0)</f>
        <v>0</v>
      </c>
      <c r="N1108" s="4">
        <f t="shared" si="88"/>
        <v>240.83250000000001</v>
      </c>
      <c r="O1108" t="str">
        <f t="shared" si="89"/>
        <v>OK</v>
      </c>
    </row>
    <row r="1109" spans="1:15">
      <c r="A1109" t="str">
        <f>'Raw Data'!A1109</f>
        <v>Seattle RM-16</v>
      </c>
      <c r="B1109" t="str">
        <f>'Raw Data'!B1109</f>
        <v>West</v>
      </c>
      <c r="C1109" t="str">
        <f>'Raw Data'!C1109</f>
        <v>Beauty</v>
      </c>
      <c r="D1109" s="3">
        <f>'Raw Data'!D1109</f>
        <v>45778</v>
      </c>
      <c r="E1109" t="str">
        <f t="shared" si="85"/>
        <v>May</v>
      </c>
      <c r="F1109" s="5">
        <f>'Raw Data'!E1109</f>
        <v>132</v>
      </c>
      <c r="G1109" s="4">
        <f>'Raw Data'!F1109</f>
        <v>5081.6899999999996</v>
      </c>
      <c r="H1109" s="4">
        <f>'Raw Data'!G1109</f>
        <v>2398.9699999999998</v>
      </c>
      <c r="I1109" s="4">
        <f t="shared" si="86"/>
        <v>2682.72</v>
      </c>
      <c r="J1109" s="8">
        <f t="shared" si="87"/>
        <v>0.5279188616385494</v>
      </c>
      <c r="K1109" s="6">
        <f>'Raw Data'!I1109</f>
        <v>4.71</v>
      </c>
      <c r="L1109" s="5">
        <f>'Raw Data'!J1109</f>
        <v>32</v>
      </c>
      <c r="M1109" s="5">
        <f>IF(COUNTIFS($A$2:A1109,A1109,$D$2:D1109,D1109)=1,L1109,0)</f>
        <v>0</v>
      </c>
      <c r="N1109" s="4">
        <f t="shared" si="88"/>
        <v>158.80281249999999</v>
      </c>
      <c r="O1109" t="str">
        <f t="shared" si="89"/>
        <v>OK</v>
      </c>
    </row>
    <row r="1110" spans="1:15">
      <c r="A1110" t="str">
        <f>'Raw Data'!A1110</f>
        <v>Seattle RM-16</v>
      </c>
      <c r="B1110" t="str">
        <f>'Raw Data'!B1110</f>
        <v>West</v>
      </c>
      <c r="C1110" t="str">
        <f>'Raw Data'!C1110</f>
        <v>Grocery</v>
      </c>
      <c r="D1110" s="3">
        <f>'Raw Data'!D1110</f>
        <v>45778</v>
      </c>
      <c r="E1110" t="str">
        <f t="shared" si="85"/>
        <v>May</v>
      </c>
      <c r="F1110" s="5">
        <f>'Raw Data'!E1110</f>
        <v>217</v>
      </c>
      <c r="G1110" s="4">
        <f>'Raw Data'!F1110</f>
        <v>3847.03</v>
      </c>
      <c r="H1110" s="4">
        <f>'Raw Data'!G1110</f>
        <v>3497.31</v>
      </c>
      <c r="I1110" s="4">
        <f t="shared" si="86"/>
        <v>349.72000000000025</v>
      </c>
      <c r="J1110" s="8">
        <f t="shared" si="87"/>
        <v>9.0906491501236086E-2</v>
      </c>
      <c r="K1110" s="6">
        <f>'Raw Data'!I1110</f>
        <v>4.45</v>
      </c>
      <c r="L1110" s="5">
        <f>'Raw Data'!J1110</f>
        <v>32</v>
      </c>
      <c r="M1110" s="5">
        <f>IF(COUNTIFS($A$2:A1110,A1110,$D$2:D1110,D1110)=1,L1110,0)</f>
        <v>0</v>
      </c>
      <c r="N1110" s="4">
        <f t="shared" si="88"/>
        <v>120.21968750000001</v>
      </c>
      <c r="O1110" t="str">
        <f t="shared" si="89"/>
        <v>OK</v>
      </c>
    </row>
    <row r="1111" spans="1:15">
      <c r="A1111" t="str">
        <f>'Raw Data'!A1111</f>
        <v>Seattle RM-16</v>
      </c>
      <c r="B1111" t="str">
        <f>'Raw Data'!B1111</f>
        <v>West</v>
      </c>
      <c r="C1111" t="str">
        <f>'Raw Data'!C1111</f>
        <v>Sports</v>
      </c>
      <c r="D1111" s="3">
        <f>'Raw Data'!D1111</f>
        <v>45778</v>
      </c>
      <c r="E1111" t="str">
        <f t="shared" si="85"/>
        <v>May</v>
      </c>
      <c r="F1111" s="5">
        <f>'Raw Data'!E1111</f>
        <v>140</v>
      </c>
      <c r="G1111" s="4">
        <f>'Raw Data'!F1111</f>
        <v>8529.6200000000008</v>
      </c>
      <c r="H1111" s="4">
        <f>'Raw Data'!G1111</f>
        <v>5653.8</v>
      </c>
      <c r="I1111" s="4">
        <f t="shared" si="86"/>
        <v>2875.8200000000006</v>
      </c>
      <c r="J1111" s="8">
        <f t="shared" si="87"/>
        <v>0.33715687217015533</v>
      </c>
      <c r="K1111" s="6">
        <f>'Raw Data'!I1111</f>
        <v>4.6900000000000004</v>
      </c>
      <c r="L1111" s="5">
        <f>'Raw Data'!J1111</f>
        <v>32</v>
      </c>
      <c r="M1111" s="5">
        <f>IF(COUNTIFS($A$2:A1111,A1111,$D$2:D1111,D1111)=1,L1111,0)</f>
        <v>0</v>
      </c>
      <c r="N1111" s="4">
        <f t="shared" si="88"/>
        <v>266.55062500000003</v>
      </c>
      <c r="O1111" t="str">
        <f t="shared" si="89"/>
        <v>OK</v>
      </c>
    </row>
    <row r="1112" spans="1:15">
      <c r="A1112" t="str">
        <f>'Raw Data'!A1112</f>
        <v>Seattle RM-16</v>
      </c>
      <c r="B1112" t="str">
        <f>'Raw Data'!B1112</f>
        <v>West</v>
      </c>
      <c r="C1112" t="str">
        <f>'Raw Data'!C1112</f>
        <v>Electronics</v>
      </c>
      <c r="D1112" s="3">
        <f>'Raw Data'!D1112</f>
        <v>45809</v>
      </c>
      <c r="E1112" t="str">
        <f t="shared" si="85"/>
        <v>Jun</v>
      </c>
      <c r="F1112" s="5">
        <f>'Raw Data'!E1112</f>
        <v>145</v>
      </c>
      <c r="G1112" s="4">
        <f>'Raw Data'!F1112</f>
        <v>22483.919999999998</v>
      </c>
      <c r="H1112" s="4">
        <f>'Raw Data'!G1112</f>
        <v>17257.02</v>
      </c>
      <c r="I1112" s="4">
        <f t="shared" si="86"/>
        <v>5226.8999999999978</v>
      </c>
      <c r="J1112" s="8">
        <f t="shared" si="87"/>
        <v>0.23247280723290237</v>
      </c>
      <c r="K1112" s="6">
        <f>'Raw Data'!I1112</f>
        <v>4.72</v>
      </c>
      <c r="L1112" s="5">
        <f>'Raw Data'!J1112</f>
        <v>33</v>
      </c>
      <c r="M1112" s="5">
        <f>IF(COUNTIFS($A$2:A1112,A1112,$D$2:D1112,D1112)=1,L1112,0)</f>
        <v>33</v>
      </c>
      <c r="N1112" s="4">
        <f t="shared" si="88"/>
        <v>681.33090909090902</v>
      </c>
      <c r="O1112" t="str">
        <f t="shared" si="89"/>
        <v>OK</v>
      </c>
    </row>
    <row r="1113" spans="1:15">
      <c r="A1113" t="str">
        <f>'Raw Data'!A1113</f>
        <v>Seattle RM-16</v>
      </c>
      <c r="B1113" t="str">
        <f>'Raw Data'!B1113</f>
        <v>West</v>
      </c>
      <c r="C1113" t="str">
        <f>'Raw Data'!C1113</f>
        <v>Home Goods</v>
      </c>
      <c r="D1113" s="3">
        <f>'Raw Data'!D1113</f>
        <v>45809</v>
      </c>
      <c r="E1113" t="str">
        <f t="shared" si="85"/>
        <v>Jun</v>
      </c>
      <c r="F1113" s="5">
        <f>'Raw Data'!E1113</f>
        <v>132</v>
      </c>
      <c r="G1113" s="4">
        <f>'Raw Data'!F1113</f>
        <v>9649.17</v>
      </c>
      <c r="H1113" s="4">
        <f>'Raw Data'!G1113</f>
        <v>6553.57</v>
      </c>
      <c r="I1113" s="4">
        <f t="shared" si="86"/>
        <v>3095.6000000000004</v>
      </c>
      <c r="J1113" s="8">
        <f t="shared" si="87"/>
        <v>0.3208151581949536</v>
      </c>
      <c r="K1113" s="6">
        <f>'Raw Data'!I1113</f>
        <v>4.5</v>
      </c>
      <c r="L1113" s="5">
        <f>'Raw Data'!J1113</f>
        <v>33</v>
      </c>
      <c r="M1113" s="5">
        <f>IF(COUNTIFS($A$2:A1113,A1113,$D$2:D1113,D1113)=1,L1113,0)</f>
        <v>0</v>
      </c>
      <c r="N1113" s="4">
        <f t="shared" si="88"/>
        <v>292.39909090909089</v>
      </c>
      <c r="O1113" t="str">
        <f t="shared" si="89"/>
        <v>OK</v>
      </c>
    </row>
    <row r="1114" spans="1:15">
      <c r="A1114" t="str">
        <f>'Raw Data'!A1114</f>
        <v>Seattle RM-16</v>
      </c>
      <c r="B1114" t="str">
        <f>'Raw Data'!B1114</f>
        <v>West</v>
      </c>
      <c r="C1114" t="str">
        <f>'Raw Data'!C1114</f>
        <v>Apparel</v>
      </c>
      <c r="D1114" s="3">
        <f>'Raw Data'!D1114</f>
        <v>45809</v>
      </c>
      <c r="E1114" t="str">
        <f t="shared" si="85"/>
        <v>Jun</v>
      </c>
      <c r="F1114" s="5">
        <f>'Raw Data'!E1114</f>
        <v>177</v>
      </c>
      <c r="G1114" s="4">
        <f>'Raw Data'!F1114</f>
        <v>8724.89</v>
      </c>
      <c r="H1114" s="4">
        <f>'Raw Data'!G1114</f>
        <v>5209.67</v>
      </c>
      <c r="I1114" s="4">
        <f t="shared" si="86"/>
        <v>3515.2199999999993</v>
      </c>
      <c r="J1114" s="8">
        <f t="shared" si="87"/>
        <v>0.4028956238989832</v>
      </c>
      <c r="K1114" s="6">
        <f>'Raw Data'!I1114</f>
        <v>4.7699999999999996</v>
      </c>
      <c r="L1114" s="5">
        <f>'Raw Data'!J1114</f>
        <v>33</v>
      </c>
      <c r="M1114" s="5">
        <f>IF(COUNTIFS($A$2:A1114,A1114,$D$2:D1114,D1114)=1,L1114,0)</f>
        <v>0</v>
      </c>
      <c r="N1114" s="4">
        <f t="shared" si="88"/>
        <v>264.39060606060605</v>
      </c>
      <c r="O1114" t="str">
        <f t="shared" si="89"/>
        <v>OK</v>
      </c>
    </row>
    <row r="1115" spans="1:15">
      <c r="A1115" t="str">
        <f>'Raw Data'!A1115</f>
        <v>Seattle RM-16</v>
      </c>
      <c r="B1115" t="str">
        <f>'Raw Data'!B1115</f>
        <v>West</v>
      </c>
      <c r="C1115" t="str">
        <f>'Raw Data'!C1115</f>
        <v>Beauty</v>
      </c>
      <c r="D1115" s="3">
        <f>'Raw Data'!D1115</f>
        <v>45809</v>
      </c>
      <c r="E1115" t="str">
        <f t="shared" si="85"/>
        <v>Jun</v>
      </c>
      <c r="F1115" s="5">
        <f>'Raw Data'!E1115</f>
        <v>139</v>
      </c>
      <c r="G1115" s="4">
        <f>'Raw Data'!F1115</f>
        <v>4905.3</v>
      </c>
      <c r="H1115" s="4">
        <f>'Raw Data'!G1115</f>
        <v>2380.9899999999998</v>
      </c>
      <c r="I1115" s="4">
        <f t="shared" si="86"/>
        <v>2524.3100000000004</v>
      </c>
      <c r="J1115" s="8">
        <f t="shared" si="87"/>
        <v>0.51460868856135211</v>
      </c>
      <c r="K1115" s="6">
        <f>'Raw Data'!I1115</f>
        <v>4.76</v>
      </c>
      <c r="L1115" s="5">
        <f>'Raw Data'!J1115</f>
        <v>33</v>
      </c>
      <c r="M1115" s="5">
        <f>IF(COUNTIFS($A$2:A1115,A1115,$D$2:D1115,D1115)=1,L1115,0)</f>
        <v>0</v>
      </c>
      <c r="N1115" s="4">
        <f t="shared" si="88"/>
        <v>148.64545454545456</v>
      </c>
      <c r="O1115" t="str">
        <f t="shared" si="89"/>
        <v>OK</v>
      </c>
    </row>
    <row r="1116" spans="1:15">
      <c r="A1116" t="str">
        <f>'Raw Data'!A1116</f>
        <v>Seattle RM-16</v>
      </c>
      <c r="B1116" t="str">
        <f>'Raw Data'!B1116</f>
        <v>West</v>
      </c>
      <c r="C1116" t="str">
        <f>'Raw Data'!C1116</f>
        <v>Grocery</v>
      </c>
      <c r="D1116" s="3">
        <f>'Raw Data'!D1116</f>
        <v>45809</v>
      </c>
      <c r="E1116" t="str">
        <f t="shared" si="85"/>
        <v>Jun</v>
      </c>
      <c r="F1116" s="5">
        <f>'Raw Data'!E1116</f>
        <v>236</v>
      </c>
      <c r="G1116" s="4">
        <f>'Raw Data'!F1116</f>
        <v>4190.49</v>
      </c>
      <c r="H1116" s="4">
        <f>'Raw Data'!G1116</f>
        <v>3868.26</v>
      </c>
      <c r="I1116" s="4">
        <f t="shared" si="86"/>
        <v>322.22999999999956</v>
      </c>
      <c r="J1116" s="8">
        <f t="shared" si="87"/>
        <v>7.6895542048781781E-2</v>
      </c>
      <c r="K1116" s="6">
        <f>'Raw Data'!I1116</f>
        <v>4.5199999999999996</v>
      </c>
      <c r="L1116" s="5">
        <f>'Raw Data'!J1116</f>
        <v>33</v>
      </c>
      <c r="M1116" s="5">
        <f>IF(COUNTIFS($A$2:A1116,A1116,$D$2:D1116,D1116)=1,L1116,0)</f>
        <v>0</v>
      </c>
      <c r="N1116" s="4">
        <f t="shared" si="88"/>
        <v>126.98454545454545</v>
      </c>
      <c r="O1116" t="str">
        <f t="shared" si="89"/>
        <v>OK</v>
      </c>
    </row>
    <row r="1117" spans="1:15">
      <c r="A1117" t="str">
        <f>'Raw Data'!A1117</f>
        <v>Seattle RM-16</v>
      </c>
      <c r="B1117" t="str">
        <f>'Raw Data'!B1117</f>
        <v>West</v>
      </c>
      <c r="C1117" t="str">
        <f>'Raw Data'!C1117</f>
        <v>Sports</v>
      </c>
      <c r="D1117" s="3">
        <f>'Raw Data'!D1117</f>
        <v>45809</v>
      </c>
      <c r="E1117" t="str">
        <f t="shared" si="85"/>
        <v>Jun</v>
      </c>
      <c r="F1117" s="5">
        <f>'Raw Data'!E1117</f>
        <v>154</v>
      </c>
      <c r="G1117" s="4">
        <f>'Raw Data'!F1117</f>
        <v>9705.5400000000009</v>
      </c>
      <c r="H1117" s="4">
        <f>'Raw Data'!G1117</f>
        <v>6403.36</v>
      </c>
      <c r="I1117" s="4">
        <f t="shared" si="86"/>
        <v>3302.1800000000012</v>
      </c>
      <c r="J1117" s="8">
        <f t="shared" si="87"/>
        <v>0.34023660713365778</v>
      </c>
      <c r="K1117" s="6">
        <f>'Raw Data'!I1117</f>
        <v>4.67</v>
      </c>
      <c r="L1117" s="5">
        <f>'Raw Data'!J1117</f>
        <v>33</v>
      </c>
      <c r="M1117" s="5">
        <f>IF(COUNTIFS($A$2:A1117,A1117,$D$2:D1117,D1117)=1,L1117,0)</f>
        <v>0</v>
      </c>
      <c r="N1117" s="4">
        <f t="shared" si="88"/>
        <v>294.10727272727274</v>
      </c>
      <c r="O1117" t="str">
        <f t="shared" si="89"/>
        <v>OK</v>
      </c>
    </row>
    <row r="1118" spans="1:15">
      <c r="A1118" t="str">
        <f>'Raw Data'!A1118</f>
        <v>Seattle RM-16</v>
      </c>
      <c r="B1118" t="str">
        <f>'Raw Data'!B1118</f>
        <v>West</v>
      </c>
      <c r="C1118" t="str">
        <f>'Raw Data'!C1118</f>
        <v>Electronics</v>
      </c>
      <c r="D1118" s="3">
        <f>'Raw Data'!D1118</f>
        <v>45839</v>
      </c>
      <c r="E1118" t="str">
        <f t="shared" si="85"/>
        <v>Jul</v>
      </c>
      <c r="F1118" s="5">
        <f>'Raw Data'!E1118</f>
        <v>155</v>
      </c>
      <c r="G1118" s="4">
        <f>'Raw Data'!F1118</f>
        <v>22311.49</v>
      </c>
      <c r="H1118" s="4">
        <f>'Raw Data'!G1118</f>
        <v>17964.07</v>
      </c>
      <c r="I1118" s="4">
        <f t="shared" si="86"/>
        <v>4347.4200000000019</v>
      </c>
      <c r="J1118" s="8">
        <f t="shared" si="87"/>
        <v>0.19485117309511832</v>
      </c>
      <c r="K1118" s="6">
        <f>'Raw Data'!I1118</f>
        <v>4.66</v>
      </c>
      <c r="L1118" s="5">
        <f>'Raw Data'!J1118</f>
        <v>32</v>
      </c>
      <c r="M1118" s="5">
        <f>IF(COUNTIFS($A$2:A1118,A1118,$D$2:D1118,D1118)=1,L1118,0)</f>
        <v>32</v>
      </c>
      <c r="N1118" s="4">
        <f t="shared" si="88"/>
        <v>697.23406250000005</v>
      </c>
      <c r="O1118" t="str">
        <f t="shared" si="89"/>
        <v>OK</v>
      </c>
    </row>
    <row r="1119" spans="1:15">
      <c r="A1119" t="str">
        <f>'Raw Data'!A1119</f>
        <v>Seattle RM-16</v>
      </c>
      <c r="B1119" t="str">
        <f>'Raw Data'!B1119</f>
        <v>West</v>
      </c>
      <c r="C1119" t="str">
        <f>'Raw Data'!C1119</f>
        <v>Home Goods</v>
      </c>
      <c r="D1119" s="3">
        <f>'Raw Data'!D1119</f>
        <v>45839</v>
      </c>
      <c r="E1119" t="str">
        <f t="shared" si="85"/>
        <v>Jul</v>
      </c>
      <c r="F1119" s="5">
        <f>'Raw Data'!E1119</f>
        <v>130</v>
      </c>
      <c r="G1119" s="4">
        <f>'Raw Data'!F1119</f>
        <v>9640.5499999999993</v>
      </c>
      <c r="H1119" s="4">
        <f>'Raw Data'!G1119</f>
        <v>6345</v>
      </c>
      <c r="I1119" s="4">
        <f t="shared" si="86"/>
        <v>3295.5499999999993</v>
      </c>
      <c r="J1119" s="8">
        <f t="shared" si="87"/>
        <v>0.34184252973118751</v>
      </c>
      <c r="K1119" s="6">
        <f>'Raw Data'!I1119</f>
        <v>4.54</v>
      </c>
      <c r="L1119" s="5">
        <f>'Raw Data'!J1119</f>
        <v>32</v>
      </c>
      <c r="M1119" s="5">
        <f>IF(COUNTIFS($A$2:A1119,A1119,$D$2:D1119,D1119)=1,L1119,0)</f>
        <v>0</v>
      </c>
      <c r="N1119" s="4">
        <f t="shared" si="88"/>
        <v>301.26718749999998</v>
      </c>
      <c r="O1119" t="str">
        <f t="shared" si="89"/>
        <v>OK</v>
      </c>
    </row>
    <row r="1120" spans="1:15">
      <c r="A1120" t="str">
        <f>'Raw Data'!A1120</f>
        <v>Seattle RM-16</v>
      </c>
      <c r="B1120" t="str">
        <f>'Raw Data'!B1120</f>
        <v>West</v>
      </c>
      <c r="C1120" t="str">
        <f>'Raw Data'!C1120</f>
        <v>Apparel</v>
      </c>
      <c r="D1120" s="3">
        <f>'Raw Data'!D1120</f>
        <v>45839</v>
      </c>
      <c r="E1120" t="str">
        <f t="shared" si="85"/>
        <v>Jul</v>
      </c>
      <c r="F1120" s="5">
        <f>'Raw Data'!E1120</f>
        <v>181</v>
      </c>
      <c r="G1120" s="4">
        <f>'Raw Data'!F1120</f>
        <v>8732.26</v>
      </c>
      <c r="H1120" s="4">
        <f>'Raw Data'!G1120</f>
        <v>5522.75</v>
      </c>
      <c r="I1120" s="4">
        <f t="shared" si="86"/>
        <v>3209.51</v>
      </c>
      <c r="J1120" s="8">
        <f t="shared" si="87"/>
        <v>0.36754631676106758</v>
      </c>
      <c r="K1120" s="6">
        <f>'Raw Data'!I1120</f>
        <v>4.49</v>
      </c>
      <c r="L1120" s="5">
        <f>'Raw Data'!J1120</f>
        <v>32</v>
      </c>
      <c r="M1120" s="5">
        <f>IF(COUNTIFS($A$2:A1120,A1120,$D$2:D1120,D1120)=1,L1120,0)</f>
        <v>0</v>
      </c>
      <c r="N1120" s="4">
        <f t="shared" si="88"/>
        <v>272.88312500000001</v>
      </c>
      <c r="O1120" t="str">
        <f t="shared" si="89"/>
        <v>OK</v>
      </c>
    </row>
    <row r="1121" spans="1:15">
      <c r="A1121" t="str">
        <f>'Raw Data'!A1121</f>
        <v>Seattle RM-16</v>
      </c>
      <c r="B1121" t="str">
        <f>'Raw Data'!B1121</f>
        <v>West</v>
      </c>
      <c r="C1121" t="str">
        <f>'Raw Data'!C1121</f>
        <v>Beauty</v>
      </c>
      <c r="D1121" s="3">
        <f>'Raw Data'!D1121</f>
        <v>45839</v>
      </c>
      <c r="E1121" t="str">
        <f t="shared" si="85"/>
        <v>Jul</v>
      </c>
      <c r="F1121" s="5">
        <f>'Raw Data'!E1121</f>
        <v>145</v>
      </c>
      <c r="G1121" s="4">
        <f>'Raw Data'!F1121</f>
        <v>5389.4</v>
      </c>
      <c r="H1121" s="4">
        <f>'Raw Data'!G1121</f>
        <v>2699.28</v>
      </c>
      <c r="I1121" s="4">
        <f t="shared" si="86"/>
        <v>2690.1199999999994</v>
      </c>
      <c r="J1121" s="8">
        <f t="shared" si="87"/>
        <v>0.49915018369391762</v>
      </c>
      <c r="K1121" s="6">
        <f>'Raw Data'!I1121</f>
        <v>4.8</v>
      </c>
      <c r="L1121" s="5">
        <f>'Raw Data'!J1121</f>
        <v>32</v>
      </c>
      <c r="M1121" s="5">
        <f>IF(COUNTIFS($A$2:A1121,A1121,$D$2:D1121,D1121)=1,L1121,0)</f>
        <v>0</v>
      </c>
      <c r="N1121" s="4">
        <f t="shared" si="88"/>
        <v>168.41874999999999</v>
      </c>
      <c r="O1121" t="str">
        <f t="shared" si="89"/>
        <v>OK</v>
      </c>
    </row>
    <row r="1122" spans="1:15">
      <c r="A1122" t="str">
        <f>'Raw Data'!A1122</f>
        <v>Seattle RM-16</v>
      </c>
      <c r="B1122" t="str">
        <f>'Raw Data'!B1122</f>
        <v>West</v>
      </c>
      <c r="C1122" t="str">
        <f>'Raw Data'!C1122</f>
        <v>Grocery</v>
      </c>
      <c r="D1122" s="3">
        <f>'Raw Data'!D1122</f>
        <v>45839</v>
      </c>
      <c r="E1122" t="str">
        <f t="shared" si="85"/>
        <v>Jul</v>
      </c>
      <c r="F1122" s="5">
        <f>'Raw Data'!E1122</f>
        <v>249</v>
      </c>
      <c r="G1122" s="4">
        <f>'Raw Data'!F1122</f>
        <v>4396.62</v>
      </c>
      <c r="H1122" s="4">
        <f>'Raw Data'!G1122</f>
        <v>4119.9399999999996</v>
      </c>
      <c r="I1122" s="4">
        <f t="shared" si="86"/>
        <v>276.68000000000029</v>
      </c>
      <c r="J1122" s="8">
        <f t="shared" si="87"/>
        <v>6.2930159986535172E-2</v>
      </c>
      <c r="K1122" s="6">
        <f>'Raw Data'!I1122</f>
        <v>4.58</v>
      </c>
      <c r="L1122" s="5">
        <f>'Raw Data'!J1122</f>
        <v>32</v>
      </c>
      <c r="M1122" s="5">
        <f>IF(COUNTIFS($A$2:A1122,A1122,$D$2:D1122,D1122)=1,L1122,0)</f>
        <v>0</v>
      </c>
      <c r="N1122" s="4">
        <f t="shared" si="88"/>
        <v>137.394375</v>
      </c>
      <c r="O1122" t="str">
        <f t="shared" si="89"/>
        <v>OK</v>
      </c>
    </row>
    <row r="1123" spans="1:15">
      <c r="A1123" t="str">
        <f>'Raw Data'!A1123</f>
        <v>Seattle RM-16</v>
      </c>
      <c r="B1123" t="str">
        <f>'Raw Data'!B1123</f>
        <v>West</v>
      </c>
      <c r="C1123" t="str">
        <f>'Raw Data'!C1123</f>
        <v>Sports</v>
      </c>
      <c r="D1123" s="3">
        <f>'Raw Data'!D1123</f>
        <v>45839</v>
      </c>
      <c r="E1123" t="str">
        <f t="shared" si="85"/>
        <v>Jul</v>
      </c>
      <c r="F1123" s="5">
        <f>'Raw Data'!E1123</f>
        <v>153</v>
      </c>
      <c r="G1123" s="4">
        <f>'Raw Data'!F1123</f>
        <v>10218.040000000001</v>
      </c>
      <c r="H1123" s="4">
        <f>'Raw Data'!G1123</f>
        <v>6706.47</v>
      </c>
      <c r="I1123" s="4">
        <f t="shared" si="86"/>
        <v>3511.5700000000006</v>
      </c>
      <c r="J1123" s="8">
        <f t="shared" si="87"/>
        <v>0.34366375547560984</v>
      </c>
      <c r="K1123" s="6">
        <f>'Raw Data'!I1123</f>
        <v>4.7300000000000004</v>
      </c>
      <c r="L1123" s="5">
        <f>'Raw Data'!J1123</f>
        <v>32</v>
      </c>
      <c r="M1123" s="5">
        <f>IF(COUNTIFS($A$2:A1123,A1123,$D$2:D1123,D1123)=1,L1123,0)</f>
        <v>0</v>
      </c>
      <c r="N1123" s="4">
        <f t="shared" si="88"/>
        <v>319.31375000000003</v>
      </c>
      <c r="O1123" t="str">
        <f t="shared" si="89"/>
        <v>OK</v>
      </c>
    </row>
    <row r="1124" spans="1:15">
      <c r="A1124" t="str">
        <f>'Raw Data'!A1124</f>
        <v>Seattle RM-16</v>
      </c>
      <c r="B1124" t="str">
        <f>'Raw Data'!B1124</f>
        <v>West</v>
      </c>
      <c r="C1124" t="str">
        <f>'Raw Data'!C1124</f>
        <v>Electronics</v>
      </c>
      <c r="D1124" s="3">
        <f>'Raw Data'!D1124</f>
        <v>45870</v>
      </c>
      <c r="E1124" t="str">
        <f t="shared" si="85"/>
        <v>Aug</v>
      </c>
      <c r="F1124" s="5">
        <f>'Raw Data'!E1124</f>
        <v>138</v>
      </c>
      <c r="G1124" s="4">
        <f>'Raw Data'!F1124</f>
        <v>19055.98</v>
      </c>
      <c r="H1124" s="4">
        <f>'Raw Data'!G1124</f>
        <v>14819.66</v>
      </c>
      <c r="I1124" s="4">
        <f t="shared" si="86"/>
        <v>4236.32</v>
      </c>
      <c r="J1124" s="8">
        <f t="shared" si="87"/>
        <v>0.22230921736903586</v>
      </c>
      <c r="K1124" s="6">
        <f>'Raw Data'!I1124</f>
        <v>4.82</v>
      </c>
      <c r="L1124" s="5">
        <f>'Raw Data'!J1124</f>
        <v>32</v>
      </c>
      <c r="M1124" s="5">
        <f>IF(COUNTIFS($A$2:A1124,A1124,$D$2:D1124,D1124)=1,L1124,0)</f>
        <v>32</v>
      </c>
      <c r="N1124" s="4">
        <f t="shared" si="88"/>
        <v>595.49937499999999</v>
      </c>
      <c r="O1124" t="str">
        <f t="shared" si="89"/>
        <v>OK</v>
      </c>
    </row>
    <row r="1125" spans="1:15">
      <c r="A1125" t="str">
        <f>'Raw Data'!A1125</f>
        <v>Seattle RM-16</v>
      </c>
      <c r="B1125" t="str">
        <f>'Raw Data'!B1125</f>
        <v>West</v>
      </c>
      <c r="C1125" t="str">
        <f>'Raw Data'!C1125</f>
        <v>Home Goods</v>
      </c>
      <c r="D1125" s="3">
        <f>'Raw Data'!D1125</f>
        <v>45870</v>
      </c>
      <c r="E1125" t="str">
        <f t="shared" si="85"/>
        <v>Aug</v>
      </c>
      <c r="F1125" s="5">
        <f>'Raw Data'!E1125</f>
        <v>141</v>
      </c>
      <c r="G1125" s="4">
        <f>'Raw Data'!F1125</f>
        <v>10914.21</v>
      </c>
      <c r="H1125" s="4">
        <f>'Raw Data'!G1125</f>
        <v>7538.38</v>
      </c>
      <c r="I1125" s="4">
        <f t="shared" si="86"/>
        <v>3375.829999999999</v>
      </c>
      <c r="J1125" s="8">
        <f t="shared" si="87"/>
        <v>0.30930594152027485</v>
      </c>
      <c r="K1125" s="6">
        <f>'Raw Data'!I1125</f>
        <v>4.4800000000000004</v>
      </c>
      <c r="L1125" s="5">
        <f>'Raw Data'!J1125</f>
        <v>32</v>
      </c>
      <c r="M1125" s="5">
        <f>IF(COUNTIFS($A$2:A1125,A1125,$D$2:D1125,D1125)=1,L1125,0)</f>
        <v>0</v>
      </c>
      <c r="N1125" s="4">
        <f t="shared" si="88"/>
        <v>341.06906249999997</v>
      </c>
      <c r="O1125" t="str">
        <f t="shared" si="89"/>
        <v>OK</v>
      </c>
    </row>
    <row r="1126" spans="1:15">
      <c r="A1126" t="str">
        <f>'Raw Data'!A1126</f>
        <v>Seattle RM-16</v>
      </c>
      <c r="B1126" t="str">
        <f>'Raw Data'!B1126</f>
        <v>West</v>
      </c>
      <c r="C1126" t="str">
        <f>'Raw Data'!C1126</f>
        <v>Apparel</v>
      </c>
      <c r="D1126" s="3">
        <f>'Raw Data'!D1126</f>
        <v>45870</v>
      </c>
      <c r="E1126" t="str">
        <f t="shared" si="85"/>
        <v>Aug</v>
      </c>
      <c r="F1126" s="5">
        <f>'Raw Data'!E1126</f>
        <v>221</v>
      </c>
      <c r="G1126" s="4">
        <f>'Raw Data'!F1126</f>
        <v>10699.13</v>
      </c>
      <c r="H1126" s="4">
        <f>'Raw Data'!G1126</f>
        <v>6752.44</v>
      </c>
      <c r="I1126" s="4">
        <f t="shared" si="86"/>
        <v>3946.6899999999996</v>
      </c>
      <c r="J1126" s="8">
        <f t="shared" si="87"/>
        <v>0.36887952571844623</v>
      </c>
      <c r="K1126" s="6">
        <f>'Raw Data'!I1126</f>
        <v>4.4800000000000004</v>
      </c>
      <c r="L1126" s="5">
        <f>'Raw Data'!J1126</f>
        <v>32</v>
      </c>
      <c r="M1126" s="5">
        <f>IF(COUNTIFS($A$2:A1126,A1126,$D$2:D1126,D1126)=1,L1126,0)</f>
        <v>0</v>
      </c>
      <c r="N1126" s="4">
        <f t="shared" si="88"/>
        <v>334.34781249999997</v>
      </c>
      <c r="O1126" t="str">
        <f t="shared" si="89"/>
        <v>OK</v>
      </c>
    </row>
    <row r="1127" spans="1:15">
      <c r="A1127" t="str">
        <f>'Raw Data'!A1127</f>
        <v>Seattle RM-16</v>
      </c>
      <c r="B1127" t="str">
        <f>'Raw Data'!B1127</f>
        <v>West</v>
      </c>
      <c r="C1127" t="str">
        <f>'Raw Data'!C1127</f>
        <v>Beauty</v>
      </c>
      <c r="D1127" s="3">
        <f>'Raw Data'!D1127</f>
        <v>45870</v>
      </c>
      <c r="E1127" t="str">
        <f t="shared" si="85"/>
        <v>Aug</v>
      </c>
      <c r="F1127" s="5">
        <f>'Raw Data'!E1127</f>
        <v>142</v>
      </c>
      <c r="G1127" s="4">
        <f>'Raw Data'!F1127</f>
        <v>5295.03</v>
      </c>
      <c r="H1127" s="4">
        <f>'Raw Data'!G1127</f>
        <v>2635.04</v>
      </c>
      <c r="I1127" s="4">
        <f t="shared" si="86"/>
        <v>2659.99</v>
      </c>
      <c r="J1127" s="8">
        <f t="shared" si="87"/>
        <v>0.50235598287450678</v>
      </c>
      <c r="K1127" s="6">
        <f>'Raw Data'!I1127</f>
        <v>4.58</v>
      </c>
      <c r="L1127" s="5">
        <f>'Raw Data'!J1127</f>
        <v>32</v>
      </c>
      <c r="M1127" s="5">
        <f>IF(COUNTIFS($A$2:A1127,A1127,$D$2:D1127,D1127)=1,L1127,0)</f>
        <v>0</v>
      </c>
      <c r="N1127" s="4">
        <f t="shared" si="88"/>
        <v>165.46968749999999</v>
      </c>
      <c r="O1127" t="str">
        <f t="shared" si="89"/>
        <v>OK</v>
      </c>
    </row>
    <row r="1128" spans="1:15">
      <c r="A1128" t="str">
        <f>'Raw Data'!A1128</f>
        <v>Seattle RM-16</v>
      </c>
      <c r="B1128" t="str">
        <f>'Raw Data'!B1128</f>
        <v>West</v>
      </c>
      <c r="C1128" t="str">
        <f>'Raw Data'!C1128</f>
        <v>Grocery</v>
      </c>
      <c r="D1128" s="3">
        <f>'Raw Data'!D1128</f>
        <v>45870</v>
      </c>
      <c r="E1128" t="str">
        <f t="shared" si="85"/>
        <v>Aug</v>
      </c>
      <c r="F1128" s="5">
        <f>'Raw Data'!E1128</f>
        <v>297</v>
      </c>
      <c r="G1128" s="4">
        <f>'Raw Data'!F1128</f>
        <v>5231.72</v>
      </c>
      <c r="H1128" s="4">
        <f>'Raw Data'!G1128</f>
        <v>4696.88</v>
      </c>
      <c r="I1128" s="4">
        <f t="shared" si="86"/>
        <v>534.84000000000015</v>
      </c>
      <c r="J1128" s="8">
        <f t="shared" si="87"/>
        <v>0.10223024167960061</v>
      </c>
      <c r="K1128" s="6">
        <f>'Raw Data'!I1128</f>
        <v>4.53</v>
      </c>
      <c r="L1128" s="5">
        <f>'Raw Data'!J1128</f>
        <v>32</v>
      </c>
      <c r="M1128" s="5">
        <f>IF(COUNTIFS($A$2:A1128,A1128,$D$2:D1128,D1128)=1,L1128,0)</f>
        <v>0</v>
      </c>
      <c r="N1128" s="4">
        <f t="shared" si="88"/>
        <v>163.49125000000001</v>
      </c>
      <c r="O1128" t="str">
        <f t="shared" si="89"/>
        <v>OK</v>
      </c>
    </row>
    <row r="1129" spans="1:15">
      <c r="A1129" t="str">
        <f>'Raw Data'!A1129</f>
        <v>Seattle RM-16</v>
      </c>
      <c r="B1129" t="str">
        <f>'Raw Data'!B1129</f>
        <v>West</v>
      </c>
      <c r="C1129" t="str">
        <f>'Raw Data'!C1129</f>
        <v>Sports</v>
      </c>
      <c r="D1129" s="3">
        <f>'Raw Data'!D1129</f>
        <v>45870</v>
      </c>
      <c r="E1129" t="str">
        <f t="shared" si="85"/>
        <v>Aug</v>
      </c>
      <c r="F1129" s="5">
        <f>'Raw Data'!E1129</f>
        <v>140</v>
      </c>
      <c r="G1129" s="4">
        <f>'Raw Data'!F1129</f>
        <v>8629.69</v>
      </c>
      <c r="H1129" s="4">
        <f>'Raw Data'!G1129</f>
        <v>5884.22</v>
      </c>
      <c r="I1129" s="4">
        <f t="shared" si="86"/>
        <v>2745.4700000000003</v>
      </c>
      <c r="J1129" s="8">
        <f t="shared" si="87"/>
        <v>0.31814236664352952</v>
      </c>
      <c r="K1129" s="6">
        <f>'Raw Data'!I1129</f>
        <v>4.83</v>
      </c>
      <c r="L1129" s="5">
        <f>'Raw Data'!J1129</f>
        <v>32</v>
      </c>
      <c r="M1129" s="5">
        <f>IF(COUNTIFS($A$2:A1129,A1129,$D$2:D1129,D1129)=1,L1129,0)</f>
        <v>0</v>
      </c>
      <c r="N1129" s="4">
        <f t="shared" si="88"/>
        <v>269.67781250000002</v>
      </c>
      <c r="O1129" t="str">
        <f t="shared" si="89"/>
        <v>OK</v>
      </c>
    </row>
    <row r="1130" spans="1:15">
      <c r="A1130" t="str">
        <f>'Raw Data'!A1130</f>
        <v>Seattle RM-16</v>
      </c>
      <c r="B1130" t="str">
        <f>'Raw Data'!B1130</f>
        <v>West</v>
      </c>
      <c r="C1130" t="str">
        <f>'Raw Data'!C1130</f>
        <v>Electronics</v>
      </c>
      <c r="D1130" s="3">
        <f>'Raw Data'!D1130</f>
        <v>45901</v>
      </c>
      <c r="E1130" t="str">
        <f t="shared" si="85"/>
        <v>Sep</v>
      </c>
      <c r="F1130" s="5">
        <f>'Raw Data'!E1130</f>
        <v>149</v>
      </c>
      <c r="G1130" s="4">
        <f>'Raw Data'!F1130</f>
        <v>21496.94</v>
      </c>
      <c r="H1130" s="4">
        <f>'Raw Data'!G1130</f>
        <v>16781.2</v>
      </c>
      <c r="I1130" s="4">
        <f t="shared" si="86"/>
        <v>4715.739999999998</v>
      </c>
      <c r="J1130" s="8">
        <f t="shared" si="87"/>
        <v>0.21936796585932689</v>
      </c>
      <c r="K1130" s="6">
        <f>'Raw Data'!I1130</f>
        <v>4.7300000000000004</v>
      </c>
      <c r="L1130" s="5">
        <f>'Raw Data'!J1130</f>
        <v>31</v>
      </c>
      <c r="M1130" s="5">
        <f>IF(COUNTIFS($A$2:A1130,A1130,$D$2:D1130,D1130)=1,L1130,0)</f>
        <v>31</v>
      </c>
      <c r="N1130" s="4">
        <f t="shared" si="88"/>
        <v>693.44967741935477</v>
      </c>
      <c r="O1130" t="str">
        <f t="shared" si="89"/>
        <v>OK</v>
      </c>
    </row>
    <row r="1131" spans="1:15">
      <c r="A1131" t="str">
        <f>'Raw Data'!A1131</f>
        <v>Seattle RM-16</v>
      </c>
      <c r="B1131" t="str">
        <f>'Raw Data'!B1131</f>
        <v>West</v>
      </c>
      <c r="C1131" t="str">
        <f>'Raw Data'!C1131</f>
        <v>Home Goods</v>
      </c>
      <c r="D1131" s="3">
        <f>'Raw Data'!D1131</f>
        <v>45901</v>
      </c>
      <c r="E1131" t="str">
        <f t="shared" si="85"/>
        <v>Sep</v>
      </c>
      <c r="F1131" s="5">
        <f>'Raw Data'!E1131</f>
        <v>143</v>
      </c>
      <c r="G1131" s="4">
        <f>'Raw Data'!F1131</f>
        <v>11008.2</v>
      </c>
      <c r="H1131" s="4">
        <f>'Raw Data'!G1131</f>
        <v>7654.53</v>
      </c>
      <c r="I1131" s="4">
        <f t="shared" si="86"/>
        <v>3353.670000000001</v>
      </c>
      <c r="J1131" s="8">
        <f t="shared" si="87"/>
        <v>0.30465198670082311</v>
      </c>
      <c r="K1131" s="6">
        <f>'Raw Data'!I1131</f>
        <v>4.78</v>
      </c>
      <c r="L1131" s="5">
        <f>'Raw Data'!J1131</f>
        <v>31</v>
      </c>
      <c r="M1131" s="5">
        <f>IF(COUNTIFS($A$2:A1131,A1131,$D$2:D1131,D1131)=1,L1131,0)</f>
        <v>0</v>
      </c>
      <c r="N1131" s="4">
        <f t="shared" si="88"/>
        <v>355.10322580645163</v>
      </c>
      <c r="O1131" t="str">
        <f t="shared" si="89"/>
        <v>OK</v>
      </c>
    </row>
    <row r="1132" spans="1:15">
      <c r="A1132" t="str">
        <f>'Raw Data'!A1132</f>
        <v>Seattle RM-16</v>
      </c>
      <c r="B1132" t="str">
        <f>'Raw Data'!B1132</f>
        <v>West</v>
      </c>
      <c r="C1132" t="str">
        <f>'Raw Data'!C1132</f>
        <v>Apparel</v>
      </c>
      <c r="D1132" s="3">
        <f>'Raw Data'!D1132</f>
        <v>45901</v>
      </c>
      <c r="E1132" t="str">
        <f t="shared" si="85"/>
        <v>Sep</v>
      </c>
      <c r="F1132" s="5">
        <f>'Raw Data'!E1132</f>
        <v>163</v>
      </c>
      <c r="G1132" s="4">
        <f>'Raw Data'!F1132</f>
        <v>7982.09</v>
      </c>
      <c r="H1132" s="4">
        <f>'Raw Data'!G1132</f>
        <v>4990.6400000000003</v>
      </c>
      <c r="I1132" s="4">
        <f t="shared" si="86"/>
        <v>2991.45</v>
      </c>
      <c r="J1132" s="8">
        <f t="shared" si="87"/>
        <v>0.3747702669351009</v>
      </c>
      <c r="K1132" s="6">
        <f>'Raw Data'!I1132</f>
        <v>4.58</v>
      </c>
      <c r="L1132" s="5">
        <f>'Raw Data'!J1132</f>
        <v>31</v>
      </c>
      <c r="M1132" s="5">
        <f>IF(COUNTIFS($A$2:A1132,A1132,$D$2:D1132,D1132)=1,L1132,0)</f>
        <v>0</v>
      </c>
      <c r="N1132" s="4">
        <f t="shared" si="88"/>
        <v>257.4867741935484</v>
      </c>
      <c r="O1132" t="str">
        <f t="shared" si="89"/>
        <v>OK</v>
      </c>
    </row>
    <row r="1133" spans="1:15">
      <c r="A1133" t="str">
        <f>'Raw Data'!A1133</f>
        <v>Seattle RM-16</v>
      </c>
      <c r="B1133" t="str">
        <f>'Raw Data'!B1133</f>
        <v>West</v>
      </c>
      <c r="C1133" t="str">
        <f>'Raw Data'!C1133</f>
        <v>Beauty</v>
      </c>
      <c r="D1133" s="3">
        <f>'Raw Data'!D1133</f>
        <v>45901</v>
      </c>
      <c r="E1133" t="str">
        <f t="shared" si="85"/>
        <v>Sep</v>
      </c>
      <c r="F1133" s="5">
        <f>'Raw Data'!E1133</f>
        <v>130</v>
      </c>
      <c r="G1133" s="4">
        <f>'Raw Data'!F1133</f>
        <v>4795.84</v>
      </c>
      <c r="H1133" s="4">
        <f>'Raw Data'!G1133</f>
        <v>2428.86</v>
      </c>
      <c r="I1133" s="4">
        <f t="shared" si="86"/>
        <v>2366.98</v>
      </c>
      <c r="J1133" s="8">
        <f t="shared" si="87"/>
        <v>0.49354857543204111</v>
      </c>
      <c r="K1133" s="6">
        <f>'Raw Data'!I1133</f>
        <v>4.5199999999999996</v>
      </c>
      <c r="L1133" s="5">
        <f>'Raw Data'!J1133</f>
        <v>31</v>
      </c>
      <c r="M1133" s="5">
        <f>IF(COUNTIFS($A$2:A1133,A1133,$D$2:D1133,D1133)=1,L1133,0)</f>
        <v>0</v>
      </c>
      <c r="N1133" s="4">
        <f t="shared" si="88"/>
        <v>154.70451612903227</v>
      </c>
      <c r="O1133" t="str">
        <f t="shared" si="89"/>
        <v>OK</v>
      </c>
    </row>
    <row r="1134" spans="1:15">
      <c r="A1134" t="str">
        <f>'Raw Data'!A1134</f>
        <v>Seattle RM-16</v>
      </c>
      <c r="B1134" t="str">
        <f>'Raw Data'!B1134</f>
        <v>West</v>
      </c>
      <c r="C1134" t="str">
        <f>'Raw Data'!C1134</f>
        <v>Grocery</v>
      </c>
      <c r="D1134" s="3">
        <f>'Raw Data'!D1134</f>
        <v>45901</v>
      </c>
      <c r="E1134" t="str">
        <f t="shared" si="85"/>
        <v>Sep</v>
      </c>
      <c r="F1134" s="5">
        <f>'Raw Data'!E1134</f>
        <v>218</v>
      </c>
      <c r="G1134" s="4">
        <f>'Raw Data'!F1134</f>
        <v>4064.35</v>
      </c>
      <c r="H1134" s="4">
        <f>'Raw Data'!G1134</f>
        <v>3704.35</v>
      </c>
      <c r="I1134" s="4">
        <f t="shared" si="86"/>
        <v>360</v>
      </c>
      <c r="J1134" s="8">
        <f t="shared" si="87"/>
        <v>8.8575048900808251E-2</v>
      </c>
      <c r="K1134" s="6">
        <f>'Raw Data'!I1134</f>
        <v>4.49</v>
      </c>
      <c r="L1134" s="5">
        <f>'Raw Data'!J1134</f>
        <v>31</v>
      </c>
      <c r="M1134" s="5">
        <f>IF(COUNTIFS($A$2:A1134,A1134,$D$2:D1134,D1134)=1,L1134,0)</f>
        <v>0</v>
      </c>
      <c r="N1134" s="4">
        <f t="shared" si="88"/>
        <v>131.10806451612902</v>
      </c>
      <c r="O1134" t="str">
        <f t="shared" si="89"/>
        <v>OK</v>
      </c>
    </row>
    <row r="1135" spans="1:15">
      <c r="A1135" t="str">
        <f>'Raw Data'!A1135</f>
        <v>Seattle RM-16</v>
      </c>
      <c r="B1135" t="str">
        <f>'Raw Data'!B1135</f>
        <v>West</v>
      </c>
      <c r="C1135" t="str">
        <f>'Raw Data'!C1135</f>
        <v>Sports</v>
      </c>
      <c r="D1135" s="3">
        <f>'Raw Data'!D1135</f>
        <v>45901</v>
      </c>
      <c r="E1135" t="str">
        <f t="shared" si="85"/>
        <v>Sep</v>
      </c>
      <c r="F1135" s="5">
        <f>'Raw Data'!E1135</f>
        <v>96</v>
      </c>
      <c r="G1135" s="4">
        <f>'Raw Data'!F1135</f>
        <v>6168.62</v>
      </c>
      <c r="H1135" s="4">
        <f>'Raw Data'!G1135</f>
        <v>4219.2</v>
      </c>
      <c r="I1135" s="4">
        <f t="shared" si="86"/>
        <v>1949.42</v>
      </c>
      <c r="J1135" s="8">
        <f t="shared" si="87"/>
        <v>0.31602206003936051</v>
      </c>
      <c r="K1135" s="6">
        <f>'Raw Data'!I1135</f>
        <v>4.8</v>
      </c>
      <c r="L1135" s="5">
        <f>'Raw Data'!J1135</f>
        <v>31</v>
      </c>
      <c r="M1135" s="5">
        <f>IF(COUNTIFS($A$2:A1135,A1135,$D$2:D1135,D1135)=1,L1135,0)</f>
        <v>0</v>
      </c>
      <c r="N1135" s="4">
        <f t="shared" si="88"/>
        <v>198.98774193548385</v>
      </c>
      <c r="O1135" t="str">
        <f t="shared" si="89"/>
        <v>OK</v>
      </c>
    </row>
    <row r="1136" spans="1:15">
      <c r="A1136" t="str">
        <f>'Raw Data'!A1136</f>
        <v>Seattle RM-16</v>
      </c>
      <c r="B1136" t="str">
        <f>'Raw Data'!B1136</f>
        <v>West</v>
      </c>
      <c r="C1136" t="str">
        <f>'Raw Data'!C1136</f>
        <v>Electronics</v>
      </c>
      <c r="D1136" s="3">
        <f>'Raw Data'!D1136</f>
        <v>45931</v>
      </c>
      <c r="E1136" t="str">
        <f t="shared" si="85"/>
        <v>Oct</v>
      </c>
      <c r="F1136" s="5">
        <f>'Raw Data'!E1136</f>
        <v>189</v>
      </c>
      <c r="G1136" s="4">
        <f>'Raw Data'!F1136</f>
        <v>26317.61</v>
      </c>
      <c r="H1136" s="4">
        <f>'Raw Data'!G1136</f>
        <v>21709.11</v>
      </c>
      <c r="I1136" s="4">
        <f t="shared" si="86"/>
        <v>4608.5</v>
      </c>
      <c r="J1136" s="8">
        <f t="shared" si="87"/>
        <v>0.17511088582891834</v>
      </c>
      <c r="K1136" s="6">
        <f>'Raw Data'!I1136</f>
        <v>4.8</v>
      </c>
      <c r="L1136" s="5">
        <f>'Raw Data'!J1136</f>
        <v>32</v>
      </c>
      <c r="M1136" s="5">
        <f>IF(COUNTIFS($A$2:A1136,A1136,$D$2:D1136,D1136)=1,L1136,0)</f>
        <v>32</v>
      </c>
      <c r="N1136" s="4">
        <f t="shared" si="88"/>
        <v>822.42531250000002</v>
      </c>
      <c r="O1136" t="str">
        <f t="shared" si="89"/>
        <v>OK</v>
      </c>
    </row>
    <row r="1137" spans="1:15">
      <c r="A1137" t="str">
        <f>'Raw Data'!A1137</f>
        <v>Seattle RM-16</v>
      </c>
      <c r="B1137" t="str">
        <f>'Raw Data'!B1137</f>
        <v>West</v>
      </c>
      <c r="C1137" t="str">
        <f>'Raw Data'!C1137</f>
        <v>Home Goods</v>
      </c>
      <c r="D1137" s="3">
        <f>'Raw Data'!D1137</f>
        <v>45931</v>
      </c>
      <c r="E1137" t="str">
        <f t="shared" si="85"/>
        <v>Oct</v>
      </c>
      <c r="F1137" s="5">
        <f>'Raw Data'!E1137</f>
        <v>140</v>
      </c>
      <c r="G1137" s="4">
        <f>'Raw Data'!F1137</f>
        <v>10474.540000000001</v>
      </c>
      <c r="H1137" s="4">
        <f>'Raw Data'!G1137</f>
        <v>7294.34</v>
      </c>
      <c r="I1137" s="4">
        <f t="shared" si="86"/>
        <v>3180.2000000000007</v>
      </c>
      <c r="J1137" s="8">
        <f t="shared" si="87"/>
        <v>0.3036123782046754</v>
      </c>
      <c r="K1137" s="6">
        <f>'Raw Data'!I1137</f>
        <v>4.8099999999999996</v>
      </c>
      <c r="L1137" s="5">
        <f>'Raw Data'!J1137</f>
        <v>32</v>
      </c>
      <c r="M1137" s="5">
        <f>IF(COUNTIFS($A$2:A1137,A1137,$D$2:D1137,D1137)=1,L1137,0)</f>
        <v>0</v>
      </c>
      <c r="N1137" s="4">
        <f t="shared" si="88"/>
        <v>327.32937500000003</v>
      </c>
      <c r="O1137" t="str">
        <f t="shared" si="89"/>
        <v>OK</v>
      </c>
    </row>
    <row r="1138" spans="1:15">
      <c r="A1138" t="str">
        <f>'Raw Data'!A1138</f>
        <v>Seattle RM-16</v>
      </c>
      <c r="B1138" t="str">
        <f>'Raw Data'!B1138</f>
        <v>West</v>
      </c>
      <c r="C1138" t="str">
        <f>'Raw Data'!C1138</f>
        <v>Apparel</v>
      </c>
      <c r="D1138" s="3">
        <f>'Raw Data'!D1138</f>
        <v>45931</v>
      </c>
      <c r="E1138" t="str">
        <f t="shared" si="85"/>
        <v>Oct</v>
      </c>
      <c r="F1138" s="5">
        <f>'Raw Data'!E1138</f>
        <v>187</v>
      </c>
      <c r="G1138" s="4">
        <f>'Raw Data'!F1138</f>
        <v>9542.83</v>
      </c>
      <c r="H1138" s="4">
        <f>'Raw Data'!G1138</f>
        <v>6132.59</v>
      </c>
      <c r="I1138" s="4">
        <f t="shared" si="86"/>
        <v>3410.24</v>
      </c>
      <c r="J1138" s="8">
        <f t="shared" si="87"/>
        <v>0.35736149548928353</v>
      </c>
      <c r="K1138" s="6">
        <f>'Raw Data'!I1138</f>
        <v>4.75</v>
      </c>
      <c r="L1138" s="5">
        <f>'Raw Data'!J1138</f>
        <v>32</v>
      </c>
      <c r="M1138" s="5">
        <f>IF(COUNTIFS($A$2:A1138,A1138,$D$2:D1138,D1138)=1,L1138,0)</f>
        <v>0</v>
      </c>
      <c r="N1138" s="4">
        <f t="shared" si="88"/>
        <v>298.2134375</v>
      </c>
      <c r="O1138" t="str">
        <f t="shared" si="89"/>
        <v>OK</v>
      </c>
    </row>
    <row r="1139" spans="1:15">
      <c r="A1139" t="str">
        <f>'Raw Data'!A1139</f>
        <v>Seattle RM-16</v>
      </c>
      <c r="B1139" t="str">
        <f>'Raw Data'!B1139</f>
        <v>West</v>
      </c>
      <c r="C1139" t="str">
        <f>'Raw Data'!C1139</f>
        <v>Beauty</v>
      </c>
      <c r="D1139" s="3">
        <f>'Raw Data'!D1139</f>
        <v>45931</v>
      </c>
      <c r="E1139" t="str">
        <f t="shared" si="85"/>
        <v>Oct</v>
      </c>
      <c r="F1139" s="5">
        <f>'Raw Data'!E1139</f>
        <v>156</v>
      </c>
      <c r="G1139" s="4">
        <f>'Raw Data'!F1139</f>
        <v>5971.03</v>
      </c>
      <c r="H1139" s="4">
        <f>'Raw Data'!G1139</f>
        <v>3053.28</v>
      </c>
      <c r="I1139" s="4">
        <f t="shared" si="86"/>
        <v>2917.7499999999995</v>
      </c>
      <c r="J1139" s="8">
        <f t="shared" si="87"/>
        <v>0.48865103675580257</v>
      </c>
      <c r="K1139" s="6">
        <f>'Raw Data'!I1139</f>
        <v>4.62</v>
      </c>
      <c r="L1139" s="5">
        <f>'Raw Data'!J1139</f>
        <v>32</v>
      </c>
      <c r="M1139" s="5">
        <f>IF(COUNTIFS($A$2:A1139,A1139,$D$2:D1139,D1139)=1,L1139,0)</f>
        <v>0</v>
      </c>
      <c r="N1139" s="4">
        <f t="shared" si="88"/>
        <v>186.59468749999999</v>
      </c>
      <c r="O1139" t="str">
        <f t="shared" si="89"/>
        <v>OK</v>
      </c>
    </row>
    <row r="1140" spans="1:15">
      <c r="A1140" t="str">
        <f>'Raw Data'!A1140</f>
        <v>Seattle RM-16</v>
      </c>
      <c r="B1140" t="str">
        <f>'Raw Data'!B1140</f>
        <v>West</v>
      </c>
      <c r="C1140" t="str">
        <f>'Raw Data'!C1140</f>
        <v>Grocery</v>
      </c>
      <c r="D1140" s="3">
        <f>'Raw Data'!D1140</f>
        <v>45931</v>
      </c>
      <c r="E1140" t="str">
        <f t="shared" si="85"/>
        <v>Oct</v>
      </c>
      <c r="F1140" s="5">
        <f>'Raw Data'!E1140</f>
        <v>204</v>
      </c>
      <c r="G1140" s="4">
        <f>'Raw Data'!F1140</f>
        <v>3911.33</v>
      </c>
      <c r="H1140" s="4">
        <f>'Raw Data'!G1140</f>
        <v>3748.15</v>
      </c>
      <c r="I1140" s="4">
        <f t="shared" si="86"/>
        <v>163.17999999999984</v>
      </c>
      <c r="J1140" s="8">
        <f t="shared" si="87"/>
        <v>4.1719824203020416E-2</v>
      </c>
      <c r="K1140" s="6">
        <f>'Raw Data'!I1140</f>
        <v>4.54</v>
      </c>
      <c r="L1140" s="5">
        <f>'Raw Data'!J1140</f>
        <v>32</v>
      </c>
      <c r="M1140" s="5">
        <f>IF(COUNTIFS($A$2:A1140,A1140,$D$2:D1140,D1140)=1,L1140,0)</f>
        <v>0</v>
      </c>
      <c r="N1140" s="4">
        <f t="shared" si="88"/>
        <v>122.2290625</v>
      </c>
      <c r="O1140" t="str">
        <f t="shared" si="89"/>
        <v>OK</v>
      </c>
    </row>
    <row r="1141" spans="1:15">
      <c r="A1141" t="str">
        <f>'Raw Data'!A1141</f>
        <v>Seattle RM-16</v>
      </c>
      <c r="B1141" t="str">
        <f>'Raw Data'!B1141</f>
        <v>West</v>
      </c>
      <c r="C1141" t="str">
        <f>'Raw Data'!C1141</f>
        <v>Sports</v>
      </c>
      <c r="D1141" s="3">
        <f>'Raw Data'!D1141</f>
        <v>45931</v>
      </c>
      <c r="E1141" t="str">
        <f t="shared" si="85"/>
        <v>Oct</v>
      </c>
      <c r="F1141" s="5">
        <f>'Raw Data'!E1141</f>
        <v>118</v>
      </c>
      <c r="G1141" s="4">
        <f>'Raw Data'!F1141</f>
        <v>7675.03</v>
      </c>
      <c r="H1141" s="4">
        <f>'Raw Data'!G1141</f>
        <v>5050.92</v>
      </c>
      <c r="I1141" s="4">
        <f t="shared" si="86"/>
        <v>2624.1099999999997</v>
      </c>
      <c r="J1141" s="8">
        <f t="shared" si="87"/>
        <v>0.34190224663616947</v>
      </c>
      <c r="K1141" s="6">
        <f>'Raw Data'!I1141</f>
        <v>4.54</v>
      </c>
      <c r="L1141" s="5">
        <f>'Raw Data'!J1141</f>
        <v>32</v>
      </c>
      <c r="M1141" s="5">
        <f>IF(COUNTIFS($A$2:A1141,A1141,$D$2:D1141,D1141)=1,L1141,0)</f>
        <v>0</v>
      </c>
      <c r="N1141" s="4">
        <f t="shared" si="88"/>
        <v>239.84468749999999</v>
      </c>
      <c r="O1141" t="str">
        <f t="shared" si="89"/>
        <v>OK</v>
      </c>
    </row>
    <row r="1142" spans="1:15">
      <c r="A1142" t="str">
        <f>'Raw Data'!A1142</f>
        <v>Seattle RM-16</v>
      </c>
      <c r="B1142" t="str">
        <f>'Raw Data'!B1142</f>
        <v>West</v>
      </c>
      <c r="C1142" t="str">
        <f>'Raw Data'!C1142</f>
        <v>Electronics</v>
      </c>
      <c r="D1142" s="3">
        <f>'Raw Data'!D1142</f>
        <v>45962</v>
      </c>
      <c r="E1142" t="str">
        <f t="shared" si="85"/>
        <v>Nov</v>
      </c>
      <c r="F1142" s="5">
        <f>'Raw Data'!E1142</f>
        <v>231</v>
      </c>
      <c r="G1142" s="4">
        <f>'Raw Data'!F1142</f>
        <v>34281.81</v>
      </c>
      <c r="H1142" s="4">
        <f>'Raw Data'!G1142</f>
        <v>27319.94</v>
      </c>
      <c r="I1142" s="4">
        <f t="shared" si="86"/>
        <v>6961.869999999999</v>
      </c>
      <c r="J1142" s="8">
        <f t="shared" si="87"/>
        <v>0.20307766713601177</v>
      </c>
      <c r="K1142" s="6">
        <f>'Raw Data'!I1142</f>
        <v>4.4800000000000004</v>
      </c>
      <c r="L1142" s="5">
        <f>'Raw Data'!J1142</f>
        <v>33</v>
      </c>
      <c r="M1142" s="5">
        <f>IF(COUNTIFS($A$2:A1142,A1142,$D$2:D1142,D1142)=1,L1142,0)</f>
        <v>33</v>
      </c>
      <c r="N1142" s="4">
        <f t="shared" si="88"/>
        <v>1038.8427272727272</v>
      </c>
      <c r="O1142" t="str">
        <f t="shared" si="89"/>
        <v>OK</v>
      </c>
    </row>
    <row r="1143" spans="1:15">
      <c r="A1143" t="str">
        <f>'Raw Data'!A1143</f>
        <v>Seattle RM-16</v>
      </c>
      <c r="B1143" t="str">
        <f>'Raw Data'!B1143</f>
        <v>West</v>
      </c>
      <c r="C1143" t="str">
        <f>'Raw Data'!C1143</f>
        <v>Home Goods</v>
      </c>
      <c r="D1143" s="3">
        <f>'Raw Data'!D1143</f>
        <v>45962</v>
      </c>
      <c r="E1143" t="str">
        <f t="shared" si="85"/>
        <v>Nov</v>
      </c>
      <c r="F1143" s="5">
        <f>'Raw Data'!E1143</f>
        <v>158</v>
      </c>
      <c r="G1143" s="4">
        <f>'Raw Data'!F1143</f>
        <v>11421.13</v>
      </c>
      <c r="H1143" s="4">
        <f>'Raw Data'!G1143</f>
        <v>8129.02</v>
      </c>
      <c r="I1143" s="4">
        <f t="shared" si="86"/>
        <v>3292.1099999999988</v>
      </c>
      <c r="J1143" s="8">
        <f t="shared" si="87"/>
        <v>0.28824731002974302</v>
      </c>
      <c r="K1143" s="6">
        <f>'Raw Data'!I1143</f>
        <v>4.5199999999999996</v>
      </c>
      <c r="L1143" s="5">
        <f>'Raw Data'!J1143</f>
        <v>33</v>
      </c>
      <c r="M1143" s="5">
        <f>IF(COUNTIFS($A$2:A1143,A1143,$D$2:D1143,D1143)=1,L1143,0)</f>
        <v>0</v>
      </c>
      <c r="N1143" s="4">
        <f t="shared" si="88"/>
        <v>346.09484848484846</v>
      </c>
      <c r="O1143" t="str">
        <f t="shared" si="89"/>
        <v>OK</v>
      </c>
    </row>
    <row r="1144" spans="1:15">
      <c r="A1144" t="str">
        <f>'Raw Data'!A1144</f>
        <v>Seattle RM-16</v>
      </c>
      <c r="B1144" t="str">
        <f>'Raw Data'!B1144</f>
        <v>West</v>
      </c>
      <c r="C1144" t="str">
        <f>'Raw Data'!C1144</f>
        <v>Apparel</v>
      </c>
      <c r="D1144" s="3">
        <f>'Raw Data'!D1144</f>
        <v>45962</v>
      </c>
      <c r="E1144" t="str">
        <f t="shared" si="85"/>
        <v>Nov</v>
      </c>
      <c r="F1144" s="5">
        <f>'Raw Data'!E1144</f>
        <v>264</v>
      </c>
      <c r="G1144" s="4">
        <f>'Raw Data'!F1144</f>
        <v>13064.07</v>
      </c>
      <c r="H1144" s="4">
        <f>'Raw Data'!G1144</f>
        <v>8202.4699999999993</v>
      </c>
      <c r="I1144" s="4">
        <f t="shared" si="86"/>
        <v>4861.6000000000004</v>
      </c>
      <c r="J1144" s="8">
        <f t="shared" si="87"/>
        <v>0.37213517686295317</v>
      </c>
      <c r="K1144" s="6">
        <f>'Raw Data'!I1144</f>
        <v>4.6100000000000003</v>
      </c>
      <c r="L1144" s="5">
        <f>'Raw Data'!J1144</f>
        <v>33</v>
      </c>
      <c r="M1144" s="5">
        <f>IF(COUNTIFS($A$2:A1144,A1144,$D$2:D1144,D1144)=1,L1144,0)</f>
        <v>0</v>
      </c>
      <c r="N1144" s="4">
        <f t="shared" si="88"/>
        <v>395.88090909090909</v>
      </c>
      <c r="O1144" t="str">
        <f t="shared" si="89"/>
        <v>OK</v>
      </c>
    </row>
    <row r="1145" spans="1:15">
      <c r="A1145" t="str">
        <f>'Raw Data'!A1145</f>
        <v>Seattle RM-16</v>
      </c>
      <c r="B1145" t="str">
        <f>'Raw Data'!B1145</f>
        <v>West</v>
      </c>
      <c r="C1145" t="str">
        <f>'Raw Data'!C1145</f>
        <v>Beauty</v>
      </c>
      <c r="D1145" s="3">
        <f>'Raw Data'!D1145</f>
        <v>45962</v>
      </c>
      <c r="E1145" t="str">
        <f t="shared" si="85"/>
        <v>Nov</v>
      </c>
      <c r="F1145" s="5">
        <f>'Raw Data'!E1145</f>
        <v>165</v>
      </c>
      <c r="G1145" s="4">
        <f>'Raw Data'!F1145</f>
        <v>5977.65</v>
      </c>
      <c r="H1145" s="4">
        <f>'Raw Data'!G1145</f>
        <v>3045.67</v>
      </c>
      <c r="I1145" s="4">
        <f t="shared" si="86"/>
        <v>2931.9799999999996</v>
      </c>
      <c r="J1145" s="8">
        <f t="shared" si="87"/>
        <v>0.49049041011099676</v>
      </c>
      <c r="K1145" s="6">
        <f>'Raw Data'!I1145</f>
        <v>4.55</v>
      </c>
      <c r="L1145" s="5">
        <f>'Raw Data'!J1145</f>
        <v>33</v>
      </c>
      <c r="M1145" s="5">
        <f>IF(COUNTIFS($A$2:A1145,A1145,$D$2:D1145,D1145)=1,L1145,0)</f>
        <v>0</v>
      </c>
      <c r="N1145" s="4">
        <f t="shared" si="88"/>
        <v>181.14090909090908</v>
      </c>
      <c r="O1145" t="str">
        <f t="shared" si="89"/>
        <v>OK</v>
      </c>
    </row>
    <row r="1146" spans="1:15">
      <c r="A1146" t="str">
        <f>'Raw Data'!A1146</f>
        <v>Seattle RM-16</v>
      </c>
      <c r="B1146" t="str">
        <f>'Raw Data'!B1146</f>
        <v>West</v>
      </c>
      <c r="C1146" t="str">
        <f>'Raw Data'!C1146</f>
        <v>Grocery</v>
      </c>
      <c r="D1146" s="3">
        <f>'Raw Data'!D1146</f>
        <v>45962</v>
      </c>
      <c r="E1146" t="str">
        <f t="shared" si="85"/>
        <v>Nov</v>
      </c>
      <c r="F1146" s="5">
        <f>'Raw Data'!E1146</f>
        <v>254</v>
      </c>
      <c r="G1146" s="4">
        <f>'Raw Data'!F1146</f>
        <v>4890.03</v>
      </c>
      <c r="H1146" s="4">
        <f>'Raw Data'!G1146</f>
        <v>4720.79</v>
      </c>
      <c r="I1146" s="4">
        <f t="shared" si="86"/>
        <v>169.23999999999978</v>
      </c>
      <c r="J1146" s="8">
        <f t="shared" si="87"/>
        <v>3.4609194626617788E-2</v>
      </c>
      <c r="K1146" s="6">
        <f>'Raw Data'!I1146</f>
        <v>4.5199999999999996</v>
      </c>
      <c r="L1146" s="5">
        <f>'Raw Data'!J1146</f>
        <v>33</v>
      </c>
      <c r="M1146" s="5">
        <f>IF(COUNTIFS($A$2:A1146,A1146,$D$2:D1146,D1146)=1,L1146,0)</f>
        <v>0</v>
      </c>
      <c r="N1146" s="4">
        <f t="shared" si="88"/>
        <v>148.18272727272728</v>
      </c>
      <c r="O1146" t="str">
        <f t="shared" si="89"/>
        <v>OK</v>
      </c>
    </row>
    <row r="1147" spans="1:15">
      <c r="A1147" t="str">
        <f>'Raw Data'!A1147</f>
        <v>Seattle RM-16</v>
      </c>
      <c r="B1147" t="str">
        <f>'Raw Data'!B1147</f>
        <v>West</v>
      </c>
      <c r="C1147" t="str">
        <f>'Raw Data'!C1147</f>
        <v>Sports</v>
      </c>
      <c r="D1147" s="3">
        <f>'Raw Data'!D1147</f>
        <v>45962</v>
      </c>
      <c r="E1147" t="str">
        <f t="shared" si="85"/>
        <v>Nov</v>
      </c>
      <c r="F1147" s="5">
        <f>'Raw Data'!E1147</f>
        <v>148</v>
      </c>
      <c r="G1147" s="4">
        <f>'Raw Data'!F1147</f>
        <v>9487.8700000000008</v>
      </c>
      <c r="H1147" s="4">
        <f>'Raw Data'!G1147</f>
        <v>6336.72</v>
      </c>
      <c r="I1147" s="4">
        <f t="shared" si="86"/>
        <v>3151.1500000000005</v>
      </c>
      <c r="J1147" s="8">
        <f t="shared" si="87"/>
        <v>0.33212406999674327</v>
      </c>
      <c r="K1147" s="6">
        <f>'Raw Data'!I1147</f>
        <v>4.54</v>
      </c>
      <c r="L1147" s="5">
        <f>'Raw Data'!J1147</f>
        <v>33</v>
      </c>
      <c r="M1147" s="5">
        <f>IF(COUNTIFS($A$2:A1147,A1147,$D$2:D1147,D1147)=1,L1147,0)</f>
        <v>0</v>
      </c>
      <c r="N1147" s="4">
        <f t="shared" si="88"/>
        <v>287.51121212121217</v>
      </c>
      <c r="O1147" t="str">
        <f t="shared" si="89"/>
        <v>OK</v>
      </c>
    </row>
    <row r="1148" spans="1:15">
      <c r="A1148" t="str">
        <f>'Raw Data'!A1148</f>
        <v>Seattle RM-16</v>
      </c>
      <c r="B1148" t="str">
        <f>'Raw Data'!B1148</f>
        <v>West</v>
      </c>
      <c r="C1148" t="str">
        <f>'Raw Data'!C1148</f>
        <v>Electronics</v>
      </c>
      <c r="D1148" s="3">
        <f>'Raw Data'!D1148</f>
        <v>45992</v>
      </c>
      <c r="E1148" t="str">
        <f t="shared" si="85"/>
        <v>Dec</v>
      </c>
      <c r="F1148" s="5">
        <f>'Raw Data'!E1148</f>
        <v>337</v>
      </c>
      <c r="G1148" s="4">
        <f>'Raw Data'!F1148</f>
        <v>51865.22</v>
      </c>
      <c r="H1148" s="4">
        <f>'Raw Data'!G1148</f>
        <v>43333.16</v>
      </c>
      <c r="I1148" s="4">
        <f t="shared" si="86"/>
        <v>8532.0599999999977</v>
      </c>
      <c r="J1148" s="8">
        <f t="shared" si="87"/>
        <v>0.1645044598287638</v>
      </c>
      <c r="K1148" s="6">
        <f>'Raw Data'!I1148</f>
        <v>4.59</v>
      </c>
      <c r="L1148" s="5">
        <f>'Raw Data'!J1148</f>
        <v>33</v>
      </c>
      <c r="M1148" s="5">
        <f>IF(COUNTIFS($A$2:A1148,A1148,$D$2:D1148,D1148)=1,L1148,0)</f>
        <v>33</v>
      </c>
      <c r="N1148" s="4">
        <f t="shared" si="88"/>
        <v>1571.6733333333334</v>
      </c>
      <c r="O1148" t="str">
        <f t="shared" si="89"/>
        <v>OK</v>
      </c>
    </row>
    <row r="1149" spans="1:15">
      <c r="A1149" t="str">
        <f>'Raw Data'!A1149</f>
        <v>Seattle RM-16</v>
      </c>
      <c r="B1149" t="str">
        <f>'Raw Data'!B1149</f>
        <v>West</v>
      </c>
      <c r="C1149" t="str">
        <f>'Raw Data'!C1149</f>
        <v>Home Goods</v>
      </c>
      <c r="D1149" s="3">
        <f>'Raw Data'!D1149</f>
        <v>45992</v>
      </c>
      <c r="E1149" t="str">
        <f t="shared" si="85"/>
        <v>Dec</v>
      </c>
      <c r="F1149" s="5">
        <f>'Raw Data'!E1149</f>
        <v>170</v>
      </c>
      <c r="G1149" s="4">
        <f>'Raw Data'!F1149</f>
        <v>12972.41</v>
      </c>
      <c r="H1149" s="4">
        <f>'Raw Data'!G1149</f>
        <v>9274.8799999999992</v>
      </c>
      <c r="I1149" s="4">
        <f t="shared" si="86"/>
        <v>3697.5300000000007</v>
      </c>
      <c r="J1149" s="8">
        <f t="shared" si="87"/>
        <v>0.28503030662768142</v>
      </c>
      <c r="K1149" s="6">
        <f>'Raw Data'!I1149</f>
        <v>4.62</v>
      </c>
      <c r="L1149" s="5">
        <f>'Raw Data'!J1149</f>
        <v>33</v>
      </c>
      <c r="M1149" s="5">
        <f>IF(COUNTIFS($A$2:A1149,A1149,$D$2:D1149,D1149)=1,L1149,0)</f>
        <v>0</v>
      </c>
      <c r="N1149" s="4">
        <f t="shared" si="88"/>
        <v>393.10333333333335</v>
      </c>
      <c r="O1149" t="str">
        <f t="shared" si="89"/>
        <v>OK</v>
      </c>
    </row>
    <row r="1150" spans="1:15">
      <c r="A1150" t="str">
        <f>'Raw Data'!A1150</f>
        <v>Seattle RM-16</v>
      </c>
      <c r="B1150" t="str">
        <f>'Raw Data'!B1150</f>
        <v>West</v>
      </c>
      <c r="C1150" t="str">
        <f>'Raw Data'!C1150</f>
        <v>Apparel</v>
      </c>
      <c r="D1150" s="3">
        <f>'Raw Data'!D1150</f>
        <v>45992</v>
      </c>
      <c r="E1150" t="str">
        <f t="shared" si="85"/>
        <v>Dec</v>
      </c>
      <c r="F1150" s="5">
        <f>'Raw Data'!E1150</f>
        <v>315</v>
      </c>
      <c r="G1150" s="4">
        <f>'Raw Data'!F1150</f>
        <v>15017.98</v>
      </c>
      <c r="H1150" s="4">
        <f>'Raw Data'!G1150</f>
        <v>9889.69</v>
      </c>
      <c r="I1150" s="4">
        <f t="shared" si="86"/>
        <v>5128.2899999999991</v>
      </c>
      <c r="J1150" s="8">
        <f t="shared" si="87"/>
        <v>0.34147668328230557</v>
      </c>
      <c r="K1150" s="6">
        <f>'Raw Data'!I1150</f>
        <v>4.6900000000000004</v>
      </c>
      <c r="L1150" s="5">
        <f>'Raw Data'!J1150</f>
        <v>33</v>
      </c>
      <c r="M1150" s="5">
        <f>IF(COUNTIFS($A$2:A1150,A1150,$D$2:D1150,D1150)=1,L1150,0)</f>
        <v>0</v>
      </c>
      <c r="N1150" s="4">
        <f t="shared" si="88"/>
        <v>455.09030303030301</v>
      </c>
      <c r="O1150" t="str">
        <f t="shared" si="89"/>
        <v>OK</v>
      </c>
    </row>
    <row r="1151" spans="1:15">
      <c r="A1151" t="str">
        <f>'Raw Data'!A1151</f>
        <v>Seattle RM-16</v>
      </c>
      <c r="B1151" t="str">
        <f>'Raw Data'!B1151</f>
        <v>West</v>
      </c>
      <c r="C1151" t="str">
        <f>'Raw Data'!C1151</f>
        <v>Beauty</v>
      </c>
      <c r="D1151" s="3">
        <f>'Raw Data'!D1151</f>
        <v>45992</v>
      </c>
      <c r="E1151" t="str">
        <f t="shared" si="85"/>
        <v>Dec</v>
      </c>
      <c r="F1151" s="5">
        <f>'Raw Data'!E1151</f>
        <v>205</v>
      </c>
      <c r="G1151" s="4">
        <f>'Raw Data'!F1151</f>
        <v>7704.32</v>
      </c>
      <c r="H1151" s="4">
        <f>'Raw Data'!G1151</f>
        <v>4230.2299999999996</v>
      </c>
      <c r="I1151" s="4">
        <f t="shared" si="86"/>
        <v>3474.09</v>
      </c>
      <c r="J1151" s="8">
        <f t="shared" si="87"/>
        <v>0.45092753156670545</v>
      </c>
      <c r="K1151" s="6">
        <f>'Raw Data'!I1151</f>
        <v>4.66</v>
      </c>
      <c r="L1151" s="5">
        <f>'Raw Data'!J1151</f>
        <v>33</v>
      </c>
      <c r="M1151" s="5">
        <f>IF(COUNTIFS($A$2:A1151,A1151,$D$2:D1151,D1151)=1,L1151,0)</f>
        <v>0</v>
      </c>
      <c r="N1151" s="4">
        <f t="shared" si="88"/>
        <v>233.46424242424243</v>
      </c>
      <c r="O1151" t="str">
        <f t="shared" si="89"/>
        <v>OK</v>
      </c>
    </row>
    <row r="1152" spans="1:15">
      <c r="A1152" t="str">
        <f>'Raw Data'!A1152</f>
        <v>Seattle RM-16</v>
      </c>
      <c r="B1152" t="str">
        <f>'Raw Data'!B1152</f>
        <v>West</v>
      </c>
      <c r="C1152" t="str">
        <f>'Raw Data'!C1152</f>
        <v>Grocery</v>
      </c>
      <c r="D1152" s="3">
        <f>'Raw Data'!D1152</f>
        <v>45992</v>
      </c>
      <c r="E1152" t="str">
        <f t="shared" si="85"/>
        <v>Dec</v>
      </c>
      <c r="F1152" s="5">
        <f>'Raw Data'!E1152</f>
        <v>373</v>
      </c>
      <c r="G1152" s="4">
        <f>'Raw Data'!F1152</f>
        <v>6800.55</v>
      </c>
      <c r="H1152" s="4">
        <f>'Raw Data'!G1152</f>
        <v>6509.57</v>
      </c>
      <c r="I1152" s="4">
        <f t="shared" si="86"/>
        <v>290.98000000000047</v>
      </c>
      <c r="J1152" s="8">
        <f t="shared" si="87"/>
        <v>4.2787715699465552E-2</v>
      </c>
      <c r="K1152" s="6">
        <f>'Raw Data'!I1152</f>
        <v>4.74</v>
      </c>
      <c r="L1152" s="5">
        <f>'Raw Data'!J1152</f>
        <v>33</v>
      </c>
      <c r="M1152" s="5">
        <f>IF(COUNTIFS($A$2:A1152,A1152,$D$2:D1152,D1152)=1,L1152,0)</f>
        <v>0</v>
      </c>
      <c r="N1152" s="4">
        <f t="shared" si="88"/>
        <v>206.07727272727274</v>
      </c>
      <c r="O1152" t="str">
        <f t="shared" si="89"/>
        <v>OK</v>
      </c>
    </row>
    <row r="1153" spans="1:15">
      <c r="A1153" t="str">
        <f>'Raw Data'!A1153</f>
        <v>Seattle RM-16</v>
      </c>
      <c r="B1153" t="str">
        <f>'Raw Data'!B1153</f>
        <v>West</v>
      </c>
      <c r="C1153" t="str">
        <f>'Raw Data'!C1153</f>
        <v>Sports</v>
      </c>
      <c r="D1153" s="3">
        <f>'Raw Data'!D1153</f>
        <v>45992</v>
      </c>
      <c r="E1153" t="str">
        <f t="shared" si="85"/>
        <v>Dec</v>
      </c>
      <c r="F1153" s="5">
        <f>'Raw Data'!E1153</f>
        <v>135</v>
      </c>
      <c r="G1153" s="4">
        <f>'Raw Data'!F1153</f>
        <v>7917.5</v>
      </c>
      <c r="H1153" s="4">
        <f>'Raw Data'!G1153</f>
        <v>5756.05</v>
      </c>
      <c r="I1153" s="4">
        <f t="shared" si="86"/>
        <v>2161.4499999999998</v>
      </c>
      <c r="J1153" s="8">
        <f t="shared" si="87"/>
        <v>0.27299652668140195</v>
      </c>
      <c r="K1153" s="6">
        <f>'Raw Data'!I1153</f>
        <v>4.66</v>
      </c>
      <c r="L1153" s="5">
        <f>'Raw Data'!J1153</f>
        <v>33</v>
      </c>
      <c r="M1153" s="5">
        <f>IF(COUNTIFS($A$2:A1153,A1153,$D$2:D1153,D1153)=1,L1153,0)</f>
        <v>0</v>
      </c>
      <c r="N1153" s="4">
        <f t="shared" si="88"/>
        <v>239.92424242424244</v>
      </c>
      <c r="O1153" t="str">
        <f t="shared" si="89"/>
        <v>OK</v>
      </c>
    </row>
    <row r="1154" spans="1:15">
      <c r="A1154" t="str">
        <f>'Raw Data'!A1154</f>
        <v>Portland RM-17</v>
      </c>
      <c r="B1154" t="str">
        <f>'Raw Data'!B1154</f>
        <v>West</v>
      </c>
      <c r="C1154" t="str">
        <f>'Raw Data'!C1154</f>
        <v>Electronics</v>
      </c>
      <c r="D1154" s="3">
        <f>'Raw Data'!D1154</f>
        <v>45658</v>
      </c>
      <c r="E1154" t="str">
        <f t="shared" ref="E1154:E1217" si="90">TEXT(D1154,"mmm")</f>
        <v>Jan</v>
      </c>
      <c r="F1154" s="5">
        <f>'Raw Data'!E1154</f>
        <v>88</v>
      </c>
      <c r="G1154" s="4">
        <f>'Raw Data'!F1154</f>
        <v>12686.45</v>
      </c>
      <c r="H1154" s="4">
        <f>'Raw Data'!G1154</f>
        <v>9666.2099999999991</v>
      </c>
      <c r="I1154" s="4">
        <f t="shared" ref="I1154:I1217" si="91">G1154-H1154</f>
        <v>3020.2400000000016</v>
      </c>
      <c r="J1154" s="8">
        <f t="shared" ref="J1154:J1217" si="92">IFERROR(I1154/G1154,0)</f>
        <v>0.23806817510020545</v>
      </c>
      <c r="K1154" s="6">
        <f>'Raw Data'!I1154</f>
        <v>4.16</v>
      </c>
      <c r="L1154" s="5">
        <f>'Raw Data'!J1154</f>
        <v>24</v>
      </c>
      <c r="M1154" s="5">
        <f>IF(COUNTIFS($A$2:A1154,A1154,$D$2:D1154,D1154)=1,L1154,0)</f>
        <v>24</v>
      </c>
      <c r="N1154" s="4">
        <f t="shared" ref="N1154:N1217" si="93">IFERROR(G1154/L1154,0)</f>
        <v>528.60208333333333</v>
      </c>
      <c r="O1154" t="str">
        <f t="shared" ref="O1154:O1217" si="94">IF(OR(A1154="",B1154="",C1154="",F1154&lt;0,G1154&lt;0,H1154&lt;0,K1154&lt;1,K1154&gt;5),"Review","OK")</f>
        <v>OK</v>
      </c>
    </row>
    <row r="1155" spans="1:15">
      <c r="A1155" t="str">
        <f>'Raw Data'!A1155</f>
        <v>Portland RM-17</v>
      </c>
      <c r="B1155" t="str">
        <f>'Raw Data'!B1155</f>
        <v>West</v>
      </c>
      <c r="C1155" t="str">
        <f>'Raw Data'!C1155</f>
        <v>Home Goods</v>
      </c>
      <c r="D1155" s="3">
        <f>'Raw Data'!D1155</f>
        <v>45658</v>
      </c>
      <c r="E1155" t="str">
        <f t="shared" si="90"/>
        <v>Jan</v>
      </c>
      <c r="F1155" s="5">
        <f>'Raw Data'!E1155</f>
        <v>78</v>
      </c>
      <c r="G1155" s="4">
        <f>'Raw Data'!F1155</f>
        <v>5729.88</v>
      </c>
      <c r="H1155" s="4">
        <f>'Raw Data'!G1155</f>
        <v>3653.82</v>
      </c>
      <c r="I1155" s="4">
        <f t="shared" si="91"/>
        <v>2076.06</v>
      </c>
      <c r="J1155" s="8">
        <f t="shared" si="92"/>
        <v>0.36232172401516261</v>
      </c>
      <c r="K1155" s="6">
        <f>'Raw Data'!I1155</f>
        <v>4.13</v>
      </c>
      <c r="L1155" s="5">
        <f>'Raw Data'!J1155</f>
        <v>24</v>
      </c>
      <c r="M1155" s="5">
        <f>IF(COUNTIFS($A$2:A1155,A1155,$D$2:D1155,D1155)=1,L1155,0)</f>
        <v>0</v>
      </c>
      <c r="N1155" s="4">
        <f t="shared" si="93"/>
        <v>238.745</v>
      </c>
      <c r="O1155" t="str">
        <f t="shared" si="94"/>
        <v>OK</v>
      </c>
    </row>
    <row r="1156" spans="1:15">
      <c r="A1156" t="str">
        <f>'Raw Data'!A1156</f>
        <v>Portland RM-17</v>
      </c>
      <c r="B1156" t="str">
        <f>'Raw Data'!B1156</f>
        <v>West</v>
      </c>
      <c r="C1156" t="str">
        <f>'Raw Data'!C1156</f>
        <v>Apparel</v>
      </c>
      <c r="D1156" s="3">
        <f>'Raw Data'!D1156</f>
        <v>45658</v>
      </c>
      <c r="E1156" t="str">
        <f t="shared" si="90"/>
        <v>Jan</v>
      </c>
      <c r="F1156" s="5">
        <f>'Raw Data'!E1156</f>
        <v>100</v>
      </c>
      <c r="G1156" s="4">
        <f>'Raw Data'!F1156</f>
        <v>4623.88</v>
      </c>
      <c r="H1156" s="4">
        <f>'Raw Data'!G1156</f>
        <v>2648.77</v>
      </c>
      <c r="I1156" s="4">
        <f t="shared" si="91"/>
        <v>1975.1100000000001</v>
      </c>
      <c r="J1156" s="8">
        <f t="shared" si="92"/>
        <v>0.42715425140790853</v>
      </c>
      <c r="K1156" s="6">
        <f>'Raw Data'!I1156</f>
        <v>4.1399999999999997</v>
      </c>
      <c r="L1156" s="5">
        <f>'Raw Data'!J1156</f>
        <v>24</v>
      </c>
      <c r="M1156" s="5">
        <f>IF(COUNTIFS($A$2:A1156,A1156,$D$2:D1156,D1156)=1,L1156,0)</f>
        <v>0</v>
      </c>
      <c r="N1156" s="4">
        <f t="shared" si="93"/>
        <v>192.66166666666666</v>
      </c>
      <c r="O1156" t="str">
        <f t="shared" si="94"/>
        <v>OK</v>
      </c>
    </row>
    <row r="1157" spans="1:15">
      <c r="A1157" t="str">
        <f>'Raw Data'!A1157</f>
        <v>Portland RM-17</v>
      </c>
      <c r="B1157" t="str">
        <f>'Raw Data'!B1157</f>
        <v>West</v>
      </c>
      <c r="C1157" t="str">
        <f>'Raw Data'!C1157</f>
        <v>Beauty</v>
      </c>
      <c r="D1157" s="3">
        <f>'Raw Data'!D1157</f>
        <v>45658</v>
      </c>
      <c r="E1157" t="str">
        <f t="shared" si="90"/>
        <v>Jan</v>
      </c>
      <c r="F1157" s="5">
        <f>'Raw Data'!E1157</f>
        <v>76</v>
      </c>
      <c r="G1157" s="4">
        <f>'Raw Data'!F1157</f>
        <v>2836.12</v>
      </c>
      <c r="H1157" s="4">
        <f>'Raw Data'!G1157</f>
        <v>1336.21</v>
      </c>
      <c r="I1157" s="4">
        <f t="shared" si="91"/>
        <v>1499.9099999999999</v>
      </c>
      <c r="J1157" s="8">
        <f t="shared" si="92"/>
        <v>0.52885985078205433</v>
      </c>
      <c r="K1157" s="6">
        <f>'Raw Data'!I1157</f>
        <v>3.98</v>
      </c>
      <c r="L1157" s="5">
        <f>'Raw Data'!J1157</f>
        <v>24</v>
      </c>
      <c r="M1157" s="5">
        <f>IF(COUNTIFS($A$2:A1157,A1157,$D$2:D1157,D1157)=1,L1157,0)</f>
        <v>0</v>
      </c>
      <c r="N1157" s="4">
        <f t="shared" si="93"/>
        <v>118.17166666666667</v>
      </c>
      <c r="O1157" t="str">
        <f t="shared" si="94"/>
        <v>OK</v>
      </c>
    </row>
    <row r="1158" spans="1:15">
      <c r="A1158" t="str">
        <f>'Raw Data'!A1158</f>
        <v>Portland RM-17</v>
      </c>
      <c r="B1158" t="str">
        <f>'Raw Data'!B1158</f>
        <v>West</v>
      </c>
      <c r="C1158" t="str">
        <f>'Raw Data'!C1158</f>
        <v>Grocery</v>
      </c>
      <c r="D1158" s="3">
        <f>'Raw Data'!D1158</f>
        <v>45658</v>
      </c>
      <c r="E1158" t="str">
        <f t="shared" si="90"/>
        <v>Jan</v>
      </c>
      <c r="F1158" s="5">
        <f>'Raw Data'!E1158</f>
        <v>132</v>
      </c>
      <c r="G1158" s="4">
        <f>'Raw Data'!F1158</f>
        <v>2399.98</v>
      </c>
      <c r="H1158" s="4">
        <f>'Raw Data'!G1158</f>
        <v>2071.4</v>
      </c>
      <c r="I1158" s="4">
        <f t="shared" si="91"/>
        <v>328.57999999999993</v>
      </c>
      <c r="J1158" s="8">
        <f t="shared" si="92"/>
        <v>0.1369094742456187</v>
      </c>
      <c r="K1158" s="6">
        <f>'Raw Data'!I1158</f>
        <v>3.99</v>
      </c>
      <c r="L1158" s="5">
        <f>'Raw Data'!J1158</f>
        <v>24</v>
      </c>
      <c r="M1158" s="5">
        <f>IF(COUNTIFS($A$2:A1158,A1158,$D$2:D1158,D1158)=1,L1158,0)</f>
        <v>0</v>
      </c>
      <c r="N1158" s="4">
        <f t="shared" si="93"/>
        <v>99.999166666666667</v>
      </c>
      <c r="O1158" t="str">
        <f t="shared" si="94"/>
        <v>OK</v>
      </c>
    </row>
    <row r="1159" spans="1:15">
      <c r="A1159" t="str">
        <f>'Raw Data'!A1159</f>
        <v>Portland RM-17</v>
      </c>
      <c r="B1159" t="str">
        <f>'Raw Data'!B1159</f>
        <v>West</v>
      </c>
      <c r="C1159" t="str">
        <f>'Raw Data'!C1159</f>
        <v>Sports</v>
      </c>
      <c r="D1159" s="3">
        <f>'Raw Data'!D1159</f>
        <v>45658</v>
      </c>
      <c r="E1159" t="str">
        <f t="shared" si="90"/>
        <v>Jan</v>
      </c>
      <c r="F1159" s="5">
        <f>'Raw Data'!E1159</f>
        <v>59</v>
      </c>
      <c r="G1159" s="4">
        <f>'Raw Data'!F1159</f>
        <v>3896.52</v>
      </c>
      <c r="H1159" s="4">
        <f>'Raw Data'!G1159</f>
        <v>2422.5700000000002</v>
      </c>
      <c r="I1159" s="4">
        <f t="shared" si="91"/>
        <v>1473.9499999999998</v>
      </c>
      <c r="J1159" s="8">
        <f t="shared" si="92"/>
        <v>0.37827343373061084</v>
      </c>
      <c r="K1159" s="6">
        <f>'Raw Data'!I1159</f>
        <v>3.95</v>
      </c>
      <c r="L1159" s="5">
        <f>'Raw Data'!J1159</f>
        <v>24</v>
      </c>
      <c r="M1159" s="5">
        <f>IF(COUNTIFS($A$2:A1159,A1159,$D$2:D1159,D1159)=1,L1159,0)</f>
        <v>0</v>
      </c>
      <c r="N1159" s="4">
        <f t="shared" si="93"/>
        <v>162.35499999999999</v>
      </c>
      <c r="O1159" t="str">
        <f t="shared" si="94"/>
        <v>OK</v>
      </c>
    </row>
    <row r="1160" spans="1:15">
      <c r="A1160" t="str">
        <f>'Raw Data'!A1160</f>
        <v>Portland RM-17</v>
      </c>
      <c r="B1160" t="str">
        <f>'Raw Data'!B1160</f>
        <v>West</v>
      </c>
      <c r="C1160" t="str">
        <f>'Raw Data'!C1160</f>
        <v>Electronics</v>
      </c>
      <c r="D1160" s="3">
        <f>'Raw Data'!D1160</f>
        <v>45689</v>
      </c>
      <c r="E1160" t="str">
        <f t="shared" si="90"/>
        <v>Feb</v>
      </c>
      <c r="F1160" s="5">
        <f>'Raw Data'!E1160</f>
        <v>81</v>
      </c>
      <c r="G1160" s="4">
        <f>'Raw Data'!F1160</f>
        <v>12010.96</v>
      </c>
      <c r="H1160" s="4">
        <f>'Raw Data'!G1160</f>
        <v>9196.1299999999992</v>
      </c>
      <c r="I1160" s="4">
        <f t="shared" si="91"/>
        <v>2814.83</v>
      </c>
      <c r="J1160" s="8">
        <f t="shared" si="92"/>
        <v>0.23435512232161293</v>
      </c>
      <c r="K1160" s="6">
        <f>'Raw Data'!I1160</f>
        <v>3.88</v>
      </c>
      <c r="L1160" s="5">
        <f>'Raw Data'!J1160</f>
        <v>23</v>
      </c>
      <c r="M1160" s="5">
        <f>IF(COUNTIFS($A$2:A1160,A1160,$D$2:D1160,D1160)=1,L1160,0)</f>
        <v>23</v>
      </c>
      <c r="N1160" s="4">
        <f t="shared" si="93"/>
        <v>522.21565217391299</v>
      </c>
      <c r="O1160" t="str">
        <f t="shared" si="94"/>
        <v>OK</v>
      </c>
    </row>
    <row r="1161" spans="1:15">
      <c r="A1161" t="str">
        <f>'Raw Data'!A1161</f>
        <v>Portland RM-17</v>
      </c>
      <c r="B1161" t="str">
        <f>'Raw Data'!B1161</f>
        <v>West</v>
      </c>
      <c r="C1161" t="str">
        <f>'Raw Data'!C1161</f>
        <v>Home Goods</v>
      </c>
      <c r="D1161" s="3">
        <f>'Raw Data'!D1161</f>
        <v>45689</v>
      </c>
      <c r="E1161" t="str">
        <f t="shared" si="90"/>
        <v>Feb</v>
      </c>
      <c r="F1161" s="5">
        <f>'Raw Data'!E1161</f>
        <v>79</v>
      </c>
      <c r="G1161" s="4">
        <f>'Raw Data'!F1161</f>
        <v>6025.95</v>
      </c>
      <c r="H1161" s="4">
        <f>'Raw Data'!G1161</f>
        <v>3834.39</v>
      </c>
      <c r="I1161" s="4">
        <f t="shared" si="91"/>
        <v>2191.56</v>
      </c>
      <c r="J1161" s="8">
        <f t="shared" si="92"/>
        <v>0.36368705349364</v>
      </c>
      <c r="K1161" s="6">
        <f>'Raw Data'!I1161</f>
        <v>4.0599999999999996</v>
      </c>
      <c r="L1161" s="5">
        <f>'Raw Data'!J1161</f>
        <v>23</v>
      </c>
      <c r="M1161" s="5">
        <f>IF(COUNTIFS($A$2:A1161,A1161,$D$2:D1161,D1161)=1,L1161,0)</f>
        <v>0</v>
      </c>
      <c r="N1161" s="4">
        <f t="shared" si="93"/>
        <v>261.99782608695654</v>
      </c>
      <c r="O1161" t="str">
        <f t="shared" si="94"/>
        <v>OK</v>
      </c>
    </row>
    <row r="1162" spans="1:15">
      <c r="A1162" t="str">
        <f>'Raw Data'!A1162</f>
        <v>Portland RM-17</v>
      </c>
      <c r="B1162" t="str">
        <f>'Raw Data'!B1162</f>
        <v>West</v>
      </c>
      <c r="C1162" t="str">
        <f>'Raw Data'!C1162</f>
        <v>Apparel</v>
      </c>
      <c r="D1162" s="3">
        <f>'Raw Data'!D1162</f>
        <v>45689</v>
      </c>
      <c r="E1162" t="str">
        <f t="shared" si="90"/>
        <v>Feb</v>
      </c>
      <c r="F1162" s="5">
        <f>'Raw Data'!E1162</f>
        <v>111</v>
      </c>
      <c r="G1162" s="4">
        <f>'Raw Data'!F1162</f>
        <v>5544.17</v>
      </c>
      <c r="H1162" s="4">
        <f>'Raw Data'!G1162</f>
        <v>3175.5</v>
      </c>
      <c r="I1162" s="4">
        <f t="shared" si="91"/>
        <v>2368.67</v>
      </c>
      <c r="J1162" s="8">
        <f t="shared" si="92"/>
        <v>0.42723617782283013</v>
      </c>
      <c r="K1162" s="6">
        <f>'Raw Data'!I1162</f>
        <v>3.85</v>
      </c>
      <c r="L1162" s="5">
        <f>'Raw Data'!J1162</f>
        <v>23</v>
      </c>
      <c r="M1162" s="5">
        <f>IF(COUNTIFS($A$2:A1162,A1162,$D$2:D1162,D1162)=1,L1162,0)</f>
        <v>0</v>
      </c>
      <c r="N1162" s="4">
        <f t="shared" si="93"/>
        <v>241.0508695652174</v>
      </c>
      <c r="O1162" t="str">
        <f t="shared" si="94"/>
        <v>OK</v>
      </c>
    </row>
    <row r="1163" spans="1:15">
      <c r="A1163" t="str">
        <f>'Raw Data'!A1163</f>
        <v>Portland RM-17</v>
      </c>
      <c r="B1163" t="str">
        <f>'Raw Data'!B1163</f>
        <v>West</v>
      </c>
      <c r="C1163" t="str">
        <f>'Raw Data'!C1163</f>
        <v>Beauty</v>
      </c>
      <c r="D1163" s="3">
        <f>'Raw Data'!D1163</f>
        <v>45689</v>
      </c>
      <c r="E1163" t="str">
        <f t="shared" si="90"/>
        <v>Feb</v>
      </c>
      <c r="F1163" s="5">
        <f>'Raw Data'!E1163</f>
        <v>74</v>
      </c>
      <c r="G1163" s="4">
        <f>'Raw Data'!F1163</f>
        <v>2671.77</v>
      </c>
      <c r="H1163" s="4">
        <f>'Raw Data'!G1163</f>
        <v>1234.81</v>
      </c>
      <c r="I1163" s="4">
        <f t="shared" si="91"/>
        <v>1436.96</v>
      </c>
      <c r="J1163" s="8">
        <f t="shared" si="92"/>
        <v>0.5378307264472616</v>
      </c>
      <c r="K1163" s="6">
        <f>'Raw Data'!I1163</f>
        <v>4</v>
      </c>
      <c r="L1163" s="5">
        <f>'Raw Data'!J1163</f>
        <v>23</v>
      </c>
      <c r="M1163" s="5">
        <f>IF(COUNTIFS($A$2:A1163,A1163,$D$2:D1163,D1163)=1,L1163,0)</f>
        <v>0</v>
      </c>
      <c r="N1163" s="4">
        <f t="shared" si="93"/>
        <v>116.16391304347826</v>
      </c>
      <c r="O1163" t="str">
        <f t="shared" si="94"/>
        <v>OK</v>
      </c>
    </row>
    <row r="1164" spans="1:15">
      <c r="A1164" t="str">
        <f>'Raw Data'!A1164</f>
        <v>Portland RM-17</v>
      </c>
      <c r="B1164" t="str">
        <f>'Raw Data'!B1164</f>
        <v>West</v>
      </c>
      <c r="C1164" t="str">
        <f>'Raw Data'!C1164</f>
        <v>Grocery</v>
      </c>
      <c r="D1164" s="3">
        <f>'Raw Data'!D1164</f>
        <v>45689</v>
      </c>
      <c r="E1164" t="str">
        <f t="shared" si="90"/>
        <v>Feb</v>
      </c>
      <c r="F1164" s="5">
        <f>'Raw Data'!E1164</f>
        <v>119</v>
      </c>
      <c r="G1164" s="4">
        <f>'Raw Data'!F1164</f>
        <v>2166.92</v>
      </c>
      <c r="H1164" s="4">
        <f>'Raw Data'!G1164</f>
        <v>1971.7</v>
      </c>
      <c r="I1164" s="4">
        <f t="shared" si="91"/>
        <v>195.22000000000003</v>
      </c>
      <c r="J1164" s="8">
        <f t="shared" si="92"/>
        <v>9.0091004744060704E-2</v>
      </c>
      <c r="K1164" s="6">
        <f>'Raw Data'!I1164</f>
        <v>3.92</v>
      </c>
      <c r="L1164" s="5">
        <f>'Raw Data'!J1164</f>
        <v>23</v>
      </c>
      <c r="M1164" s="5">
        <f>IF(COUNTIFS($A$2:A1164,A1164,$D$2:D1164,D1164)=1,L1164,0)</f>
        <v>0</v>
      </c>
      <c r="N1164" s="4">
        <f t="shared" si="93"/>
        <v>94.213913043478257</v>
      </c>
      <c r="O1164" t="str">
        <f t="shared" si="94"/>
        <v>OK</v>
      </c>
    </row>
    <row r="1165" spans="1:15">
      <c r="A1165" t="str">
        <f>'Raw Data'!A1165</f>
        <v>Portland RM-17</v>
      </c>
      <c r="B1165" t="str">
        <f>'Raw Data'!B1165</f>
        <v>West</v>
      </c>
      <c r="C1165" t="str">
        <f>'Raw Data'!C1165</f>
        <v>Sports</v>
      </c>
      <c r="D1165" s="3">
        <f>'Raw Data'!D1165</f>
        <v>45689</v>
      </c>
      <c r="E1165" t="str">
        <f t="shared" si="90"/>
        <v>Feb</v>
      </c>
      <c r="F1165" s="5">
        <f>'Raw Data'!E1165</f>
        <v>67</v>
      </c>
      <c r="G1165" s="4">
        <f>'Raw Data'!F1165</f>
        <v>4126.1099999999997</v>
      </c>
      <c r="H1165" s="4">
        <f>'Raw Data'!G1165</f>
        <v>2624.52</v>
      </c>
      <c r="I1165" s="4">
        <f t="shared" si="91"/>
        <v>1501.5899999999997</v>
      </c>
      <c r="J1165" s="8">
        <f t="shared" si="92"/>
        <v>0.36392388957153343</v>
      </c>
      <c r="K1165" s="6">
        <f>'Raw Data'!I1165</f>
        <v>4.1399999999999997</v>
      </c>
      <c r="L1165" s="5">
        <f>'Raw Data'!J1165</f>
        <v>23</v>
      </c>
      <c r="M1165" s="5">
        <f>IF(COUNTIFS($A$2:A1165,A1165,$D$2:D1165,D1165)=1,L1165,0)</f>
        <v>0</v>
      </c>
      <c r="N1165" s="4">
        <f t="shared" si="93"/>
        <v>179.39608695652171</v>
      </c>
      <c r="O1165" t="str">
        <f t="shared" si="94"/>
        <v>OK</v>
      </c>
    </row>
    <row r="1166" spans="1:15">
      <c r="A1166" t="str">
        <f>'Raw Data'!A1166</f>
        <v>Portland RM-17</v>
      </c>
      <c r="B1166" t="str">
        <f>'Raw Data'!B1166</f>
        <v>West</v>
      </c>
      <c r="C1166" t="str">
        <f>'Raw Data'!C1166</f>
        <v>Electronics</v>
      </c>
      <c r="D1166" s="3">
        <f>'Raw Data'!D1166</f>
        <v>45717</v>
      </c>
      <c r="E1166" t="str">
        <f t="shared" si="90"/>
        <v>Mar</v>
      </c>
      <c r="F1166" s="5">
        <f>'Raw Data'!E1166</f>
        <v>98</v>
      </c>
      <c r="G1166" s="4">
        <f>'Raw Data'!F1166</f>
        <v>14887.56</v>
      </c>
      <c r="H1166" s="4">
        <f>'Raw Data'!G1166</f>
        <v>11038.92</v>
      </c>
      <c r="I1166" s="4">
        <f t="shared" si="91"/>
        <v>3848.6399999999994</v>
      </c>
      <c r="J1166" s="8">
        <f t="shared" si="92"/>
        <v>0.25851381959165903</v>
      </c>
      <c r="K1166" s="6">
        <f>'Raw Data'!I1166</f>
        <v>3.92</v>
      </c>
      <c r="L1166" s="5">
        <f>'Raw Data'!J1166</f>
        <v>23</v>
      </c>
      <c r="M1166" s="5">
        <f>IF(COUNTIFS($A$2:A1166,A1166,$D$2:D1166,D1166)=1,L1166,0)</f>
        <v>23</v>
      </c>
      <c r="N1166" s="4">
        <f t="shared" si="93"/>
        <v>647.28521739130429</v>
      </c>
      <c r="O1166" t="str">
        <f t="shared" si="94"/>
        <v>OK</v>
      </c>
    </row>
    <row r="1167" spans="1:15">
      <c r="A1167" t="str">
        <f>'Raw Data'!A1167</f>
        <v>Portland RM-17</v>
      </c>
      <c r="B1167" t="str">
        <f>'Raw Data'!B1167</f>
        <v>West</v>
      </c>
      <c r="C1167" t="str">
        <f>'Raw Data'!C1167</f>
        <v>Home Goods</v>
      </c>
      <c r="D1167" s="3">
        <f>'Raw Data'!D1167</f>
        <v>45717</v>
      </c>
      <c r="E1167" t="str">
        <f t="shared" si="90"/>
        <v>Mar</v>
      </c>
      <c r="F1167" s="5">
        <f>'Raw Data'!E1167</f>
        <v>90</v>
      </c>
      <c r="G1167" s="4">
        <f>'Raw Data'!F1167</f>
        <v>7128.8</v>
      </c>
      <c r="H1167" s="4">
        <f>'Raw Data'!G1167</f>
        <v>4776.53</v>
      </c>
      <c r="I1167" s="4">
        <f t="shared" si="91"/>
        <v>2352.2700000000004</v>
      </c>
      <c r="J1167" s="8">
        <f t="shared" si="92"/>
        <v>0.32996717540118958</v>
      </c>
      <c r="K1167" s="6">
        <f>'Raw Data'!I1167</f>
        <v>3.92</v>
      </c>
      <c r="L1167" s="5">
        <f>'Raw Data'!J1167</f>
        <v>23</v>
      </c>
      <c r="M1167" s="5">
        <f>IF(COUNTIFS($A$2:A1167,A1167,$D$2:D1167,D1167)=1,L1167,0)</f>
        <v>0</v>
      </c>
      <c r="N1167" s="4">
        <f t="shared" si="93"/>
        <v>309.94782608695652</v>
      </c>
      <c r="O1167" t="str">
        <f t="shared" si="94"/>
        <v>OK</v>
      </c>
    </row>
    <row r="1168" spans="1:15">
      <c r="A1168" t="str">
        <f>'Raw Data'!A1168</f>
        <v>Portland RM-17</v>
      </c>
      <c r="B1168" t="str">
        <f>'Raw Data'!B1168</f>
        <v>West</v>
      </c>
      <c r="C1168" t="str">
        <f>'Raw Data'!C1168</f>
        <v>Apparel</v>
      </c>
      <c r="D1168" s="3">
        <f>'Raw Data'!D1168</f>
        <v>45717</v>
      </c>
      <c r="E1168" t="str">
        <f t="shared" si="90"/>
        <v>Mar</v>
      </c>
      <c r="F1168" s="5">
        <f>'Raw Data'!E1168</f>
        <v>139</v>
      </c>
      <c r="G1168" s="4">
        <f>'Raw Data'!F1168</f>
        <v>7168.8</v>
      </c>
      <c r="H1168" s="4">
        <f>'Raw Data'!G1168</f>
        <v>4117.51</v>
      </c>
      <c r="I1168" s="4">
        <f t="shared" si="91"/>
        <v>3051.29</v>
      </c>
      <c r="J1168" s="8">
        <f t="shared" si="92"/>
        <v>0.42563469478852806</v>
      </c>
      <c r="K1168" s="6">
        <f>'Raw Data'!I1168</f>
        <v>4.09</v>
      </c>
      <c r="L1168" s="5">
        <f>'Raw Data'!J1168</f>
        <v>23</v>
      </c>
      <c r="M1168" s="5">
        <f>IF(COUNTIFS($A$2:A1168,A1168,$D$2:D1168,D1168)=1,L1168,0)</f>
        <v>0</v>
      </c>
      <c r="N1168" s="4">
        <f t="shared" si="93"/>
        <v>311.68695652173915</v>
      </c>
      <c r="O1168" t="str">
        <f t="shared" si="94"/>
        <v>OK</v>
      </c>
    </row>
    <row r="1169" spans="1:15">
      <c r="A1169" t="str">
        <f>'Raw Data'!A1169</f>
        <v>Portland RM-17</v>
      </c>
      <c r="B1169" t="str">
        <f>'Raw Data'!B1169</f>
        <v>West</v>
      </c>
      <c r="C1169" t="str">
        <f>'Raw Data'!C1169</f>
        <v>Beauty</v>
      </c>
      <c r="D1169" s="3">
        <f>'Raw Data'!D1169</f>
        <v>45717</v>
      </c>
      <c r="E1169" t="str">
        <f t="shared" si="90"/>
        <v>Mar</v>
      </c>
      <c r="F1169" s="5">
        <f>'Raw Data'!E1169</f>
        <v>106</v>
      </c>
      <c r="G1169" s="4">
        <f>'Raw Data'!F1169</f>
        <v>3593.56</v>
      </c>
      <c r="H1169" s="4">
        <f>'Raw Data'!G1169</f>
        <v>1695.92</v>
      </c>
      <c r="I1169" s="4">
        <f t="shared" si="91"/>
        <v>1897.6399999999999</v>
      </c>
      <c r="J1169" s="8">
        <f t="shared" si="92"/>
        <v>0.52806687518783602</v>
      </c>
      <c r="K1169" s="6">
        <f>'Raw Data'!I1169</f>
        <v>3.99</v>
      </c>
      <c r="L1169" s="5">
        <f>'Raw Data'!J1169</f>
        <v>23</v>
      </c>
      <c r="M1169" s="5">
        <f>IF(COUNTIFS($A$2:A1169,A1169,$D$2:D1169,D1169)=1,L1169,0)</f>
        <v>0</v>
      </c>
      <c r="N1169" s="4">
        <f t="shared" si="93"/>
        <v>156.24173913043478</v>
      </c>
      <c r="O1169" t="str">
        <f t="shared" si="94"/>
        <v>OK</v>
      </c>
    </row>
    <row r="1170" spans="1:15">
      <c r="A1170" t="str">
        <f>'Raw Data'!A1170</f>
        <v>Portland RM-17</v>
      </c>
      <c r="B1170" t="str">
        <f>'Raw Data'!B1170</f>
        <v>West</v>
      </c>
      <c r="C1170" t="str">
        <f>'Raw Data'!C1170</f>
        <v>Grocery</v>
      </c>
      <c r="D1170" s="3">
        <f>'Raw Data'!D1170</f>
        <v>45717</v>
      </c>
      <c r="E1170" t="str">
        <f t="shared" si="90"/>
        <v>Mar</v>
      </c>
      <c r="F1170" s="5">
        <f>'Raw Data'!E1170</f>
        <v>156</v>
      </c>
      <c r="G1170" s="4">
        <f>'Raw Data'!F1170</f>
        <v>2833.51</v>
      </c>
      <c r="H1170" s="4">
        <f>'Raw Data'!G1170</f>
        <v>2484.56</v>
      </c>
      <c r="I1170" s="4">
        <f t="shared" si="91"/>
        <v>348.95000000000027</v>
      </c>
      <c r="J1170" s="8">
        <f t="shared" si="92"/>
        <v>0.12315114469333098</v>
      </c>
      <c r="K1170" s="6">
        <f>'Raw Data'!I1170</f>
        <v>4.0199999999999996</v>
      </c>
      <c r="L1170" s="5">
        <f>'Raw Data'!J1170</f>
        <v>23</v>
      </c>
      <c r="M1170" s="5">
        <f>IF(COUNTIFS($A$2:A1170,A1170,$D$2:D1170,D1170)=1,L1170,0)</f>
        <v>0</v>
      </c>
      <c r="N1170" s="4">
        <f t="shared" si="93"/>
        <v>123.19608695652175</v>
      </c>
      <c r="O1170" t="str">
        <f t="shared" si="94"/>
        <v>OK</v>
      </c>
    </row>
    <row r="1171" spans="1:15">
      <c r="A1171" t="str">
        <f>'Raw Data'!A1171</f>
        <v>Portland RM-17</v>
      </c>
      <c r="B1171" t="str">
        <f>'Raw Data'!B1171</f>
        <v>West</v>
      </c>
      <c r="C1171" t="str">
        <f>'Raw Data'!C1171</f>
        <v>Sports</v>
      </c>
      <c r="D1171" s="3">
        <f>'Raw Data'!D1171</f>
        <v>45717</v>
      </c>
      <c r="E1171" t="str">
        <f t="shared" si="90"/>
        <v>Mar</v>
      </c>
      <c r="F1171" s="5">
        <f>'Raw Data'!E1171</f>
        <v>60</v>
      </c>
      <c r="G1171" s="4">
        <f>'Raw Data'!F1171</f>
        <v>3733.11</v>
      </c>
      <c r="H1171" s="4">
        <f>'Raw Data'!G1171</f>
        <v>2351.1</v>
      </c>
      <c r="I1171" s="4">
        <f t="shared" si="91"/>
        <v>1382.0100000000002</v>
      </c>
      <c r="J1171" s="8">
        <f t="shared" si="92"/>
        <v>0.37020339609601649</v>
      </c>
      <c r="K1171" s="6">
        <f>'Raw Data'!I1171</f>
        <v>4.03</v>
      </c>
      <c r="L1171" s="5">
        <f>'Raw Data'!J1171</f>
        <v>23</v>
      </c>
      <c r="M1171" s="5">
        <f>IF(COUNTIFS($A$2:A1171,A1171,$D$2:D1171,D1171)=1,L1171,0)</f>
        <v>0</v>
      </c>
      <c r="N1171" s="4">
        <f t="shared" si="93"/>
        <v>162.30913043478262</v>
      </c>
      <c r="O1171" t="str">
        <f t="shared" si="94"/>
        <v>OK</v>
      </c>
    </row>
    <row r="1172" spans="1:15">
      <c r="A1172" t="str">
        <f>'Raw Data'!A1172</f>
        <v>Portland RM-17</v>
      </c>
      <c r="B1172" t="str">
        <f>'Raw Data'!B1172</f>
        <v>West</v>
      </c>
      <c r="C1172" t="str">
        <f>'Raw Data'!C1172</f>
        <v>Electronics</v>
      </c>
      <c r="D1172" s="3">
        <f>'Raw Data'!D1172</f>
        <v>45748</v>
      </c>
      <c r="E1172" t="str">
        <f t="shared" si="90"/>
        <v>Apr</v>
      </c>
      <c r="F1172" s="5">
        <f>'Raw Data'!E1172</f>
        <v>104</v>
      </c>
      <c r="G1172" s="4">
        <f>'Raw Data'!F1172</f>
        <v>15483.65</v>
      </c>
      <c r="H1172" s="4">
        <f>'Raw Data'!G1172</f>
        <v>11932.5</v>
      </c>
      <c r="I1172" s="4">
        <f t="shared" si="91"/>
        <v>3551.1499999999996</v>
      </c>
      <c r="J1172" s="8">
        <f t="shared" si="92"/>
        <v>0.22934837715913237</v>
      </c>
      <c r="K1172" s="6">
        <f>'Raw Data'!I1172</f>
        <v>4.1100000000000003</v>
      </c>
      <c r="L1172" s="5">
        <f>'Raw Data'!J1172</f>
        <v>22</v>
      </c>
      <c r="M1172" s="5">
        <f>IF(COUNTIFS($A$2:A1172,A1172,$D$2:D1172,D1172)=1,L1172,0)</f>
        <v>22</v>
      </c>
      <c r="N1172" s="4">
        <f t="shared" si="93"/>
        <v>703.80227272727268</v>
      </c>
      <c r="O1172" t="str">
        <f t="shared" si="94"/>
        <v>OK</v>
      </c>
    </row>
    <row r="1173" spans="1:15">
      <c r="A1173" t="str">
        <f>'Raw Data'!A1173</f>
        <v>Portland RM-17</v>
      </c>
      <c r="B1173" t="str">
        <f>'Raw Data'!B1173</f>
        <v>West</v>
      </c>
      <c r="C1173" t="str">
        <f>'Raw Data'!C1173</f>
        <v>Home Goods</v>
      </c>
      <c r="D1173" s="3">
        <f>'Raw Data'!D1173</f>
        <v>45748</v>
      </c>
      <c r="E1173" t="str">
        <f t="shared" si="90"/>
        <v>Apr</v>
      </c>
      <c r="F1173" s="5">
        <f>'Raw Data'!E1173</f>
        <v>103</v>
      </c>
      <c r="G1173" s="4">
        <f>'Raw Data'!F1173</f>
        <v>7411.93</v>
      </c>
      <c r="H1173" s="4">
        <f>'Raw Data'!G1173</f>
        <v>4774.12</v>
      </c>
      <c r="I1173" s="4">
        <f t="shared" si="91"/>
        <v>2637.8100000000004</v>
      </c>
      <c r="J1173" s="8">
        <f t="shared" si="92"/>
        <v>0.35588706315359159</v>
      </c>
      <c r="K1173" s="6">
        <f>'Raw Data'!I1173</f>
        <v>4.05</v>
      </c>
      <c r="L1173" s="5">
        <f>'Raw Data'!J1173</f>
        <v>22</v>
      </c>
      <c r="M1173" s="5">
        <f>IF(COUNTIFS($A$2:A1173,A1173,$D$2:D1173,D1173)=1,L1173,0)</f>
        <v>0</v>
      </c>
      <c r="N1173" s="4">
        <f t="shared" si="93"/>
        <v>336.90590909090912</v>
      </c>
      <c r="O1173" t="str">
        <f t="shared" si="94"/>
        <v>OK</v>
      </c>
    </row>
    <row r="1174" spans="1:15">
      <c r="A1174" t="str">
        <f>'Raw Data'!A1174</f>
        <v>Portland RM-17</v>
      </c>
      <c r="B1174" t="str">
        <f>'Raw Data'!B1174</f>
        <v>West</v>
      </c>
      <c r="C1174" t="str">
        <f>'Raw Data'!C1174</f>
        <v>Apparel</v>
      </c>
      <c r="D1174" s="3">
        <f>'Raw Data'!D1174</f>
        <v>45748</v>
      </c>
      <c r="E1174" t="str">
        <f t="shared" si="90"/>
        <v>Apr</v>
      </c>
      <c r="F1174" s="5">
        <f>'Raw Data'!E1174</f>
        <v>162</v>
      </c>
      <c r="G1174" s="4">
        <f>'Raw Data'!F1174</f>
        <v>8035.56</v>
      </c>
      <c r="H1174" s="4">
        <f>'Raw Data'!G1174</f>
        <v>4902.72</v>
      </c>
      <c r="I1174" s="4">
        <f t="shared" si="91"/>
        <v>3132.84</v>
      </c>
      <c r="J1174" s="8">
        <f t="shared" si="92"/>
        <v>0.38987201887609574</v>
      </c>
      <c r="K1174" s="6">
        <f>'Raw Data'!I1174</f>
        <v>3.92</v>
      </c>
      <c r="L1174" s="5">
        <f>'Raw Data'!J1174</f>
        <v>22</v>
      </c>
      <c r="M1174" s="5">
        <f>IF(COUNTIFS($A$2:A1174,A1174,$D$2:D1174,D1174)=1,L1174,0)</f>
        <v>0</v>
      </c>
      <c r="N1174" s="4">
        <f t="shared" si="93"/>
        <v>365.25272727272727</v>
      </c>
      <c r="O1174" t="str">
        <f t="shared" si="94"/>
        <v>OK</v>
      </c>
    </row>
    <row r="1175" spans="1:15">
      <c r="A1175" t="str">
        <f>'Raw Data'!A1175</f>
        <v>Portland RM-17</v>
      </c>
      <c r="B1175" t="str">
        <f>'Raw Data'!B1175</f>
        <v>West</v>
      </c>
      <c r="C1175" t="str">
        <f>'Raw Data'!C1175</f>
        <v>Beauty</v>
      </c>
      <c r="D1175" s="3">
        <f>'Raw Data'!D1175</f>
        <v>45748</v>
      </c>
      <c r="E1175" t="str">
        <f t="shared" si="90"/>
        <v>Apr</v>
      </c>
      <c r="F1175" s="5">
        <f>'Raw Data'!E1175</f>
        <v>102</v>
      </c>
      <c r="G1175" s="4">
        <f>'Raw Data'!F1175</f>
        <v>3924.83</v>
      </c>
      <c r="H1175" s="4">
        <f>'Raw Data'!G1175</f>
        <v>1825.31</v>
      </c>
      <c r="I1175" s="4">
        <f t="shared" si="91"/>
        <v>2099.52</v>
      </c>
      <c r="J1175" s="8">
        <f t="shared" si="92"/>
        <v>0.53493272320075014</v>
      </c>
      <c r="K1175" s="6">
        <f>'Raw Data'!I1175</f>
        <v>3.96</v>
      </c>
      <c r="L1175" s="5">
        <f>'Raw Data'!J1175</f>
        <v>22</v>
      </c>
      <c r="M1175" s="5">
        <f>IF(COUNTIFS($A$2:A1175,A1175,$D$2:D1175,D1175)=1,L1175,0)</f>
        <v>0</v>
      </c>
      <c r="N1175" s="4">
        <f t="shared" si="93"/>
        <v>178.40136363636364</v>
      </c>
      <c r="O1175" t="str">
        <f t="shared" si="94"/>
        <v>OK</v>
      </c>
    </row>
    <row r="1176" spans="1:15">
      <c r="A1176" t="str">
        <f>'Raw Data'!A1176</f>
        <v>Portland RM-17</v>
      </c>
      <c r="B1176" t="str">
        <f>'Raw Data'!B1176</f>
        <v>West</v>
      </c>
      <c r="C1176" t="str">
        <f>'Raw Data'!C1176</f>
        <v>Grocery</v>
      </c>
      <c r="D1176" s="3">
        <f>'Raw Data'!D1176</f>
        <v>45748</v>
      </c>
      <c r="E1176" t="str">
        <f t="shared" si="90"/>
        <v>Apr</v>
      </c>
      <c r="F1176" s="5">
        <f>'Raw Data'!E1176</f>
        <v>172</v>
      </c>
      <c r="G1176" s="4">
        <f>'Raw Data'!F1176</f>
        <v>3175.11</v>
      </c>
      <c r="H1176" s="4">
        <f>'Raw Data'!G1176</f>
        <v>2884.01</v>
      </c>
      <c r="I1176" s="4">
        <f t="shared" si="91"/>
        <v>291.09999999999991</v>
      </c>
      <c r="J1176" s="8">
        <f t="shared" si="92"/>
        <v>9.1681862990573529E-2</v>
      </c>
      <c r="K1176" s="6">
        <f>'Raw Data'!I1176</f>
        <v>4</v>
      </c>
      <c r="L1176" s="5">
        <f>'Raw Data'!J1176</f>
        <v>22</v>
      </c>
      <c r="M1176" s="5">
        <f>IF(COUNTIFS($A$2:A1176,A1176,$D$2:D1176,D1176)=1,L1176,0)</f>
        <v>0</v>
      </c>
      <c r="N1176" s="4">
        <f t="shared" si="93"/>
        <v>144.32318181818184</v>
      </c>
      <c r="O1176" t="str">
        <f t="shared" si="94"/>
        <v>OK</v>
      </c>
    </row>
    <row r="1177" spans="1:15">
      <c r="A1177" t="str">
        <f>'Raw Data'!A1177</f>
        <v>Portland RM-17</v>
      </c>
      <c r="B1177" t="str">
        <f>'Raw Data'!B1177</f>
        <v>West</v>
      </c>
      <c r="C1177" t="str">
        <f>'Raw Data'!C1177</f>
        <v>Sports</v>
      </c>
      <c r="D1177" s="3">
        <f>'Raw Data'!D1177</f>
        <v>45748</v>
      </c>
      <c r="E1177" t="str">
        <f t="shared" si="90"/>
        <v>Apr</v>
      </c>
      <c r="F1177" s="5">
        <f>'Raw Data'!E1177</f>
        <v>82</v>
      </c>
      <c r="G1177" s="4">
        <f>'Raw Data'!F1177</f>
        <v>5339.33</v>
      </c>
      <c r="H1177" s="4">
        <f>'Raw Data'!G1177</f>
        <v>3340.56</v>
      </c>
      <c r="I1177" s="4">
        <f t="shared" si="91"/>
        <v>1998.77</v>
      </c>
      <c r="J1177" s="8">
        <f t="shared" si="92"/>
        <v>0.37434846694248153</v>
      </c>
      <c r="K1177" s="6">
        <f>'Raw Data'!I1177</f>
        <v>3.98</v>
      </c>
      <c r="L1177" s="5">
        <f>'Raw Data'!J1177</f>
        <v>22</v>
      </c>
      <c r="M1177" s="5">
        <f>IF(COUNTIFS($A$2:A1177,A1177,$D$2:D1177,D1177)=1,L1177,0)</f>
        <v>0</v>
      </c>
      <c r="N1177" s="4">
        <f t="shared" si="93"/>
        <v>242.69681818181817</v>
      </c>
      <c r="O1177" t="str">
        <f t="shared" si="94"/>
        <v>OK</v>
      </c>
    </row>
    <row r="1178" spans="1:15">
      <c r="A1178" t="str">
        <f>'Raw Data'!A1178</f>
        <v>Portland RM-17</v>
      </c>
      <c r="B1178" t="str">
        <f>'Raw Data'!B1178</f>
        <v>West</v>
      </c>
      <c r="C1178" t="str">
        <f>'Raw Data'!C1178</f>
        <v>Electronics</v>
      </c>
      <c r="D1178" s="3">
        <f>'Raw Data'!D1178</f>
        <v>45778</v>
      </c>
      <c r="E1178" t="str">
        <f t="shared" si="90"/>
        <v>May</v>
      </c>
      <c r="F1178" s="5">
        <f>'Raw Data'!E1178</f>
        <v>114</v>
      </c>
      <c r="G1178" s="4">
        <f>'Raw Data'!F1178</f>
        <v>16230.83</v>
      </c>
      <c r="H1178" s="4">
        <f>'Raw Data'!G1178</f>
        <v>12463.59</v>
      </c>
      <c r="I1178" s="4">
        <f t="shared" si="91"/>
        <v>3767.24</v>
      </c>
      <c r="J1178" s="8">
        <f t="shared" si="92"/>
        <v>0.23210396510837708</v>
      </c>
      <c r="K1178" s="6">
        <f>'Raw Data'!I1178</f>
        <v>3.95</v>
      </c>
      <c r="L1178" s="5">
        <f>'Raw Data'!J1178</f>
        <v>23</v>
      </c>
      <c r="M1178" s="5">
        <f>IF(COUNTIFS($A$2:A1178,A1178,$D$2:D1178,D1178)=1,L1178,0)</f>
        <v>23</v>
      </c>
      <c r="N1178" s="4">
        <f t="shared" si="93"/>
        <v>705.68826086956517</v>
      </c>
      <c r="O1178" t="str">
        <f t="shared" si="94"/>
        <v>OK</v>
      </c>
    </row>
    <row r="1179" spans="1:15">
      <c r="A1179" t="str">
        <f>'Raw Data'!A1179</f>
        <v>Portland RM-17</v>
      </c>
      <c r="B1179" t="str">
        <f>'Raw Data'!B1179</f>
        <v>West</v>
      </c>
      <c r="C1179" t="str">
        <f>'Raw Data'!C1179</f>
        <v>Home Goods</v>
      </c>
      <c r="D1179" s="3">
        <f>'Raw Data'!D1179</f>
        <v>45778</v>
      </c>
      <c r="E1179" t="str">
        <f t="shared" si="90"/>
        <v>May</v>
      </c>
      <c r="F1179" s="5">
        <f>'Raw Data'!E1179</f>
        <v>98</v>
      </c>
      <c r="G1179" s="4">
        <f>'Raw Data'!F1179</f>
        <v>7071.68</v>
      </c>
      <c r="H1179" s="4">
        <f>'Raw Data'!G1179</f>
        <v>4675.12</v>
      </c>
      <c r="I1179" s="4">
        <f t="shared" si="91"/>
        <v>2396.5600000000004</v>
      </c>
      <c r="J1179" s="8">
        <f t="shared" si="92"/>
        <v>0.33889542513235899</v>
      </c>
      <c r="K1179" s="6">
        <f>'Raw Data'!I1179</f>
        <v>4.01</v>
      </c>
      <c r="L1179" s="5">
        <f>'Raw Data'!J1179</f>
        <v>23</v>
      </c>
      <c r="M1179" s="5">
        <f>IF(COUNTIFS($A$2:A1179,A1179,$D$2:D1179,D1179)=1,L1179,0)</f>
        <v>0</v>
      </c>
      <c r="N1179" s="4">
        <f t="shared" si="93"/>
        <v>307.46434782608696</v>
      </c>
      <c r="O1179" t="str">
        <f t="shared" si="94"/>
        <v>OK</v>
      </c>
    </row>
    <row r="1180" spans="1:15">
      <c r="A1180" t="str">
        <f>'Raw Data'!A1180</f>
        <v>Portland RM-17</v>
      </c>
      <c r="B1180" t="str">
        <f>'Raw Data'!B1180</f>
        <v>West</v>
      </c>
      <c r="C1180" t="str">
        <f>'Raw Data'!C1180</f>
        <v>Apparel</v>
      </c>
      <c r="D1180" s="3">
        <f>'Raw Data'!D1180</f>
        <v>45778</v>
      </c>
      <c r="E1180" t="str">
        <f t="shared" si="90"/>
        <v>May</v>
      </c>
      <c r="F1180" s="5">
        <f>'Raw Data'!E1180</f>
        <v>125</v>
      </c>
      <c r="G1180" s="4">
        <f>'Raw Data'!F1180</f>
        <v>6223.48</v>
      </c>
      <c r="H1180" s="4">
        <f>'Raw Data'!G1180</f>
        <v>3708.1</v>
      </c>
      <c r="I1180" s="4">
        <f t="shared" si="91"/>
        <v>2515.3799999999997</v>
      </c>
      <c r="J1180" s="8">
        <f t="shared" si="92"/>
        <v>0.4041757987492528</v>
      </c>
      <c r="K1180" s="6">
        <f>'Raw Data'!I1180</f>
        <v>4</v>
      </c>
      <c r="L1180" s="5">
        <f>'Raw Data'!J1180</f>
        <v>23</v>
      </c>
      <c r="M1180" s="5">
        <f>IF(COUNTIFS($A$2:A1180,A1180,$D$2:D1180,D1180)=1,L1180,0)</f>
        <v>0</v>
      </c>
      <c r="N1180" s="4">
        <f t="shared" si="93"/>
        <v>270.58608695652174</v>
      </c>
      <c r="O1180" t="str">
        <f t="shared" si="94"/>
        <v>OK</v>
      </c>
    </row>
    <row r="1181" spans="1:15">
      <c r="A1181" t="str">
        <f>'Raw Data'!A1181</f>
        <v>Portland RM-17</v>
      </c>
      <c r="B1181" t="str">
        <f>'Raw Data'!B1181</f>
        <v>West</v>
      </c>
      <c r="C1181" t="str">
        <f>'Raw Data'!C1181</f>
        <v>Beauty</v>
      </c>
      <c r="D1181" s="3">
        <f>'Raw Data'!D1181</f>
        <v>45778</v>
      </c>
      <c r="E1181" t="str">
        <f t="shared" si="90"/>
        <v>May</v>
      </c>
      <c r="F1181" s="5">
        <f>'Raw Data'!E1181</f>
        <v>110</v>
      </c>
      <c r="G1181" s="4">
        <f>'Raw Data'!F1181</f>
        <v>4013.26</v>
      </c>
      <c r="H1181" s="4">
        <f>'Raw Data'!G1181</f>
        <v>1965.24</v>
      </c>
      <c r="I1181" s="4">
        <f t="shared" si="91"/>
        <v>2048.0200000000004</v>
      </c>
      <c r="J1181" s="8">
        <f t="shared" si="92"/>
        <v>0.51031331137279923</v>
      </c>
      <c r="K1181" s="6">
        <f>'Raw Data'!I1181</f>
        <v>4.03</v>
      </c>
      <c r="L1181" s="5">
        <f>'Raw Data'!J1181</f>
        <v>23</v>
      </c>
      <c r="M1181" s="5">
        <f>IF(COUNTIFS($A$2:A1181,A1181,$D$2:D1181,D1181)=1,L1181,0)</f>
        <v>0</v>
      </c>
      <c r="N1181" s="4">
        <f t="shared" si="93"/>
        <v>174.48956521739132</v>
      </c>
      <c r="O1181" t="str">
        <f t="shared" si="94"/>
        <v>OK</v>
      </c>
    </row>
    <row r="1182" spans="1:15">
      <c r="A1182" t="str">
        <f>'Raw Data'!A1182</f>
        <v>Portland RM-17</v>
      </c>
      <c r="B1182" t="str">
        <f>'Raw Data'!B1182</f>
        <v>West</v>
      </c>
      <c r="C1182" t="str">
        <f>'Raw Data'!C1182</f>
        <v>Grocery</v>
      </c>
      <c r="D1182" s="3">
        <f>'Raw Data'!D1182</f>
        <v>45778</v>
      </c>
      <c r="E1182" t="str">
        <f t="shared" si="90"/>
        <v>May</v>
      </c>
      <c r="F1182" s="5">
        <f>'Raw Data'!E1182</f>
        <v>192</v>
      </c>
      <c r="G1182" s="4">
        <f>'Raw Data'!F1182</f>
        <v>3552.97</v>
      </c>
      <c r="H1182" s="4">
        <f>'Raw Data'!G1182</f>
        <v>3305.77</v>
      </c>
      <c r="I1182" s="4">
        <f t="shared" si="91"/>
        <v>247.19999999999982</v>
      </c>
      <c r="J1182" s="8">
        <f t="shared" si="92"/>
        <v>6.9575594502627333E-2</v>
      </c>
      <c r="K1182" s="6">
        <f>'Raw Data'!I1182</f>
        <v>3.96</v>
      </c>
      <c r="L1182" s="5">
        <f>'Raw Data'!J1182</f>
        <v>23</v>
      </c>
      <c r="M1182" s="5">
        <f>IF(COUNTIFS($A$2:A1182,A1182,$D$2:D1182,D1182)=1,L1182,0)</f>
        <v>0</v>
      </c>
      <c r="N1182" s="4">
        <f t="shared" si="93"/>
        <v>154.47695652173911</v>
      </c>
      <c r="O1182" t="str">
        <f t="shared" si="94"/>
        <v>OK</v>
      </c>
    </row>
    <row r="1183" spans="1:15">
      <c r="A1183" t="str">
        <f>'Raw Data'!A1183</f>
        <v>Portland RM-17</v>
      </c>
      <c r="B1183" t="str">
        <f>'Raw Data'!B1183</f>
        <v>West</v>
      </c>
      <c r="C1183" t="str">
        <f>'Raw Data'!C1183</f>
        <v>Sports</v>
      </c>
      <c r="D1183" s="3">
        <f>'Raw Data'!D1183</f>
        <v>45778</v>
      </c>
      <c r="E1183" t="str">
        <f t="shared" si="90"/>
        <v>May</v>
      </c>
      <c r="F1183" s="5">
        <f>'Raw Data'!E1183</f>
        <v>109</v>
      </c>
      <c r="G1183" s="4">
        <f>'Raw Data'!F1183</f>
        <v>7004.07</v>
      </c>
      <c r="H1183" s="4">
        <f>'Raw Data'!G1183</f>
        <v>4628.05</v>
      </c>
      <c r="I1183" s="4">
        <f t="shared" si="91"/>
        <v>2376.0199999999995</v>
      </c>
      <c r="J1183" s="8">
        <f t="shared" si="92"/>
        <v>0.33923418812204897</v>
      </c>
      <c r="K1183" s="6">
        <f>'Raw Data'!I1183</f>
        <v>4.17</v>
      </c>
      <c r="L1183" s="5">
        <f>'Raw Data'!J1183</f>
        <v>23</v>
      </c>
      <c r="M1183" s="5">
        <f>IF(COUNTIFS($A$2:A1183,A1183,$D$2:D1183,D1183)=1,L1183,0)</f>
        <v>0</v>
      </c>
      <c r="N1183" s="4">
        <f t="shared" si="93"/>
        <v>304.52478260869566</v>
      </c>
      <c r="O1183" t="str">
        <f t="shared" si="94"/>
        <v>OK</v>
      </c>
    </row>
    <row r="1184" spans="1:15">
      <c r="A1184" t="str">
        <f>'Raw Data'!A1184</f>
        <v>Portland RM-17</v>
      </c>
      <c r="B1184" t="str">
        <f>'Raw Data'!B1184</f>
        <v>West</v>
      </c>
      <c r="C1184" t="str">
        <f>'Raw Data'!C1184</f>
        <v>Electronics</v>
      </c>
      <c r="D1184" s="3">
        <f>'Raw Data'!D1184</f>
        <v>45809</v>
      </c>
      <c r="E1184" t="str">
        <f t="shared" si="90"/>
        <v>Jun</v>
      </c>
      <c r="F1184" s="5">
        <f>'Raw Data'!E1184</f>
        <v>99</v>
      </c>
      <c r="G1184" s="4">
        <f>'Raw Data'!F1184</f>
        <v>14015.54</v>
      </c>
      <c r="H1184" s="4">
        <f>'Raw Data'!G1184</f>
        <v>10981.41</v>
      </c>
      <c r="I1184" s="4">
        <f t="shared" si="91"/>
        <v>3034.130000000001</v>
      </c>
      <c r="J1184" s="8">
        <f t="shared" si="92"/>
        <v>0.21648327499332889</v>
      </c>
      <c r="K1184" s="6">
        <f>'Raw Data'!I1184</f>
        <v>4.04</v>
      </c>
      <c r="L1184" s="5">
        <f>'Raw Data'!J1184</f>
        <v>24</v>
      </c>
      <c r="M1184" s="5">
        <f>IF(COUNTIFS($A$2:A1184,A1184,$D$2:D1184,D1184)=1,L1184,0)</f>
        <v>24</v>
      </c>
      <c r="N1184" s="4">
        <f t="shared" si="93"/>
        <v>583.98083333333341</v>
      </c>
      <c r="O1184" t="str">
        <f t="shared" si="94"/>
        <v>OK</v>
      </c>
    </row>
    <row r="1185" spans="1:15">
      <c r="A1185" t="str">
        <f>'Raw Data'!A1185</f>
        <v>Portland RM-17</v>
      </c>
      <c r="B1185" t="str">
        <f>'Raw Data'!B1185</f>
        <v>West</v>
      </c>
      <c r="C1185" t="str">
        <f>'Raw Data'!C1185</f>
        <v>Home Goods</v>
      </c>
      <c r="D1185" s="3">
        <f>'Raw Data'!D1185</f>
        <v>45809</v>
      </c>
      <c r="E1185" t="str">
        <f t="shared" si="90"/>
        <v>Jun</v>
      </c>
      <c r="F1185" s="5">
        <f>'Raw Data'!E1185</f>
        <v>112</v>
      </c>
      <c r="G1185" s="4">
        <f>'Raw Data'!F1185</f>
        <v>9106.09</v>
      </c>
      <c r="H1185" s="4">
        <f>'Raw Data'!G1185</f>
        <v>6142.92</v>
      </c>
      <c r="I1185" s="4">
        <f t="shared" si="91"/>
        <v>2963.17</v>
      </c>
      <c r="J1185" s="8">
        <f t="shared" si="92"/>
        <v>0.32540530568004489</v>
      </c>
      <c r="K1185" s="6">
        <f>'Raw Data'!I1185</f>
        <v>3.99</v>
      </c>
      <c r="L1185" s="5">
        <f>'Raw Data'!J1185</f>
        <v>24</v>
      </c>
      <c r="M1185" s="5">
        <f>IF(COUNTIFS($A$2:A1185,A1185,$D$2:D1185,D1185)=1,L1185,0)</f>
        <v>0</v>
      </c>
      <c r="N1185" s="4">
        <f t="shared" si="93"/>
        <v>379.42041666666665</v>
      </c>
      <c r="O1185" t="str">
        <f t="shared" si="94"/>
        <v>OK</v>
      </c>
    </row>
    <row r="1186" spans="1:15">
      <c r="A1186" t="str">
        <f>'Raw Data'!A1186</f>
        <v>Portland RM-17</v>
      </c>
      <c r="B1186" t="str">
        <f>'Raw Data'!B1186</f>
        <v>West</v>
      </c>
      <c r="C1186" t="str">
        <f>'Raw Data'!C1186</f>
        <v>Apparel</v>
      </c>
      <c r="D1186" s="3">
        <f>'Raw Data'!D1186</f>
        <v>45809</v>
      </c>
      <c r="E1186" t="str">
        <f t="shared" si="90"/>
        <v>Jun</v>
      </c>
      <c r="F1186" s="5">
        <f>'Raw Data'!E1186</f>
        <v>130</v>
      </c>
      <c r="G1186" s="4">
        <f>'Raw Data'!F1186</f>
        <v>6571.45</v>
      </c>
      <c r="H1186" s="4">
        <f>'Raw Data'!G1186</f>
        <v>4100.8599999999997</v>
      </c>
      <c r="I1186" s="4">
        <f t="shared" si="91"/>
        <v>2470.59</v>
      </c>
      <c r="J1186" s="8">
        <f t="shared" si="92"/>
        <v>0.37595812187568955</v>
      </c>
      <c r="K1186" s="6">
        <f>'Raw Data'!I1186</f>
        <v>3.9</v>
      </c>
      <c r="L1186" s="5">
        <f>'Raw Data'!J1186</f>
        <v>24</v>
      </c>
      <c r="M1186" s="5">
        <f>IF(COUNTIFS($A$2:A1186,A1186,$D$2:D1186,D1186)=1,L1186,0)</f>
        <v>0</v>
      </c>
      <c r="N1186" s="4">
        <f t="shared" si="93"/>
        <v>273.81041666666664</v>
      </c>
      <c r="O1186" t="str">
        <f t="shared" si="94"/>
        <v>OK</v>
      </c>
    </row>
    <row r="1187" spans="1:15">
      <c r="A1187" t="str">
        <f>'Raw Data'!A1187</f>
        <v>Portland RM-17</v>
      </c>
      <c r="B1187" t="str">
        <f>'Raw Data'!B1187</f>
        <v>West</v>
      </c>
      <c r="C1187" t="str">
        <f>'Raw Data'!C1187</f>
        <v>Beauty</v>
      </c>
      <c r="D1187" s="3">
        <f>'Raw Data'!D1187</f>
        <v>45809</v>
      </c>
      <c r="E1187" t="str">
        <f t="shared" si="90"/>
        <v>Jun</v>
      </c>
      <c r="F1187" s="5">
        <f>'Raw Data'!E1187</f>
        <v>99</v>
      </c>
      <c r="G1187" s="4">
        <f>'Raw Data'!F1187</f>
        <v>3495.1</v>
      </c>
      <c r="H1187" s="4">
        <f>'Raw Data'!G1187</f>
        <v>1681.11</v>
      </c>
      <c r="I1187" s="4">
        <f t="shared" si="91"/>
        <v>1813.99</v>
      </c>
      <c r="J1187" s="8">
        <f t="shared" si="92"/>
        <v>0.51900947040141909</v>
      </c>
      <c r="K1187" s="6">
        <f>'Raw Data'!I1187</f>
        <v>3.85</v>
      </c>
      <c r="L1187" s="5">
        <f>'Raw Data'!J1187</f>
        <v>24</v>
      </c>
      <c r="M1187" s="5">
        <f>IF(COUNTIFS($A$2:A1187,A1187,$D$2:D1187,D1187)=1,L1187,0)</f>
        <v>0</v>
      </c>
      <c r="N1187" s="4">
        <f t="shared" si="93"/>
        <v>145.62916666666666</v>
      </c>
      <c r="O1187" t="str">
        <f t="shared" si="94"/>
        <v>OK</v>
      </c>
    </row>
    <row r="1188" spans="1:15">
      <c r="A1188" t="str">
        <f>'Raw Data'!A1188</f>
        <v>Portland RM-17</v>
      </c>
      <c r="B1188" t="str">
        <f>'Raw Data'!B1188</f>
        <v>West</v>
      </c>
      <c r="C1188" t="str">
        <f>'Raw Data'!C1188</f>
        <v>Grocery</v>
      </c>
      <c r="D1188" s="3">
        <f>'Raw Data'!D1188</f>
        <v>45809</v>
      </c>
      <c r="E1188" t="str">
        <f t="shared" si="90"/>
        <v>Jun</v>
      </c>
      <c r="F1188" s="5">
        <f>'Raw Data'!E1188</f>
        <v>155</v>
      </c>
      <c r="G1188" s="4">
        <f>'Raw Data'!F1188</f>
        <v>2910.66</v>
      </c>
      <c r="H1188" s="4">
        <f>'Raw Data'!G1188</f>
        <v>2602.1799999999998</v>
      </c>
      <c r="I1188" s="4">
        <f t="shared" si="91"/>
        <v>308.48</v>
      </c>
      <c r="J1188" s="8">
        <f t="shared" si="92"/>
        <v>0.10598283550809783</v>
      </c>
      <c r="K1188" s="6">
        <f>'Raw Data'!I1188</f>
        <v>4</v>
      </c>
      <c r="L1188" s="5">
        <f>'Raw Data'!J1188</f>
        <v>24</v>
      </c>
      <c r="M1188" s="5">
        <f>IF(COUNTIFS($A$2:A1188,A1188,$D$2:D1188,D1188)=1,L1188,0)</f>
        <v>0</v>
      </c>
      <c r="N1188" s="4">
        <f t="shared" si="93"/>
        <v>121.27749999999999</v>
      </c>
      <c r="O1188" t="str">
        <f t="shared" si="94"/>
        <v>OK</v>
      </c>
    </row>
    <row r="1189" spans="1:15">
      <c r="A1189" t="str">
        <f>'Raw Data'!A1189</f>
        <v>Portland RM-17</v>
      </c>
      <c r="B1189" t="str">
        <f>'Raw Data'!B1189</f>
        <v>West</v>
      </c>
      <c r="C1189" t="str">
        <f>'Raw Data'!C1189</f>
        <v>Sports</v>
      </c>
      <c r="D1189" s="3">
        <f>'Raw Data'!D1189</f>
        <v>45809</v>
      </c>
      <c r="E1189" t="str">
        <f t="shared" si="90"/>
        <v>Jun</v>
      </c>
      <c r="F1189" s="5">
        <f>'Raw Data'!E1189</f>
        <v>109</v>
      </c>
      <c r="G1189" s="4">
        <f>'Raw Data'!F1189</f>
        <v>6744.81</v>
      </c>
      <c r="H1189" s="4">
        <f>'Raw Data'!G1189</f>
        <v>4264.57</v>
      </c>
      <c r="I1189" s="4">
        <f t="shared" si="91"/>
        <v>2480.2400000000007</v>
      </c>
      <c r="J1189" s="8">
        <f t="shared" si="92"/>
        <v>0.36772570317028952</v>
      </c>
      <c r="K1189" s="6">
        <f>'Raw Data'!I1189</f>
        <v>3.94</v>
      </c>
      <c r="L1189" s="5">
        <f>'Raw Data'!J1189</f>
        <v>24</v>
      </c>
      <c r="M1189" s="5">
        <f>IF(COUNTIFS($A$2:A1189,A1189,$D$2:D1189,D1189)=1,L1189,0)</f>
        <v>0</v>
      </c>
      <c r="N1189" s="4">
        <f t="shared" si="93"/>
        <v>281.03375</v>
      </c>
      <c r="O1189" t="str">
        <f t="shared" si="94"/>
        <v>OK</v>
      </c>
    </row>
    <row r="1190" spans="1:15">
      <c r="A1190" t="str">
        <f>'Raw Data'!A1190</f>
        <v>Portland RM-17</v>
      </c>
      <c r="B1190" t="str">
        <f>'Raw Data'!B1190</f>
        <v>West</v>
      </c>
      <c r="C1190" t="str">
        <f>'Raw Data'!C1190</f>
        <v>Electronics</v>
      </c>
      <c r="D1190" s="3">
        <f>'Raw Data'!D1190</f>
        <v>45839</v>
      </c>
      <c r="E1190" t="str">
        <f t="shared" si="90"/>
        <v>Jul</v>
      </c>
      <c r="F1190" s="5">
        <f>'Raw Data'!E1190</f>
        <v>127</v>
      </c>
      <c r="G1190" s="4">
        <f>'Raw Data'!F1190</f>
        <v>18036.16</v>
      </c>
      <c r="H1190" s="4">
        <f>'Raw Data'!G1190</f>
        <v>14423.26</v>
      </c>
      <c r="I1190" s="4">
        <f t="shared" si="91"/>
        <v>3612.8999999999996</v>
      </c>
      <c r="J1190" s="8">
        <f t="shared" si="92"/>
        <v>0.2003142575803275</v>
      </c>
      <c r="K1190" s="6">
        <f>'Raw Data'!I1190</f>
        <v>3.92</v>
      </c>
      <c r="L1190" s="5">
        <f>'Raw Data'!J1190</f>
        <v>24</v>
      </c>
      <c r="M1190" s="5">
        <f>IF(COUNTIFS($A$2:A1190,A1190,$D$2:D1190,D1190)=1,L1190,0)</f>
        <v>24</v>
      </c>
      <c r="N1190" s="4">
        <f t="shared" si="93"/>
        <v>751.50666666666666</v>
      </c>
      <c r="O1190" t="str">
        <f t="shared" si="94"/>
        <v>OK</v>
      </c>
    </row>
    <row r="1191" spans="1:15">
      <c r="A1191" t="str">
        <f>'Raw Data'!A1191</f>
        <v>Portland RM-17</v>
      </c>
      <c r="B1191" t="str">
        <f>'Raw Data'!B1191</f>
        <v>West</v>
      </c>
      <c r="C1191" t="str">
        <f>'Raw Data'!C1191</f>
        <v>Home Goods</v>
      </c>
      <c r="D1191" s="3">
        <f>'Raw Data'!D1191</f>
        <v>45839</v>
      </c>
      <c r="E1191" t="str">
        <f t="shared" si="90"/>
        <v>Jul</v>
      </c>
      <c r="F1191" s="5">
        <f>'Raw Data'!E1191</f>
        <v>109</v>
      </c>
      <c r="G1191" s="4">
        <f>'Raw Data'!F1191</f>
        <v>8374.6</v>
      </c>
      <c r="H1191" s="4">
        <f>'Raw Data'!G1191</f>
        <v>5601.42</v>
      </c>
      <c r="I1191" s="4">
        <f t="shared" si="91"/>
        <v>2773.1800000000003</v>
      </c>
      <c r="J1191" s="8">
        <f t="shared" si="92"/>
        <v>0.33114178587634036</v>
      </c>
      <c r="K1191" s="6">
        <f>'Raw Data'!I1191</f>
        <v>3.81</v>
      </c>
      <c r="L1191" s="5">
        <f>'Raw Data'!J1191</f>
        <v>24</v>
      </c>
      <c r="M1191" s="5">
        <f>IF(COUNTIFS($A$2:A1191,A1191,$D$2:D1191,D1191)=1,L1191,0)</f>
        <v>0</v>
      </c>
      <c r="N1191" s="4">
        <f t="shared" si="93"/>
        <v>348.94166666666666</v>
      </c>
      <c r="O1191" t="str">
        <f t="shared" si="94"/>
        <v>OK</v>
      </c>
    </row>
    <row r="1192" spans="1:15">
      <c r="A1192" t="str">
        <f>'Raw Data'!A1192</f>
        <v>Portland RM-17</v>
      </c>
      <c r="B1192" t="str">
        <f>'Raw Data'!B1192</f>
        <v>West</v>
      </c>
      <c r="C1192" t="str">
        <f>'Raw Data'!C1192</f>
        <v>Apparel</v>
      </c>
      <c r="D1192" s="3">
        <f>'Raw Data'!D1192</f>
        <v>45839</v>
      </c>
      <c r="E1192" t="str">
        <f t="shared" si="90"/>
        <v>Jul</v>
      </c>
      <c r="F1192" s="5">
        <f>'Raw Data'!E1192</f>
        <v>134</v>
      </c>
      <c r="G1192" s="4">
        <f>'Raw Data'!F1192</f>
        <v>6698.38</v>
      </c>
      <c r="H1192" s="4">
        <f>'Raw Data'!G1192</f>
        <v>4154.92</v>
      </c>
      <c r="I1192" s="4">
        <f t="shared" si="91"/>
        <v>2543.46</v>
      </c>
      <c r="J1192" s="8">
        <f t="shared" si="92"/>
        <v>0.37971270665444479</v>
      </c>
      <c r="K1192" s="6">
        <f>'Raw Data'!I1192</f>
        <v>3.82</v>
      </c>
      <c r="L1192" s="5">
        <f>'Raw Data'!J1192</f>
        <v>24</v>
      </c>
      <c r="M1192" s="5">
        <f>IF(COUNTIFS($A$2:A1192,A1192,$D$2:D1192,D1192)=1,L1192,0)</f>
        <v>0</v>
      </c>
      <c r="N1192" s="4">
        <f t="shared" si="93"/>
        <v>279.09916666666669</v>
      </c>
      <c r="O1192" t="str">
        <f t="shared" si="94"/>
        <v>OK</v>
      </c>
    </row>
    <row r="1193" spans="1:15">
      <c r="A1193" t="str">
        <f>'Raw Data'!A1193</f>
        <v>Portland RM-17</v>
      </c>
      <c r="B1193" t="str">
        <f>'Raw Data'!B1193</f>
        <v>West</v>
      </c>
      <c r="C1193" t="str">
        <f>'Raw Data'!C1193</f>
        <v>Beauty</v>
      </c>
      <c r="D1193" s="3">
        <f>'Raw Data'!D1193</f>
        <v>45839</v>
      </c>
      <c r="E1193" t="str">
        <f t="shared" si="90"/>
        <v>Jul</v>
      </c>
      <c r="F1193" s="5">
        <f>'Raw Data'!E1193</f>
        <v>107</v>
      </c>
      <c r="G1193" s="4">
        <f>'Raw Data'!F1193</f>
        <v>3715.59</v>
      </c>
      <c r="H1193" s="4">
        <f>'Raw Data'!G1193</f>
        <v>1824.19</v>
      </c>
      <c r="I1193" s="4">
        <f t="shared" si="91"/>
        <v>1891.4</v>
      </c>
      <c r="J1193" s="8">
        <f t="shared" si="92"/>
        <v>0.50904432405082367</v>
      </c>
      <c r="K1193" s="6">
        <f>'Raw Data'!I1193</f>
        <v>3.93</v>
      </c>
      <c r="L1193" s="5">
        <f>'Raw Data'!J1193</f>
        <v>24</v>
      </c>
      <c r="M1193" s="5">
        <f>IF(COUNTIFS($A$2:A1193,A1193,$D$2:D1193,D1193)=1,L1193,0)</f>
        <v>0</v>
      </c>
      <c r="N1193" s="4">
        <f t="shared" si="93"/>
        <v>154.81625</v>
      </c>
      <c r="O1193" t="str">
        <f t="shared" si="94"/>
        <v>OK</v>
      </c>
    </row>
    <row r="1194" spans="1:15">
      <c r="A1194" t="str">
        <f>'Raw Data'!A1194</f>
        <v>Portland RM-17</v>
      </c>
      <c r="B1194" t="str">
        <f>'Raw Data'!B1194</f>
        <v>West</v>
      </c>
      <c r="C1194" t="str">
        <f>'Raw Data'!C1194</f>
        <v>Grocery</v>
      </c>
      <c r="D1194" s="3">
        <f>'Raw Data'!D1194</f>
        <v>45839</v>
      </c>
      <c r="E1194" t="str">
        <f t="shared" si="90"/>
        <v>Jul</v>
      </c>
      <c r="F1194" s="5">
        <f>'Raw Data'!E1194</f>
        <v>174</v>
      </c>
      <c r="G1194" s="4">
        <f>'Raw Data'!F1194</f>
        <v>3293.66</v>
      </c>
      <c r="H1194" s="4">
        <f>'Raw Data'!G1194</f>
        <v>3043.36</v>
      </c>
      <c r="I1194" s="4">
        <f t="shared" si="91"/>
        <v>250.29999999999973</v>
      </c>
      <c r="J1194" s="8">
        <f t="shared" si="92"/>
        <v>7.5994486376857281E-2</v>
      </c>
      <c r="K1194" s="6">
        <f>'Raw Data'!I1194</f>
        <v>3.95</v>
      </c>
      <c r="L1194" s="5">
        <f>'Raw Data'!J1194</f>
        <v>24</v>
      </c>
      <c r="M1194" s="5">
        <f>IF(COUNTIFS($A$2:A1194,A1194,$D$2:D1194,D1194)=1,L1194,0)</f>
        <v>0</v>
      </c>
      <c r="N1194" s="4">
        <f t="shared" si="93"/>
        <v>137.23583333333332</v>
      </c>
      <c r="O1194" t="str">
        <f t="shared" si="94"/>
        <v>OK</v>
      </c>
    </row>
    <row r="1195" spans="1:15">
      <c r="A1195" t="str">
        <f>'Raw Data'!A1195</f>
        <v>Portland RM-17</v>
      </c>
      <c r="B1195" t="str">
        <f>'Raw Data'!B1195</f>
        <v>West</v>
      </c>
      <c r="C1195" t="str">
        <f>'Raw Data'!C1195</f>
        <v>Sports</v>
      </c>
      <c r="D1195" s="3">
        <f>'Raw Data'!D1195</f>
        <v>45839</v>
      </c>
      <c r="E1195" t="str">
        <f t="shared" si="90"/>
        <v>Jul</v>
      </c>
      <c r="F1195" s="5">
        <f>'Raw Data'!E1195</f>
        <v>92</v>
      </c>
      <c r="G1195" s="4">
        <f>'Raw Data'!F1195</f>
        <v>5862.62</v>
      </c>
      <c r="H1195" s="4">
        <f>'Raw Data'!G1195</f>
        <v>3936.35</v>
      </c>
      <c r="I1195" s="4">
        <f t="shared" si="91"/>
        <v>1926.27</v>
      </c>
      <c r="J1195" s="8">
        <f t="shared" si="92"/>
        <v>0.32856811459722784</v>
      </c>
      <c r="K1195" s="6">
        <f>'Raw Data'!I1195</f>
        <v>4</v>
      </c>
      <c r="L1195" s="5">
        <f>'Raw Data'!J1195</f>
        <v>24</v>
      </c>
      <c r="M1195" s="5">
        <f>IF(COUNTIFS($A$2:A1195,A1195,$D$2:D1195,D1195)=1,L1195,0)</f>
        <v>0</v>
      </c>
      <c r="N1195" s="4">
        <f t="shared" si="93"/>
        <v>244.27583333333334</v>
      </c>
      <c r="O1195" t="str">
        <f t="shared" si="94"/>
        <v>OK</v>
      </c>
    </row>
    <row r="1196" spans="1:15">
      <c r="A1196" t="str">
        <f>'Raw Data'!A1196</f>
        <v>Portland RM-17</v>
      </c>
      <c r="B1196" t="str">
        <f>'Raw Data'!B1196</f>
        <v>West</v>
      </c>
      <c r="C1196" t="str">
        <f>'Raw Data'!C1196</f>
        <v>Electronics</v>
      </c>
      <c r="D1196" s="3">
        <f>'Raw Data'!D1196</f>
        <v>45870</v>
      </c>
      <c r="E1196" t="str">
        <f t="shared" si="90"/>
        <v>Aug</v>
      </c>
      <c r="F1196" s="5">
        <f>'Raw Data'!E1196</f>
        <v>98</v>
      </c>
      <c r="G1196" s="4">
        <f>'Raw Data'!F1196</f>
        <v>15203.15</v>
      </c>
      <c r="H1196" s="4">
        <f>'Raw Data'!G1196</f>
        <v>11720.14</v>
      </c>
      <c r="I1196" s="4">
        <f t="shared" si="91"/>
        <v>3483.01</v>
      </c>
      <c r="J1196" s="8">
        <f t="shared" si="92"/>
        <v>0.22909791720794706</v>
      </c>
      <c r="K1196" s="6">
        <f>'Raw Data'!I1196</f>
        <v>4</v>
      </c>
      <c r="L1196" s="5">
        <f>'Raw Data'!J1196</f>
        <v>24</v>
      </c>
      <c r="M1196" s="5">
        <f>IF(COUNTIFS($A$2:A1196,A1196,$D$2:D1196,D1196)=1,L1196,0)</f>
        <v>24</v>
      </c>
      <c r="N1196" s="4">
        <f t="shared" si="93"/>
        <v>633.46458333333328</v>
      </c>
      <c r="O1196" t="str">
        <f t="shared" si="94"/>
        <v>OK</v>
      </c>
    </row>
    <row r="1197" spans="1:15">
      <c r="A1197" t="str">
        <f>'Raw Data'!A1197</f>
        <v>Portland RM-17</v>
      </c>
      <c r="B1197" t="str">
        <f>'Raw Data'!B1197</f>
        <v>West</v>
      </c>
      <c r="C1197" t="str">
        <f>'Raw Data'!C1197</f>
        <v>Home Goods</v>
      </c>
      <c r="D1197" s="3">
        <f>'Raw Data'!D1197</f>
        <v>45870</v>
      </c>
      <c r="E1197" t="str">
        <f t="shared" si="90"/>
        <v>Aug</v>
      </c>
      <c r="F1197" s="5">
        <f>'Raw Data'!E1197</f>
        <v>107</v>
      </c>
      <c r="G1197" s="4">
        <f>'Raw Data'!F1197</f>
        <v>8287.26</v>
      </c>
      <c r="H1197" s="4">
        <f>'Raw Data'!G1197</f>
        <v>5712.34</v>
      </c>
      <c r="I1197" s="4">
        <f t="shared" si="91"/>
        <v>2574.92</v>
      </c>
      <c r="J1197" s="8">
        <f t="shared" si="92"/>
        <v>0.31070824373797856</v>
      </c>
      <c r="K1197" s="6">
        <f>'Raw Data'!I1197</f>
        <v>4.01</v>
      </c>
      <c r="L1197" s="5">
        <f>'Raw Data'!J1197</f>
        <v>24</v>
      </c>
      <c r="M1197" s="5">
        <f>IF(COUNTIFS($A$2:A1197,A1197,$D$2:D1197,D1197)=1,L1197,0)</f>
        <v>0</v>
      </c>
      <c r="N1197" s="4">
        <f t="shared" si="93"/>
        <v>345.30250000000001</v>
      </c>
      <c r="O1197" t="str">
        <f t="shared" si="94"/>
        <v>OK</v>
      </c>
    </row>
    <row r="1198" spans="1:15">
      <c r="A1198" t="str">
        <f>'Raw Data'!A1198</f>
        <v>Portland RM-17</v>
      </c>
      <c r="B1198" t="str">
        <f>'Raw Data'!B1198</f>
        <v>West</v>
      </c>
      <c r="C1198" t="str">
        <f>'Raw Data'!C1198</f>
        <v>Apparel</v>
      </c>
      <c r="D1198" s="3">
        <f>'Raw Data'!D1198</f>
        <v>45870</v>
      </c>
      <c r="E1198" t="str">
        <f t="shared" si="90"/>
        <v>Aug</v>
      </c>
      <c r="F1198" s="5">
        <f>'Raw Data'!E1198</f>
        <v>171</v>
      </c>
      <c r="G1198" s="4">
        <f>'Raw Data'!F1198</f>
        <v>8096.71</v>
      </c>
      <c r="H1198" s="4">
        <f>'Raw Data'!G1198</f>
        <v>5161.91</v>
      </c>
      <c r="I1198" s="4">
        <f t="shared" si="91"/>
        <v>2934.8</v>
      </c>
      <c r="J1198" s="8">
        <f t="shared" si="92"/>
        <v>0.3624682123973812</v>
      </c>
      <c r="K1198" s="6">
        <f>'Raw Data'!I1198</f>
        <v>4.0999999999999996</v>
      </c>
      <c r="L1198" s="5">
        <f>'Raw Data'!J1198</f>
        <v>24</v>
      </c>
      <c r="M1198" s="5">
        <f>IF(COUNTIFS($A$2:A1198,A1198,$D$2:D1198,D1198)=1,L1198,0)</f>
        <v>0</v>
      </c>
      <c r="N1198" s="4">
        <f t="shared" si="93"/>
        <v>337.36291666666665</v>
      </c>
      <c r="O1198" t="str">
        <f t="shared" si="94"/>
        <v>OK</v>
      </c>
    </row>
    <row r="1199" spans="1:15">
      <c r="A1199" t="str">
        <f>'Raw Data'!A1199</f>
        <v>Portland RM-17</v>
      </c>
      <c r="B1199" t="str">
        <f>'Raw Data'!B1199</f>
        <v>West</v>
      </c>
      <c r="C1199" t="str">
        <f>'Raw Data'!C1199</f>
        <v>Beauty</v>
      </c>
      <c r="D1199" s="3">
        <f>'Raw Data'!D1199</f>
        <v>45870</v>
      </c>
      <c r="E1199" t="str">
        <f t="shared" si="90"/>
        <v>Aug</v>
      </c>
      <c r="F1199" s="5">
        <f>'Raw Data'!E1199</f>
        <v>111</v>
      </c>
      <c r="G1199" s="4">
        <f>'Raw Data'!F1199</f>
        <v>3793.28</v>
      </c>
      <c r="H1199" s="4">
        <f>'Raw Data'!G1199</f>
        <v>1864.16</v>
      </c>
      <c r="I1199" s="4">
        <f t="shared" si="91"/>
        <v>1929.1200000000001</v>
      </c>
      <c r="J1199" s="8">
        <f t="shared" si="92"/>
        <v>0.50856251054496371</v>
      </c>
      <c r="K1199" s="6">
        <f>'Raw Data'!I1199</f>
        <v>4.1100000000000003</v>
      </c>
      <c r="L1199" s="5">
        <f>'Raw Data'!J1199</f>
        <v>24</v>
      </c>
      <c r="M1199" s="5">
        <f>IF(COUNTIFS($A$2:A1199,A1199,$D$2:D1199,D1199)=1,L1199,0)</f>
        <v>0</v>
      </c>
      <c r="N1199" s="4">
        <f t="shared" si="93"/>
        <v>158.05333333333334</v>
      </c>
      <c r="O1199" t="str">
        <f t="shared" si="94"/>
        <v>OK</v>
      </c>
    </row>
    <row r="1200" spans="1:15">
      <c r="A1200" t="str">
        <f>'Raw Data'!A1200</f>
        <v>Portland RM-17</v>
      </c>
      <c r="B1200" t="str">
        <f>'Raw Data'!B1200</f>
        <v>West</v>
      </c>
      <c r="C1200" t="str">
        <f>'Raw Data'!C1200</f>
        <v>Grocery</v>
      </c>
      <c r="D1200" s="3">
        <f>'Raw Data'!D1200</f>
        <v>45870</v>
      </c>
      <c r="E1200" t="str">
        <f t="shared" si="90"/>
        <v>Aug</v>
      </c>
      <c r="F1200" s="5">
        <f>'Raw Data'!E1200</f>
        <v>173</v>
      </c>
      <c r="G1200" s="4">
        <f>'Raw Data'!F1200</f>
        <v>3160.08</v>
      </c>
      <c r="H1200" s="4">
        <f>'Raw Data'!G1200</f>
        <v>2855.2</v>
      </c>
      <c r="I1200" s="4">
        <f t="shared" si="91"/>
        <v>304.88000000000011</v>
      </c>
      <c r="J1200" s="8">
        <f t="shared" si="92"/>
        <v>9.6478570162780719E-2</v>
      </c>
      <c r="K1200" s="6">
        <f>'Raw Data'!I1200</f>
        <v>4</v>
      </c>
      <c r="L1200" s="5">
        <f>'Raw Data'!J1200</f>
        <v>24</v>
      </c>
      <c r="M1200" s="5">
        <f>IF(COUNTIFS($A$2:A1200,A1200,$D$2:D1200,D1200)=1,L1200,0)</f>
        <v>0</v>
      </c>
      <c r="N1200" s="4">
        <f t="shared" si="93"/>
        <v>131.66999999999999</v>
      </c>
      <c r="O1200" t="str">
        <f t="shared" si="94"/>
        <v>OK</v>
      </c>
    </row>
    <row r="1201" spans="1:15">
      <c r="A1201" t="str">
        <f>'Raw Data'!A1201</f>
        <v>Portland RM-17</v>
      </c>
      <c r="B1201" t="str">
        <f>'Raw Data'!B1201</f>
        <v>West</v>
      </c>
      <c r="C1201" t="str">
        <f>'Raw Data'!C1201</f>
        <v>Sports</v>
      </c>
      <c r="D1201" s="3">
        <f>'Raw Data'!D1201</f>
        <v>45870</v>
      </c>
      <c r="E1201" t="str">
        <f t="shared" si="90"/>
        <v>Aug</v>
      </c>
      <c r="F1201" s="5">
        <f>'Raw Data'!E1201</f>
        <v>112</v>
      </c>
      <c r="G1201" s="4">
        <f>'Raw Data'!F1201</f>
        <v>6709.52</v>
      </c>
      <c r="H1201" s="4">
        <f>'Raw Data'!G1201</f>
        <v>4339.59</v>
      </c>
      <c r="I1201" s="4">
        <f t="shared" si="91"/>
        <v>2369.9300000000003</v>
      </c>
      <c r="J1201" s="8">
        <f t="shared" si="92"/>
        <v>0.35321900821519275</v>
      </c>
      <c r="K1201" s="6">
        <f>'Raw Data'!I1201</f>
        <v>4.09</v>
      </c>
      <c r="L1201" s="5">
        <f>'Raw Data'!J1201</f>
        <v>24</v>
      </c>
      <c r="M1201" s="5">
        <f>IF(COUNTIFS($A$2:A1201,A1201,$D$2:D1201,D1201)=1,L1201,0)</f>
        <v>0</v>
      </c>
      <c r="N1201" s="4">
        <f t="shared" si="93"/>
        <v>279.56333333333333</v>
      </c>
      <c r="O1201" t="str">
        <f t="shared" si="94"/>
        <v>OK</v>
      </c>
    </row>
    <row r="1202" spans="1:15">
      <c r="A1202" t="str">
        <f>'Raw Data'!A1202</f>
        <v>Portland RM-17</v>
      </c>
      <c r="B1202" t="str">
        <f>'Raw Data'!B1202</f>
        <v>West</v>
      </c>
      <c r="C1202" t="str">
        <f>'Raw Data'!C1202</f>
        <v>Electronics</v>
      </c>
      <c r="D1202" s="3">
        <f>'Raw Data'!D1202</f>
        <v>45901</v>
      </c>
      <c r="E1202" t="str">
        <f t="shared" si="90"/>
        <v>Sep</v>
      </c>
      <c r="F1202" s="5">
        <f>'Raw Data'!E1202</f>
        <v>108</v>
      </c>
      <c r="G1202" s="4">
        <f>'Raw Data'!F1202</f>
        <v>14789.74</v>
      </c>
      <c r="H1202" s="4">
        <f>'Raw Data'!G1202</f>
        <v>11741.22</v>
      </c>
      <c r="I1202" s="4">
        <f t="shared" si="91"/>
        <v>3048.5200000000004</v>
      </c>
      <c r="J1202" s="8">
        <f t="shared" si="92"/>
        <v>0.20612397513411326</v>
      </c>
      <c r="K1202" s="6">
        <f>'Raw Data'!I1202</f>
        <v>3.99</v>
      </c>
      <c r="L1202" s="5">
        <f>'Raw Data'!J1202</f>
        <v>23</v>
      </c>
      <c r="M1202" s="5">
        <f>IF(COUNTIFS($A$2:A1202,A1202,$D$2:D1202,D1202)=1,L1202,0)</f>
        <v>23</v>
      </c>
      <c r="N1202" s="4">
        <f t="shared" si="93"/>
        <v>643.03217391304349</v>
      </c>
      <c r="O1202" t="str">
        <f t="shared" si="94"/>
        <v>OK</v>
      </c>
    </row>
    <row r="1203" spans="1:15">
      <c r="A1203" t="str">
        <f>'Raw Data'!A1203</f>
        <v>Portland RM-17</v>
      </c>
      <c r="B1203" t="str">
        <f>'Raw Data'!B1203</f>
        <v>West</v>
      </c>
      <c r="C1203" t="str">
        <f>'Raw Data'!C1203</f>
        <v>Home Goods</v>
      </c>
      <c r="D1203" s="3">
        <f>'Raw Data'!D1203</f>
        <v>45901</v>
      </c>
      <c r="E1203" t="str">
        <f t="shared" si="90"/>
        <v>Sep</v>
      </c>
      <c r="F1203" s="5">
        <f>'Raw Data'!E1203</f>
        <v>93</v>
      </c>
      <c r="G1203" s="4">
        <f>'Raw Data'!F1203</f>
        <v>6879.07</v>
      </c>
      <c r="H1203" s="4">
        <f>'Raw Data'!G1203</f>
        <v>4719.1400000000003</v>
      </c>
      <c r="I1203" s="4">
        <f t="shared" si="91"/>
        <v>2159.9299999999994</v>
      </c>
      <c r="J1203" s="8">
        <f t="shared" si="92"/>
        <v>0.3139857567956133</v>
      </c>
      <c r="K1203" s="6">
        <f>'Raw Data'!I1203</f>
        <v>4.1500000000000004</v>
      </c>
      <c r="L1203" s="5">
        <f>'Raw Data'!J1203</f>
        <v>23</v>
      </c>
      <c r="M1203" s="5">
        <f>IF(COUNTIFS($A$2:A1203,A1203,$D$2:D1203,D1203)=1,L1203,0)</f>
        <v>0</v>
      </c>
      <c r="N1203" s="4">
        <f t="shared" si="93"/>
        <v>299.08999999999997</v>
      </c>
      <c r="O1203" t="str">
        <f t="shared" si="94"/>
        <v>OK</v>
      </c>
    </row>
    <row r="1204" spans="1:15">
      <c r="A1204" t="str">
        <f>'Raw Data'!A1204</f>
        <v>Portland RM-17</v>
      </c>
      <c r="B1204" t="str">
        <f>'Raw Data'!B1204</f>
        <v>West</v>
      </c>
      <c r="C1204" t="str">
        <f>'Raw Data'!C1204</f>
        <v>Apparel</v>
      </c>
      <c r="D1204" s="3">
        <f>'Raw Data'!D1204</f>
        <v>45901</v>
      </c>
      <c r="E1204" t="str">
        <f t="shared" si="90"/>
        <v>Sep</v>
      </c>
      <c r="F1204" s="5">
        <f>'Raw Data'!E1204</f>
        <v>127</v>
      </c>
      <c r="G1204" s="4">
        <f>'Raw Data'!F1204</f>
        <v>5826.02</v>
      </c>
      <c r="H1204" s="4">
        <f>'Raw Data'!G1204</f>
        <v>3721.29</v>
      </c>
      <c r="I1204" s="4">
        <f t="shared" si="91"/>
        <v>2104.7300000000005</v>
      </c>
      <c r="J1204" s="8">
        <f t="shared" si="92"/>
        <v>0.36126377870312842</v>
      </c>
      <c r="K1204" s="6">
        <f>'Raw Data'!I1204</f>
        <v>4.09</v>
      </c>
      <c r="L1204" s="5">
        <f>'Raw Data'!J1204</f>
        <v>23</v>
      </c>
      <c r="M1204" s="5">
        <f>IF(COUNTIFS($A$2:A1204,A1204,$D$2:D1204,D1204)=1,L1204,0)</f>
        <v>0</v>
      </c>
      <c r="N1204" s="4">
        <f t="shared" si="93"/>
        <v>253.30521739130435</v>
      </c>
      <c r="O1204" t="str">
        <f t="shared" si="94"/>
        <v>OK</v>
      </c>
    </row>
    <row r="1205" spans="1:15">
      <c r="A1205" t="str">
        <f>'Raw Data'!A1205</f>
        <v>Portland RM-17</v>
      </c>
      <c r="B1205" t="str">
        <f>'Raw Data'!B1205</f>
        <v>West</v>
      </c>
      <c r="C1205" t="str">
        <f>'Raw Data'!C1205</f>
        <v>Beauty</v>
      </c>
      <c r="D1205" s="3">
        <f>'Raw Data'!D1205</f>
        <v>45901</v>
      </c>
      <c r="E1205" t="str">
        <f t="shared" si="90"/>
        <v>Sep</v>
      </c>
      <c r="F1205" s="5">
        <f>'Raw Data'!E1205</f>
        <v>111</v>
      </c>
      <c r="G1205" s="4">
        <f>'Raw Data'!F1205</f>
        <v>4267.21</v>
      </c>
      <c r="H1205" s="4">
        <f>'Raw Data'!G1205</f>
        <v>2160.4299999999998</v>
      </c>
      <c r="I1205" s="4">
        <f t="shared" si="91"/>
        <v>2106.7800000000002</v>
      </c>
      <c r="J1205" s="8">
        <f t="shared" si="92"/>
        <v>0.49371369114714303</v>
      </c>
      <c r="K1205" s="6">
        <f>'Raw Data'!I1205</f>
        <v>3.82</v>
      </c>
      <c r="L1205" s="5">
        <f>'Raw Data'!J1205</f>
        <v>23</v>
      </c>
      <c r="M1205" s="5">
        <f>IF(COUNTIFS($A$2:A1205,A1205,$D$2:D1205,D1205)=1,L1205,0)</f>
        <v>0</v>
      </c>
      <c r="N1205" s="4">
        <f t="shared" si="93"/>
        <v>185.53086956521739</v>
      </c>
      <c r="O1205" t="str">
        <f t="shared" si="94"/>
        <v>OK</v>
      </c>
    </row>
    <row r="1206" spans="1:15">
      <c r="A1206" t="str">
        <f>'Raw Data'!A1206</f>
        <v>Portland RM-17</v>
      </c>
      <c r="B1206" t="str">
        <f>'Raw Data'!B1206</f>
        <v>West</v>
      </c>
      <c r="C1206" t="str">
        <f>'Raw Data'!C1206</f>
        <v>Grocery</v>
      </c>
      <c r="D1206" s="3">
        <f>'Raw Data'!D1206</f>
        <v>45901</v>
      </c>
      <c r="E1206" t="str">
        <f t="shared" si="90"/>
        <v>Sep</v>
      </c>
      <c r="F1206" s="5">
        <f>'Raw Data'!E1206</f>
        <v>157</v>
      </c>
      <c r="G1206" s="4">
        <f>'Raw Data'!F1206</f>
        <v>2731.7</v>
      </c>
      <c r="H1206" s="4">
        <f>'Raw Data'!G1206</f>
        <v>2599.4499999999998</v>
      </c>
      <c r="I1206" s="4">
        <f t="shared" si="91"/>
        <v>132.25</v>
      </c>
      <c r="J1206" s="8">
        <f t="shared" si="92"/>
        <v>4.8413076106453859E-2</v>
      </c>
      <c r="K1206" s="6">
        <f>'Raw Data'!I1206</f>
        <v>4.05</v>
      </c>
      <c r="L1206" s="5">
        <f>'Raw Data'!J1206</f>
        <v>23</v>
      </c>
      <c r="M1206" s="5">
        <f>IF(COUNTIFS($A$2:A1206,A1206,$D$2:D1206,D1206)=1,L1206,0)</f>
        <v>0</v>
      </c>
      <c r="N1206" s="4">
        <f t="shared" si="93"/>
        <v>118.7695652173913</v>
      </c>
      <c r="O1206" t="str">
        <f t="shared" si="94"/>
        <v>OK</v>
      </c>
    </row>
    <row r="1207" spans="1:15">
      <c r="A1207" t="str">
        <f>'Raw Data'!A1207</f>
        <v>Portland RM-17</v>
      </c>
      <c r="B1207" t="str">
        <f>'Raw Data'!B1207</f>
        <v>West</v>
      </c>
      <c r="C1207" t="str">
        <f>'Raw Data'!C1207</f>
        <v>Sports</v>
      </c>
      <c r="D1207" s="3">
        <f>'Raw Data'!D1207</f>
        <v>45901</v>
      </c>
      <c r="E1207" t="str">
        <f t="shared" si="90"/>
        <v>Sep</v>
      </c>
      <c r="F1207" s="5">
        <f>'Raw Data'!E1207</f>
        <v>79</v>
      </c>
      <c r="G1207" s="4">
        <f>'Raw Data'!F1207</f>
        <v>4963.18</v>
      </c>
      <c r="H1207" s="4">
        <f>'Raw Data'!G1207</f>
        <v>3370.22</v>
      </c>
      <c r="I1207" s="4">
        <f t="shared" si="91"/>
        <v>1592.9600000000005</v>
      </c>
      <c r="J1207" s="8">
        <f t="shared" si="92"/>
        <v>0.32095551642293862</v>
      </c>
      <c r="K1207" s="6">
        <f>'Raw Data'!I1207</f>
        <v>3.86</v>
      </c>
      <c r="L1207" s="5">
        <f>'Raw Data'!J1207</f>
        <v>23</v>
      </c>
      <c r="M1207" s="5">
        <f>IF(COUNTIFS($A$2:A1207,A1207,$D$2:D1207,D1207)=1,L1207,0)</f>
        <v>0</v>
      </c>
      <c r="N1207" s="4">
        <f t="shared" si="93"/>
        <v>215.79043478260871</v>
      </c>
      <c r="O1207" t="str">
        <f t="shared" si="94"/>
        <v>OK</v>
      </c>
    </row>
    <row r="1208" spans="1:15">
      <c r="A1208" t="str">
        <f>'Raw Data'!A1208</f>
        <v>Portland RM-17</v>
      </c>
      <c r="B1208" t="str">
        <f>'Raw Data'!B1208</f>
        <v>West</v>
      </c>
      <c r="C1208" t="str">
        <f>'Raw Data'!C1208</f>
        <v>Electronics</v>
      </c>
      <c r="D1208" s="3">
        <f>'Raw Data'!D1208</f>
        <v>45931</v>
      </c>
      <c r="E1208" t="str">
        <f t="shared" si="90"/>
        <v>Oct</v>
      </c>
      <c r="F1208" s="5">
        <f>'Raw Data'!E1208</f>
        <v>125</v>
      </c>
      <c r="G1208" s="4">
        <f>'Raw Data'!F1208</f>
        <v>18754.669999999998</v>
      </c>
      <c r="H1208" s="4">
        <f>'Raw Data'!G1208</f>
        <v>14746.46</v>
      </c>
      <c r="I1208" s="4">
        <f t="shared" si="91"/>
        <v>4008.2099999999991</v>
      </c>
      <c r="J1208" s="8">
        <f t="shared" si="92"/>
        <v>0.21371796997761089</v>
      </c>
      <c r="K1208" s="6">
        <f>'Raw Data'!I1208</f>
        <v>4.07</v>
      </c>
      <c r="L1208" s="5">
        <f>'Raw Data'!J1208</f>
        <v>22</v>
      </c>
      <c r="M1208" s="5">
        <f>IF(COUNTIFS($A$2:A1208,A1208,$D$2:D1208,D1208)=1,L1208,0)</f>
        <v>22</v>
      </c>
      <c r="N1208" s="4">
        <f t="shared" si="93"/>
        <v>852.4849999999999</v>
      </c>
      <c r="O1208" t="str">
        <f t="shared" si="94"/>
        <v>OK</v>
      </c>
    </row>
    <row r="1209" spans="1:15">
      <c r="A1209" t="str">
        <f>'Raw Data'!A1209</f>
        <v>Portland RM-17</v>
      </c>
      <c r="B1209" t="str">
        <f>'Raw Data'!B1209</f>
        <v>West</v>
      </c>
      <c r="C1209" t="str">
        <f>'Raw Data'!C1209</f>
        <v>Home Goods</v>
      </c>
      <c r="D1209" s="3">
        <f>'Raw Data'!D1209</f>
        <v>45931</v>
      </c>
      <c r="E1209" t="str">
        <f t="shared" si="90"/>
        <v>Oct</v>
      </c>
      <c r="F1209" s="5">
        <f>'Raw Data'!E1209</f>
        <v>88</v>
      </c>
      <c r="G1209" s="4">
        <f>'Raw Data'!F1209</f>
        <v>6716.84</v>
      </c>
      <c r="H1209" s="4">
        <f>'Raw Data'!G1209</f>
        <v>4721.25</v>
      </c>
      <c r="I1209" s="4">
        <f t="shared" si="91"/>
        <v>1995.5900000000001</v>
      </c>
      <c r="J1209" s="8">
        <f t="shared" si="92"/>
        <v>0.29710250653581149</v>
      </c>
      <c r="K1209" s="6">
        <f>'Raw Data'!I1209</f>
        <v>4</v>
      </c>
      <c r="L1209" s="5">
        <f>'Raw Data'!J1209</f>
        <v>22</v>
      </c>
      <c r="M1209" s="5">
        <f>IF(COUNTIFS($A$2:A1209,A1209,$D$2:D1209,D1209)=1,L1209,0)</f>
        <v>0</v>
      </c>
      <c r="N1209" s="4">
        <f t="shared" si="93"/>
        <v>305.31090909090909</v>
      </c>
      <c r="O1209" t="str">
        <f t="shared" si="94"/>
        <v>OK</v>
      </c>
    </row>
    <row r="1210" spans="1:15">
      <c r="A1210" t="str">
        <f>'Raw Data'!A1210</f>
        <v>Portland RM-17</v>
      </c>
      <c r="B1210" t="str">
        <f>'Raw Data'!B1210</f>
        <v>West</v>
      </c>
      <c r="C1210" t="str">
        <f>'Raw Data'!C1210</f>
        <v>Apparel</v>
      </c>
      <c r="D1210" s="3">
        <f>'Raw Data'!D1210</f>
        <v>45931</v>
      </c>
      <c r="E1210" t="str">
        <f t="shared" si="90"/>
        <v>Oct</v>
      </c>
      <c r="F1210" s="5">
        <f>'Raw Data'!E1210</f>
        <v>157</v>
      </c>
      <c r="G1210" s="4">
        <f>'Raw Data'!F1210</f>
        <v>7808.71</v>
      </c>
      <c r="H1210" s="4">
        <f>'Raw Data'!G1210</f>
        <v>4978.7299999999996</v>
      </c>
      <c r="I1210" s="4">
        <f t="shared" si="91"/>
        <v>2829.9800000000005</v>
      </c>
      <c r="J1210" s="8">
        <f t="shared" si="92"/>
        <v>0.36241325391774065</v>
      </c>
      <c r="K1210" s="6">
        <f>'Raw Data'!I1210</f>
        <v>3.84</v>
      </c>
      <c r="L1210" s="5">
        <f>'Raw Data'!J1210</f>
        <v>22</v>
      </c>
      <c r="M1210" s="5">
        <f>IF(COUNTIFS($A$2:A1210,A1210,$D$2:D1210,D1210)=1,L1210,0)</f>
        <v>0</v>
      </c>
      <c r="N1210" s="4">
        <f t="shared" si="93"/>
        <v>354.94136363636363</v>
      </c>
      <c r="O1210" t="str">
        <f t="shared" si="94"/>
        <v>OK</v>
      </c>
    </row>
    <row r="1211" spans="1:15">
      <c r="A1211" t="str">
        <f>'Raw Data'!A1211</f>
        <v>Portland RM-17</v>
      </c>
      <c r="B1211" t="str">
        <f>'Raw Data'!B1211</f>
        <v>West</v>
      </c>
      <c r="C1211" t="str">
        <f>'Raw Data'!C1211</f>
        <v>Beauty</v>
      </c>
      <c r="D1211" s="3">
        <f>'Raw Data'!D1211</f>
        <v>45931</v>
      </c>
      <c r="E1211" t="str">
        <f t="shared" si="90"/>
        <v>Oct</v>
      </c>
      <c r="F1211" s="5">
        <f>'Raw Data'!E1211</f>
        <v>111</v>
      </c>
      <c r="G1211" s="4">
        <f>'Raw Data'!F1211</f>
        <v>4017.43</v>
      </c>
      <c r="H1211" s="4">
        <f>'Raw Data'!G1211</f>
        <v>2008.73</v>
      </c>
      <c r="I1211" s="4">
        <f t="shared" si="91"/>
        <v>2008.6999999999998</v>
      </c>
      <c r="J1211" s="8">
        <f t="shared" si="92"/>
        <v>0.49999626626972965</v>
      </c>
      <c r="K1211" s="6">
        <f>'Raw Data'!I1211</f>
        <v>4</v>
      </c>
      <c r="L1211" s="5">
        <f>'Raw Data'!J1211</f>
        <v>22</v>
      </c>
      <c r="M1211" s="5">
        <f>IF(COUNTIFS($A$2:A1211,A1211,$D$2:D1211,D1211)=1,L1211,0)</f>
        <v>0</v>
      </c>
      <c r="N1211" s="4">
        <f t="shared" si="93"/>
        <v>182.61045454545453</v>
      </c>
      <c r="O1211" t="str">
        <f t="shared" si="94"/>
        <v>OK</v>
      </c>
    </row>
    <row r="1212" spans="1:15">
      <c r="A1212" t="str">
        <f>'Raw Data'!A1212</f>
        <v>Portland RM-17</v>
      </c>
      <c r="B1212" t="str">
        <f>'Raw Data'!B1212</f>
        <v>West</v>
      </c>
      <c r="C1212" t="str">
        <f>'Raw Data'!C1212</f>
        <v>Grocery</v>
      </c>
      <c r="D1212" s="3">
        <f>'Raw Data'!D1212</f>
        <v>45931</v>
      </c>
      <c r="E1212" t="str">
        <f t="shared" si="90"/>
        <v>Oct</v>
      </c>
      <c r="F1212" s="5">
        <f>'Raw Data'!E1212</f>
        <v>176</v>
      </c>
      <c r="G1212" s="4">
        <f>'Raw Data'!F1212</f>
        <v>3234.08</v>
      </c>
      <c r="H1212" s="4">
        <f>'Raw Data'!G1212</f>
        <v>2986.58</v>
      </c>
      <c r="I1212" s="4">
        <f t="shared" si="91"/>
        <v>247.5</v>
      </c>
      <c r="J1212" s="8">
        <f t="shared" si="92"/>
        <v>7.6528719141146784E-2</v>
      </c>
      <c r="K1212" s="6">
        <f>'Raw Data'!I1212</f>
        <v>4.0999999999999996</v>
      </c>
      <c r="L1212" s="5">
        <f>'Raw Data'!J1212</f>
        <v>22</v>
      </c>
      <c r="M1212" s="5">
        <f>IF(COUNTIFS($A$2:A1212,A1212,$D$2:D1212,D1212)=1,L1212,0)</f>
        <v>0</v>
      </c>
      <c r="N1212" s="4">
        <f t="shared" si="93"/>
        <v>147.00363636363636</v>
      </c>
      <c r="O1212" t="str">
        <f t="shared" si="94"/>
        <v>OK</v>
      </c>
    </row>
    <row r="1213" spans="1:15">
      <c r="A1213" t="str">
        <f>'Raw Data'!A1213</f>
        <v>Portland RM-17</v>
      </c>
      <c r="B1213" t="str">
        <f>'Raw Data'!B1213</f>
        <v>West</v>
      </c>
      <c r="C1213" t="str">
        <f>'Raw Data'!C1213</f>
        <v>Sports</v>
      </c>
      <c r="D1213" s="3">
        <f>'Raw Data'!D1213</f>
        <v>45931</v>
      </c>
      <c r="E1213" t="str">
        <f t="shared" si="90"/>
        <v>Oct</v>
      </c>
      <c r="F1213" s="5">
        <f>'Raw Data'!E1213</f>
        <v>78</v>
      </c>
      <c r="G1213" s="4">
        <f>'Raw Data'!F1213</f>
        <v>4763.09</v>
      </c>
      <c r="H1213" s="4">
        <f>'Raw Data'!G1213</f>
        <v>3151.1</v>
      </c>
      <c r="I1213" s="4">
        <f t="shared" si="91"/>
        <v>1611.9900000000002</v>
      </c>
      <c r="J1213" s="8">
        <f t="shared" si="92"/>
        <v>0.33843366386106499</v>
      </c>
      <c r="K1213" s="6">
        <f>'Raw Data'!I1213</f>
        <v>3.91</v>
      </c>
      <c r="L1213" s="5">
        <f>'Raw Data'!J1213</f>
        <v>22</v>
      </c>
      <c r="M1213" s="5">
        <f>IF(COUNTIFS($A$2:A1213,A1213,$D$2:D1213,D1213)=1,L1213,0)</f>
        <v>0</v>
      </c>
      <c r="N1213" s="4">
        <f t="shared" si="93"/>
        <v>216.50409090909091</v>
      </c>
      <c r="O1213" t="str">
        <f t="shared" si="94"/>
        <v>OK</v>
      </c>
    </row>
    <row r="1214" spans="1:15">
      <c r="A1214" t="str">
        <f>'Raw Data'!A1214</f>
        <v>Portland RM-17</v>
      </c>
      <c r="B1214" t="str">
        <f>'Raw Data'!B1214</f>
        <v>West</v>
      </c>
      <c r="C1214" t="str">
        <f>'Raw Data'!C1214</f>
        <v>Electronics</v>
      </c>
      <c r="D1214" s="3">
        <f>'Raw Data'!D1214</f>
        <v>45962</v>
      </c>
      <c r="E1214" t="str">
        <f t="shared" si="90"/>
        <v>Nov</v>
      </c>
      <c r="F1214" s="5">
        <f>'Raw Data'!E1214</f>
        <v>191</v>
      </c>
      <c r="G1214" s="4">
        <f>'Raw Data'!F1214</f>
        <v>27090.46</v>
      </c>
      <c r="H1214" s="4">
        <f>'Raw Data'!G1214</f>
        <v>21492.33</v>
      </c>
      <c r="I1214" s="4">
        <f t="shared" si="91"/>
        <v>5598.1299999999974</v>
      </c>
      <c r="J1214" s="8">
        <f t="shared" si="92"/>
        <v>0.20664580815534317</v>
      </c>
      <c r="K1214" s="6">
        <f>'Raw Data'!I1214</f>
        <v>3.85</v>
      </c>
      <c r="L1214" s="5">
        <f>'Raw Data'!J1214</f>
        <v>25</v>
      </c>
      <c r="M1214" s="5">
        <f>IF(COUNTIFS($A$2:A1214,A1214,$D$2:D1214,D1214)=1,L1214,0)</f>
        <v>25</v>
      </c>
      <c r="N1214" s="4">
        <f t="shared" si="93"/>
        <v>1083.6184000000001</v>
      </c>
      <c r="O1214" t="str">
        <f t="shared" si="94"/>
        <v>OK</v>
      </c>
    </row>
    <row r="1215" spans="1:15">
      <c r="A1215" t="str">
        <f>'Raw Data'!A1215</f>
        <v>Portland RM-17</v>
      </c>
      <c r="B1215" t="str">
        <f>'Raw Data'!B1215</f>
        <v>West</v>
      </c>
      <c r="C1215" t="str">
        <f>'Raw Data'!C1215</f>
        <v>Home Goods</v>
      </c>
      <c r="D1215" s="3">
        <f>'Raw Data'!D1215</f>
        <v>45962</v>
      </c>
      <c r="E1215" t="str">
        <f t="shared" si="90"/>
        <v>Nov</v>
      </c>
      <c r="F1215" s="5">
        <f>'Raw Data'!E1215</f>
        <v>111</v>
      </c>
      <c r="G1215" s="4">
        <f>'Raw Data'!F1215</f>
        <v>9061.6299999999992</v>
      </c>
      <c r="H1215" s="4">
        <f>'Raw Data'!G1215</f>
        <v>6365.83</v>
      </c>
      <c r="I1215" s="4">
        <f t="shared" si="91"/>
        <v>2695.7999999999993</v>
      </c>
      <c r="J1215" s="8">
        <f t="shared" si="92"/>
        <v>0.29749614583689682</v>
      </c>
      <c r="K1215" s="6">
        <f>'Raw Data'!I1215</f>
        <v>3.85</v>
      </c>
      <c r="L1215" s="5">
        <f>'Raw Data'!J1215</f>
        <v>25</v>
      </c>
      <c r="M1215" s="5">
        <f>IF(COUNTIFS($A$2:A1215,A1215,$D$2:D1215,D1215)=1,L1215,0)</f>
        <v>0</v>
      </c>
      <c r="N1215" s="4">
        <f t="shared" si="93"/>
        <v>362.46519999999998</v>
      </c>
      <c r="O1215" t="str">
        <f t="shared" si="94"/>
        <v>OK</v>
      </c>
    </row>
    <row r="1216" spans="1:15">
      <c r="A1216" t="str">
        <f>'Raw Data'!A1216</f>
        <v>Portland RM-17</v>
      </c>
      <c r="B1216" t="str">
        <f>'Raw Data'!B1216</f>
        <v>West</v>
      </c>
      <c r="C1216" t="str">
        <f>'Raw Data'!C1216</f>
        <v>Apparel</v>
      </c>
      <c r="D1216" s="3">
        <f>'Raw Data'!D1216</f>
        <v>45962</v>
      </c>
      <c r="E1216" t="str">
        <f t="shared" si="90"/>
        <v>Nov</v>
      </c>
      <c r="F1216" s="5">
        <f>'Raw Data'!E1216</f>
        <v>170</v>
      </c>
      <c r="G1216" s="4">
        <f>'Raw Data'!F1216</f>
        <v>7980.05</v>
      </c>
      <c r="H1216" s="4">
        <f>'Raw Data'!G1216</f>
        <v>5243.07</v>
      </c>
      <c r="I1216" s="4">
        <f t="shared" si="91"/>
        <v>2736.9800000000005</v>
      </c>
      <c r="J1216" s="8">
        <f t="shared" si="92"/>
        <v>0.34297780089097191</v>
      </c>
      <c r="K1216" s="6">
        <f>'Raw Data'!I1216</f>
        <v>4.0999999999999996</v>
      </c>
      <c r="L1216" s="5">
        <f>'Raw Data'!J1216</f>
        <v>25</v>
      </c>
      <c r="M1216" s="5">
        <f>IF(COUNTIFS($A$2:A1216,A1216,$D$2:D1216,D1216)=1,L1216,0)</f>
        <v>0</v>
      </c>
      <c r="N1216" s="4">
        <f t="shared" si="93"/>
        <v>319.202</v>
      </c>
      <c r="O1216" t="str">
        <f t="shared" si="94"/>
        <v>OK</v>
      </c>
    </row>
    <row r="1217" spans="1:15">
      <c r="A1217" t="str">
        <f>'Raw Data'!A1217</f>
        <v>Portland RM-17</v>
      </c>
      <c r="B1217" t="str">
        <f>'Raw Data'!B1217</f>
        <v>West</v>
      </c>
      <c r="C1217" t="str">
        <f>'Raw Data'!C1217</f>
        <v>Beauty</v>
      </c>
      <c r="D1217" s="3">
        <f>'Raw Data'!D1217</f>
        <v>45962</v>
      </c>
      <c r="E1217" t="str">
        <f t="shared" si="90"/>
        <v>Nov</v>
      </c>
      <c r="F1217" s="5">
        <f>'Raw Data'!E1217</f>
        <v>129</v>
      </c>
      <c r="G1217" s="4">
        <f>'Raw Data'!F1217</f>
        <v>4738.6099999999997</v>
      </c>
      <c r="H1217" s="4">
        <f>'Raw Data'!G1217</f>
        <v>2415.4699999999998</v>
      </c>
      <c r="I1217" s="4">
        <f t="shared" si="91"/>
        <v>2323.14</v>
      </c>
      <c r="J1217" s="8">
        <f t="shared" si="92"/>
        <v>0.49025769160154559</v>
      </c>
      <c r="K1217" s="6">
        <f>'Raw Data'!I1217</f>
        <v>3.92</v>
      </c>
      <c r="L1217" s="5">
        <f>'Raw Data'!J1217</f>
        <v>25</v>
      </c>
      <c r="M1217" s="5">
        <f>IF(COUNTIFS($A$2:A1217,A1217,$D$2:D1217,D1217)=1,L1217,0)</f>
        <v>0</v>
      </c>
      <c r="N1217" s="4">
        <f t="shared" si="93"/>
        <v>189.5444</v>
      </c>
      <c r="O1217" t="str">
        <f t="shared" si="94"/>
        <v>OK</v>
      </c>
    </row>
    <row r="1218" spans="1:15">
      <c r="A1218" t="str">
        <f>'Raw Data'!A1218</f>
        <v>Portland RM-17</v>
      </c>
      <c r="B1218" t="str">
        <f>'Raw Data'!B1218</f>
        <v>West</v>
      </c>
      <c r="C1218" t="str">
        <f>'Raw Data'!C1218</f>
        <v>Grocery</v>
      </c>
      <c r="D1218" s="3">
        <f>'Raw Data'!D1218</f>
        <v>45962</v>
      </c>
      <c r="E1218" t="str">
        <f t="shared" ref="E1218:E1281" si="95">TEXT(D1218,"mmm")</f>
        <v>Nov</v>
      </c>
      <c r="F1218" s="5">
        <f>'Raw Data'!E1218</f>
        <v>244</v>
      </c>
      <c r="G1218" s="4">
        <f>'Raw Data'!F1218</f>
        <v>4159.67</v>
      </c>
      <c r="H1218" s="4">
        <f>'Raw Data'!G1218</f>
        <v>3799.59</v>
      </c>
      <c r="I1218" s="4">
        <f t="shared" ref="I1218:I1281" si="96">G1218-H1218</f>
        <v>360.07999999999993</v>
      </c>
      <c r="J1218" s="8">
        <f t="shared" ref="J1218:J1281" si="97">IFERROR(I1218/G1218,0)</f>
        <v>8.6564559207821759E-2</v>
      </c>
      <c r="K1218" s="6">
        <f>'Raw Data'!I1218</f>
        <v>4.1100000000000003</v>
      </c>
      <c r="L1218" s="5">
        <f>'Raw Data'!J1218</f>
        <v>25</v>
      </c>
      <c r="M1218" s="5">
        <f>IF(COUNTIFS($A$2:A1218,A1218,$D$2:D1218,D1218)=1,L1218,0)</f>
        <v>0</v>
      </c>
      <c r="N1218" s="4">
        <f t="shared" ref="N1218:N1281" si="98">IFERROR(G1218/L1218,0)</f>
        <v>166.38679999999999</v>
      </c>
      <c r="O1218" t="str">
        <f t="shared" ref="O1218:O1281" si="99">IF(OR(A1218="",B1218="",C1218="",F1218&lt;0,G1218&lt;0,H1218&lt;0,K1218&lt;1,K1218&gt;5),"Review","OK")</f>
        <v>OK</v>
      </c>
    </row>
    <row r="1219" spans="1:15">
      <c r="A1219" t="str">
        <f>'Raw Data'!A1219</f>
        <v>Portland RM-17</v>
      </c>
      <c r="B1219" t="str">
        <f>'Raw Data'!B1219</f>
        <v>West</v>
      </c>
      <c r="C1219" t="str">
        <f>'Raw Data'!C1219</f>
        <v>Sports</v>
      </c>
      <c r="D1219" s="3">
        <f>'Raw Data'!D1219</f>
        <v>45962</v>
      </c>
      <c r="E1219" t="str">
        <f t="shared" si="95"/>
        <v>Nov</v>
      </c>
      <c r="F1219" s="5">
        <f>'Raw Data'!E1219</f>
        <v>93</v>
      </c>
      <c r="G1219" s="4">
        <f>'Raw Data'!F1219</f>
        <v>5460.77</v>
      </c>
      <c r="H1219" s="4">
        <f>'Raw Data'!G1219</f>
        <v>3687.39</v>
      </c>
      <c r="I1219" s="4">
        <f t="shared" si="96"/>
        <v>1773.3800000000006</v>
      </c>
      <c r="J1219" s="8">
        <f t="shared" si="97"/>
        <v>0.32474907384855989</v>
      </c>
      <c r="K1219" s="6">
        <f>'Raw Data'!I1219</f>
        <v>3.84</v>
      </c>
      <c r="L1219" s="5">
        <f>'Raw Data'!J1219</f>
        <v>25</v>
      </c>
      <c r="M1219" s="5">
        <f>IF(COUNTIFS($A$2:A1219,A1219,$D$2:D1219,D1219)=1,L1219,0)</f>
        <v>0</v>
      </c>
      <c r="N1219" s="4">
        <f t="shared" si="98"/>
        <v>218.4308</v>
      </c>
      <c r="O1219" t="str">
        <f t="shared" si="99"/>
        <v>OK</v>
      </c>
    </row>
    <row r="1220" spans="1:15">
      <c r="A1220" t="str">
        <f>'Raw Data'!A1220</f>
        <v>Portland RM-17</v>
      </c>
      <c r="B1220" t="str">
        <f>'Raw Data'!B1220</f>
        <v>West</v>
      </c>
      <c r="C1220" t="str">
        <f>'Raw Data'!C1220</f>
        <v>Electronics</v>
      </c>
      <c r="D1220" s="3">
        <f>'Raw Data'!D1220</f>
        <v>45992</v>
      </c>
      <c r="E1220" t="str">
        <f t="shared" si="95"/>
        <v>Dec</v>
      </c>
      <c r="F1220" s="5">
        <f>'Raw Data'!E1220</f>
        <v>219</v>
      </c>
      <c r="G1220" s="4">
        <f>'Raw Data'!F1220</f>
        <v>32484.92</v>
      </c>
      <c r="H1220" s="4">
        <f>'Raw Data'!G1220</f>
        <v>27705.17</v>
      </c>
      <c r="I1220" s="4">
        <f t="shared" si="96"/>
        <v>4779.75</v>
      </c>
      <c r="J1220" s="8">
        <f t="shared" si="97"/>
        <v>0.14713750257042346</v>
      </c>
      <c r="K1220" s="6">
        <f>'Raw Data'!I1220</f>
        <v>4.03</v>
      </c>
      <c r="L1220" s="5">
        <f>'Raw Data'!J1220</f>
        <v>26</v>
      </c>
      <c r="M1220" s="5">
        <f>IF(COUNTIFS($A$2:A1220,A1220,$D$2:D1220,D1220)=1,L1220,0)</f>
        <v>26</v>
      </c>
      <c r="N1220" s="4">
        <f t="shared" si="98"/>
        <v>1249.4199999999998</v>
      </c>
      <c r="O1220" t="str">
        <f t="shared" si="99"/>
        <v>OK</v>
      </c>
    </row>
    <row r="1221" spans="1:15">
      <c r="A1221" t="str">
        <f>'Raw Data'!A1221</f>
        <v>Portland RM-17</v>
      </c>
      <c r="B1221" t="str">
        <f>'Raw Data'!B1221</f>
        <v>West</v>
      </c>
      <c r="C1221" t="str">
        <f>'Raw Data'!C1221</f>
        <v>Home Goods</v>
      </c>
      <c r="D1221" s="3">
        <f>'Raw Data'!D1221</f>
        <v>45992</v>
      </c>
      <c r="E1221" t="str">
        <f t="shared" si="95"/>
        <v>Dec</v>
      </c>
      <c r="F1221" s="5">
        <f>'Raw Data'!E1221</f>
        <v>153</v>
      </c>
      <c r="G1221" s="4">
        <f>'Raw Data'!F1221</f>
        <v>11933.63</v>
      </c>
      <c r="H1221" s="4">
        <f>'Raw Data'!G1221</f>
        <v>8566.32</v>
      </c>
      <c r="I1221" s="4">
        <f t="shared" si="96"/>
        <v>3367.3099999999995</v>
      </c>
      <c r="J1221" s="8">
        <f t="shared" si="97"/>
        <v>0.28216980080662796</v>
      </c>
      <c r="K1221" s="6">
        <f>'Raw Data'!I1221</f>
        <v>4.1100000000000003</v>
      </c>
      <c r="L1221" s="5">
        <f>'Raw Data'!J1221</f>
        <v>26</v>
      </c>
      <c r="M1221" s="5">
        <f>IF(COUNTIFS($A$2:A1221,A1221,$D$2:D1221,D1221)=1,L1221,0)</f>
        <v>0</v>
      </c>
      <c r="N1221" s="4">
        <f t="shared" si="98"/>
        <v>458.98576923076922</v>
      </c>
      <c r="O1221" t="str">
        <f t="shared" si="99"/>
        <v>OK</v>
      </c>
    </row>
    <row r="1222" spans="1:15">
      <c r="A1222" t="str">
        <f>'Raw Data'!A1222</f>
        <v>Portland RM-17</v>
      </c>
      <c r="B1222" t="str">
        <f>'Raw Data'!B1222</f>
        <v>West</v>
      </c>
      <c r="C1222" t="str">
        <f>'Raw Data'!C1222</f>
        <v>Apparel</v>
      </c>
      <c r="D1222" s="3">
        <f>'Raw Data'!D1222</f>
        <v>45992</v>
      </c>
      <c r="E1222" t="str">
        <f t="shared" si="95"/>
        <v>Dec</v>
      </c>
      <c r="F1222" s="5">
        <f>'Raw Data'!E1222</f>
        <v>204</v>
      </c>
      <c r="G1222" s="4">
        <f>'Raw Data'!F1222</f>
        <v>9935.82</v>
      </c>
      <c r="H1222" s="4">
        <f>'Raw Data'!G1222</f>
        <v>6805.33</v>
      </c>
      <c r="I1222" s="4">
        <f t="shared" si="96"/>
        <v>3130.49</v>
      </c>
      <c r="J1222" s="8">
        <f t="shared" si="97"/>
        <v>0.31507112648981161</v>
      </c>
      <c r="K1222" s="6">
        <f>'Raw Data'!I1222</f>
        <v>4.08</v>
      </c>
      <c r="L1222" s="5">
        <f>'Raw Data'!J1222</f>
        <v>26</v>
      </c>
      <c r="M1222" s="5">
        <f>IF(COUNTIFS($A$2:A1222,A1222,$D$2:D1222,D1222)=1,L1222,0)</f>
        <v>0</v>
      </c>
      <c r="N1222" s="4">
        <f t="shared" si="98"/>
        <v>382.14692307692309</v>
      </c>
      <c r="O1222" t="str">
        <f t="shared" si="99"/>
        <v>OK</v>
      </c>
    </row>
    <row r="1223" spans="1:15">
      <c r="A1223" t="str">
        <f>'Raw Data'!A1223</f>
        <v>Portland RM-17</v>
      </c>
      <c r="B1223" t="str">
        <f>'Raw Data'!B1223</f>
        <v>West</v>
      </c>
      <c r="C1223" t="str">
        <f>'Raw Data'!C1223</f>
        <v>Beauty</v>
      </c>
      <c r="D1223" s="3">
        <f>'Raw Data'!D1223</f>
        <v>45992</v>
      </c>
      <c r="E1223" t="str">
        <f t="shared" si="95"/>
        <v>Dec</v>
      </c>
      <c r="F1223" s="5">
        <f>'Raw Data'!E1223</f>
        <v>132</v>
      </c>
      <c r="G1223" s="4">
        <f>'Raw Data'!F1223</f>
        <v>4776.7</v>
      </c>
      <c r="H1223" s="4">
        <f>'Raw Data'!G1223</f>
        <v>2550.46</v>
      </c>
      <c r="I1223" s="4">
        <f t="shared" si="96"/>
        <v>2226.2399999999998</v>
      </c>
      <c r="J1223" s="8">
        <f t="shared" si="97"/>
        <v>0.46606234429627147</v>
      </c>
      <c r="K1223" s="6">
        <f>'Raw Data'!I1223</f>
        <v>4.0999999999999996</v>
      </c>
      <c r="L1223" s="5">
        <f>'Raw Data'!J1223</f>
        <v>26</v>
      </c>
      <c r="M1223" s="5">
        <f>IF(COUNTIFS($A$2:A1223,A1223,$D$2:D1223,D1223)=1,L1223,0)</f>
        <v>0</v>
      </c>
      <c r="N1223" s="4">
        <f t="shared" si="98"/>
        <v>183.71923076923076</v>
      </c>
      <c r="O1223" t="str">
        <f t="shared" si="99"/>
        <v>OK</v>
      </c>
    </row>
    <row r="1224" spans="1:15">
      <c r="A1224" t="str">
        <f>'Raw Data'!A1224</f>
        <v>Portland RM-17</v>
      </c>
      <c r="B1224" t="str">
        <f>'Raw Data'!B1224</f>
        <v>West</v>
      </c>
      <c r="C1224" t="str">
        <f>'Raw Data'!C1224</f>
        <v>Grocery</v>
      </c>
      <c r="D1224" s="3">
        <f>'Raw Data'!D1224</f>
        <v>45992</v>
      </c>
      <c r="E1224" t="str">
        <f t="shared" si="95"/>
        <v>Dec</v>
      </c>
      <c r="F1224" s="5">
        <f>'Raw Data'!E1224</f>
        <v>273</v>
      </c>
      <c r="G1224" s="4">
        <f>'Raw Data'!F1224</f>
        <v>4932.58</v>
      </c>
      <c r="H1224" s="4">
        <f>'Raw Data'!G1224</f>
        <v>4787.6899999999996</v>
      </c>
      <c r="I1224" s="4">
        <f t="shared" si="96"/>
        <v>144.89000000000033</v>
      </c>
      <c r="J1224" s="8">
        <f t="shared" si="97"/>
        <v>2.9374080096014728E-2</v>
      </c>
      <c r="K1224" s="6">
        <f>'Raw Data'!I1224</f>
        <v>4.04</v>
      </c>
      <c r="L1224" s="5">
        <f>'Raw Data'!J1224</f>
        <v>26</v>
      </c>
      <c r="M1224" s="5">
        <f>IF(COUNTIFS($A$2:A1224,A1224,$D$2:D1224,D1224)=1,L1224,0)</f>
        <v>0</v>
      </c>
      <c r="N1224" s="4">
        <f t="shared" si="98"/>
        <v>189.71461538461537</v>
      </c>
      <c r="O1224" t="str">
        <f t="shared" si="99"/>
        <v>OK</v>
      </c>
    </row>
    <row r="1225" spans="1:15">
      <c r="A1225" t="str">
        <f>'Raw Data'!A1225</f>
        <v>Portland RM-17</v>
      </c>
      <c r="B1225" t="str">
        <f>'Raw Data'!B1225</f>
        <v>West</v>
      </c>
      <c r="C1225" t="str">
        <f>'Raw Data'!C1225</f>
        <v>Sports</v>
      </c>
      <c r="D1225" s="3">
        <f>'Raw Data'!D1225</f>
        <v>45992</v>
      </c>
      <c r="E1225" t="str">
        <f t="shared" si="95"/>
        <v>Dec</v>
      </c>
      <c r="F1225" s="5">
        <f>'Raw Data'!E1225</f>
        <v>106</v>
      </c>
      <c r="G1225" s="4">
        <f>'Raw Data'!F1225</f>
        <v>6605.88</v>
      </c>
      <c r="H1225" s="4">
        <f>'Raw Data'!G1225</f>
        <v>4588.67</v>
      </c>
      <c r="I1225" s="4">
        <f t="shared" si="96"/>
        <v>2017.21</v>
      </c>
      <c r="J1225" s="8">
        <f t="shared" si="97"/>
        <v>0.30536582559780073</v>
      </c>
      <c r="K1225" s="6">
        <f>'Raw Data'!I1225</f>
        <v>3.89</v>
      </c>
      <c r="L1225" s="5">
        <f>'Raw Data'!J1225</f>
        <v>26</v>
      </c>
      <c r="M1225" s="5">
        <f>IF(COUNTIFS($A$2:A1225,A1225,$D$2:D1225,D1225)=1,L1225,0)</f>
        <v>0</v>
      </c>
      <c r="N1225" s="4">
        <f t="shared" si="98"/>
        <v>254.0723076923077</v>
      </c>
      <c r="O1225" t="str">
        <f t="shared" si="99"/>
        <v>OK</v>
      </c>
    </row>
    <row r="1226" spans="1:15">
      <c r="A1226" t="str">
        <f>'Raw Data'!A1226</f>
        <v>Phoenix RM-18</v>
      </c>
      <c r="B1226" t="str">
        <f>'Raw Data'!B1226</f>
        <v>West</v>
      </c>
      <c r="C1226" t="str">
        <f>'Raw Data'!C1226</f>
        <v>Electronics</v>
      </c>
      <c r="D1226" s="3">
        <f>'Raw Data'!D1226</f>
        <v>45658</v>
      </c>
      <c r="E1226" t="str">
        <f t="shared" si="95"/>
        <v>Jan</v>
      </c>
      <c r="F1226" s="5">
        <f>'Raw Data'!E1226</f>
        <v>121</v>
      </c>
      <c r="G1226" s="4">
        <f>'Raw Data'!F1226</f>
        <v>18210.759999999998</v>
      </c>
      <c r="H1226" s="4">
        <f>'Raw Data'!G1226</f>
        <v>13793.44</v>
      </c>
      <c r="I1226" s="4">
        <f t="shared" si="96"/>
        <v>4417.3199999999979</v>
      </c>
      <c r="J1226" s="8">
        <f t="shared" si="97"/>
        <v>0.24256648267288122</v>
      </c>
      <c r="K1226" s="6">
        <f>'Raw Data'!I1226</f>
        <v>3.98</v>
      </c>
      <c r="L1226" s="5">
        <f>'Raw Data'!J1226</f>
        <v>35</v>
      </c>
      <c r="M1226" s="5">
        <f>IF(COUNTIFS($A$2:A1226,A1226,$D$2:D1226,D1226)=1,L1226,0)</f>
        <v>35</v>
      </c>
      <c r="N1226" s="4">
        <f t="shared" si="98"/>
        <v>520.30742857142855</v>
      </c>
      <c r="O1226" t="str">
        <f t="shared" si="99"/>
        <v>OK</v>
      </c>
    </row>
    <row r="1227" spans="1:15">
      <c r="A1227" t="str">
        <f>'Raw Data'!A1227</f>
        <v>Phoenix RM-18</v>
      </c>
      <c r="B1227" t="str">
        <f>'Raw Data'!B1227</f>
        <v>West</v>
      </c>
      <c r="C1227" t="str">
        <f>'Raw Data'!C1227</f>
        <v>Home Goods</v>
      </c>
      <c r="D1227" s="3">
        <f>'Raw Data'!D1227</f>
        <v>45658</v>
      </c>
      <c r="E1227" t="str">
        <f t="shared" si="95"/>
        <v>Jan</v>
      </c>
      <c r="F1227" s="5">
        <f>'Raw Data'!E1227</f>
        <v>97</v>
      </c>
      <c r="G1227" s="4">
        <f>'Raw Data'!F1227</f>
        <v>7840.39</v>
      </c>
      <c r="H1227" s="4">
        <f>'Raw Data'!G1227</f>
        <v>5003.79</v>
      </c>
      <c r="I1227" s="4">
        <f t="shared" si="96"/>
        <v>2836.6000000000004</v>
      </c>
      <c r="J1227" s="8">
        <f t="shared" si="97"/>
        <v>0.3617932271226304</v>
      </c>
      <c r="K1227" s="6">
        <f>'Raw Data'!I1227</f>
        <v>3.71</v>
      </c>
      <c r="L1227" s="5">
        <f>'Raw Data'!J1227</f>
        <v>35</v>
      </c>
      <c r="M1227" s="5">
        <f>IF(COUNTIFS($A$2:A1227,A1227,$D$2:D1227,D1227)=1,L1227,0)</f>
        <v>0</v>
      </c>
      <c r="N1227" s="4">
        <f t="shared" si="98"/>
        <v>224.01114285714286</v>
      </c>
      <c r="O1227" t="str">
        <f t="shared" si="99"/>
        <v>OK</v>
      </c>
    </row>
    <row r="1228" spans="1:15">
      <c r="A1228" t="str">
        <f>'Raw Data'!A1228</f>
        <v>Phoenix RM-18</v>
      </c>
      <c r="B1228" t="str">
        <f>'Raw Data'!B1228</f>
        <v>West</v>
      </c>
      <c r="C1228" t="str">
        <f>'Raw Data'!C1228</f>
        <v>Apparel</v>
      </c>
      <c r="D1228" s="3">
        <f>'Raw Data'!D1228</f>
        <v>45658</v>
      </c>
      <c r="E1228" t="str">
        <f t="shared" si="95"/>
        <v>Jan</v>
      </c>
      <c r="F1228" s="5">
        <f>'Raw Data'!E1228</f>
        <v>118</v>
      </c>
      <c r="G1228" s="4">
        <f>'Raw Data'!F1228</f>
        <v>5689.91</v>
      </c>
      <c r="H1228" s="4">
        <f>'Raw Data'!G1228</f>
        <v>3234.96</v>
      </c>
      <c r="I1228" s="4">
        <f t="shared" si="96"/>
        <v>2454.9499999999998</v>
      </c>
      <c r="J1228" s="8">
        <f t="shared" si="97"/>
        <v>0.43145673657404071</v>
      </c>
      <c r="K1228" s="6">
        <f>'Raw Data'!I1228</f>
        <v>3.97</v>
      </c>
      <c r="L1228" s="5">
        <f>'Raw Data'!J1228</f>
        <v>35</v>
      </c>
      <c r="M1228" s="5">
        <f>IF(COUNTIFS($A$2:A1228,A1228,$D$2:D1228,D1228)=1,L1228,0)</f>
        <v>0</v>
      </c>
      <c r="N1228" s="4">
        <f t="shared" si="98"/>
        <v>162.56885714285713</v>
      </c>
      <c r="O1228" t="str">
        <f t="shared" si="99"/>
        <v>OK</v>
      </c>
    </row>
    <row r="1229" spans="1:15">
      <c r="A1229" t="str">
        <f>'Raw Data'!A1229</f>
        <v>Phoenix RM-18</v>
      </c>
      <c r="B1229" t="str">
        <f>'Raw Data'!B1229</f>
        <v>West</v>
      </c>
      <c r="C1229" t="str">
        <f>'Raw Data'!C1229</f>
        <v>Beauty</v>
      </c>
      <c r="D1229" s="3">
        <f>'Raw Data'!D1229</f>
        <v>45658</v>
      </c>
      <c r="E1229" t="str">
        <f t="shared" si="95"/>
        <v>Jan</v>
      </c>
      <c r="F1229" s="5">
        <f>'Raw Data'!E1229</f>
        <v>108</v>
      </c>
      <c r="G1229" s="4">
        <f>'Raw Data'!F1229</f>
        <v>3983.73</v>
      </c>
      <c r="H1229" s="4">
        <f>'Raw Data'!G1229</f>
        <v>1791.55</v>
      </c>
      <c r="I1229" s="4">
        <f t="shared" si="96"/>
        <v>2192.1800000000003</v>
      </c>
      <c r="J1229" s="8">
        <f t="shared" si="97"/>
        <v>0.55028327723013359</v>
      </c>
      <c r="K1229" s="6">
        <f>'Raw Data'!I1229</f>
        <v>3.74</v>
      </c>
      <c r="L1229" s="5">
        <f>'Raw Data'!J1229</f>
        <v>35</v>
      </c>
      <c r="M1229" s="5">
        <f>IF(COUNTIFS($A$2:A1229,A1229,$D$2:D1229,D1229)=1,L1229,0)</f>
        <v>0</v>
      </c>
      <c r="N1229" s="4">
        <f t="shared" si="98"/>
        <v>113.82085714285715</v>
      </c>
      <c r="O1229" t="str">
        <f t="shared" si="99"/>
        <v>OK</v>
      </c>
    </row>
    <row r="1230" spans="1:15">
      <c r="A1230" t="str">
        <f>'Raw Data'!A1230</f>
        <v>Phoenix RM-18</v>
      </c>
      <c r="B1230" t="str">
        <f>'Raw Data'!B1230</f>
        <v>West</v>
      </c>
      <c r="C1230" t="str">
        <f>'Raw Data'!C1230</f>
        <v>Grocery</v>
      </c>
      <c r="D1230" s="3">
        <f>'Raw Data'!D1230</f>
        <v>45658</v>
      </c>
      <c r="E1230" t="str">
        <f t="shared" si="95"/>
        <v>Jan</v>
      </c>
      <c r="F1230" s="5">
        <f>'Raw Data'!E1230</f>
        <v>188</v>
      </c>
      <c r="G1230" s="4">
        <f>'Raw Data'!F1230</f>
        <v>3335.34</v>
      </c>
      <c r="H1230" s="4">
        <f>'Raw Data'!G1230</f>
        <v>2961.42</v>
      </c>
      <c r="I1230" s="4">
        <f t="shared" si="96"/>
        <v>373.92000000000007</v>
      </c>
      <c r="J1230" s="8">
        <f t="shared" si="97"/>
        <v>0.11210851067657272</v>
      </c>
      <c r="K1230" s="6">
        <f>'Raw Data'!I1230</f>
        <v>3.95</v>
      </c>
      <c r="L1230" s="5">
        <f>'Raw Data'!J1230</f>
        <v>35</v>
      </c>
      <c r="M1230" s="5">
        <f>IF(COUNTIFS($A$2:A1230,A1230,$D$2:D1230,D1230)=1,L1230,0)</f>
        <v>0</v>
      </c>
      <c r="N1230" s="4">
        <f t="shared" si="98"/>
        <v>95.295428571428573</v>
      </c>
      <c r="O1230" t="str">
        <f t="shared" si="99"/>
        <v>OK</v>
      </c>
    </row>
    <row r="1231" spans="1:15">
      <c r="A1231" t="str">
        <f>'Raw Data'!A1231</f>
        <v>Phoenix RM-18</v>
      </c>
      <c r="B1231" t="str">
        <f>'Raw Data'!B1231</f>
        <v>West</v>
      </c>
      <c r="C1231" t="str">
        <f>'Raw Data'!C1231</f>
        <v>Sports</v>
      </c>
      <c r="D1231" s="3">
        <f>'Raw Data'!D1231</f>
        <v>45658</v>
      </c>
      <c r="E1231" t="str">
        <f t="shared" si="95"/>
        <v>Jan</v>
      </c>
      <c r="F1231" s="5">
        <f>'Raw Data'!E1231</f>
        <v>68</v>
      </c>
      <c r="G1231" s="4">
        <f>'Raw Data'!F1231</f>
        <v>4277.49</v>
      </c>
      <c r="H1231" s="4">
        <f>'Raw Data'!G1231</f>
        <v>2636.26</v>
      </c>
      <c r="I1231" s="4">
        <f t="shared" si="96"/>
        <v>1641.2299999999996</v>
      </c>
      <c r="J1231" s="8">
        <f t="shared" si="97"/>
        <v>0.38368996771471109</v>
      </c>
      <c r="K1231" s="6">
        <f>'Raw Data'!I1231</f>
        <v>3.85</v>
      </c>
      <c r="L1231" s="5">
        <f>'Raw Data'!J1231</f>
        <v>35</v>
      </c>
      <c r="M1231" s="5">
        <f>IF(COUNTIFS($A$2:A1231,A1231,$D$2:D1231,D1231)=1,L1231,0)</f>
        <v>0</v>
      </c>
      <c r="N1231" s="4">
        <f t="shared" si="98"/>
        <v>122.214</v>
      </c>
      <c r="O1231" t="str">
        <f t="shared" si="99"/>
        <v>OK</v>
      </c>
    </row>
    <row r="1232" spans="1:15">
      <c r="A1232" t="str">
        <f>'Raw Data'!A1232</f>
        <v>Phoenix RM-18</v>
      </c>
      <c r="B1232" t="str">
        <f>'Raw Data'!B1232</f>
        <v>West</v>
      </c>
      <c r="C1232" t="str">
        <f>'Raw Data'!C1232</f>
        <v>Electronics</v>
      </c>
      <c r="D1232" s="3">
        <f>'Raw Data'!D1232</f>
        <v>45689</v>
      </c>
      <c r="E1232" t="str">
        <f t="shared" si="95"/>
        <v>Feb</v>
      </c>
      <c r="F1232" s="5">
        <f>'Raw Data'!E1232</f>
        <v>86</v>
      </c>
      <c r="G1232" s="4">
        <f>'Raw Data'!F1232</f>
        <v>12391.87</v>
      </c>
      <c r="H1232" s="4">
        <f>'Raw Data'!G1232</f>
        <v>9278.7199999999993</v>
      </c>
      <c r="I1232" s="4">
        <f t="shared" si="96"/>
        <v>3113.1500000000015</v>
      </c>
      <c r="J1232" s="8">
        <f t="shared" si="97"/>
        <v>0.25122519845673019</v>
      </c>
      <c r="K1232" s="6">
        <f>'Raw Data'!I1232</f>
        <v>3.99</v>
      </c>
      <c r="L1232" s="5">
        <f>'Raw Data'!J1232</f>
        <v>35</v>
      </c>
      <c r="M1232" s="5">
        <f>IF(COUNTIFS($A$2:A1232,A1232,$D$2:D1232,D1232)=1,L1232,0)</f>
        <v>35</v>
      </c>
      <c r="N1232" s="4">
        <f t="shared" si="98"/>
        <v>354.05342857142858</v>
      </c>
      <c r="O1232" t="str">
        <f t="shared" si="99"/>
        <v>OK</v>
      </c>
    </row>
    <row r="1233" spans="1:15">
      <c r="A1233" t="str">
        <f>'Raw Data'!A1233</f>
        <v>Phoenix RM-18</v>
      </c>
      <c r="B1233" t="str">
        <f>'Raw Data'!B1233</f>
        <v>West</v>
      </c>
      <c r="C1233" t="str">
        <f>'Raw Data'!C1233</f>
        <v>Home Goods</v>
      </c>
      <c r="D1233" s="3">
        <f>'Raw Data'!D1233</f>
        <v>45689</v>
      </c>
      <c r="E1233" t="str">
        <f t="shared" si="95"/>
        <v>Feb</v>
      </c>
      <c r="F1233" s="5">
        <f>'Raw Data'!E1233</f>
        <v>94</v>
      </c>
      <c r="G1233" s="4">
        <f>'Raw Data'!F1233</f>
        <v>7306.42</v>
      </c>
      <c r="H1233" s="4">
        <f>'Raw Data'!G1233</f>
        <v>4800.47</v>
      </c>
      <c r="I1233" s="4">
        <f t="shared" si="96"/>
        <v>2505.9499999999998</v>
      </c>
      <c r="J1233" s="8">
        <f t="shared" si="97"/>
        <v>0.34297918816602385</v>
      </c>
      <c r="K1233" s="6">
        <f>'Raw Data'!I1233</f>
        <v>3.85</v>
      </c>
      <c r="L1233" s="5">
        <f>'Raw Data'!J1233</f>
        <v>35</v>
      </c>
      <c r="M1233" s="5">
        <f>IF(COUNTIFS($A$2:A1233,A1233,$D$2:D1233,D1233)=1,L1233,0)</f>
        <v>0</v>
      </c>
      <c r="N1233" s="4">
        <f t="shared" si="98"/>
        <v>208.75485714285713</v>
      </c>
      <c r="O1233" t="str">
        <f t="shared" si="99"/>
        <v>OK</v>
      </c>
    </row>
    <row r="1234" spans="1:15">
      <c r="A1234" t="str">
        <f>'Raw Data'!A1234</f>
        <v>Phoenix RM-18</v>
      </c>
      <c r="B1234" t="str">
        <f>'Raw Data'!B1234</f>
        <v>West</v>
      </c>
      <c r="C1234" t="str">
        <f>'Raw Data'!C1234</f>
        <v>Apparel</v>
      </c>
      <c r="D1234" s="3">
        <f>'Raw Data'!D1234</f>
        <v>45689</v>
      </c>
      <c r="E1234" t="str">
        <f t="shared" si="95"/>
        <v>Feb</v>
      </c>
      <c r="F1234" s="5">
        <f>'Raw Data'!E1234</f>
        <v>131</v>
      </c>
      <c r="G1234" s="4">
        <f>'Raw Data'!F1234</f>
        <v>6118.61</v>
      </c>
      <c r="H1234" s="4">
        <f>'Raw Data'!G1234</f>
        <v>3620.49</v>
      </c>
      <c r="I1234" s="4">
        <f t="shared" si="96"/>
        <v>2498.12</v>
      </c>
      <c r="J1234" s="8">
        <f t="shared" si="97"/>
        <v>0.4082822732614107</v>
      </c>
      <c r="K1234" s="6">
        <f>'Raw Data'!I1234</f>
        <v>3.73</v>
      </c>
      <c r="L1234" s="5">
        <f>'Raw Data'!J1234</f>
        <v>35</v>
      </c>
      <c r="M1234" s="5">
        <f>IF(COUNTIFS($A$2:A1234,A1234,$D$2:D1234,D1234)=1,L1234,0)</f>
        <v>0</v>
      </c>
      <c r="N1234" s="4">
        <f t="shared" si="98"/>
        <v>174.81742857142856</v>
      </c>
      <c r="O1234" t="str">
        <f t="shared" si="99"/>
        <v>OK</v>
      </c>
    </row>
    <row r="1235" spans="1:15">
      <c r="A1235" t="str">
        <f>'Raw Data'!A1235</f>
        <v>Phoenix RM-18</v>
      </c>
      <c r="B1235" t="str">
        <f>'Raw Data'!B1235</f>
        <v>West</v>
      </c>
      <c r="C1235" t="str">
        <f>'Raw Data'!C1235</f>
        <v>Beauty</v>
      </c>
      <c r="D1235" s="3">
        <f>'Raw Data'!D1235</f>
        <v>45689</v>
      </c>
      <c r="E1235" t="str">
        <f t="shared" si="95"/>
        <v>Feb</v>
      </c>
      <c r="F1235" s="5">
        <f>'Raw Data'!E1235</f>
        <v>95</v>
      </c>
      <c r="G1235" s="4">
        <f>'Raw Data'!F1235</f>
        <v>3660.5</v>
      </c>
      <c r="H1235" s="4">
        <f>'Raw Data'!G1235</f>
        <v>1713.38</v>
      </c>
      <c r="I1235" s="4">
        <f t="shared" si="96"/>
        <v>1947.12</v>
      </c>
      <c r="J1235" s="8">
        <f t="shared" si="97"/>
        <v>0.53192733233164868</v>
      </c>
      <c r="K1235" s="6">
        <f>'Raw Data'!I1235</f>
        <v>3.87</v>
      </c>
      <c r="L1235" s="5">
        <f>'Raw Data'!J1235</f>
        <v>35</v>
      </c>
      <c r="M1235" s="5">
        <f>IF(COUNTIFS($A$2:A1235,A1235,$D$2:D1235,D1235)=1,L1235,0)</f>
        <v>0</v>
      </c>
      <c r="N1235" s="4">
        <f t="shared" si="98"/>
        <v>104.58571428571429</v>
      </c>
      <c r="O1235" t="str">
        <f t="shared" si="99"/>
        <v>OK</v>
      </c>
    </row>
    <row r="1236" spans="1:15">
      <c r="A1236" t="str">
        <f>'Raw Data'!A1236</f>
        <v>Phoenix RM-18</v>
      </c>
      <c r="B1236" t="str">
        <f>'Raw Data'!B1236</f>
        <v>West</v>
      </c>
      <c r="C1236" t="str">
        <f>'Raw Data'!C1236</f>
        <v>Grocery</v>
      </c>
      <c r="D1236" s="3">
        <f>'Raw Data'!D1236</f>
        <v>45689</v>
      </c>
      <c r="E1236" t="str">
        <f t="shared" si="95"/>
        <v>Feb</v>
      </c>
      <c r="F1236" s="5">
        <f>'Raw Data'!E1236</f>
        <v>161</v>
      </c>
      <c r="G1236" s="4">
        <f>'Raw Data'!F1236</f>
        <v>2949.33</v>
      </c>
      <c r="H1236" s="4">
        <f>'Raw Data'!G1236</f>
        <v>2663.6</v>
      </c>
      <c r="I1236" s="4">
        <f t="shared" si="96"/>
        <v>285.73</v>
      </c>
      <c r="J1236" s="8">
        <f t="shared" si="97"/>
        <v>9.6879630288913082E-2</v>
      </c>
      <c r="K1236" s="6">
        <f>'Raw Data'!I1236</f>
        <v>3.73</v>
      </c>
      <c r="L1236" s="5">
        <f>'Raw Data'!J1236</f>
        <v>35</v>
      </c>
      <c r="M1236" s="5">
        <f>IF(COUNTIFS($A$2:A1236,A1236,$D$2:D1236,D1236)=1,L1236,0)</f>
        <v>0</v>
      </c>
      <c r="N1236" s="4">
        <f t="shared" si="98"/>
        <v>84.266571428571424</v>
      </c>
      <c r="O1236" t="str">
        <f t="shared" si="99"/>
        <v>OK</v>
      </c>
    </row>
    <row r="1237" spans="1:15">
      <c r="A1237" t="str">
        <f>'Raw Data'!A1237</f>
        <v>Phoenix RM-18</v>
      </c>
      <c r="B1237" t="str">
        <f>'Raw Data'!B1237</f>
        <v>West</v>
      </c>
      <c r="C1237" t="str">
        <f>'Raw Data'!C1237</f>
        <v>Sports</v>
      </c>
      <c r="D1237" s="3">
        <f>'Raw Data'!D1237</f>
        <v>45689</v>
      </c>
      <c r="E1237" t="str">
        <f t="shared" si="95"/>
        <v>Feb</v>
      </c>
      <c r="F1237" s="5">
        <f>'Raw Data'!E1237</f>
        <v>75</v>
      </c>
      <c r="G1237" s="4">
        <f>'Raw Data'!F1237</f>
        <v>4993.28</v>
      </c>
      <c r="H1237" s="4">
        <f>'Raw Data'!G1237</f>
        <v>3045.07</v>
      </c>
      <c r="I1237" s="4">
        <f t="shared" si="96"/>
        <v>1948.2099999999996</v>
      </c>
      <c r="J1237" s="8">
        <f t="shared" si="97"/>
        <v>0.39016638361958467</v>
      </c>
      <c r="K1237" s="6">
        <f>'Raw Data'!I1237</f>
        <v>3.74</v>
      </c>
      <c r="L1237" s="5">
        <f>'Raw Data'!J1237</f>
        <v>35</v>
      </c>
      <c r="M1237" s="5">
        <f>IF(COUNTIFS($A$2:A1237,A1237,$D$2:D1237,D1237)=1,L1237,0)</f>
        <v>0</v>
      </c>
      <c r="N1237" s="4">
        <f t="shared" si="98"/>
        <v>142.66514285714285</v>
      </c>
      <c r="O1237" t="str">
        <f t="shared" si="99"/>
        <v>OK</v>
      </c>
    </row>
    <row r="1238" spans="1:15">
      <c r="A1238" t="str">
        <f>'Raw Data'!A1238</f>
        <v>Phoenix RM-18</v>
      </c>
      <c r="B1238" t="str">
        <f>'Raw Data'!B1238</f>
        <v>West</v>
      </c>
      <c r="C1238" t="str">
        <f>'Raw Data'!C1238</f>
        <v>Electronics</v>
      </c>
      <c r="D1238" s="3">
        <f>'Raw Data'!D1238</f>
        <v>45717</v>
      </c>
      <c r="E1238" t="str">
        <f t="shared" si="95"/>
        <v>Mar</v>
      </c>
      <c r="F1238" s="5">
        <f>'Raw Data'!E1238</f>
        <v>117</v>
      </c>
      <c r="G1238" s="4">
        <f>'Raw Data'!F1238</f>
        <v>16093.13</v>
      </c>
      <c r="H1238" s="4">
        <f>'Raw Data'!G1238</f>
        <v>12055.19</v>
      </c>
      <c r="I1238" s="4">
        <f t="shared" si="96"/>
        <v>4037.9399999999987</v>
      </c>
      <c r="J1238" s="8">
        <f t="shared" si="97"/>
        <v>0.25091079236916614</v>
      </c>
      <c r="K1238" s="6">
        <f>'Raw Data'!I1238</f>
        <v>3.75</v>
      </c>
      <c r="L1238" s="5">
        <f>'Raw Data'!J1238</f>
        <v>36</v>
      </c>
      <c r="M1238" s="5">
        <f>IF(COUNTIFS($A$2:A1238,A1238,$D$2:D1238,D1238)=1,L1238,0)</f>
        <v>36</v>
      </c>
      <c r="N1238" s="4">
        <f t="shared" si="98"/>
        <v>447.03138888888884</v>
      </c>
      <c r="O1238" t="str">
        <f t="shared" si="99"/>
        <v>OK</v>
      </c>
    </row>
    <row r="1239" spans="1:15">
      <c r="A1239" t="str">
        <f>'Raw Data'!A1239</f>
        <v>Phoenix RM-18</v>
      </c>
      <c r="B1239" t="str">
        <f>'Raw Data'!B1239</f>
        <v>West</v>
      </c>
      <c r="C1239" t="str">
        <f>'Raw Data'!C1239</f>
        <v>Home Goods</v>
      </c>
      <c r="D1239" s="3">
        <f>'Raw Data'!D1239</f>
        <v>45717</v>
      </c>
      <c r="E1239" t="str">
        <f t="shared" si="95"/>
        <v>Mar</v>
      </c>
      <c r="F1239" s="5">
        <f>'Raw Data'!E1239</f>
        <v>125</v>
      </c>
      <c r="G1239" s="4">
        <f>'Raw Data'!F1239</f>
        <v>9702.42</v>
      </c>
      <c r="H1239" s="4">
        <f>'Raw Data'!G1239</f>
        <v>6422.76</v>
      </c>
      <c r="I1239" s="4">
        <f t="shared" si="96"/>
        <v>3279.66</v>
      </c>
      <c r="J1239" s="8">
        <f t="shared" si="97"/>
        <v>0.33802494635359009</v>
      </c>
      <c r="K1239" s="6">
        <f>'Raw Data'!I1239</f>
        <v>3.99</v>
      </c>
      <c r="L1239" s="5">
        <f>'Raw Data'!J1239</f>
        <v>36</v>
      </c>
      <c r="M1239" s="5">
        <f>IF(COUNTIFS($A$2:A1239,A1239,$D$2:D1239,D1239)=1,L1239,0)</f>
        <v>0</v>
      </c>
      <c r="N1239" s="4">
        <f t="shared" si="98"/>
        <v>269.51166666666666</v>
      </c>
      <c r="O1239" t="str">
        <f t="shared" si="99"/>
        <v>OK</v>
      </c>
    </row>
    <row r="1240" spans="1:15">
      <c r="A1240" t="str">
        <f>'Raw Data'!A1240</f>
        <v>Phoenix RM-18</v>
      </c>
      <c r="B1240" t="str">
        <f>'Raw Data'!B1240</f>
        <v>West</v>
      </c>
      <c r="C1240" t="str">
        <f>'Raw Data'!C1240</f>
        <v>Apparel</v>
      </c>
      <c r="D1240" s="3">
        <f>'Raw Data'!D1240</f>
        <v>45717</v>
      </c>
      <c r="E1240" t="str">
        <f t="shared" si="95"/>
        <v>Mar</v>
      </c>
      <c r="F1240" s="5">
        <f>'Raw Data'!E1240</f>
        <v>169</v>
      </c>
      <c r="G1240" s="4">
        <f>'Raw Data'!F1240</f>
        <v>8139.71</v>
      </c>
      <c r="H1240" s="4">
        <f>'Raw Data'!G1240</f>
        <v>4758.43</v>
      </c>
      <c r="I1240" s="4">
        <f t="shared" si="96"/>
        <v>3381.2799999999997</v>
      </c>
      <c r="J1240" s="8">
        <f t="shared" si="97"/>
        <v>0.41540546284818497</v>
      </c>
      <c r="K1240" s="6">
        <f>'Raw Data'!I1240</f>
        <v>3.92</v>
      </c>
      <c r="L1240" s="5">
        <f>'Raw Data'!J1240</f>
        <v>36</v>
      </c>
      <c r="M1240" s="5">
        <f>IF(COUNTIFS($A$2:A1240,A1240,$D$2:D1240,D1240)=1,L1240,0)</f>
        <v>0</v>
      </c>
      <c r="N1240" s="4">
        <f t="shared" si="98"/>
        <v>226.10305555555556</v>
      </c>
      <c r="O1240" t="str">
        <f t="shared" si="99"/>
        <v>OK</v>
      </c>
    </row>
    <row r="1241" spans="1:15">
      <c r="A1241" t="str">
        <f>'Raw Data'!A1241</f>
        <v>Phoenix RM-18</v>
      </c>
      <c r="B1241" t="str">
        <f>'Raw Data'!B1241</f>
        <v>West</v>
      </c>
      <c r="C1241" t="str">
        <f>'Raw Data'!C1241</f>
        <v>Beauty</v>
      </c>
      <c r="D1241" s="3">
        <f>'Raw Data'!D1241</f>
        <v>45717</v>
      </c>
      <c r="E1241" t="str">
        <f t="shared" si="95"/>
        <v>Mar</v>
      </c>
      <c r="F1241" s="5">
        <f>'Raw Data'!E1241</f>
        <v>103</v>
      </c>
      <c r="G1241" s="4">
        <f>'Raw Data'!F1241</f>
        <v>3717.65</v>
      </c>
      <c r="H1241" s="4">
        <f>'Raw Data'!G1241</f>
        <v>1723.74</v>
      </c>
      <c r="I1241" s="4">
        <f t="shared" si="96"/>
        <v>1993.91</v>
      </c>
      <c r="J1241" s="8">
        <f t="shared" si="97"/>
        <v>0.53633612631635574</v>
      </c>
      <c r="K1241" s="6">
        <f>'Raw Data'!I1241</f>
        <v>4.01</v>
      </c>
      <c r="L1241" s="5">
        <f>'Raw Data'!J1241</f>
        <v>36</v>
      </c>
      <c r="M1241" s="5">
        <f>IF(COUNTIFS($A$2:A1241,A1241,$D$2:D1241,D1241)=1,L1241,0)</f>
        <v>0</v>
      </c>
      <c r="N1241" s="4">
        <f t="shared" si="98"/>
        <v>103.26805555555556</v>
      </c>
      <c r="O1241" t="str">
        <f t="shared" si="99"/>
        <v>OK</v>
      </c>
    </row>
    <row r="1242" spans="1:15">
      <c r="A1242" t="str">
        <f>'Raw Data'!A1242</f>
        <v>Phoenix RM-18</v>
      </c>
      <c r="B1242" t="str">
        <f>'Raw Data'!B1242</f>
        <v>West</v>
      </c>
      <c r="C1242" t="str">
        <f>'Raw Data'!C1242</f>
        <v>Grocery</v>
      </c>
      <c r="D1242" s="3">
        <f>'Raw Data'!D1242</f>
        <v>45717</v>
      </c>
      <c r="E1242" t="str">
        <f t="shared" si="95"/>
        <v>Mar</v>
      </c>
      <c r="F1242" s="5">
        <f>'Raw Data'!E1242</f>
        <v>186</v>
      </c>
      <c r="G1242" s="4">
        <f>'Raw Data'!F1242</f>
        <v>3465.64</v>
      </c>
      <c r="H1242" s="4">
        <f>'Raw Data'!G1242</f>
        <v>3168.98</v>
      </c>
      <c r="I1242" s="4">
        <f t="shared" si="96"/>
        <v>296.65999999999985</v>
      </c>
      <c r="J1242" s="8">
        <f t="shared" si="97"/>
        <v>8.5600350873143161E-2</v>
      </c>
      <c r="K1242" s="6">
        <f>'Raw Data'!I1242</f>
        <v>4.01</v>
      </c>
      <c r="L1242" s="5">
        <f>'Raw Data'!J1242</f>
        <v>36</v>
      </c>
      <c r="M1242" s="5">
        <f>IF(COUNTIFS($A$2:A1242,A1242,$D$2:D1242,D1242)=1,L1242,0)</f>
        <v>0</v>
      </c>
      <c r="N1242" s="4">
        <f t="shared" si="98"/>
        <v>96.267777777777781</v>
      </c>
      <c r="O1242" t="str">
        <f t="shared" si="99"/>
        <v>OK</v>
      </c>
    </row>
    <row r="1243" spans="1:15">
      <c r="A1243" t="str">
        <f>'Raw Data'!A1243</f>
        <v>Phoenix RM-18</v>
      </c>
      <c r="B1243" t="str">
        <f>'Raw Data'!B1243</f>
        <v>West</v>
      </c>
      <c r="C1243" t="str">
        <f>'Raw Data'!C1243</f>
        <v>Sports</v>
      </c>
      <c r="D1243" s="3">
        <f>'Raw Data'!D1243</f>
        <v>45717</v>
      </c>
      <c r="E1243" t="str">
        <f t="shared" si="95"/>
        <v>Mar</v>
      </c>
      <c r="F1243" s="5">
        <f>'Raw Data'!E1243</f>
        <v>102</v>
      </c>
      <c r="G1243" s="4">
        <f>'Raw Data'!F1243</f>
        <v>6580.06</v>
      </c>
      <c r="H1243" s="4">
        <f>'Raw Data'!G1243</f>
        <v>4262.18</v>
      </c>
      <c r="I1243" s="4">
        <f t="shared" si="96"/>
        <v>2317.88</v>
      </c>
      <c r="J1243" s="8">
        <f t="shared" si="97"/>
        <v>0.35225818609556753</v>
      </c>
      <c r="K1243" s="6">
        <f>'Raw Data'!I1243</f>
        <v>4.05</v>
      </c>
      <c r="L1243" s="5">
        <f>'Raw Data'!J1243</f>
        <v>36</v>
      </c>
      <c r="M1243" s="5">
        <f>IF(COUNTIFS($A$2:A1243,A1243,$D$2:D1243,D1243)=1,L1243,0)</f>
        <v>0</v>
      </c>
      <c r="N1243" s="4">
        <f t="shared" si="98"/>
        <v>182.77944444444447</v>
      </c>
      <c r="O1243" t="str">
        <f t="shared" si="99"/>
        <v>OK</v>
      </c>
    </row>
    <row r="1244" spans="1:15">
      <c r="A1244" t="str">
        <f>'Raw Data'!A1244</f>
        <v>Phoenix RM-18</v>
      </c>
      <c r="B1244" t="str">
        <f>'Raw Data'!B1244</f>
        <v>West</v>
      </c>
      <c r="C1244" t="str">
        <f>'Raw Data'!C1244</f>
        <v>Electronics</v>
      </c>
      <c r="D1244" s="3">
        <f>'Raw Data'!D1244</f>
        <v>45748</v>
      </c>
      <c r="E1244" t="str">
        <f t="shared" si="95"/>
        <v>Apr</v>
      </c>
      <c r="F1244" s="5">
        <f>'Raw Data'!E1244</f>
        <v>124</v>
      </c>
      <c r="G1244" s="4">
        <f>'Raw Data'!F1244</f>
        <v>19034.87</v>
      </c>
      <c r="H1244" s="4">
        <f>'Raw Data'!G1244</f>
        <v>14927.97</v>
      </c>
      <c r="I1244" s="4">
        <f t="shared" si="96"/>
        <v>4106.8999999999996</v>
      </c>
      <c r="J1244" s="8">
        <f t="shared" si="97"/>
        <v>0.21575666132734292</v>
      </c>
      <c r="K1244" s="6">
        <f>'Raw Data'!I1244</f>
        <v>3.72</v>
      </c>
      <c r="L1244" s="5">
        <f>'Raw Data'!J1244</f>
        <v>34</v>
      </c>
      <c r="M1244" s="5">
        <f>IF(COUNTIFS($A$2:A1244,A1244,$D$2:D1244,D1244)=1,L1244,0)</f>
        <v>34</v>
      </c>
      <c r="N1244" s="4">
        <f t="shared" si="98"/>
        <v>559.84911764705885</v>
      </c>
      <c r="O1244" t="str">
        <f t="shared" si="99"/>
        <v>OK</v>
      </c>
    </row>
    <row r="1245" spans="1:15">
      <c r="A1245" t="str">
        <f>'Raw Data'!A1245</f>
        <v>Phoenix RM-18</v>
      </c>
      <c r="B1245" t="str">
        <f>'Raw Data'!B1245</f>
        <v>West</v>
      </c>
      <c r="C1245" t="str">
        <f>'Raw Data'!C1245</f>
        <v>Home Goods</v>
      </c>
      <c r="D1245" s="3">
        <f>'Raw Data'!D1245</f>
        <v>45748</v>
      </c>
      <c r="E1245" t="str">
        <f t="shared" si="95"/>
        <v>Apr</v>
      </c>
      <c r="F1245" s="5">
        <f>'Raw Data'!E1245</f>
        <v>114</v>
      </c>
      <c r="G1245" s="4">
        <f>'Raw Data'!F1245</f>
        <v>9237.1299999999992</v>
      </c>
      <c r="H1245" s="4">
        <f>'Raw Data'!G1245</f>
        <v>6248.67</v>
      </c>
      <c r="I1245" s="4">
        <f t="shared" si="96"/>
        <v>2988.4599999999991</v>
      </c>
      <c r="J1245" s="8">
        <f t="shared" si="97"/>
        <v>0.32352689634117948</v>
      </c>
      <c r="K1245" s="6">
        <f>'Raw Data'!I1245</f>
        <v>3.7</v>
      </c>
      <c r="L1245" s="5">
        <f>'Raw Data'!J1245</f>
        <v>34</v>
      </c>
      <c r="M1245" s="5">
        <f>IF(COUNTIFS($A$2:A1245,A1245,$D$2:D1245,D1245)=1,L1245,0)</f>
        <v>0</v>
      </c>
      <c r="N1245" s="4">
        <f t="shared" si="98"/>
        <v>271.68029411764701</v>
      </c>
      <c r="O1245" t="str">
        <f t="shared" si="99"/>
        <v>OK</v>
      </c>
    </row>
    <row r="1246" spans="1:15">
      <c r="A1246" t="str">
        <f>'Raw Data'!A1246</f>
        <v>Phoenix RM-18</v>
      </c>
      <c r="B1246" t="str">
        <f>'Raw Data'!B1246</f>
        <v>West</v>
      </c>
      <c r="C1246" t="str">
        <f>'Raw Data'!C1246</f>
        <v>Apparel</v>
      </c>
      <c r="D1246" s="3">
        <f>'Raw Data'!D1246</f>
        <v>45748</v>
      </c>
      <c r="E1246" t="str">
        <f t="shared" si="95"/>
        <v>Apr</v>
      </c>
      <c r="F1246" s="5">
        <f>'Raw Data'!E1246</f>
        <v>141</v>
      </c>
      <c r="G1246" s="4">
        <f>'Raw Data'!F1246</f>
        <v>6465.86</v>
      </c>
      <c r="H1246" s="4">
        <f>'Raw Data'!G1246</f>
        <v>3816.06</v>
      </c>
      <c r="I1246" s="4">
        <f t="shared" si="96"/>
        <v>2649.7999999999997</v>
      </c>
      <c r="J1246" s="8">
        <f t="shared" si="97"/>
        <v>0.40981400772673704</v>
      </c>
      <c r="K1246" s="6">
        <f>'Raw Data'!I1246</f>
        <v>3.71</v>
      </c>
      <c r="L1246" s="5">
        <f>'Raw Data'!J1246</f>
        <v>34</v>
      </c>
      <c r="M1246" s="5">
        <f>IF(COUNTIFS($A$2:A1246,A1246,$D$2:D1246,D1246)=1,L1246,0)</f>
        <v>0</v>
      </c>
      <c r="N1246" s="4">
        <f t="shared" si="98"/>
        <v>190.17235294117646</v>
      </c>
      <c r="O1246" t="str">
        <f t="shared" si="99"/>
        <v>OK</v>
      </c>
    </row>
    <row r="1247" spans="1:15">
      <c r="A1247" t="str">
        <f>'Raw Data'!A1247</f>
        <v>Phoenix RM-18</v>
      </c>
      <c r="B1247" t="str">
        <f>'Raw Data'!B1247</f>
        <v>West</v>
      </c>
      <c r="C1247" t="str">
        <f>'Raw Data'!C1247</f>
        <v>Beauty</v>
      </c>
      <c r="D1247" s="3">
        <f>'Raw Data'!D1247</f>
        <v>45748</v>
      </c>
      <c r="E1247" t="str">
        <f t="shared" si="95"/>
        <v>Apr</v>
      </c>
      <c r="F1247" s="5">
        <f>'Raw Data'!E1247</f>
        <v>117</v>
      </c>
      <c r="G1247" s="4">
        <f>'Raw Data'!F1247</f>
        <v>4213.8500000000004</v>
      </c>
      <c r="H1247" s="4">
        <f>'Raw Data'!G1247</f>
        <v>2025.12</v>
      </c>
      <c r="I1247" s="4">
        <f t="shared" si="96"/>
        <v>2188.7300000000005</v>
      </c>
      <c r="J1247" s="8">
        <f t="shared" si="97"/>
        <v>0.51941336307652153</v>
      </c>
      <c r="K1247" s="6">
        <f>'Raw Data'!I1247</f>
        <v>3.92</v>
      </c>
      <c r="L1247" s="5">
        <f>'Raw Data'!J1247</f>
        <v>34</v>
      </c>
      <c r="M1247" s="5">
        <f>IF(COUNTIFS($A$2:A1247,A1247,$D$2:D1247,D1247)=1,L1247,0)</f>
        <v>0</v>
      </c>
      <c r="N1247" s="4">
        <f t="shared" si="98"/>
        <v>123.93676470588237</v>
      </c>
      <c r="O1247" t="str">
        <f t="shared" si="99"/>
        <v>OK</v>
      </c>
    </row>
    <row r="1248" spans="1:15">
      <c r="A1248" t="str">
        <f>'Raw Data'!A1248</f>
        <v>Phoenix RM-18</v>
      </c>
      <c r="B1248" t="str">
        <f>'Raw Data'!B1248</f>
        <v>West</v>
      </c>
      <c r="C1248" t="str">
        <f>'Raw Data'!C1248</f>
        <v>Grocery</v>
      </c>
      <c r="D1248" s="3">
        <f>'Raw Data'!D1248</f>
        <v>45748</v>
      </c>
      <c r="E1248" t="str">
        <f t="shared" si="95"/>
        <v>Apr</v>
      </c>
      <c r="F1248" s="5">
        <f>'Raw Data'!E1248</f>
        <v>207</v>
      </c>
      <c r="G1248" s="4">
        <f>'Raw Data'!F1248</f>
        <v>3729.45</v>
      </c>
      <c r="H1248" s="4">
        <f>'Raw Data'!G1248</f>
        <v>3291.02</v>
      </c>
      <c r="I1248" s="4">
        <f t="shared" si="96"/>
        <v>438.42999999999984</v>
      </c>
      <c r="J1248" s="8">
        <f t="shared" si="97"/>
        <v>0.11755888938047161</v>
      </c>
      <c r="K1248" s="6">
        <f>'Raw Data'!I1248</f>
        <v>3.73</v>
      </c>
      <c r="L1248" s="5">
        <f>'Raw Data'!J1248</f>
        <v>34</v>
      </c>
      <c r="M1248" s="5">
        <f>IF(COUNTIFS($A$2:A1248,A1248,$D$2:D1248,D1248)=1,L1248,0)</f>
        <v>0</v>
      </c>
      <c r="N1248" s="4">
        <f t="shared" si="98"/>
        <v>109.68970588235294</v>
      </c>
      <c r="O1248" t="str">
        <f t="shared" si="99"/>
        <v>OK</v>
      </c>
    </row>
    <row r="1249" spans="1:15">
      <c r="A1249" t="str">
        <f>'Raw Data'!A1249</f>
        <v>Phoenix RM-18</v>
      </c>
      <c r="B1249" t="str">
        <f>'Raw Data'!B1249</f>
        <v>West</v>
      </c>
      <c r="C1249" t="str">
        <f>'Raw Data'!C1249</f>
        <v>Sports</v>
      </c>
      <c r="D1249" s="3">
        <f>'Raw Data'!D1249</f>
        <v>45748</v>
      </c>
      <c r="E1249" t="str">
        <f t="shared" si="95"/>
        <v>Apr</v>
      </c>
      <c r="F1249" s="5">
        <f>'Raw Data'!E1249</f>
        <v>88</v>
      </c>
      <c r="G1249" s="4">
        <f>'Raw Data'!F1249</f>
        <v>5234.87</v>
      </c>
      <c r="H1249" s="4">
        <f>'Raw Data'!G1249</f>
        <v>3350.95</v>
      </c>
      <c r="I1249" s="4">
        <f t="shared" si="96"/>
        <v>1883.92</v>
      </c>
      <c r="J1249" s="8">
        <f t="shared" si="97"/>
        <v>0.359879041886427</v>
      </c>
      <c r="K1249" s="6">
        <f>'Raw Data'!I1249</f>
        <v>4</v>
      </c>
      <c r="L1249" s="5">
        <f>'Raw Data'!J1249</f>
        <v>34</v>
      </c>
      <c r="M1249" s="5">
        <f>IF(COUNTIFS($A$2:A1249,A1249,$D$2:D1249,D1249)=1,L1249,0)</f>
        <v>0</v>
      </c>
      <c r="N1249" s="4">
        <f t="shared" si="98"/>
        <v>153.96676470588235</v>
      </c>
      <c r="O1249" t="str">
        <f t="shared" si="99"/>
        <v>OK</v>
      </c>
    </row>
    <row r="1250" spans="1:15">
      <c r="A1250" t="str">
        <f>'Raw Data'!A1250</f>
        <v>Phoenix RM-18</v>
      </c>
      <c r="B1250" t="str">
        <f>'Raw Data'!B1250</f>
        <v>West</v>
      </c>
      <c r="C1250" t="str">
        <f>'Raw Data'!C1250</f>
        <v>Electronics</v>
      </c>
      <c r="D1250" s="3">
        <f>'Raw Data'!D1250</f>
        <v>45778</v>
      </c>
      <c r="E1250" t="str">
        <f t="shared" si="95"/>
        <v>May</v>
      </c>
      <c r="F1250" s="5">
        <f>'Raw Data'!E1250</f>
        <v>147</v>
      </c>
      <c r="G1250" s="4">
        <f>'Raw Data'!F1250</f>
        <v>23012.61</v>
      </c>
      <c r="H1250" s="4">
        <f>'Raw Data'!G1250</f>
        <v>17993.509999999998</v>
      </c>
      <c r="I1250" s="4">
        <f t="shared" si="96"/>
        <v>5019.1000000000022</v>
      </c>
      <c r="J1250" s="8">
        <f t="shared" si="97"/>
        <v>0.21810216224930601</v>
      </c>
      <c r="K1250" s="6">
        <f>'Raw Data'!I1250</f>
        <v>3.75</v>
      </c>
      <c r="L1250" s="5">
        <f>'Raw Data'!J1250</f>
        <v>35</v>
      </c>
      <c r="M1250" s="5">
        <f>IF(COUNTIFS($A$2:A1250,A1250,$D$2:D1250,D1250)=1,L1250,0)</f>
        <v>35</v>
      </c>
      <c r="N1250" s="4">
        <f t="shared" si="98"/>
        <v>657.50314285714285</v>
      </c>
      <c r="O1250" t="str">
        <f t="shared" si="99"/>
        <v>OK</v>
      </c>
    </row>
    <row r="1251" spans="1:15">
      <c r="A1251" t="str">
        <f>'Raw Data'!A1251</f>
        <v>Phoenix RM-18</v>
      </c>
      <c r="B1251" t="str">
        <f>'Raw Data'!B1251</f>
        <v>West</v>
      </c>
      <c r="C1251" t="str">
        <f>'Raw Data'!C1251</f>
        <v>Home Goods</v>
      </c>
      <c r="D1251" s="3">
        <f>'Raw Data'!D1251</f>
        <v>45778</v>
      </c>
      <c r="E1251" t="str">
        <f t="shared" si="95"/>
        <v>May</v>
      </c>
      <c r="F1251" s="5">
        <f>'Raw Data'!E1251</f>
        <v>125</v>
      </c>
      <c r="G1251" s="4">
        <f>'Raw Data'!F1251</f>
        <v>9025.42</v>
      </c>
      <c r="H1251" s="4">
        <f>'Raw Data'!G1251</f>
        <v>5818.74</v>
      </c>
      <c r="I1251" s="4">
        <f t="shared" si="96"/>
        <v>3206.6800000000003</v>
      </c>
      <c r="J1251" s="8">
        <f t="shared" si="97"/>
        <v>0.35529426885397025</v>
      </c>
      <c r="K1251" s="6">
        <f>'Raw Data'!I1251</f>
        <v>3.96</v>
      </c>
      <c r="L1251" s="5">
        <f>'Raw Data'!J1251</f>
        <v>35</v>
      </c>
      <c r="M1251" s="5">
        <f>IF(COUNTIFS($A$2:A1251,A1251,$D$2:D1251,D1251)=1,L1251,0)</f>
        <v>0</v>
      </c>
      <c r="N1251" s="4">
        <f t="shared" si="98"/>
        <v>257.86914285714283</v>
      </c>
      <c r="O1251" t="str">
        <f t="shared" si="99"/>
        <v>OK</v>
      </c>
    </row>
    <row r="1252" spans="1:15">
      <c r="A1252" t="str">
        <f>'Raw Data'!A1252</f>
        <v>Phoenix RM-18</v>
      </c>
      <c r="B1252" t="str">
        <f>'Raw Data'!B1252</f>
        <v>West</v>
      </c>
      <c r="C1252" t="str">
        <f>'Raw Data'!C1252</f>
        <v>Apparel</v>
      </c>
      <c r="D1252" s="3">
        <f>'Raw Data'!D1252</f>
        <v>45778</v>
      </c>
      <c r="E1252" t="str">
        <f t="shared" si="95"/>
        <v>May</v>
      </c>
      <c r="F1252" s="5">
        <f>'Raw Data'!E1252</f>
        <v>149</v>
      </c>
      <c r="G1252" s="4">
        <f>'Raw Data'!F1252</f>
        <v>7714.37</v>
      </c>
      <c r="H1252" s="4">
        <f>'Raw Data'!G1252</f>
        <v>4543.3599999999997</v>
      </c>
      <c r="I1252" s="4">
        <f t="shared" si="96"/>
        <v>3171.01</v>
      </c>
      <c r="J1252" s="8">
        <f t="shared" si="97"/>
        <v>0.41105236072420692</v>
      </c>
      <c r="K1252" s="6">
        <f>'Raw Data'!I1252</f>
        <v>3.93</v>
      </c>
      <c r="L1252" s="5">
        <f>'Raw Data'!J1252</f>
        <v>35</v>
      </c>
      <c r="M1252" s="5">
        <f>IF(COUNTIFS($A$2:A1252,A1252,$D$2:D1252,D1252)=1,L1252,0)</f>
        <v>0</v>
      </c>
      <c r="N1252" s="4">
        <f t="shared" si="98"/>
        <v>220.41057142857142</v>
      </c>
      <c r="O1252" t="str">
        <f t="shared" si="99"/>
        <v>OK</v>
      </c>
    </row>
    <row r="1253" spans="1:15">
      <c r="A1253" t="str">
        <f>'Raw Data'!A1253</f>
        <v>Phoenix RM-18</v>
      </c>
      <c r="B1253" t="str">
        <f>'Raw Data'!B1253</f>
        <v>West</v>
      </c>
      <c r="C1253" t="str">
        <f>'Raw Data'!C1253</f>
        <v>Beauty</v>
      </c>
      <c r="D1253" s="3">
        <f>'Raw Data'!D1253</f>
        <v>45778</v>
      </c>
      <c r="E1253" t="str">
        <f t="shared" si="95"/>
        <v>May</v>
      </c>
      <c r="F1253" s="5">
        <f>'Raw Data'!E1253</f>
        <v>138</v>
      </c>
      <c r="G1253" s="4">
        <f>'Raw Data'!F1253</f>
        <v>4959.16</v>
      </c>
      <c r="H1253" s="4">
        <f>'Raw Data'!G1253</f>
        <v>2393.9</v>
      </c>
      <c r="I1253" s="4">
        <f t="shared" si="96"/>
        <v>2565.2599999999998</v>
      </c>
      <c r="J1253" s="8">
        <f t="shared" si="97"/>
        <v>0.51727711951217537</v>
      </c>
      <c r="K1253" s="6">
        <f>'Raw Data'!I1253</f>
        <v>3.98</v>
      </c>
      <c r="L1253" s="5">
        <f>'Raw Data'!J1253</f>
        <v>35</v>
      </c>
      <c r="M1253" s="5">
        <f>IF(COUNTIFS($A$2:A1253,A1253,$D$2:D1253,D1253)=1,L1253,0)</f>
        <v>0</v>
      </c>
      <c r="N1253" s="4">
        <f t="shared" si="98"/>
        <v>141.69028571428572</v>
      </c>
      <c r="O1253" t="str">
        <f t="shared" si="99"/>
        <v>OK</v>
      </c>
    </row>
    <row r="1254" spans="1:15">
      <c r="A1254" t="str">
        <f>'Raw Data'!A1254</f>
        <v>Phoenix RM-18</v>
      </c>
      <c r="B1254" t="str">
        <f>'Raw Data'!B1254</f>
        <v>West</v>
      </c>
      <c r="C1254" t="str">
        <f>'Raw Data'!C1254</f>
        <v>Grocery</v>
      </c>
      <c r="D1254" s="3">
        <f>'Raw Data'!D1254</f>
        <v>45778</v>
      </c>
      <c r="E1254" t="str">
        <f t="shared" si="95"/>
        <v>May</v>
      </c>
      <c r="F1254" s="5">
        <f>'Raw Data'!E1254</f>
        <v>210</v>
      </c>
      <c r="G1254" s="4">
        <f>'Raw Data'!F1254</f>
        <v>3648.35</v>
      </c>
      <c r="H1254" s="4">
        <f>'Raw Data'!G1254</f>
        <v>3299.97</v>
      </c>
      <c r="I1254" s="4">
        <f t="shared" si="96"/>
        <v>348.38000000000011</v>
      </c>
      <c r="J1254" s="8">
        <f t="shared" si="97"/>
        <v>9.5489741938136447E-2</v>
      </c>
      <c r="K1254" s="6">
        <f>'Raw Data'!I1254</f>
        <v>3.87</v>
      </c>
      <c r="L1254" s="5">
        <f>'Raw Data'!J1254</f>
        <v>35</v>
      </c>
      <c r="M1254" s="5">
        <f>IF(COUNTIFS($A$2:A1254,A1254,$D$2:D1254,D1254)=1,L1254,0)</f>
        <v>0</v>
      </c>
      <c r="N1254" s="4">
        <f t="shared" si="98"/>
        <v>104.23857142857143</v>
      </c>
      <c r="O1254" t="str">
        <f t="shared" si="99"/>
        <v>OK</v>
      </c>
    </row>
    <row r="1255" spans="1:15">
      <c r="A1255" t="str">
        <f>'Raw Data'!A1255</f>
        <v>Phoenix RM-18</v>
      </c>
      <c r="B1255" t="str">
        <f>'Raw Data'!B1255</f>
        <v>West</v>
      </c>
      <c r="C1255" t="str">
        <f>'Raw Data'!C1255</f>
        <v>Sports</v>
      </c>
      <c r="D1255" s="3">
        <f>'Raw Data'!D1255</f>
        <v>45778</v>
      </c>
      <c r="E1255" t="str">
        <f t="shared" si="95"/>
        <v>May</v>
      </c>
      <c r="F1255" s="5">
        <f>'Raw Data'!E1255</f>
        <v>124</v>
      </c>
      <c r="G1255" s="4">
        <f>'Raw Data'!F1255</f>
        <v>7711.11</v>
      </c>
      <c r="H1255" s="4">
        <f>'Raw Data'!G1255</f>
        <v>4922.84</v>
      </c>
      <c r="I1255" s="4">
        <f t="shared" si="96"/>
        <v>2788.2699999999995</v>
      </c>
      <c r="J1255" s="8">
        <f t="shared" si="97"/>
        <v>0.36159126247712708</v>
      </c>
      <c r="K1255" s="6">
        <f>'Raw Data'!I1255</f>
        <v>3.77</v>
      </c>
      <c r="L1255" s="5">
        <f>'Raw Data'!J1255</f>
        <v>35</v>
      </c>
      <c r="M1255" s="5">
        <f>IF(COUNTIFS($A$2:A1255,A1255,$D$2:D1255,D1255)=1,L1255,0)</f>
        <v>0</v>
      </c>
      <c r="N1255" s="4">
        <f t="shared" si="98"/>
        <v>220.31742857142856</v>
      </c>
      <c r="O1255" t="str">
        <f t="shared" si="99"/>
        <v>OK</v>
      </c>
    </row>
    <row r="1256" spans="1:15">
      <c r="A1256" t="str">
        <f>'Raw Data'!A1256</f>
        <v>Phoenix RM-18</v>
      </c>
      <c r="B1256" t="str">
        <f>'Raw Data'!B1256</f>
        <v>West</v>
      </c>
      <c r="C1256" t="str">
        <f>'Raw Data'!C1256</f>
        <v>Electronics</v>
      </c>
      <c r="D1256" s="3">
        <f>'Raw Data'!D1256</f>
        <v>45809</v>
      </c>
      <c r="E1256" t="str">
        <f t="shared" si="95"/>
        <v>Jun</v>
      </c>
      <c r="F1256" s="5">
        <f>'Raw Data'!E1256</f>
        <v>129</v>
      </c>
      <c r="G1256" s="4">
        <f>'Raw Data'!F1256</f>
        <v>18202.68</v>
      </c>
      <c r="H1256" s="4">
        <f>'Raw Data'!G1256</f>
        <v>14199.56</v>
      </c>
      <c r="I1256" s="4">
        <f t="shared" si="96"/>
        <v>4003.1200000000008</v>
      </c>
      <c r="J1256" s="8">
        <f t="shared" si="97"/>
        <v>0.21991926463575698</v>
      </c>
      <c r="K1256" s="6">
        <f>'Raw Data'!I1256</f>
        <v>3.85</v>
      </c>
      <c r="L1256" s="5">
        <f>'Raw Data'!J1256</f>
        <v>35</v>
      </c>
      <c r="M1256" s="5">
        <f>IF(COUNTIFS($A$2:A1256,A1256,$D$2:D1256,D1256)=1,L1256,0)</f>
        <v>35</v>
      </c>
      <c r="N1256" s="4">
        <f t="shared" si="98"/>
        <v>520.07657142857147</v>
      </c>
      <c r="O1256" t="str">
        <f t="shared" si="99"/>
        <v>OK</v>
      </c>
    </row>
    <row r="1257" spans="1:15">
      <c r="A1257" t="str">
        <f>'Raw Data'!A1257</f>
        <v>Phoenix RM-18</v>
      </c>
      <c r="B1257" t="str">
        <f>'Raw Data'!B1257</f>
        <v>West</v>
      </c>
      <c r="C1257" t="str">
        <f>'Raw Data'!C1257</f>
        <v>Home Goods</v>
      </c>
      <c r="D1257" s="3">
        <f>'Raw Data'!D1257</f>
        <v>45809</v>
      </c>
      <c r="E1257" t="str">
        <f t="shared" si="95"/>
        <v>Jun</v>
      </c>
      <c r="F1257" s="5">
        <f>'Raw Data'!E1257</f>
        <v>126</v>
      </c>
      <c r="G1257" s="4">
        <f>'Raw Data'!F1257</f>
        <v>9733.65</v>
      </c>
      <c r="H1257" s="4">
        <f>'Raw Data'!G1257</f>
        <v>6469.49</v>
      </c>
      <c r="I1257" s="4">
        <f t="shared" si="96"/>
        <v>3264.16</v>
      </c>
      <c r="J1257" s="8">
        <f t="shared" si="97"/>
        <v>0.3353479938152697</v>
      </c>
      <c r="K1257" s="6">
        <f>'Raw Data'!I1257</f>
        <v>4.05</v>
      </c>
      <c r="L1257" s="5">
        <f>'Raw Data'!J1257</f>
        <v>35</v>
      </c>
      <c r="M1257" s="5">
        <f>IF(COUNTIFS($A$2:A1257,A1257,$D$2:D1257,D1257)=1,L1257,0)</f>
        <v>0</v>
      </c>
      <c r="N1257" s="4">
        <f t="shared" si="98"/>
        <v>278.10428571428571</v>
      </c>
      <c r="O1257" t="str">
        <f t="shared" si="99"/>
        <v>OK</v>
      </c>
    </row>
    <row r="1258" spans="1:15">
      <c r="A1258" t="str">
        <f>'Raw Data'!A1258</f>
        <v>Phoenix RM-18</v>
      </c>
      <c r="B1258" t="str">
        <f>'Raw Data'!B1258</f>
        <v>West</v>
      </c>
      <c r="C1258" t="str">
        <f>'Raw Data'!C1258</f>
        <v>Apparel</v>
      </c>
      <c r="D1258" s="3">
        <f>'Raw Data'!D1258</f>
        <v>45809</v>
      </c>
      <c r="E1258" t="str">
        <f t="shared" si="95"/>
        <v>Jun</v>
      </c>
      <c r="F1258" s="5">
        <f>'Raw Data'!E1258</f>
        <v>152</v>
      </c>
      <c r="G1258" s="4">
        <f>'Raw Data'!F1258</f>
        <v>6973.83</v>
      </c>
      <c r="H1258" s="4">
        <f>'Raw Data'!G1258</f>
        <v>4249.32</v>
      </c>
      <c r="I1258" s="4">
        <f t="shared" si="96"/>
        <v>2724.51</v>
      </c>
      <c r="J1258" s="8">
        <f t="shared" si="97"/>
        <v>0.39067628548444688</v>
      </c>
      <c r="K1258" s="6">
        <f>'Raw Data'!I1258</f>
        <v>3.95</v>
      </c>
      <c r="L1258" s="5">
        <f>'Raw Data'!J1258</f>
        <v>35</v>
      </c>
      <c r="M1258" s="5">
        <f>IF(COUNTIFS($A$2:A1258,A1258,$D$2:D1258,D1258)=1,L1258,0)</f>
        <v>0</v>
      </c>
      <c r="N1258" s="4">
        <f t="shared" si="98"/>
        <v>199.2522857142857</v>
      </c>
      <c r="O1258" t="str">
        <f t="shared" si="99"/>
        <v>OK</v>
      </c>
    </row>
    <row r="1259" spans="1:15">
      <c r="A1259" t="str">
        <f>'Raw Data'!A1259</f>
        <v>Phoenix RM-18</v>
      </c>
      <c r="B1259" t="str">
        <f>'Raw Data'!B1259</f>
        <v>West</v>
      </c>
      <c r="C1259" t="str">
        <f>'Raw Data'!C1259</f>
        <v>Beauty</v>
      </c>
      <c r="D1259" s="3">
        <f>'Raw Data'!D1259</f>
        <v>45809</v>
      </c>
      <c r="E1259" t="str">
        <f t="shared" si="95"/>
        <v>Jun</v>
      </c>
      <c r="F1259" s="5">
        <f>'Raw Data'!E1259</f>
        <v>135</v>
      </c>
      <c r="G1259" s="4">
        <f>'Raw Data'!F1259</f>
        <v>4665.08</v>
      </c>
      <c r="H1259" s="4">
        <f>'Raw Data'!G1259</f>
        <v>2317.61</v>
      </c>
      <c r="I1259" s="4">
        <f t="shared" si="96"/>
        <v>2347.4699999999998</v>
      </c>
      <c r="J1259" s="8">
        <f t="shared" si="97"/>
        <v>0.50320037384139171</v>
      </c>
      <c r="K1259" s="6">
        <f>'Raw Data'!I1259</f>
        <v>4.05</v>
      </c>
      <c r="L1259" s="5">
        <f>'Raw Data'!J1259</f>
        <v>35</v>
      </c>
      <c r="M1259" s="5">
        <f>IF(COUNTIFS($A$2:A1259,A1259,$D$2:D1259,D1259)=1,L1259,0)</f>
        <v>0</v>
      </c>
      <c r="N1259" s="4">
        <f t="shared" si="98"/>
        <v>133.28800000000001</v>
      </c>
      <c r="O1259" t="str">
        <f t="shared" si="99"/>
        <v>OK</v>
      </c>
    </row>
    <row r="1260" spans="1:15">
      <c r="A1260" t="str">
        <f>'Raw Data'!A1260</f>
        <v>Phoenix RM-18</v>
      </c>
      <c r="B1260" t="str">
        <f>'Raw Data'!B1260</f>
        <v>West</v>
      </c>
      <c r="C1260" t="str">
        <f>'Raw Data'!C1260</f>
        <v>Grocery</v>
      </c>
      <c r="D1260" s="3">
        <f>'Raw Data'!D1260</f>
        <v>45809</v>
      </c>
      <c r="E1260" t="str">
        <f t="shared" si="95"/>
        <v>Jun</v>
      </c>
      <c r="F1260" s="5">
        <f>'Raw Data'!E1260</f>
        <v>270</v>
      </c>
      <c r="G1260" s="4">
        <f>'Raw Data'!F1260</f>
        <v>4884.74</v>
      </c>
      <c r="H1260" s="4">
        <f>'Raw Data'!G1260</f>
        <v>4332.63</v>
      </c>
      <c r="I1260" s="4">
        <f t="shared" si="96"/>
        <v>552.10999999999967</v>
      </c>
      <c r="J1260" s="8">
        <f t="shared" si="97"/>
        <v>0.11302751016430755</v>
      </c>
      <c r="K1260" s="6">
        <f>'Raw Data'!I1260</f>
        <v>3.99</v>
      </c>
      <c r="L1260" s="5">
        <f>'Raw Data'!J1260</f>
        <v>35</v>
      </c>
      <c r="M1260" s="5">
        <f>IF(COUNTIFS($A$2:A1260,A1260,$D$2:D1260,D1260)=1,L1260,0)</f>
        <v>0</v>
      </c>
      <c r="N1260" s="4">
        <f t="shared" si="98"/>
        <v>139.56399999999999</v>
      </c>
      <c r="O1260" t="str">
        <f t="shared" si="99"/>
        <v>OK</v>
      </c>
    </row>
    <row r="1261" spans="1:15">
      <c r="A1261" t="str">
        <f>'Raw Data'!A1261</f>
        <v>Phoenix RM-18</v>
      </c>
      <c r="B1261" t="str">
        <f>'Raw Data'!B1261</f>
        <v>West</v>
      </c>
      <c r="C1261" t="str">
        <f>'Raw Data'!C1261</f>
        <v>Sports</v>
      </c>
      <c r="D1261" s="3">
        <f>'Raw Data'!D1261</f>
        <v>45809</v>
      </c>
      <c r="E1261" t="str">
        <f t="shared" si="95"/>
        <v>Jun</v>
      </c>
      <c r="F1261" s="5">
        <f>'Raw Data'!E1261</f>
        <v>135</v>
      </c>
      <c r="G1261" s="4">
        <f>'Raw Data'!F1261</f>
        <v>7971.44</v>
      </c>
      <c r="H1261" s="4">
        <f>'Raw Data'!G1261</f>
        <v>5172.87</v>
      </c>
      <c r="I1261" s="4">
        <f t="shared" si="96"/>
        <v>2798.5699999999997</v>
      </c>
      <c r="J1261" s="8">
        <f t="shared" si="97"/>
        <v>0.35107458627299459</v>
      </c>
      <c r="K1261" s="6">
        <f>'Raw Data'!I1261</f>
        <v>3.97</v>
      </c>
      <c r="L1261" s="5">
        <f>'Raw Data'!J1261</f>
        <v>35</v>
      </c>
      <c r="M1261" s="5">
        <f>IF(COUNTIFS($A$2:A1261,A1261,$D$2:D1261,D1261)=1,L1261,0)</f>
        <v>0</v>
      </c>
      <c r="N1261" s="4">
        <f t="shared" si="98"/>
        <v>227.75542857142855</v>
      </c>
      <c r="O1261" t="str">
        <f t="shared" si="99"/>
        <v>OK</v>
      </c>
    </row>
    <row r="1262" spans="1:15">
      <c r="A1262" t="str">
        <f>'Raw Data'!A1262</f>
        <v>Phoenix RM-18</v>
      </c>
      <c r="B1262" t="str">
        <f>'Raw Data'!B1262</f>
        <v>West</v>
      </c>
      <c r="C1262" t="str">
        <f>'Raw Data'!C1262</f>
        <v>Electronics</v>
      </c>
      <c r="D1262" s="3">
        <f>'Raw Data'!D1262</f>
        <v>45839</v>
      </c>
      <c r="E1262" t="str">
        <f t="shared" si="95"/>
        <v>Jul</v>
      </c>
      <c r="F1262" s="5">
        <f>'Raw Data'!E1262</f>
        <v>151</v>
      </c>
      <c r="G1262" s="4">
        <f>'Raw Data'!F1262</f>
        <v>22358.04</v>
      </c>
      <c r="H1262" s="4">
        <f>'Raw Data'!G1262</f>
        <v>17692.599999999999</v>
      </c>
      <c r="I1262" s="4">
        <f t="shared" si="96"/>
        <v>4665.4400000000023</v>
      </c>
      <c r="J1262" s="8">
        <f t="shared" si="97"/>
        <v>0.20866945403085432</v>
      </c>
      <c r="K1262" s="6">
        <f>'Raw Data'!I1262</f>
        <v>4.0199999999999996</v>
      </c>
      <c r="L1262" s="5">
        <f>'Raw Data'!J1262</f>
        <v>35</v>
      </c>
      <c r="M1262" s="5">
        <f>IF(COUNTIFS($A$2:A1262,A1262,$D$2:D1262,D1262)=1,L1262,0)</f>
        <v>35</v>
      </c>
      <c r="N1262" s="4">
        <f t="shared" si="98"/>
        <v>638.80114285714285</v>
      </c>
      <c r="O1262" t="str">
        <f t="shared" si="99"/>
        <v>OK</v>
      </c>
    </row>
    <row r="1263" spans="1:15">
      <c r="A1263" t="str">
        <f>'Raw Data'!A1263</f>
        <v>Phoenix RM-18</v>
      </c>
      <c r="B1263" t="str">
        <f>'Raw Data'!B1263</f>
        <v>West</v>
      </c>
      <c r="C1263" t="str">
        <f>'Raw Data'!C1263</f>
        <v>Home Goods</v>
      </c>
      <c r="D1263" s="3">
        <f>'Raw Data'!D1263</f>
        <v>45839</v>
      </c>
      <c r="E1263" t="str">
        <f t="shared" si="95"/>
        <v>Jul</v>
      </c>
      <c r="F1263" s="5">
        <f>'Raw Data'!E1263</f>
        <v>129</v>
      </c>
      <c r="G1263" s="4">
        <f>'Raw Data'!F1263</f>
        <v>9950.1299999999992</v>
      </c>
      <c r="H1263" s="4">
        <f>'Raw Data'!G1263</f>
        <v>6528.85</v>
      </c>
      <c r="I1263" s="4">
        <f t="shared" si="96"/>
        <v>3421.2799999999988</v>
      </c>
      <c r="J1263" s="8">
        <f t="shared" si="97"/>
        <v>0.34384274376314672</v>
      </c>
      <c r="K1263" s="6">
        <f>'Raw Data'!I1263</f>
        <v>3.86</v>
      </c>
      <c r="L1263" s="5">
        <f>'Raw Data'!J1263</f>
        <v>35</v>
      </c>
      <c r="M1263" s="5">
        <f>IF(COUNTIFS($A$2:A1263,A1263,$D$2:D1263,D1263)=1,L1263,0)</f>
        <v>0</v>
      </c>
      <c r="N1263" s="4">
        <f t="shared" si="98"/>
        <v>284.28942857142857</v>
      </c>
      <c r="O1263" t="str">
        <f t="shared" si="99"/>
        <v>OK</v>
      </c>
    </row>
    <row r="1264" spans="1:15">
      <c r="A1264" t="str">
        <f>'Raw Data'!A1264</f>
        <v>Phoenix RM-18</v>
      </c>
      <c r="B1264" t="str">
        <f>'Raw Data'!B1264</f>
        <v>West</v>
      </c>
      <c r="C1264" t="str">
        <f>'Raw Data'!C1264</f>
        <v>Apparel</v>
      </c>
      <c r="D1264" s="3">
        <f>'Raw Data'!D1264</f>
        <v>45839</v>
      </c>
      <c r="E1264" t="str">
        <f t="shared" si="95"/>
        <v>Jul</v>
      </c>
      <c r="F1264" s="5">
        <f>'Raw Data'!E1264</f>
        <v>195</v>
      </c>
      <c r="G1264" s="4">
        <f>'Raw Data'!F1264</f>
        <v>9232.82</v>
      </c>
      <c r="H1264" s="4">
        <f>'Raw Data'!G1264</f>
        <v>5637.22</v>
      </c>
      <c r="I1264" s="4">
        <f t="shared" si="96"/>
        <v>3595.5999999999995</v>
      </c>
      <c r="J1264" s="8">
        <f t="shared" si="97"/>
        <v>0.38943681345461079</v>
      </c>
      <c r="K1264" s="6">
        <f>'Raw Data'!I1264</f>
        <v>4.05</v>
      </c>
      <c r="L1264" s="5">
        <f>'Raw Data'!J1264</f>
        <v>35</v>
      </c>
      <c r="M1264" s="5">
        <f>IF(COUNTIFS($A$2:A1264,A1264,$D$2:D1264,D1264)=1,L1264,0)</f>
        <v>0</v>
      </c>
      <c r="N1264" s="4">
        <f t="shared" si="98"/>
        <v>263.79485714285715</v>
      </c>
      <c r="O1264" t="str">
        <f t="shared" si="99"/>
        <v>OK</v>
      </c>
    </row>
    <row r="1265" spans="1:15">
      <c r="A1265" t="str">
        <f>'Raw Data'!A1265</f>
        <v>Phoenix RM-18</v>
      </c>
      <c r="B1265" t="str">
        <f>'Raw Data'!B1265</f>
        <v>West</v>
      </c>
      <c r="C1265" t="str">
        <f>'Raw Data'!C1265</f>
        <v>Beauty</v>
      </c>
      <c r="D1265" s="3">
        <f>'Raw Data'!D1265</f>
        <v>45839</v>
      </c>
      <c r="E1265" t="str">
        <f t="shared" si="95"/>
        <v>Jul</v>
      </c>
      <c r="F1265" s="5">
        <f>'Raw Data'!E1265</f>
        <v>141</v>
      </c>
      <c r="G1265" s="4">
        <f>'Raw Data'!F1265</f>
        <v>4980.8100000000004</v>
      </c>
      <c r="H1265" s="4">
        <f>'Raw Data'!G1265</f>
        <v>2421.1999999999998</v>
      </c>
      <c r="I1265" s="4">
        <f t="shared" si="96"/>
        <v>2559.6100000000006</v>
      </c>
      <c r="J1265" s="8">
        <f t="shared" si="97"/>
        <v>0.51389432642481858</v>
      </c>
      <c r="K1265" s="6">
        <f>'Raw Data'!I1265</f>
        <v>3.95</v>
      </c>
      <c r="L1265" s="5">
        <f>'Raw Data'!J1265</f>
        <v>35</v>
      </c>
      <c r="M1265" s="5">
        <f>IF(COUNTIFS($A$2:A1265,A1265,$D$2:D1265,D1265)=1,L1265,0)</f>
        <v>0</v>
      </c>
      <c r="N1265" s="4">
        <f t="shared" si="98"/>
        <v>142.30885714285716</v>
      </c>
      <c r="O1265" t="str">
        <f t="shared" si="99"/>
        <v>OK</v>
      </c>
    </row>
    <row r="1266" spans="1:15">
      <c r="A1266" t="str">
        <f>'Raw Data'!A1266</f>
        <v>Phoenix RM-18</v>
      </c>
      <c r="B1266" t="str">
        <f>'Raw Data'!B1266</f>
        <v>West</v>
      </c>
      <c r="C1266" t="str">
        <f>'Raw Data'!C1266</f>
        <v>Grocery</v>
      </c>
      <c r="D1266" s="3">
        <f>'Raw Data'!D1266</f>
        <v>45839</v>
      </c>
      <c r="E1266" t="str">
        <f t="shared" si="95"/>
        <v>Jul</v>
      </c>
      <c r="F1266" s="5">
        <f>'Raw Data'!E1266</f>
        <v>233</v>
      </c>
      <c r="G1266" s="4">
        <f>'Raw Data'!F1266</f>
        <v>4403.29</v>
      </c>
      <c r="H1266" s="4">
        <f>'Raw Data'!G1266</f>
        <v>3975.44</v>
      </c>
      <c r="I1266" s="4">
        <f t="shared" si="96"/>
        <v>427.84999999999991</v>
      </c>
      <c r="J1266" s="8">
        <f t="shared" si="97"/>
        <v>9.7165982708383933E-2</v>
      </c>
      <c r="K1266" s="6">
        <f>'Raw Data'!I1266</f>
        <v>3.89</v>
      </c>
      <c r="L1266" s="5">
        <f>'Raw Data'!J1266</f>
        <v>35</v>
      </c>
      <c r="M1266" s="5">
        <f>IF(COUNTIFS($A$2:A1266,A1266,$D$2:D1266,D1266)=1,L1266,0)</f>
        <v>0</v>
      </c>
      <c r="N1266" s="4">
        <f t="shared" si="98"/>
        <v>125.80828571428572</v>
      </c>
      <c r="O1266" t="str">
        <f t="shared" si="99"/>
        <v>OK</v>
      </c>
    </row>
    <row r="1267" spans="1:15">
      <c r="A1267" t="str">
        <f>'Raw Data'!A1267</f>
        <v>Phoenix RM-18</v>
      </c>
      <c r="B1267" t="str">
        <f>'Raw Data'!B1267</f>
        <v>West</v>
      </c>
      <c r="C1267" t="str">
        <f>'Raw Data'!C1267</f>
        <v>Sports</v>
      </c>
      <c r="D1267" s="3">
        <f>'Raw Data'!D1267</f>
        <v>45839</v>
      </c>
      <c r="E1267" t="str">
        <f t="shared" si="95"/>
        <v>Jul</v>
      </c>
      <c r="F1267" s="5">
        <f>'Raw Data'!E1267</f>
        <v>138</v>
      </c>
      <c r="G1267" s="4">
        <f>'Raw Data'!F1267</f>
        <v>8735.16</v>
      </c>
      <c r="H1267" s="4">
        <f>'Raw Data'!G1267</f>
        <v>5755.32</v>
      </c>
      <c r="I1267" s="4">
        <f t="shared" si="96"/>
        <v>2979.84</v>
      </c>
      <c r="J1267" s="8">
        <f t="shared" si="97"/>
        <v>0.34113170222411499</v>
      </c>
      <c r="K1267" s="6">
        <f>'Raw Data'!I1267</f>
        <v>3.93</v>
      </c>
      <c r="L1267" s="5">
        <f>'Raw Data'!J1267</f>
        <v>35</v>
      </c>
      <c r="M1267" s="5">
        <f>IF(COUNTIFS($A$2:A1267,A1267,$D$2:D1267,D1267)=1,L1267,0)</f>
        <v>0</v>
      </c>
      <c r="N1267" s="4">
        <f t="shared" si="98"/>
        <v>249.57599999999999</v>
      </c>
      <c r="O1267" t="str">
        <f t="shared" si="99"/>
        <v>OK</v>
      </c>
    </row>
    <row r="1268" spans="1:15">
      <c r="A1268" t="str">
        <f>'Raw Data'!A1268</f>
        <v>Phoenix RM-18</v>
      </c>
      <c r="B1268" t="str">
        <f>'Raw Data'!B1268</f>
        <v>West</v>
      </c>
      <c r="C1268" t="str">
        <f>'Raw Data'!C1268</f>
        <v>Electronics</v>
      </c>
      <c r="D1268" s="3">
        <f>'Raw Data'!D1268</f>
        <v>45870</v>
      </c>
      <c r="E1268" t="str">
        <f t="shared" si="95"/>
        <v>Aug</v>
      </c>
      <c r="F1268" s="5">
        <f>'Raw Data'!E1268</f>
        <v>155</v>
      </c>
      <c r="G1268" s="4">
        <f>'Raw Data'!F1268</f>
        <v>22028.97</v>
      </c>
      <c r="H1268" s="4">
        <f>'Raw Data'!G1268</f>
        <v>17009.91</v>
      </c>
      <c r="I1268" s="4">
        <f t="shared" si="96"/>
        <v>5019.0600000000013</v>
      </c>
      <c r="J1268" s="8">
        <f t="shared" si="97"/>
        <v>0.22783906828144943</v>
      </c>
      <c r="K1268" s="6">
        <f>'Raw Data'!I1268</f>
        <v>3.88</v>
      </c>
      <c r="L1268" s="5">
        <f>'Raw Data'!J1268</f>
        <v>36</v>
      </c>
      <c r="M1268" s="5">
        <f>IF(COUNTIFS($A$2:A1268,A1268,$D$2:D1268,D1268)=1,L1268,0)</f>
        <v>36</v>
      </c>
      <c r="N1268" s="4">
        <f t="shared" si="98"/>
        <v>611.91583333333335</v>
      </c>
      <c r="O1268" t="str">
        <f t="shared" si="99"/>
        <v>OK</v>
      </c>
    </row>
    <row r="1269" spans="1:15">
      <c r="A1269" t="str">
        <f>'Raw Data'!A1269</f>
        <v>Phoenix RM-18</v>
      </c>
      <c r="B1269" t="str">
        <f>'Raw Data'!B1269</f>
        <v>West</v>
      </c>
      <c r="C1269" t="str">
        <f>'Raw Data'!C1269</f>
        <v>Home Goods</v>
      </c>
      <c r="D1269" s="3">
        <f>'Raw Data'!D1269</f>
        <v>45870</v>
      </c>
      <c r="E1269" t="str">
        <f t="shared" si="95"/>
        <v>Aug</v>
      </c>
      <c r="F1269" s="5">
        <f>'Raw Data'!E1269</f>
        <v>121</v>
      </c>
      <c r="G1269" s="4">
        <f>'Raw Data'!F1269</f>
        <v>9740.42</v>
      </c>
      <c r="H1269" s="4">
        <f>'Raw Data'!G1269</f>
        <v>6554.43</v>
      </c>
      <c r="I1269" s="4">
        <f t="shared" si="96"/>
        <v>3185.99</v>
      </c>
      <c r="J1269" s="8">
        <f t="shared" si="97"/>
        <v>0.32708959161925255</v>
      </c>
      <c r="K1269" s="6">
        <f>'Raw Data'!I1269</f>
        <v>3.75</v>
      </c>
      <c r="L1269" s="5">
        <f>'Raw Data'!J1269</f>
        <v>36</v>
      </c>
      <c r="M1269" s="5">
        <f>IF(COUNTIFS($A$2:A1269,A1269,$D$2:D1269,D1269)=1,L1269,0)</f>
        <v>0</v>
      </c>
      <c r="N1269" s="4">
        <f t="shared" si="98"/>
        <v>270.5672222222222</v>
      </c>
      <c r="O1269" t="str">
        <f t="shared" si="99"/>
        <v>OK</v>
      </c>
    </row>
    <row r="1270" spans="1:15">
      <c r="A1270" t="str">
        <f>'Raw Data'!A1270</f>
        <v>Phoenix RM-18</v>
      </c>
      <c r="B1270" t="str">
        <f>'Raw Data'!B1270</f>
        <v>West</v>
      </c>
      <c r="C1270" t="str">
        <f>'Raw Data'!C1270</f>
        <v>Apparel</v>
      </c>
      <c r="D1270" s="3">
        <f>'Raw Data'!D1270</f>
        <v>45870</v>
      </c>
      <c r="E1270" t="str">
        <f t="shared" si="95"/>
        <v>Aug</v>
      </c>
      <c r="F1270" s="5">
        <f>'Raw Data'!E1270</f>
        <v>196</v>
      </c>
      <c r="G1270" s="4">
        <f>'Raw Data'!F1270</f>
        <v>8862.23</v>
      </c>
      <c r="H1270" s="4">
        <f>'Raw Data'!G1270</f>
        <v>5383.83</v>
      </c>
      <c r="I1270" s="4">
        <f t="shared" si="96"/>
        <v>3478.3999999999996</v>
      </c>
      <c r="J1270" s="8">
        <f t="shared" si="97"/>
        <v>0.39249714800902252</v>
      </c>
      <c r="K1270" s="6">
        <f>'Raw Data'!I1270</f>
        <v>3.76</v>
      </c>
      <c r="L1270" s="5">
        <f>'Raw Data'!J1270</f>
        <v>36</v>
      </c>
      <c r="M1270" s="5">
        <f>IF(COUNTIFS($A$2:A1270,A1270,$D$2:D1270,D1270)=1,L1270,0)</f>
        <v>0</v>
      </c>
      <c r="N1270" s="4">
        <f t="shared" si="98"/>
        <v>246.17305555555555</v>
      </c>
      <c r="O1270" t="str">
        <f t="shared" si="99"/>
        <v>OK</v>
      </c>
    </row>
    <row r="1271" spans="1:15">
      <c r="A1271" t="str">
        <f>'Raw Data'!A1271</f>
        <v>Phoenix RM-18</v>
      </c>
      <c r="B1271" t="str">
        <f>'Raw Data'!B1271</f>
        <v>West</v>
      </c>
      <c r="C1271" t="str">
        <f>'Raw Data'!C1271</f>
        <v>Beauty</v>
      </c>
      <c r="D1271" s="3">
        <f>'Raw Data'!D1271</f>
        <v>45870</v>
      </c>
      <c r="E1271" t="str">
        <f t="shared" si="95"/>
        <v>Aug</v>
      </c>
      <c r="F1271" s="5">
        <f>'Raw Data'!E1271</f>
        <v>164</v>
      </c>
      <c r="G1271" s="4">
        <f>'Raw Data'!F1271</f>
        <v>6038.89</v>
      </c>
      <c r="H1271" s="4">
        <f>'Raw Data'!G1271</f>
        <v>2968.07</v>
      </c>
      <c r="I1271" s="4">
        <f t="shared" si="96"/>
        <v>3070.82</v>
      </c>
      <c r="J1271" s="8">
        <f t="shared" si="97"/>
        <v>0.50850735814032044</v>
      </c>
      <c r="K1271" s="6">
        <f>'Raw Data'!I1271</f>
        <v>3.86</v>
      </c>
      <c r="L1271" s="5">
        <f>'Raw Data'!J1271</f>
        <v>36</v>
      </c>
      <c r="M1271" s="5">
        <f>IF(COUNTIFS($A$2:A1271,A1271,$D$2:D1271,D1271)=1,L1271,0)</f>
        <v>0</v>
      </c>
      <c r="N1271" s="4">
        <f t="shared" si="98"/>
        <v>167.74694444444447</v>
      </c>
      <c r="O1271" t="str">
        <f t="shared" si="99"/>
        <v>OK</v>
      </c>
    </row>
    <row r="1272" spans="1:15">
      <c r="A1272" t="str">
        <f>'Raw Data'!A1272</f>
        <v>Phoenix RM-18</v>
      </c>
      <c r="B1272" t="str">
        <f>'Raw Data'!B1272</f>
        <v>West</v>
      </c>
      <c r="C1272" t="str">
        <f>'Raw Data'!C1272</f>
        <v>Grocery</v>
      </c>
      <c r="D1272" s="3">
        <f>'Raw Data'!D1272</f>
        <v>45870</v>
      </c>
      <c r="E1272" t="str">
        <f t="shared" si="95"/>
        <v>Aug</v>
      </c>
      <c r="F1272" s="5">
        <f>'Raw Data'!E1272</f>
        <v>240</v>
      </c>
      <c r="G1272" s="4">
        <f>'Raw Data'!F1272</f>
        <v>4484.63</v>
      </c>
      <c r="H1272" s="4">
        <f>'Raw Data'!G1272</f>
        <v>4131.09</v>
      </c>
      <c r="I1272" s="4">
        <f t="shared" si="96"/>
        <v>353.53999999999996</v>
      </c>
      <c r="J1272" s="8">
        <f t="shared" si="97"/>
        <v>7.8833705344699551E-2</v>
      </c>
      <c r="K1272" s="6">
        <f>'Raw Data'!I1272</f>
        <v>3.96</v>
      </c>
      <c r="L1272" s="5">
        <f>'Raw Data'!J1272</f>
        <v>36</v>
      </c>
      <c r="M1272" s="5">
        <f>IF(COUNTIFS($A$2:A1272,A1272,$D$2:D1272,D1272)=1,L1272,0)</f>
        <v>0</v>
      </c>
      <c r="N1272" s="4">
        <f t="shared" si="98"/>
        <v>124.57305555555556</v>
      </c>
      <c r="O1272" t="str">
        <f t="shared" si="99"/>
        <v>OK</v>
      </c>
    </row>
    <row r="1273" spans="1:15">
      <c r="A1273" t="str">
        <f>'Raw Data'!A1273</f>
        <v>Phoenix RM-18</v>
      </c>
      <c r="B1273" t="str">
        <f>'Raw Data'!B1273</f>
        <v>West</v>
      </c>
      <c r="C1273" t="str">
        <f>'Raw Data'!C1273</f>
        <v>Sports</v>
      </c>
      <c r="D1273" s="3">
        <f>'Raw Data'!D1273</f>
        <v>45870</v>
      </c>
      <c r="E1273" t="str">
        <f t="shared" si="95"/>
        <v>Aug</v>
      </c>
      <c r="F1273" s="5">
        <f>'Raw Data'!E1273</f>
        <v>129</v>
      </c>
      <c r="G1273" s="4">
        <f>'Raw Data'!F1273</f>
        <v>8483.33</v>
      </c>
      <c r="H1273" s="4">
        <f>'Raw Data'!G1273</f>
        <v>5563.01</v>
      </c>
      <c r="I1273" s="4">
        <f t="shared" si="96"/>
        <v>2920.3199999999997</v>
      </c>
      <c r="J1273" s="8">
        <f t="shared" si="97"/>
        <v>0.34424217848415656</v>
      </c>
      <c r="K1273" s="6">
        <f>'Raw Data'!I1273</f>
        <v>3.73</v>
      </c>
      <c r="L1273" s="5">
        <f>'Raw Data'!J1273</f>
        <v>36</v>
      </c>
      <c r="M1273" s="5">
        <f>IF(COUNTIFS($A$2:A1273,A1273,$D$2:D1273,D1273)=1,L1273,0)</f>
        <v>0</v>
      </c>
      <c r="N1273" s="4">
        <f t="shared" si="98"/>
        <v>235.64805555555554</v>
      </c>
      <c r="O1273" t="str">
        <f t="shared" si="99"/>
        <v>OK</v>
      </c>
    </row>
    <row r="1274" spans="1:15">
      <c r="A1274" t="str">
        <f>'Raw Data'!A1274</f>
        <v>Phoenix RM-18</v>
      </c>
      <c r="B1274" t="str">
        <f>'Raw Data'!B1274</f>
        <v>West</v>
      </c>
      <c r="C1274" t="str">
        <f>'Raw Data'!C1274</f>
        <v>Electronics</v>
      </c>
      <c r="D1274" s="3">
        <f>'Raw Data'!D1274</f>
        <v>45901</v>
      </c>
      <c r="E1274" t="str">
        <f t="shared" si="95"/>
        <v>Sep</v>
      </c>
      <c r="F1274" s="5">
        <f>'Raw Data'!E1274</f>
        <v>126</v>
      </c>
      <c r="G1274" s="4">
        <f>'Raw Data'!F1274</f>
        <v>19316.25</v>
      </c>
      <c r="H1274" s="4">
        <f>'Raw Data'!G1274</f>
        <v>15648.14</v>
      </c>
      <c r="I1274" s="4">
        <f t="shared" si="96"/>
        <v>3668.1100000000006</v>
      </c>
      <c r="J1274" s="8">
        <f t="shared" si="97"/>
        <v>0.18989762505662333</v>
      </c>
      <c r="K1274" s="6">
        <f>'Raw Data'!I1274</f>
        <v>3.85</v>
      </c>
      <c r="L1274" s="5">
        <f>'Raw Data'!J1274</f>
        <v>35</v>
      </c>
      <c r="M1274" s="5">
        <f>IF(COUNTIFS($A$2:A1274,A1274,$D$2:D1274,D1274)=1,L1274,0)</f>
        <v>35</v>
      </c>
      <c r="N1274" s="4">
        <f t="shared" si="98"/>
        <v>551.89285714285711</v>
      </c>
      <c r="O1274" t="str">
        <f t="shared" si="99"/>
        <v>OK</v>
      </c>
    </row>
    <row r="1275" spans="1:15">
      <c r="A1275" t="str">
        <f>'Raw Data'!A1275</f>
        <v>Phoenix RM-18</v>
      </c>
      <c r="B1275" t="str">
        <f>'Raw Data'!B1275</f>
        <v>West</v>
      </c>
      <c r="C1275" t="str">
        <f>'Raw Data'!C1275</f>
        <v>Home Goods</v>
      </c>
      <c r="D1275" s="3">
        <f>'Raw Data'!D1275</f>
        <v>45901</v>
      </c>
      <c r="E1275" t="str">
        <f t="shared" si="95"/>
        <v>Sep</v>
      </c>
      <c r="F1275" s="5">
        <f>'Raw Data'!E1275</f>
        <v>119</v>
      </c>
      <c r="G1275" s="4">
        <f>'Raw Data'!F1275</f>
        <v>8986.51</v>
      </c>
      <c r="H1275" s="4">
        <f>'Raw Data'!G1275</f>
        <v>6242.32</v>
      </c>
      <c r="I1275" s="4">
        <f t="shared" si="96"/>
        <v>2744.1900000000005</v>
      </c>
      <c r="J1275" s="8">
        <f t="shared" si="97"/>
        <v>0.30536771227094839</v>
      </c>
      <c r="K1275" s="6">
        <f>'Raw Data'!I1275</f>
        <v>3.96</v>
      </c>
      <c r="L1275" s="5">
        <f>'Raw Data'!J1275</f>
        <v>35</v>
      </c>
      <c r="M1275" s="5">
        <f>IF(COUNTIFS($A$2:A1275,A1275,$D$2:D1275,D1275)=1,L1275,0)</f>
        <v>0</v>
      </c>
      <c r="N1275" s="4">
        <f t="shared" si="98"/>
        <v>256.75742857142859</v>
      </c>
      <c r="O1275" t="str">
        <f t="shared" si="99"/>
        <v>OK</v>
      </c>
    </row>
    <row r="1276" spans="1:15">
      <c r="A1276" t="str">
        <f>'Raw Data'!A1276</f>
        <v>Phoenix RM-18</v>
      </c>
      <c r="B1276" t="str">
        <f>'Raw Data'!B1276</f>
        <v>West</v>
      </c>
      <c r="C1276" t="str">
        <f>'Raw Data'!C1276</f>
        <v>Apparel</v>
      </c>
      <c r="D1276" s="3">
        <f>'Raw Data'!D1276</f>
        <v>45901</v>
      </c>
      <c r="E1276" t="str">
        <f t="shared" si="95"/>
        <v>Sep</v>
      </c>
      <c r="F1276" s="5">
        <f>'Raw Data'!E1276</f>
        <v>172</v>
      </c>
      <c r="G1276" s="4">
        <f>'Raw Data'!F1276</f>
        <v>8733.66</v>
      </c>
      <c r="H1276" s="4">
        <f>'Raw Data'!G1276</f>
        <v>5338.08</v>
      </c>
      <c r="I1276" s="4">
        <f t="shared" si="96"/>
        <v>3395.58</v>
      </c>
      <c r="J1276" s="8">
        <f t="shared" si="97"/>
        <v>0.38879232761522659</v>
      </c>
      <c r="K1276" s="6">
        <f>'Raw Data'!I1276</f>
        <v>3.79</v>
      </c>
      <c r="L1276" s="5">
        <f>'Raw Data'!J1276</f>
        <v>35</v>
      </c>
      <c r="M1276" s="5">
        <f>IF(COUNTIFS($A$2:A1276,A1276,$D$2:D1276,D1276)=1,L1276,0)</f>
        <v>0</v>
      </c>
      <c r="N1276" s="4">
        <f t="shared" si="98"/>
        <v>249.53314285714285</v>
      </c>
      <c r="O1276" t="str">
        <f t="shared" si="99"/>
        <v>OK</v>
      </c>
    </row>
    <row r="1277" spans="1:15">
      <c r="A1277" t="str">
        <f>'Raw Data'!A1277</f>
        <v>Phoenix RM-18</v>
      </c>
      <c r="B1277" t="str">
        <f>'Raw Data'!B1277</f>
        <v>West</v>
      </c>
      <c r="C1277" t="str">
        <f>'Raw Data'!C1277</f>
        <v>Beauty</v>
      </c>
      <c r="D1277" s="3">
        <f>'Raw Data'!D1277</f>
        <v>45901</v>
      </c>
      <c r="E1277" t="str">
        <f t="shared" si="95"/>
        <v>Sep</v>
      </c>
      <c r="F1277" s="5">
        <f>'Raw Data'!E1277</f>
        <v>148</v>
      </c>
      <c r="G1277" s="4">
        <f>'Raw Data'!F1277</f>
        <v>5619.62</v>
      </c>
      <c r="H1277" s="4">
        <f>'Raw Data'!G1277</f>
        <v>2778.12</v>
      </c>
      <c r="I1277" s="4">
        <f t="shared" si="96"/>
        <v>2841.5</v>
      </c>
      <c r="J1277" s="8">
        <f t="shared" si="97"/>
        <v>0.50563917133186942</v>
      </c>
      <c r="K1277" s="6">
        <f>'Raw Data'!I1277</f>
        <v>3.87</v>
      </c>
      <c r="L1277" s="5">
        <f>'Raw Data'!J1277</f>
        <v>35</v>
      </c>
      <c r="M1277" s="5">
        <f>IF(COUNTIFS($A$2:A1277,A1277,$D$2:D1277,D1277)=1,L1277,0)</f>
        <v>0</v>
      </c>
      <c r="N1277" s="4">
        <f t="shared" si="98"/>
        <v>160.56057142857142</v>
      </c>
      <c r="O1277" t="str">
        <f t="shared" si="99"/>
        <v>OK</v>
      </c>
    </row>
    <row r="1278" spans="1:15">
      <c r="A1278" t="str">
        <f>'Raw Data'!A1278</f>
        <v>Phoenix RM-18</v>
      </c>
      <c r="B1278" t="str">
        <f>'Raw Data'!B1278</f>
        <v>West</v>
      </c>
      <c r="C1278" t="str">
        <f>'Raw Data'!C1278</f>
        <v>Grocery</v>
      </c>
      <c r="D1278" s="3">
        <f>'Raw Data'!D1278</f>
        <v>45901</v>
      </c>
      <c r="E1278" t="str">
        <f t="shared" si="95"/>
        <v>Sep</v>
      </c>
      <c r="F1278" s="5">
        <f>'Raw Data'!E1278</f>
        <v>205</v>
      </c>
      <c r="G1278" s="4">
        <f>'Raw Data'!F1278</f>
        <v>3958.47</v>
      </c>
      <c r="H1278" s="4">
        <f>'Raw Data'!G1278</f>
        <v>3766.57</v>
      </c>
      <c r="I1278" s="4">
        <f t="shared" si="96"/>
        <v>191.89999999999964</v>
      </c>
      <c r="J1278" s="8">
        <f t="shared" si="97"/>
        <v>4.8478326221999823E-2</v>
      </c>
      <c r="K1278" s="6">
        <f>'Raw Data'!I1278</f>
        <v>3.75</v>
      </c>
      <c r="L1278" s="5">
        <f>'Raw Data'!J1278</f>
        <v>35</v>
      </c>
      <c r="M1278" s="5">
        <f>IF(COUNTIFS($A$2:A1278,A1278,$D$2:D1278,D1278)=1,L1278,0)</f>
        <v>0</v>
      </c>
      <c r="N1278" s="4">
        <f t="shared" si="98"/>
        <v>113.09914285714285</v>
      </c>
      <c r="O1278" t="str">
        <f t="shared" si="99"/>
        <v>OK</v>
      </c>
    </row>
    <row r="1279" spans="1:15">
      <c r="A1279" t="str">
        <f>'Raw Data'!A1279</f>
        <v>Phoenix RM-18</v>
      </c>
      <c r="B1279" t="str">
        <f>'Raw Data'!B1279</f>
        <v>West</v>
      </c>
      <c r="C1279" t="str">
        <f>'Raw Data'!C1279</f>
        <v>Sports</v>
      </c>
      <c r="D1279" s="3">
        <f>'Raw Data'!D1279</f>
        <v>45901</v>
      </c>
      <c r="E1279" t="str">
        <f t="shared" si="95"/>
        <v>Sep</v>
      </c>
      <c r="F1279" s="5">
        <f>'Raw Data'!E1279</f>
        <v>103</v>
      </c>
      <c r="G1279" s="4">
        <f>'Raw Data'!F1279</f>
        <v>6613.93</v>
      </c>
      <c r="H1279" s="4">
        <f>'Raw Data'!G1279</f>
        <v>4388.96</v>
      </c>
      <c r="I1279" s="4">
        <f t="shared" si="96"/>
        <v>2224.9700000000003</v>
      </c>
      <c r="J1279" s="8">
        <f t="shared" si="97"/>
        <v>0.33640664476340093</v>
      </c>
      <c r="K1279" s="6">
        <f>'Raw Data'!I1279</f>
        <v>3.79</v>
      </c>
      <c r="L1279" s="5">
        <f>'Raw Data'!J1279</f>
        <v>35</v>
      </c>
      <c r="M1279" s="5">
        <f>IF(COUNTIFS($A$2:A1279,A1279,$D$2:D1279,D1279)=1,L1279,0)</f>
        <v>0</v>
      </c>
      <c r="N1279" s="4">
        <f t="shared" si="98"/>
        <v>188.96942857142858</v>
      </c>
      <c r="O1279" t="str">
        <f t="shared" si="99"/>
        <v>OK</v>
      </c>
    </row>
    <row r="1280" spans="1:15">
      <c r="A1280" t="str">
        <f>'Raw Data'!A1280</f>
        <v>Phoenix RM-18</v>
      </c>
      <c r="B1280" t="str">
        <f>'Raw Data'!B1280</f>
        <v>West</v>
      </c>
      <c r="C1280" t="str">
        <f>'Raw Data'!C1280</f>
        <v>Electronics</v>
      </c>
      <c r="D1280" s="3">
        <f>'Raw Data'!D1280</f>
        <v>45931</v>
      </c>
      <c r="E1280" t="str">
        <f t="shared" si="95"/>
        <v>Oct</v>
      </c>
      <c r="F1280" s="5">
        <f>'Raw Data'!E1280</f>
        <v>178</v>
      </c>
      <c r="G1280" s="4">
        <f>'Raw Data'!F1280</f>
        <v>25883.17</v>
      </c>
      <c r="H1280" s="4">
        <f>'Raw Data'!G1280</f>
        <v>21032.94</v>
      </c>
      <c r="I1280" s="4">
        <f t="shared" si="96"/>
        <v>4850.2299999999996</v>
      </c>
      <c r="J1280" s="8">
        <f t="shared" si="97"/>
        <v>0.18738933445941899</v>
      </c>
      <c r="K1280" s="6">
        <f>'Raw Data'!I1280</f>
        <v>4.04</v>
      </c>
      <c r="L1280" s="5">
        <f>'Raw Data'!J1280</f>
        <v>36</v>
      </c>
      <c r="M1280" s="5">
        <f>IF(COUNTIFS($A$2:A1280,A1280,$D$2:D1280,D1280)=1,L1280,0)</f>
        <v>36</v>
      </c>
      <c r="N1280" s="4">
        <f t="shared" si="98"/>
        <v>718.97694444444437</v>
      </c>
      <c r="O1280" t="str">
        <f t="shared" si="99"/>
        <v>OK</v>
      </c>
    </row>
    <row r="1281" spans="1:15">
      <c r="A1281" t="str">
        <f>'Raw Data'!A1281</f>
        <v>Phoenix RM-18</v>
      </c>
      <c r="B1281" t="str">
        <f>'Raw Data'!B1281</f>
        <v>West</v>
      </c>
      <c r="C1281" t="str">
        <f>'Raw Data'!C1281</f>
        <v>Home Goods</v>
      </c>
      <c r="D1281" s="3">
        <f>'Raw Data'!D1281</f>
        <v>45931</v>
      </c>
      <c r="E1281" t="str">
        <f t="shared" si="95"/>
        <v>Oct</v>
      </c>
      <c r="F1281" s="5">
        <f>'Raw Data'!E1281</f>
        <v>139</v>
      </c>
      <c r="G1281" s="4">
        <f>'Raw Data'!F1281</f>
        <v>10940.11</v>
      </c>
      <c r="H1281" s="4">
        <f>'Raw Data'!G1281</f>
        <v>7383.35</v>
      </c>
      <c r="I1281" s="4">
        <f t="shared" si="96"/>
        <v>3556.76</v>
      </c>
      <c r="J1281" s="8">
        <f t="shared" si="97"/>
        <v>0.32511190472490681</v>
      </c>
      <c r="K1281" s="6">
        <f>'Raw Data'!I1281</f>
        <v>4.03</v>
      </c>
      <c r="L1281" s="5">
        <f>'Raw Data'!J1281</f>
        <v>36</v>
      </c>
      <c r="M1281" s="5">
        <f>IF(COUNTIFS($A$2:A1281,A1281,$D$2:D1281,D1281)=1,L1281,0)</f>
        <v>0</v>
      </c>
      <c r="N1281" s="4">
        <f t="shared" si="98"/>
        <v>303.89194444444445</v>
      </c>
      <c r="O1281" t="str">
        <f t="shared" si="99"/>
        <v>OK</v>
      </c>
    </row>
    <row r="1282" spans="1:15">
      <c r="A1282" t="str">
        <f>'Raw Data'!A1282</f>
        <v>Phoenix RM-18</v>
      </c>
      <c r="B1282" t="str">
        <f>'Raw Data'!B1282</f>
        <v>West</v>
      </c>
      <c r="C1282" t="str">
        <f>'Raw Data'!C1282</f>
        <v>Apparel</v>
      </c>
      <c r="D1282" s="3">
        <f>'Raw Data'!D1282</f>
        <v>45931</v>
      </c>
      <c r="E1282" t="str">
        <f t="shared" ref="E1282:E1345" si="100">TEXT(D1282,"mmm")</f>
        <v>Oct</v>
      </c>
      <c r="F1282" s="5">
        <f>'Raw Data'!E1282</f>
        <v>151</v>
      </c>
      <c r="G1282" s="4">
        <f>'Raw Data'!F1282</f>
        <v>7251.26</v>
      </c>
      <c r="H1282" s="4">
        <f>'Raw Data'!G1282</f>
        <v>4712.6099999999997</v>
      </c>
      <c r="I1282" s="4">
        <f t="shared" ref="I1282:I1345" si="101">G1282-H1282</f>
        <v>2538.6500000000005</v>
      </c>
      <c r="J1282" s="8">
        <f t="shared" ref="J1282:J1345" si="102">IFERROR(I1282/G1282,0)</f>
        <v>0.35009777611063464</v>
      </c>
      <c r="K1282" s="6">
        <f>'Raw Data'!I1282</f>
        <v>4.01</v>
      </c>
      <c r="L1282" s="5">
        <f>'Raw Data'!J1282</f>
        <v>36</v>
      </c>
      <c r="M1282" s="5">
        <f>IF(COUNTIFS($A$2:A1282,A1282,$D$2:D1282,D1282)=1,L1282,0)</f>
        <v>0</v>
      </c>
      <c r="N1282" s="4">
        <f t="shared" ref="N1282:N1345" si="103">IFERROR(G1282/L1282,0)</f>
        <v>201.42388888888888</v>
      </c>
      <c r="O1282" t="str">
        <f t="shared" ref="O1282:O1345" si="104">IF(OR(A1282="",B1282="",C1282="",F1282&lt;0,G1282&lt;0,H1282&lt;0,K1282&lt;1,K1282&gt;5),"Review","OK")</f>
        <v>OK</v>
      </c>
    </row>
    <row r="1283" spans="1:15">
      <c r="A1283" t="str">
        <f>'Raw Data'!A1283</f>
        <v>Phoenix RM-18</v>
      </c>
      <c r="B1283" t="str">
        <f>'Raw Data'!B1283</f>
        <v>West</v>
      </c>
      <c r="C1283" t="str">
        <f>'Raw Data'!C1283</f>
        <v>Beauty</v>
      </c>
      <c r="D1283" s="3">
        <f>'Raw Data'!D1283</f>
        <v>45931</v>
      </c>
      <c r="E1283" t="str">
        <f t="shared" si="100"/>
        <v>Oct</v>
      </c>
      <c r="F1283" s="5">
        <f>'Raw Data'!E1283</f>
        <v>123</v>
      </c>
      <c r="G1283" s="4">
        <f>'Raw Data'!F1283</f>
        <v>4369.97</v>
      </c>
      <c r="H1283" s="4">
        <f>'Raw Data'!G1283</f>
        <v>2214.7800000000002</v>
      </c>
      <c r="I1283" s="4">
        <f t="shared" si="101"/>
        <v>2155.19</v>
      </c>
      <c r="J1283" s="8">
        <f t="shared" si="102"/>
        <v>0.49318187539044889</v>
      </c>
      <c r="K1283" s="6">
        <f>'Raw Data'!I1283</f>
        <v>3.73</v>
      </c>
      <c r="L1283" s="5">
        <f>'Raw Data'!J1283</f>
        <v>36</v>
      </c>
      <c r="M1283" s="5">
        <f>IF(COUNTIFS($A$2:A1283,A1283,$D$2:D1283,D1283)=1,L1283,0)</f>
        <v>0</v>
      </c>
      <c r="N1283" s="4">
        <f t="shared" si="103"/>
        <v>121.38805555555557</v>
      </c>
      <c r="O1283" t="str">
        <f t="shared" si="104"/>
        <v>OK</v>
      </c>
    </row>
    <row r="1284" spans="1:15">
      <c r="A1284" t="str">
        <f>'Raw Data'!A1284</f>
        <v>Phoenix RM-18</v>
      </c>
      <c r="B1284" t="str">
        <f>'Raw Data'!B1284</f>
        <v>West</v>
      </c>
      <c r="C1284" t="str">
        <f>'Raw Data'!C1284</f>
        <v>Grocery</v>
      </c>
      <c r="D1284" s="3">
        <f>'Raw Data'!D1284</f>
        <v>45931</v>
      </c>
      <c r="E1284" t="str">
        <f t="shared" si="100"/>
        <v>Oct</v>
      </c>
      <c r="F1284" s="5">
        <f>'Raw Data'!E1284</f>
        <v>228</v>
      </c>
      <c r="G1284" s="4">
        <f>'Raw Data'!F1284</f>
        <v>4301.9799999999996</v>
      </c>
      <c r="H1284" s="4">
        <f>'Raw Data'!G1284</f>
        <v>4078.1</v>
      </c>
      <c r="I1284" s="4">
        <f t="shared" si="101"/>
        <v>223.87999999999965</v>
      </c>
      <c r="J1284" s="8">
        <f t="shared" si="102"/>
        <v>5.20411531434362E-2</v>
      </c>
      <c r="K1284" s="6">
        <f>'Raw Data'!I1284</f>
        <v>3.93</v>
      </c>
      <c r="L1284" s="5">
        <f>'Raw Data'!J1284</f>
        <v>36</v>
      </c>
      <c r="M1284" s="5">
        <f>IF(COUNTIFS($A$2:A1284,A1284,$D$2:D1284,D1284)=1,L1284,0)</f>
        <v>0</v>
      </c>
      <c r="N1284" s="4">
        <f t="shared" si="103"/>
        <v>119.49944444444444</v>
      </c>
      <c r="O1284" t="str">
        <f t="shared" si="104"/>
        <v>OK</v>
      </c>
    </row>
    <row r="1285" spans="1:15">
      <c r="A1285" t="str">
        <f>'Raw Data'!A1285</f>
        <v>Phoenix RM-18</v>
      </c>
      <c r="B1285" t="str">
        <f>'Raw Data'!B1285</f>
        <v>West</v>
      </c>
      <c r="C1285" t="str">
        <f>'Raw Data'!C1285</f>
        <v>Sports</v>
      </c>
      <c r="D1285" s="3">
        <f>'Raw Data'!D1285</f>
        <v>45931</v>
      </c>
      <c r="E1285" t="str">
        <f t="shared" si="100"/>
        <v>Oct</v>
      </c>
      <c r="F1285" s="5">
        <f>'Raw Data'!E1285</f>
        <v>101</v>
      </c>
      <c r="G1285" s="4">
        <f>'Raw Data'!F1285</f>
        <v>6402.4</v>
      </c>
      <c r="H1285" s="4">
        <f>'Raw Data'!G1285</f>
        <v>4236.2299999999996</v>
      </c>
      <c r="I1285" s="4">
        <f t="shared" si="101"/>
        <v>2166.17</v>
      </c>
      <c r="J1285" s="8">
        <f t="shared" si="102"/>
        <v>0.33833718605522933</v>
      </c>
      <c r="K1285" s="6">
        <f>'Raw Data'!I1285</f>
        <v>3.82</v>
      </c>
      <c r="L1285" s="5">
        <f>'Raw Data'!J1285</f>
        <v>36</v>
      </c>
      <c r="M1285" s="5">
        <f>IF(COUNTIFS($A$2:A1285,A1285,$D$2:D1285,D1285)=1,L1285,0)</f>
        <v>0</v>
      </c>
      <c r="N1285" s="4">
        <f t="shared" si="103"/>
        <v>177.84444444444443</v>
      </c>
      <c r="O1285" t="str">
        <f t="shared" si="104"/>
        <v>OK</v>
      </c>
    </row>
    <row r="1286" spans="1:15">
      <c r="A1286" t="str">
        <f>'Raw Data'!A1286</f>
        <v>Phoenix RM-18</v>
      </c>
      <c r="B1286" t="str">
        <f>'Raw Data'!B1286</f>
        <v>West</v>
      </c>
      <c r="C1286" t="str">
        <f>'Raw Data'!C1286</f>
        <v>Electronics</v>
      </c>
      <c r="D1286" s="3">
        <f>'Raw Data'!D1286</f>
        <v>45962</v>
      </c>
      <c r="E1286" t="str">
        <f t="shared" si="100"/>
        <v>Nov</v>
      </c>
      <c r="F1286" s="5">
        <f>'Raw Data'!E1286</f>
        <v>243</v>
      </c>
      <c r="G1286" s="4">
        <f>'Raw Data'!F1286</f>
        <v>33162.71</v>
      </c>
      <c r="H1286" s="4">
        <f>'Raw Data'!G1286</f>
        <v>26165.46</v>
      </c>
      <c r="I1286" s="4">
        <f t="shared" si="101"/>
        <v>6997.25</v>
      </c>
      <c r="J1286" s="8">
        <f t="shared" si="102"/>
        <v>0.21099753307253841</v>
      </c>
      <c r="K1286" s="6">
        <f>'Raw Data'!I1286</f>
        <v>3.85</v>
      </c>
      <c r="L1286" s="5">
        <f>'Raw Data'!J1286</f>
        <v>37</v>
      </c>
      <c r="M1286" s="5">
        <f>IF(COUNTIFS($A$2:A1286,A1286,$D$2:D1286,D1286)=1,L1286,0)</f>
        <v>37</v>
      </c>
      <c r="N1286" s="4">
        <f t="shared" si="103"/>
        <v>896.28945945945941</v>
      </c>
      <c r="O1286" t="str">
        <f t="shared" si="104"/>
        <v>OK</v>
      </c>
    </row>
    <row r="1287" spans="1:15">
      <c r="A1287" t="str">
        <f>'Raw Data'!A1287</f>
        <v>Phoenix RM-18</v>
      </c>
      <c r="B1287" t="str">
        <f>'Raw Data'!B1287</f>
        <v>West</v>
      </c>
      <c r="C1287" t="str">
        <f>'Raw Data'!C1287</f>
        <v>Home Goods</v>
      </c>
      <c r="D1287" s="3">
        <f>'Raw Data'!D1287</f>
        <v>45962</v>
      </c>
      <c r="E1287" t="str">
        <f t="shared" si="100"/>
        <v>Nov</v>
      </c>
      <c r="F1287" s="5">
        <f>'Raw Data'!E1287</f>
        <v>165</v>
      </c>
      <c r="G1287" s="4">
        <f>'Raw Data'!F1287</f>
        <v>12709.75</v>
      </c>
      <c r="H1287" s="4">
        <f>'Raw Data'!G1287</f>
        <v>8995.85</v>
      </c>
      <c r="I1287" s="4">
        <f t="shared" si="101"/>
        <v>3713.8999999999996</v>
      </c>
      <c r="J1287" s="8">
        <f t="shared" si="102"/>
        <v>0.29220873738665193</v>
      </c>
      <c r="K1287" s="6">
        <f>'Raw Data'!I1287</f>
        <v>3.82</v>
      </c>
      <c r="L1287" s="5">
        <f>'Raw Data'!J1287</f>
        <v>37</v>
      </c>
      <c r="M1287" s="5">
        <f>IF(COUNTIFS($A$2:A1287,A1287,$D$2:D1287,D1287)=1,L1287,0)</f>
        <v>0</v>
      </c>
      <c r="N1287" s="4">
        <f t="shared" si="103"/>
        <v>343.50675675675677</v>
      </c>
      <c r="O1287" t="str">
        <f t="shared" si="104"/>
        <v>OK</v>
      </c>
    </row>
    <row r="1288" spans="1:15">
      <c r="A1288" t="str">
        <f>'Raw Data'!A1288</f>
        <v>Phoenix RM-18</v>
      </c>
      <c r="B1288" t="str">
        <f>'Raw Data'!B1288</f>
        <v>West</v>
      </c>
      <c r="C1288" t="str">
        <f>'Raw Data'!C1288</f>
        <v>Apparel</v>
      </c>
      <c r="D1288" s="3">
        <f>'Raw Data'!D1288</f>
        <v>45962</v>
      </c>
      <c r="E1288" t="str">
        <f t="shared" si="100"/>
        <v>Nov</v>
      </c>
      <c r="F1288" s="5">
        <f>'Raw Data'!E1288</f>
        <v>242</v>
      </c>
      <c r="G1288" s="4">
        <f>'Raw Data'!F1288</f>
        <v>10974.4</v>
      </c>
      <c r="H1288" s="4">
        <f>'Raw Data'!G1288</f>
        <v>7073.93</v>
      </c>
      <c r="I1288" s="4">
        <f t="shared" si="101"/>
        <v>3900.4699999999993</v>
      </c>
      <c r="J1288" s="8">
        <f t="shared" si="102"/>
        <v>0.35541533022306454</v>
      </c>
      <c r="K1288" s="6">
        <f>'Raw Data'!I1288</f>
        <v>3.72</v>
      </c>
      <c r="L1288" s="5">
        <f>'Raw Data'!J1288</f>
        <v>37</v>
      </c>
      <c r="M1288" s="5">
        <f>IF(COUNTIFS($A$2:A1288,A1288,$D$2:D1288,D1288)=1,L1288,0)</f>
        <v>0</v>
      </c>
      <c r="N1288" s="4">
        <f t="shared" si="103"/>
        <v>296.60540540540541</v>
      </c>
      <c r="O1288" t="str">
        <f t="shared" si="104"/>
        <v>OK</v>
      </c>
    </row>
    <row r="1289" spans="1:15">
      <c r="A1289" t="str">
        <f>'Raw Data'!A1289</f>
        <v>Phoenix RM-18</v>
      </c>
      <c r="B1289" t="str">
        <f>'Raw Data'!B1289</f>
        <v>West</v>
      </c>
      <c r="C1289" t="str">
        <f>'Raw Data'!C1289</f>
        <v>Beauty</v>
      </c>
      <c r="D1289" s="3">
        <f>'Raw Data'!D1289</f>
        <v>45962</v>
      </c>
      <c r="E1289" t="str">
        <f t="shared" si="100"/>
        <v>Nov</v>
      </c>
      <c r="F1289" s="5">
        <f>'Raw Data'!E1289</f>
        <v>162</v>
      </c>
      <c r="G1289" s="4">
        <f>'Raw Data'!F1289</f>
        <v>5967.18</v>
      </c>
      <c r="H1289" s="4">
        <f>'Raw Data'!G1289</f>
        <v>3176.28</v>
      </c>
      <c r="I1289" s="4">
        <f t="shared" si="101"/>
        <v>2790.9</v>
      </c>
      <c r="J1289" s="8">
        <f t="shared" si="102"/>
        <v>0.46770836475521099</v>
      </c>
      <c r="K1289" s="6">
        <f>'Raw Data'!I1289</f>
        <v>3.78</v>
      </c>
      <c r="L1289" s="5">
        <f>'Raw Data'!J1289</f>
        <v>37</v>
      </c>
      <c r="M1289" s="5">
        <f>IF(COUNTIFS($A$2:A1289,A1289,$D$2:D1289,D1289)=1,L1289,0)</f>
        <v>0</v>
      </c>
      <c r="N1289" s="4">
        <f t="shared" si="103"/>
        <v>161.27513513513514</v>
      </c>
      <c r="O1289" t="str">
        <f t="shared" si="104"/>
        <v>OK</v>
      </c>
    </row>
    <row r="1290" spans="1:15">
      <c r="A1290" t="str">
        <f>'Raw Data'!A1290</f>
        <v>Phoenix RM-18</v>
      </c>
      <c r="B1290" t="str">
        <f>'Raw Data'!B1290</f>
        <v>West</v>
      </c>
      <c r="C1290" t="str">
        <f>'Raw Data'!C1290</f>
        <v>Grocery</v>
      </c>
      <c r="D1290" s="3">
        <f>'Raw Data'!D1290</f>
        <v>45962</v>
      </c>
      <c r="E1290" t="str">
        <f t="shared" si="100"/>
        <v>Nov</v>
      </c>
      <c r="F1290" s="5">
        <f>'Raw Data'!E1290</f>
        <v>286</v>
      </c>
      <c r="G1290" s="4">
        <f>'Raw Data'!F1290</f>
        <v>5529.42</v>
      </c>
      <c r="H1290" s="4">
        <f>'Raw Data'!G1290</f>
        <v>5068.67</v>
      </c>
      <c r="I1290" s="4">
        <f t="shared" si="101"/>
        <v>460.75</v>
      </c>
      <c r="J1290" s="8">
        <f t="shared" si="102"/>
        <v>8.3327003555526621E-2</v>
      </c>
      <c r="K1290" s="6">
        <f>'Raw Data'!I1290</f>
        <v>3.89</v>
      </c>
      <c r="L1290" s="5">
        <f>'Raw Data'!J1290</f>
        <v>37</v>
      </c>
      <c r="M1290" s="5">
        <f>IF(COUNTIFS($A$2:A1290,A1290,$D$2:D1290,D1290)=1,L1290,0)</f>
        <v>0</v>
      </c>
      <c r="N1290" s="4">
        <f t="shared" si="103"/>
        <v>149.44378378378377</v>
      </c>
      <c r="O1290" t="str">
        <f t="shared" si="104"/>
        <v>OK</v>
      </c>
    </row>
    <row r="1291" spans="1:15">
      <c r="A1291" t="str">
        <f>'Raw Data'!A1291</f>
        <v>Phoenix RM-18</v>
      </c>
      <c r="B1291" t="str">
        <f>'Raw Data'!B1291</f>
        <v>West</v>
      </c>
      <c r="C1291" t="str">
        <f>'Raw Data'!C1291</f>
        <v>Sports</v>
      </c>
      <c r="D1291" s="3">
        <f>'Raw Data'!D1291</f>
        <v>45962</v>
      </c>
      <c r="E1291" t="str">
        <f t="shared" si="100"/>
        <v>Nov</v>
      </c>
      <c r="F1291" s="5">
        <f>'Raw Data'!E1291</f>
        <v>126</v>
      </c>
      <c r="G1291" s="4">
        <f>'Raw Data'!F1291</f>
        <v>7754.46</v>
      </c>
      <c r="H1291" s="4">
        <f>'Raw Data'!G1291</f>
        <v>5356.51</v>
      </c>
      <c r="I1291" s="4">
        <f t="shared" si="101"/>
        <v>2397.9499999999998</v>
      </c>
      <c r="J1291" s="8">
        <f t="shared" si="102"/>
        <v>0.30923494350348057</v>
      </c>
      <c r="K1291" s="6">
        <f>'Raw Data'!I1291</f>
        <v>3.93</v>
      </c>
      <c r="L1291" s="5">
        <f>'Raw Data'!J1291</f>
        <v>37</v>
      </c>
      <c r="M1291" s="5">
        <f>IF(COUNTIFS($A$2:A1291,A1291,$D$2:D1291,D1291)=1,L1291,0)</f>
        <v>0</v>
      </c>
      <c r="N1291" s="4">
        <f t="shared" si="103"/>
        <v>209.58</v>
      </c>
      <c r="O1291" t="str">
        <f t="shared" si="104"/>
        <v>OK</v>
      </c>
    </row>
    <row r="1292" spans="1:15">
      <c r="A1292" t="str">
        <f>'Raw Data'!A1292</f>
        <v>Phoenix RM-18</v>
      </c>
      <c r="B1292" t="str">
        <f>'Raw Data'!B1292</f>
        <v>West</v>
      </c>
      <c r="C1292" t="str">
        <f>'Raw Data'!C1292</f>
        <v>Electronics</v>
      </c>
      <c r="D1292" s="3">
        <f>'Raw Data'!D1292</f>
        <v>45992</v>
      </c>
      <c r="E1292" t="str">
        <f t="shared" si="100"/>
        <v>Dec</v>
      </c>
      <c r="F1292" s="5">
        <f>'Raw Data'!E1292</f>
        <v>298</v>
      </c>
      <c r="G1292" s="4">
        <f>'Raw Data'!F1292</f>
        <v>42149.93</v>
      </c>
      <c r="H1292" s="4">
        <f>'Raw Data'!G1292</f>
        <v>35167.480000000003</v>
      </c>
      <c r="I1292" s="4">
        <f t="shared" si="101"/>
        <v>6982.4499999999971</v>
      </c>
      <c r="J1292" s="8">
        <f t="shared" si="102"/>
        <v>0.16565745186290931</v>
      </c>
      <c r="K1292" s="6">
        <f>'Raw Data'!I1292</f>
        <v>4.04</v>
      </c>
      <c r="L1292" s="5">
        <f>'Raw Data'!J1292</f>
        <v>37</v>
      </c>
      <c r="M1292" s="5">
        <f>IF(COUNTIFS($A$2:A1292,A1292,$D$2:D1292,D1292)=1,L1292,0)</f>
        <v>37</v>
      </c>
      <c r="N1292" s="4">
        <f t="shared" si="103"/>
        <v>1139.1872972972974</v>
      </c>
      <c r="O1292" t="str">
        <f t="shared" si="104"/>
        <v>OK</v>
      </c>
    </row>
    <row r="1293" spans="1:15">
      <c r="A1293" t="str">
        <f>'Raw Data'!A1293</f>
        <v>Phoenix RM-18</v>
      </c>
      <c r="B1293" t="str">
        <f>'Raw Data'!B1293</f>
        <v>West</v>
      </c>
      <c r="C1293" t="str">
        <f>'Raw Data'!C1293</f>
        <v>Home Goods</v>
      </c>
      <c r="D1293" s="3">
        <f>'Raw Data'!D1293</f>
        <v>45992</v>
      </c>
      <c r="E1293" t="str">
        <f t="shared" si="100"/>
        <v>Dec</v>
      </c>
      <c r="F1293" s="5">
        <f>'Raw Data'!E1293</f>
        <v>170</v>
      </c>
      <c r="G1293" s="4">
        <f>'Raw Data'!F1293</f>
        <v>13300.23</v>
      </c>
      <c r="H1293" s="4">
        <f>'Raw Data'!G1293</f>
        <v>9900.86</v>
      </c>
      <c r="I1293" s="4">
        <f t="shared" si="101"/>
        <v>3399.369999999999</v>
      </c>
      <c r="J1293" s="8">
        <f t="shared" si="102"/>
        <v>0.25558730939239388</v>
      </c>
      <c r="K1293" s="6">
        <f>'Raw Data'!I1293</f>
        <v>3.8</v>
      </c>
      <c r="L1293" s="5">
        <f>'Raw Data'!J1293</f>
        <v>37</v>
      </c>
      <c r="M1293" s="5">
        <f>IF(COUNTIFS($A$2:A1293,A1293,$D$2:D1293,D1293)=1,L1293,0)</f>
        <v>0</v>
      </c>
      <c r="N1293" s="4">
        <f t="shared" si="103"/>
        <v>359.46567567567564</v>
      </c>
      <c r="O1293" t="str">
        <f t="shared" si="104"/>
        <v>OK</v>
      </c>
    </row>
    <row r="1294" spans="1:15">
      <c r="A1294" t="str">
        <f>'Raw Data'!A1294</f>
        <v>Phoenix RM-18</v>
      </c>
      <c r="B1294" t="str">
        <f>'Raw Data'!B1294</f>
        <v>West</v>
      </c>
      <c r="C1294" t="str">
        <f>'Raw Data'!C1294</f>
        <v>Apparel</v>
      </c>
      <c r="D1294" s="3">
        <f>'Raw Data'!D1294</f>
        <v>45992</v>
      </c>
      <c r="E1294" t="str">
        <f t="shared" si="100"/>
        <v>Dec</v>
      </c>
      <c r="F1294" s="5">
        <f>'Raw Data'!E1294</f>
        <v>233</v>
      </c>
      <c r="G1294" s="4">
        <f>'Raw Data'!F1294</f>
        <v>11718.41</v>
      </c>
      <c r="H1294" s="4">
        <f>'Raw Data'!G1294</f>
        <v>7721.77</v>
      </c>
      <c r="I1294" s="4">
        <f t="shared" si="101"/>
        <v>3996.6399999999994</v>
      </c>
      <c r="J1294" s="8">
        <f t="shared" si="102"/>
        <v>0.34105650851950048</v>
      </c>
      <c r="K1294" s="6">
        <f>'Raw Data'!I1294</f>
        <v>3.76</v>
      </c>
      <c r="L1294" s="5">
        <f>'Raw Data'!J1294</f>
        <v>37</v>
      </c>
      <c r="M1294" s="5">
        <f>IF(COUNTIFS($A$2:A1294,A1294,$D$2:D1294,D1294)=1,L1294,0)</f>
        <v>0</v>
      </c>
      <c r="N1294" s="4">
        <f t="shared" si="103"/>
        <v>316.71378378378375</v>
      </c>
      <c r="O1294" t="str">
        <f t="shared" si="104"/>
        <v>OK</v>
      </c>
    </row>
    <row r="1295" spans="1:15">
      <c r="A1295" t="str">
        <f>'Raw Data'!A1295</f>
        <v>Phoenix RM-18</v>
      </c>
      <c r="B1295" t="str">
        <f>'Raw Data'!B1295</f>
        <v>West</v>
      </c>
      <c r="C1295" t="str">
        <f>'Raw Data'!C1295</f>
        <v>Beauty</v>
      </c>
      <c r="D1295" s="3">
        <f>'Raw Data'!D1295</f>
        <v>45992</v>
      </c>
      <c r="E1295" t="str">
        <f t="shared" si="100"/>
        <v>Dec</v>
      </c>
      <c r="F1295" s="5">
        <f>'Raw Data'!E1295</f>
        <v>206</v>
      </c>
      <c r="G1295" s="4">
        <f>'Raw Data'!F1295</f>
        <v>7047.87</v>
      </c>
      <c r="H1295" s="4">
        <f>'Raw Data'!G1295</f>
        <v>3912.12</v>
      </c>
      <c r="I1295" s="4">
        <f t="shared" si="101"/>
        <v>3135.75</v>
      </c>
      <c r="J1295" s="8">
        <f t="shared" si="102"/>
        <v>0.44492165718153143</v>
      </c>
      <c r="K1295" s="6">
        <f>'Raw Data'!I1295</f>
        <v>3.84</v>
      </c>
      <c r="L1295" s="5">
        <f>'Raw Data'!J1295</f>
        <v>37</v>
      </c>
      <c r="M1295" s="5">
        <f>IF(COUNTIFS($A$2:A1295,A1295,$D$2:D1295,D1295)=1,L1295,0)</f>
        <v>0</v>
      </c>
      <c r="N1295" s="4">
        <f t="shared" si="103"/>
        <v>190.48297297297296</v>
      </c>
      <c r="O1295" t="str">
        <f t="shared" si="104"/>
        <v>OK</v>
      </c>
    </row>
    <row r="1296" spans="1:15">
      <c r="A1296" t="str">
        <f>'Raw Data'!A1296</f>
        <v>Phoenix RM-18</v>
      </c>
      <c r="B1296" t="str">
        <f>'Raw Data'!B1296</f>
        <v>West</v>
      </c>
      <c r="C1296" t="str">
        <f>'Raw Data'!C1296</f>
        <v>Grocery</v>
      </c>
      <c r="D1296" s="3">
        <f>'Raw Data'!D1296</f>
        <v>45992</v>
      </c>
      <c r="E1296" t="str">
        <f t="shared" si="100"/>
        <v>Dec</v>
      </c>
      <c r="F1296" s="5">
        <f>'Raw Data'!E1296</f>
        <v>326</v>
      </c>
      <c r="G1296" s="4">
        <f>'Raw Data'!F1296</f>
        <v>6300.97</v>
      </c>
      <c r="H1296" s="4">
        <f>'Raw Data'!G1296</f>
        <v>5963.52</v>
      </c>
      <c r="I1296" s="4">
        <f t="shared" si="101"/>
        <v>337.44999999999982</v>
      </c>
      <c r="J1296" s="8">
        <f t="shared" si="102"/>
        <v>5.3555246255735198E-2</v>
      </c>
      <c r="K1296" s="6">
        <f>'Raw Data'!I1296</f>
        <v>3.83</v>
      </c>
      <c r="L1296" s="5">
        <f>'Raw Data'!J1296</f>
        <v>37</v>
      </c>
      <c r="M1296" s="5">
        <f>IF(COUNTIFS($A$2:A1296,A1296,$D$2:D1296,D1296)=1,L1296,0)</f>
        <v>0</v>
      </c>
      <c r="N1296" s="4">
        <f t="shared" si="103"/>
        <v>170.29648648648649</v>
      </c>
      <c r="O1296" t="str">
        <f t="shared" si="104"/>
        <v>OK</v>
      </c>
    </row>
    <row r="1297" spans="1:15">
      <c r="A1297" t="str">
        <f>'Raw Data'!A1297</f>
        <v>Phoenix RM-18</v>
      </c>
      <c r="B1297" t="str">
        <f>'Raw Data'!B1297</f>
        <v>West</v>
      </c>
      <c r="C1297" t="str">
        <f>'Raw Data'!C1297</f>
        <v>Sports</v>
      </c>
      <c r="D1297" s="3">
        <f>'Raw Data'!D1297</f>
        <v>45992</v>
      </c>
      <c r="E1297" t="str">
        <f t="shared" si="100"/>
        <v>Dec</v>
      </c>
      <c r="F1297" s="5">
        <f>'Raw Data'!E1297</f>
        <v>147</v>
      </c>
      <c r="G1297" s="4">
        <f>'Raw Data'!F1297</f>
        <v>9194.58</v>
      </c>
      <c r="H1297" s="4">
        <f>'Raw Data'!G1297</f>
        <v>6658.3</v>
      </c>
      <c r="I1297" s="4">
        <f t="shared" si="101"/>
        <v>2536.2799999999997</v>
      </c>
      <c r="J1297" s="8">
        <f t="shared" si="102"/>
        <v>0.27584511744962792</v>
      </c>
      <c r="K1297" s="6">
        <f>'Raw Data'!I1297</f>
        <v>3.92</v>
      </c>
      <c r="L1297" s="5">
        <f>'Raw Data'!J1297</f>
        <v>37</v>
      </c>
      <c r="M1297" s="5">
        <f>IF(COUNTIFS($A$2:A1297,A1297,$D$2:D1297,D1297)=1,L1297,0)</f>
        <v>0</v>
      </c>
      <c r="N1297" s="4">
        <f t="shared" si="103"/>
        <v>248.50216216216216</v>
      </c>
      <c r="O1297" t="str">
        <f t="shared" si="104"/>
        <v>OK</v>
      </c>
    </row>
    <row r="1298" spans="1:15">
      <c r="A1298" t="str">
        <f>'Raw Data'!A1298</f>
        <v>Denver RM-19</v>
      </c>
      <c r="B1298" t="str">
        <f>'Raw Data'!B1298</f>
        <v>West</v>
      </c>
      <c r="C1298" t="str">
        <f>'Raw Data'!C1298</f>
        <v>Electronics</v>
      </c>
      <c r="D1298" s="3">
        <f>'Raw Data'!D1298</f>
        <v>45658</v>
      </c>
      <c r="E1298" t="str">
        <f t="shared" si="100"/>
        <v>Jan</v>
      </c>
      <c r="F1298" s="5">
        <f>'Raw Data'!E1298</f>
        <v>85</v>
      </c>
      <c r="G1298" s="4">
        <f>'Raw Data'!F1298</f>
        <v>12518.36</v>
      </c>
      <c r="H1298" s="4">
        <f>'Raw Data'!G1298</f>
        <v>9350.0400000000009</v>
      </c>
      <c r="I1298" s="4">
        <f t="shared" si="101"/>
        <v>3168.3199999999997</v>
      </c>
      <c r="J1298" s="8">
        <f t="shared" si="102"/>
        <v>0.25309385574468218</v>
      </c>
      <c r="K1298" s="6">
        <f>'Raw Data'!I1298</f>
        <v>3.84</v>
      </c>
      <c r="L1298" s="5">
        <f>'Raw Data'!J1298</f>
        <v>24</v>
      </c>
      <c r="M1298" s="5">
        <f>IF(COUNTIFS($A$2:A1298,A1298,$D$2:D1298,D1298)=1,L1298,0)</f>
        <v>24</v>
      </c>
      <c r="N1298" s="4">
        <f t="shared" si="103"/>
        <v>521.59833333333336</v>
      </c>
      <c r="O1298" t="str">
        <f t="shared" si="104"/>
        <v>OK</v>
      </c>
    </row>
    <row r="1299" spans="1:15">
      <c r="A1299" t="str">
        <f>'Raw Data'!A1299</f>
        <v>Denver RM-19</v>
      </c>
      <c r="B1299" t="str">
        <f>'Raw Data'!B1299</f>
        <v>West</v>
      </c>
      <c r="C1299" t="str">
        <f>'Raw Data'!C1299</f>
        <v>Home Goods</v>
      </c>
      <c r="D1299" s="3">
        <f>'Raw Data'!D1299</f>
        <v>45658</v>
      </c>
      <c r="E1299" t="str">
        <f t="shared" si="100"/>
        <v>Jan</v>
      </c>
      <c r="F1299" s="5">
        <f>'Raw Data'!E1299</f>
        <v>76</v>
      </c>
      <c r="G1299" s="4">
        <f>'Raw Data'!F1299</f>
        <v>5515.36</v>
      </c>
      <c r="H1299" s="4">
        <f>'Raw Data'!G1299</f>
        <v>3517.46</v>
      </c>
      <c r="I1299" s="4">
        <f t="shared" si="101"/>
        <v>1997.8999999999996</v>
      </c>
      <c r="J1299" s="8">
        <f t="shared" si="102"/>
        <v>0.36224289982884161</v>
      </c>
      <c r="K1299" s="6">
        <f>'Raw Data'!I1299</f>
        <v>3.71</v>
      </c>
      <c r="L1299" s="5">
        <f>'Raw Data'!J1299</f>
        <v>24</v>
      </c>
      <c r="M1299" s="5">
        <f>IF(COUNTIFS($A$2:A1299,A1299,$D$2:D1299,D1299)=1,L1299,0)</f>
        <v>0</v>
      </c>
      <c r="N1299" s="4">
        <f t="shared" si="103"/>
        <v>229.80666666666664</v>
      </c>
      <c r="O1299" t="str">
        <f t="shared" si="104"/>
        <v>OK</v>
      </c>
    </row>
    <row r="1300" spans="1:15">
      <c r="A1300" t="str">
        <f>'Raw Data'!A1300</f>
        <v>Denver RM-19</v>
      </c>
      <c r="B1300" t="str">
        <f>'Raw Data'!B1300</f>
        <v>West</v>
      </c>
      <c r="C1300" t="str">
        <f>'Raw Data'!C1300</f>
        <v>Apparel</v>
      </c>
      <c r="D1300" s="3">
        <f>'Raw Data'!D1300</f>
        <v>45658</v>
      </c>
      <c r="E1300" t="str">
        <f t="shared" si="100"/>
        <v>Jan</v>
      </c>
      <c r="F1300" s="5">
        <f>'Raw Data'!E1300</f>
        <v>104</v>
      </c>
      <c r="G1300" s="4">
        <f>'Raw Data'!F1300</f>
        <v>5200.95</v>
      </c>
      <c r="H1300" s="4">
        <f>'Raw Data'!G1300</f>
        <v>3066.73</v>
      </c>
      <c r="I1300" s="4">
        <f t="shared" si="101"/>
        <v>2134.2199999999998</v>
      </c>
      <c r="J1300" s="8">
        <f t="shared" si="102"/>
        <v>0.4103519549313106</v>
      </c>
      <c r="K1300" s="6">
        <f>'Raw Data'!I1300</f>
        <v>3.62</v>
      </c>
      <c r="L1300" s="5">
        <f>'Raw Data'!J1300</f>
        <v>24</v>
      </c>
      <c r="M1300" s="5">
        <f>IF(COUNTIFS($A$2:A1300,A1300,$D$2:D1300,D1300)=1,L1300,0)</f>
        <v>0</v>
      </c>
      <c r="N1300" s="4">
        <f t="shared" si="103"/>
        <v>216.70624999999998</v>
      </c>
      <c r="O1300" t="str">
        <f t="shared" si="104"/>
        <v>OK</v>
      </c>
    </row>
    <row r="1301" spans="1:15">
      <c r="A1301" t="str">
        <f>'Raw Data'!A1301</f>
        <v>Denver RM-19</v>
      </c>
      <c r="B1301" t="str">
        <f>'Raw Data'!B1301</f>
        <v>West</v>
      </c>
      <c r="C1301" t="str">
        <f>'Raw Data'!C1301</f>
        <v>Beauty</v>
      </c>
      <c r="D1301" s="3">
        <f>'Raw Data'!D1301</f>
        <v>45658</v>
      </c>
      <c r="E1301" t="str">
        <f t="shared" si="100"/>
        <v>Jan</v>
      </c>
      <c r="F1301" s="5">
        <f>'Raw Data'!E1301</f>
        <v>84</v>
      </c>
      <c r="G1301" s="4">
        <f>'Raw Data'!F1301</f>
        <v>3053.27</v>
      </c>
      <c r="H1301" s="4">
        <f>'Raw Data'!G1301</f>
        <v>1417.38</v>
      </c>
      <c r="I1301" s="4">
        <f t="shared" si="101"/>
        <v>1635.8899999999999</v>
      </c>
      <c r="J1301" s="8">
        <f t="shared" si="102"/>
        <v>0.53578294746288402</v>
      </c>
      <c r="K1301" s="6">
        <f>'Raw Data'!I1301</f>
        <v>3.62</v>
      </c>
      <c r="L1301" s="5">
        <f>'Raw Data'!J1301</f>
        <v>24</v>
      </c>
      <c r="M1301" s="5">
        <f>IF(COUNTIFS($A$2:A1301,A1301,$D$2:D1301,D1301)=1,L1301,0)</f>
        <v>0</v>
      </c>
      <c r="N1301" s="4">
        <f t="shared" si="103"/>
        <v>127.21958333333333</v>
      </c>
      <c r="O1301" t="str">
        <f t="shared" si="104"/>
        <v>OK</v>
      </c>
    </row>
    <row r="1302" spans="1:15">
      <c r="A1302" t="str">
        <f>'Raw Data'!A1302</f>
        <v>Denver RM-19</v>
      </c>
      <c r="B1302" t="str">
        <f>'Raw Data'!B1302</f>
        <v>West</v>
      </c>
      <c r="C1302" t="str">
        <f>'Raw Data'!C1302</f>
        <v>Grocery</v>
      </c>
      <c r="D1302" s="3">
        <f>'Raw Data'!D1302</f>
        <v>45658</v>
      </c>
      <c r="E1302" t="str">
        <f t="shared" si="100"/>
        <v>Jan</v>
      </c>
      <c r="F1302" s="5">
        <f>'Raw Data'!E1302</f>
        <v>150</v>
      </c>
      <c r="G1302" s="4">
        <f>'Raw Data'!F1302</f>
        <v>2595.31</v>
      </c>
      <c r="H1302" s="4">
        <f>'Raw Data'!G1302</f>
        <v>2260.5500000000002</v>
      </c>
      <c r="I1302" s="4">
        <f t="shared" si="101"/>
        <v>334.75999999999976</v>
      </c>
      <c r="J1302" s="8">
        <f t="shared" si="102"/>
        <v>0.12898651798821711</v>
      </c>
      <c r="K1302" s="6">
        <f>'Raw Data'!I1302</f>
        <v>3.73</v>
      </c>
      <c r="L1302" s="5">
        <f>'Raw Data'!J1302</f>
        <v>24</v>
      </c>
      <c r="M1302" s="5">
        <f>IF(COUNTIFS($A$2:A1302,A1302,$D$2:D1302,D1302)=1,L1302,0)</f>
        <v>0</v>
      </c>
      <c r="N1302" s="4">
        <f t="shared" si="103"/>
        <v>108.13791666666667</v>
      </c>
      <c r="O1302" t="str">
        <f t="shared" si="104"/>
        <v>OK</v>
      </c>
    </row>
    <row r="1303" spans="1:15">
      <c r="A1303" t="str">
        <f>'Raw Data'!A1303</f>
        <v>Denver RM-19</v>
      </c>
      <c r="B1303" t="str">
        <f>'Raw Data'!B1303</f>
        <v>West</v>
      </c>
      <c r="C1303" t="str">
        <f>'Raw Data'!C1303</f>
        <v>Sports</v>
      </c>
      <c r="D1303" s="3">
        <f>'Raw Data'!D1303</f>
        <v>45658</v>
      </c>
      <c r="E1303" t="str">
        <f t="shared" si="100"/>
        <v>Jan</v>
      </c>
      <c r="F1303" s="5">
        <f>'Raw Data'!E1303</f>
        <v>64</v>
      </c>
      <c r="G1303" s="4">
        <f>'Raw Data'!F1303</f>
        <v>3731.98</v>
      </c>
      <c r="H1303" s="4">
        <f>'Raw Data'!G1303</f>
        <v>2342.65</v>
      </c>
      <c r="I1303" s="4">
        <f t="shared" si="101"/>
        <v>1389.33</v>
      </c>
      <c r="J1303" s="8">
        <f t="shared" si="102"/>
        <v>0.37227691466728113</v>
      </c>
      <c r="K1303" s="6">
        <f>'Raw Data'!I1303</f>
        <v>3.9</v>
      </c>
      <c r="L1303" s="5">
        <f>'Raw Data'!J1303</f>
        <v>24</v>
      </c>
      <c r="M1303" s="5">
        <f>IF(COUNTIFS($A$2:A1303,A1303,$D$2:D1303,D1303)=1,L1303,0)</f>
        <v>0</v>
      </c>
      <c r="N1303" s="4">
        <f t="shared" si="103"/>
        <v>155.49916666666667</v>
      </c>
      <c r="O1303" t="str">
        <f t="shared" si="104"/>
        <v>OK</v>
      </c>
    </row>
    <row r="1304" spans="1:15">
      <c r="A1304" t="str">
        <f>'Raw Data'!A1304</f>
        <v>Denver RM-19</v>
      </c>
      <c r="B1304" t="str">
        <f>'Raw Data'!B1304</f>
        <v>West</v>
      </c>
      <c r="C1304" t="str">
        <f>'Raw Data'!C1304</f>
        <v>Electronics</v>
      </c>
      <c r="D1304" s="3">
        <f>'Raw Data'!D1304</f>
        <v>45689</v>
      </c>
      <c r="E1304" t="str">
        <f t="shared" si="100"/>
        <v>Feb</v>
      </c>
      <c r="F1304" s="5">
        <f>'Raw Data'!E1304</f>
        <v>73</v>
      </c>
      <c r="G1304" s="4">
        <f>'Raw Data'!F1304</f>
        <v>11107.17</v>
      </c>
      <c r="H1304" s="4">
        <f>'Raw Data'!G1304</f>
        <v>8540.7999999999993</v>
      </c>
      <c r="I1304" s="4">
        <f t="shared" si="101"/>
        <v>2566.3700000000008</v>
      </c>
      <c r="J1304" s="8">
        <f t="shared" si="102"/>
        <v>0.23105525529905466</v>
      </c>
      <c r="K1304" s="6">
        <f>'Raw Data'!I1304</f>
        <v>3.81</v>
      </c>
      <c r="L1304" s="5">
        <f>'Raw Data'!J1304</f>
        <v>25</v>
      </c>
      <c r="M1304" s="5">
        <f>IF(COUNTIFS($A$2:A1304,A1304,$D$2:D1304,D1304)=1,L1304,0)</f>
        <v>25</v>
      </c>
      <c r="N1304" s="4">
        <f t="shared" si="103"/>
        <v>444.28680000000003</v>
      </c>
      <c r="O1304" t="str">
        <f t="shared" si="104"/>
        <v>OK</v>
      </c>
    </row>
    <row r="1305" spans="1:15">
      <c r="A1305" t="str">
        <f>'Raw Data'!A1305</f>
        <v>Denver RM-19</v>
      </c>
      <c r="B1305" t="str">
        <f>'Raw Data'!B1305</f>
        <v>West</v>
      </c>
      <c r="C1305" t="str">
        <f>'Raw Data'!C1305</f>
        <v>Home Goods</v>
      </c>
      <c r="D1305" s="3">
        <f>'Raw Data'!D1305</f>
        <v>45689</v>
      </c>
      <c r="E1305" t="str">
        <f t="shared" si="100"/>
        <v>Feb</v>
      </c>
      <c r="F1305" s="5">
        <f>'Raw Data'!E1305</f>
        <v>84</v>
      </c>
      <c r="G1305" s="4">
        <f>'Raw Data'!F1305</f>
        <v>6003.92</v>
      </c>
      <c r="H1305" s="4">
        <f>'Raw Data'!G1305</f>
        <v>3984.22</v>
      </c>
      <c r="I1305" s="4">
        <f t="shared" si="101"/>
        <v>2019.7000000000003</v>
      </c>
      <c r="J1305" s="8">
        <f t="shared" si="102"/>
        <v>0.33639688736692031</v>
      </c>
      <c r="K1305" s="6">
        <f>'Raw Data'!I1305</f>
        <v>3.91</v>
      </c>
      <c r="L1305" s="5">
        <f>'Raw Data'!J1305</f>
        <v>25</v>
      </c>
      <c r="M1305" s="5">
        <f>IF(COUNTIFS($A$2:A1305,A1305,$D$2:D1305,D1305)=1,L1305,0)</f>
        <v>0</v>
      </c>
      <c r="N1305" s="4">
        <f t="shared" si="103"/>
        <v>240.1568</v>
      </c>
      <c r="O1305" t="str">
        <f t="shared" si="104"/>
        <v>OK</v>
      </c>
    </row>
    <row r="1306" spans="1:15">
      <c r="A1306" t="str">
        <f>'Raw Data'!A1306</f>
        <v>Denver RM-19</v>
      </c>
      <c r="B1306" t="str">
        <f>'Raw Data'!B1306</f>
        <v>West</v>
      </c>
      <c r="C1306" t="str">
        <f>'Raw Data'!C1306</f>
        <v>Apparel</v>
      </c>
      <c r="D1306" s="3">
        <f>'Raw Data'!D1306</f>
        <v>45689</v>
      </c>
      <c r="E1306" t="str">
        <f t="shared" si="100"/>
        <v>Feb</v>
      </c>
      <c r="F1306" s="5">
        <f>'Raw Data'!E1306</f>
        <v>88</v>
      </c>
      <c r="G1306" s="4">
        <f>'Raw Data'!F1306</f>
        <v>4523.51</v>
      </c>
      <c r="H1306" s="4">
        <f>'Raw Data'!G1306</f>
        <v>2628.34</v>
      </c>
      <c r="I1306" s="4">
        <f t="shared" si="101"/>
        <v>1895.17</v>
      </c>
      <c r="J1306" s="8">
        <f t="shared" si="102"/>
        <v>0.41896005535524405</v>
      </c>
      <c r="K1306" s="6">
        <f>'Raw Data'!I1306</f>
        <v>3.86</v>
      </c>
      <c r="L1306" s="5">
        <f>'Raw Data'!J1306</f>
        <v>25</v>
      </c>
      <c r="M1306" s="5">
        <f>IF(COUNTIFS($A$2:A1306,A1306,$D$2:D1306,D1306)=1,L1306,0)</f>
        <v>0</v>
      </c>
      <c r="N1306" s="4">
        <f t="shared" si="103"/>
        <v>180.94040000000001</v>
      </c>
      <c r="O1306" t="str">
        <f t="shared" si="104"/>
        <v>OK</v>
      </c>
    </row>
    <row r="1307" spans="1:15">
      <c r="A1307" t="str">
        <f>'Raw Data'!A1307</f>
        <v>Denver RM-19</v>
      </c>
      <c r="B1307" t="str">
        <f>'Raw Data'!B1307</f>
        <v>West</v>
      </c>
      <c r="C1307" t="str">
        <f>'Raw Data'!C1307</f>
        <v>Beauty</v>
      </c>
      <c r="D1307" s="3">
        <f>'Raw Data'!D1307</f>
        <v>45689</v>
      </c>
      <c r="E1307" t="str">
        <f t="shared" si="100"/>
        <v>Feb</v>
      </c>
      <c r="F1307" s="5">
        <f>'Raw Data'!E1307</f>
        <v>84</v>
      </c>
      <c r="G1307" s="4">
        <f>'Raw Data'!F1307</f>
        <v>3012.16</v>
      </c>
      <c r="H1307" s="4">
        <f>'Raw Data'!G1307</f>
        <v>1414.81</v>
      </c>
      <c r="I1307" s="4">
        <f t="shared" si="101"/>
        <v>1597.35</v>
      </c>
      <c r="J1307" s="8">
        <f t="shared" si="102"/>
        <v>0.53030051524487409</v>
      </c>
      <c r="K1307" s="6">
        <f>'Raw Data'!I1307</f>
        <v>3.96</v>
      </c>
      <c r="L1307" s="5">
        <f>'Raw Data'!J1307</f>
        <v>25</v>
      </c>
      <c r="M1307" s="5">
        <f>IF(COUNTIFS($A$2:A1307,A1307,$D$2:D1307,D1307)=1,L1307,0)</f>
        <v>0</v>
      </c>
      <c r="N1307" s="4">
        <f t="shared" si="103"/>
        <v>120.48639999999999</v>
      </c>
      <c r="O1307" t="str">
        <f t="shared" si="104"/>
        <v>OK</v>
      </c>
    </row>
    <row r="1308" spans="1:15">
      <c r="A1308" t="str">
        <f>'Raw Data'!A1308</f>
        <v>Denver RM-19</v>
      </c>
      <c r="B1308" t="str">
        <f>'Raw Data'!B1308</f>
        <v>West</v>
      </c>
      <c r="C1308" t="str">
        <f>'Raw Data'!C1308</f>
        <v>Grocery</v>
      </c>
      <c r="D1308" s="3">
        <f>'Raw Data'!D1308</f>
        <v>45689</v>
      </c>
      <c r="E1308" t="str">
        <f t="shared" si="100"/>
        <v>Feb</v>
      </c>
      <c r="F1308" s="5">
        <f>'Raw Data'!E1308</f>
        <v>150</v>
      </c>
      <c r="G1308" s="4">
        <f>'Raw Data'!F1308</f>
        <v>2901.23</v>
      </c>
      <c r="H1308" s="4">
        <f>'Raw Data'!G1308</f>
        <v>2505.7800000000002</v>
      </c>
      <c r="I1308" s="4">
        <f t="shared" si="101"/>
        <v>395.44999999999982</v>
      </c>
      <c r="J1308" s="8">
        <f t="shared" si="102"/>
        <v>0.13630425715989419</v>
      </c>
      <c r="K1308" s="6">
        <f>'Raw Data'!I1308</f>
        <v>3.75</v>
      </c>
      <c r="L1308" s="5">
        <f>'Raw Data'!J1308</f>
        <v>25</v>
      </c>
      <c r="M1308" s="5">
        <f>IF(COUNTIFS($A$2:A1308,A1308,$D$2:D1308,D1308)=1,L1308,0)</f>
        <v>0</v>
      </c>
      <c r="N1308" s="4">
        <f t="shared" si="103"/>
        <v>116.0492</v>
      </c>
      <c r="O1308" t="str">
        <f t="shared" si="104"/>
        <v>OK</v>
      </c>
    </row>
    <row r="1309" spans="1:15">
      <c r="A1309" t="str">
        <f>'Raw Data'!A1309</f>
        <v>Denver RM-19</v>
      </c>
      <c r="B1309" t="str">
        <f>'Raw Data'!B1309</f>
        <v>West</v>
      </c>
      <c r="C1309" t="str">
        <f>'Raw Data'!C1309</f>
        <v>Sports</v>
      </c>
      <c r="D1309" s="3">
        <f>'Raw Data'!D1309</f>
        <v>45689</v>
      </c>
      <c r="E1309" t="str">
        <f t="shared" si="100"/>
        <v>Feb</v>
      </c>
      <c r="F1309" s="5">
        <f>'Raw Data'!E1309</f>
        <v>66</v>
      </c>
      <c r="G1309" s="4">
        <f>'Raw Data'!F1309</f>
        <v>4285.6000000000004</v>
      </c>
      <c r="H1309" s="4">
        <f>'Raw Data'!G1309</f>
        <v>2706.57</v>
      </c>
      <c r="I1309" s="4">
        <f t="shared" si="101"/>
        <v>1579.0300000000002</v>
      </c>
      <c r="J1309" s="8">
        <f t="shared" si="102"/>
        <v>0.36845015867089792</v>
      </c>
      <c r="K1309" s="6">
        <f>'Raw Data'!I1309</f>
        <v>3.68</v>
      </c>
      <c r="L1309" s="5">
        <f>'Raw Data'!J1309</f>
        <v>25</v>
      </c>
      <c r="M1309" s="5">
        <f>IF(COUNTIFS($A$2:A1309,A1309,$D$2:D1309,D1309)=1,L1309,0)</f>
        <v>0</v>
      </c>
      <c r="N1309" s="4">
        <f t="shared" si="103"/>
        <v>171.42400000000001</v>
      </c>
      <c r="O1309" t="str">
        <f t="shared" si="104"/>
        <v>OK</v>
      </c>
    </row>
    <row r="1310" spans="1:15">
      <c r="A1310" t="str">
        <f>'Raw Data'!A1310</f>
        <v>Denver RM-19</v>
      </c>
      <c r="B1310" t="str">
        <f>'Raw Data'!B1310</f>
        <v>West</v>
      </c>
      <c r="C1310" t="str">
        <f>'Raw Data'!C1310</f>
        <v>Electronics</v>
      </c>
      <c r="D1310" s="3">
        <f>'Raw Data'!D1310</f>
        <v>45717</v>
      </c>
      <c r="E1310" t="str">
        <f t="shared" si="100"/>
        <v>Mar</v>
      </c>
      <c r="F1310" s="5">
        <f>'Raw Data'!E1310</f>
        <v>109</v>
      </c>
      <c r="G1310" s="4">
        <f>'Raw Data'!F1310</f>
        <v>15518.01</v>
      </c>
      <c r="H1310" s="4">
        <f>'Raw Data'!G1310</f>
        <v>11746.76</v>
      </c>
      <c r="I1310" s="4">
        <f t="shared" si="101"/>
        <v>3771.25</v>
      </c>
      <c r="J1310" s="8">
        <f t="shared" si="102"/>
        <v>0.2430240733186794</v>
      </c>
      <c r="K1310" s="6">
        <f>'Raw Data'!I1310</f>
        <v>3.66</v>
      </c>
      <c r="L1310" s="5">
        <f>'Raw Data'!J1310</f>
        <v>23</v>
      </c>
      <c r="M1310" s="5">
        <f>IF(COUNTIFS($A$2:A1310,A1310,$D$2:D1310,D1310)=1,L1310,0)</f>
        <v>23</v>
      </c>
      <c r="N1310" s="4">
        <f t="shared" si="103"/>
        <v>674.69608695652175</v>
      </c>
      <c r="O1310" t="str">
        <f t="shared" si="104"/>
        <v>OK</v>
      </c>
    </row>
    <row r="1311" spans="1:15">
      <c r="A1311" t="str">
        <f>'Raw Data'!A1311</f>
        <v>Denver RM-19</v>
      </c>
      <c r="B1311" t="str">
        <f>'Raw Data'!B1311</f>
        <v>West</v>
      </c>
      <c r="C1311" t="str">
        <f>'Raw Data'!C1311</f>
        <v>Home Goods</v>
      </c>
      <c r="D1311" s="3">
        <f>'Raw Data'!D1311</f>
        <v>45717</v>
      </c>
      <c r="E1311" t="str">
        <f t="shared" si="100"/>
        <v>Mar</v>
      </c>
      <c r="F1311" s="5">
        <f>'Raw Data'!E1311</f>
        <v>85</v>
      </c>
      <c r="G1311" s="4">
        <f>'Raw Data'!F1311</f>
        <v>6695.39</v>
      </c>
      <c r="H1311" s="4">
        <f>'Raw Data'!G1311</f>
        <v>4361.8599999999997</v>
      </c>
      <c r="I1311" s="4">
        <f t="shared" si="101"/>
        <v>2333.5300000000007</v>
      </c>
      <c r="J1311" s="8">
        <f t="shared" si="102"/>
        <v>0.34852786768209176</v>
      </c>
      <c r="K1311" s="6">
        <f>'Raw Data'!I1311</f>
        <v>3.94</v>
      </c>
      <c r="L1311" s="5">
        <f>'Raw Data'!J1311</f>
        <v>23</v>
      </c>
      <c r="M1311" s="5">
        <f>IF(COUNTIFS($A$2:A1311,A1311,$D$2:D1311,D1311)=1,L1311,0)</f>
        <v>0</v>
      </c>
      <c r="N1311" s="4">
        <f t="shared" si="103"/>
        <v>291.10391304347826</v>
      </c>
      <c r="O1311" t="str">
        <f t="shared" si="104"/>
        <v>OK</v>
      </c>
    </row>
    <row r="1312" spans="1:15">
      <c r="A1312" t="str">
        <f>'Raw Data'!A1312</f>
        <v>Denver RM-19</v>
      </c>
      <c r="B1312" t="str">
        <f>'Raw Data'!B1312</f>
        <v>West</v>
      </c>
      <c r="C1312" t="str">
        <f>'Raw Data'!C1312</f>
        <v>Apparel</v>
      </c>
      <c r="D1312" s="3">
        <f>'Raw Data'!D1312</f>
        <v>45717</v>
      </c>
      <c r="E1312" t="str">
        <f t="shared" si="100"/>
        <v>Mar</v>
      </c>
      <c r="F1312" s="5">
        <f>'Raw Data'!E1312</f>
        <v>124</v>
      </c>
      <c r="G1312" s="4">
        <f>'Raw Data'!F1312</f>
        <v>5624.63</v>
      </c>
      <c r="H1312" s="4">
        <f>'Raw Data'!G1312</f>
        <v>3234.95</v>
      </c>
      <c r="I1312" s="4">
        <f t="shared" si="101"/>
        <v>2389.6800000000003</v>
      </c>
      <c r="J1312" s="8">
        <f t="shared" si="102"/>
        <v>0.42485994634313728</v>
      </c>
      <c r="K1312" s="6">
        <f>'Raw Data'!I1312</f>
        <v>3.98</v>
      </c>
      <c r="L1312" s="5">
        <f>'Raw Data'!J1312</f>
        <v>23</v>
      </c>
      <c r="M1312" s="5">
        <f>IF(COUNTIFS($A$2:A1312,A1312,$D$2:D1312,D1312)=1,L1312,0)</f>
        <v>0</v>
      </c>
      <c r="N1312" s="4">
        <f t="shared" si="103"/>
        <v>244.54913043478263</v>
      </c>
      <c r="O1312" t="str">
        <f t="shared" si="104"/>
        <v>OK</v>
      </c>
    </row>
    <row r="1313" spans="1:15">
      <c r="A1313" t="str">
        <f>'Raw Data'!A1313</f>
        <v>Denver RM-19</v>
      </c>
      <c r="B1313" t="str">
        <f>'Raw Data'!B1313</f>
        <v>West</v>
      </c>
      <c r="C1313" t="str">
        <f>'Raw Data'!C1313</f>
        <v>Beauty</v>
      </c>
      <c r="D1313" s="3">
        <f>'Raw Data'!D1313</f>
        <v>45717</v>
      </c>
      <c r="E1313" t="str">
        <f t="shared" si="100"/>
        <v>Mar</v>
      </c>
      <c r="F1313" s="5">
        <f>'Raw Data'!E1313</f>
        <v>94</v>
      </c>
      <c r="G1313" s="4">
        <f>'Raw Data'!F1313</f>
        <v>3293.94</v>
      </c>
      <c r="H1313" s="4">
        <f>'Raw Data'!G1313</f>
        <v>1544.37</v>
      </c>
      <c r="I1313" s="4">
        <f t="shared" si="101"/>
        <v>1749.5700000000002</v>
      </c>
      <c r="J1313" s="8">
        <f t="shared" si="102"/>
        <v>0.53114810834441428</v>
      </c>
      <c r="K1313" s="6">
        <f>'Raw Data'!I1313</f>
        <v>3.9</v>
      </c>
      <c r="L1313" s="5">
        <f>'Raw Data'!J1313</f>
        <v>23</v>
      </c>
      <c r="M1313" s="5">
        <f>IF(COUNTIFS($A$2:A1313,A1313,$D$2:D1313,D1313)=1,L1313,0)</f>
        <v>0</v>
      </c>
      <c r="N1313" s="4">
        <f t="shared" si="103"/>
        <v>143.21478260869566</v>
      </c>
      <c r="O1313" t="str">
        <f t="shared" si="104"/>
        <v>OK</v>
      </c>
    </row>
    <row r="1314" spans="1:15">
      <c r="A1314" t="str">
        <f>'Raw Data'!A1314</f>
        <v>Denver RM-19</v>
      </c>
      <c r="B1314" t="str">
        <f>'Raw Data'!B1314</f>
        <v>West</v>
      </c>
      <c r="C1314" t="str">
        <f>'Raw Data'!C1314</f>
        <v>Grocery</v>
      </c>
      <c r="D1314" s="3">
        <f>'Raw Data'!D1314</f>
        <v>45717</v>
      </c>
      <c r="E1314" t="str">
        <f t="shared" si="100"/>
        <v>Mar</v>
      </c>
      <c r="F1314" s="5">
        <f>'Raw Data'!E1314</f>
        <v>143</v>
      </c>
      <c r="G1314" s="4">
        <f>'Raw Data'!F1314</f>
        <v>2767.29</v>
      </c>
      <c r="H1314" s="4">
        <f>'Raw Data'!G1314</f>
        <v>2514.6</v>
      </c>
      <c r="I1314" s="4">
        <f t="shared" si="101"/>
        <v>252.69000000000005</v>
      </c>
      <c r="J1314" s="8">
        <f t="shared" si="102"/>
        <v>9.1313161974350382E-2</v>
      </c>
      <c r="K1314" s="6">
        <f>'Raw Data'!I1314</f>
        <v>3.94</v>
      </c>
      <c r="L1314" s="5">
        <f>'Raw Data'!J1314</f>
        <v>23</v>
      </c>
      <c r="M1314" s="5">
        <f>IF(COUNTIFS($A$2:A1314,A1314,$D$2:D1314,D1314)=1,L1314,0)</f>
        <v>0</v>
      </c>
      <c r="N1314" s="4">
        <f t="shared" si="103"/>
        <v>120.31695652173913</v>
      </c>
      <c r="O1314" t="str">
        <f t="shared" si="104"/>
        <v>OK</v>
      </c>
    </row>
    <row r="1315" spans="1:15">
      <c r="A1315" t="str">
        <f>'Raw Data'!A1315</f>
        <v>Denver RM-19</v>
      </c>
      <c r="B1315" t="str">
        <f>'Raw Data'!B1315</f>
        <v>West</v>
      </c>
      <c r="C1315" t="str">
        <f>'Raw Data'!C1315</f>
        <v>Sports</v>
      </c>
      <c r="D1315" s="3">
        <f>'Raw Data'!D1315</f>
        <v>45717</v>
      </c>
      <c r="E1315" t="str">
        <f t="shared" si="100"/>
        <v>Mar</v>
      </c>
      <c r="F1315" s="5">
        <f>'Raw Data'!E1315</f>
        <v>64</v>
      </c>
      <c r="G1315" s="4">
        <f>'Raw Data'!F1315</f>
        <v>3739.04</v>
      </c>
      <c r="H1315" s="4">
        <f>'Raw Data'!G1315</f>
        <v>2340.29</v>
      </c>
      <c r="I1315" s="4">
        <f t="shared" si="101"/>
        <v>1398.75</v>
      </c>
      <c r="J1315" s="8">
        <f t="shared" si="102"/>
        <v>0.37409335016474815</v>
      </c>
      <c r="K1315" s="6">
        <f>'Raw Data'!I1315</f>
        <v>3.74</v>
      </c>
      <c r="L1315" s="5">
        <f>'Raw Data'!J1315</f>
        <v>23</v>
      </c>
      <c r="M1315" s="5">
        <f>IF(COUNTIFS($A$2:A1315,A1315,$D$2:D1315,D1315)=1,L1315,0)</f>
        <v>0</v>
      </c>
      <c r="N1315" s="4">
        <f t="shared" si="103"/>
        <v>162.56695652173912</v>
      </c>
      <c r="O1315" t="str">
        <f t="shared" si="104"/>
        <v>OK</v>
      </c>
    </row>
    <row r="1316" spans="1:15">
      <c r="A1316" t="str">
        <f>'Raw Data'!A1316</f>
        <v>Denver RM-19</v>
      </c>
      <c r="B1316" t="str">
        <f>'Raw Data'!B1316</f>
        <v>West</v>
      </c>
      <c r="C1316" t="str">
        <f>'Raw Data'!C1316</f>
        <v>Electronics</v>
      </c>
      <c r="D1316" s="3">
        <f>'Raw Data'!D1316</f>
        <v>45748</v>
      </c>
      <c r="E1316" t="str">
        <f t="shared" si="100"/>
        <v>Apr</v>
      </c>
      <c r="F1316" s="5">
        <f>'Raw Data'!E1316</f>
        <v>100</v>
      </c>
      <c r="G1316" s="4">
        <f>'Raw Data'!F1316</f>
        <v>14957.32</v>
      </c>
      <c r="H1316" s="4">
        <f>'Raw Data'!G1316</f>
        <v>11503.15</v>
      </c>
      <c r="I1316" s="4">
        <f t="shared" si="101"/>
        <v>3454.17</v>
      </c>
      <c r="J1316" s="8">
        <f t="shared" si="102"/>
        <v>0.23093508730173587</v>
      </c>
      <c r="K1316" s="6">
        <f>'Raw Data'!I1316</f>
        <v>3.96</v>
      </c>
      <c r="L1316" s="5">
        <f>'Raw Data'!J1316</f>
        <v>23</v>
      </c>
      <c r="M1316" s="5">
        <f>IF(COUNTIFS($A$2:A1316,A1316,$D$2:D1316,D1316)=1,L1316,0)</f>
        <v>23</v>
      </c>
      <c r="N1316" s="4">
        <f t="shared" si="103"/>
        <v>650.31826086956517</v>
      </c>
      <c r="O1316" t="str">
        <f t="shared" si="104"/>
        <v>OK</v>
      </c>
    </row>
    <row r="1317" spans="1:15">
      <c r="A1317" t="str">
        <f>'Raw Data'!A1317</f>
        <v>Denver RM-19</v>
      </c>
      <c r="B1317" t="str">
        <f>'Raw Data'!B1317</f>
        <v>West</v>
      </c>
      <c r="C1317" t="str">
        <f>'Raw Data'!C1317</f>
        <v>Home Goods</v>
      </c>
      <c r="D1317" s="3">
        <f>'Raw Data'!D1317</f>
        <v>45748</v>
      </c>
      <c r="E1317" t="str">
        <f t="shared" si="100"/>
        <v>Apr</v>
      </c>
      <c r="F1317" s="5">
        <f>'Raw Data'!E1317</f>
        <v>98</v>
      </c>
      <c r="G1317" s="4">
        <f>'Raw Data'!F1317</f>
        <v>7908.49</v>
      </c>
      <c r="H1317" s="4">
        <f>'Raw Data'!G1317</f>
        <v>5215.21</v>
      </c>
      <c r="I1317" s="4">
        <f t="shared" si="101"/>
        <v>2693.2799999999997</v>
      </c>
      <c r="J1317" s="8">
        <f t="shared" si="102"/>
        <v>0.34055552956379787</v>
      </c>
      <c r="K1317" s="6">
        <f>'Raw Data'!I1317</f>
        <v>3.88</v>
      </c>
      <c r="L1317" s="5">
        <f>'Raw Data'!J1317</f>
        <v>23</v>
      </c>
      <c r="M1317" s="5">
        <f>IF(COUNTIFS($A$2:A1317,A1317,$D$2:D1317,D1317)=1,L1317,0)</f>
        <v>0</v>
      </c>
      <c r="N1317" s="4">
        <f t="shared" si="103"/>
        <v>343.84739130434781</v>
      </c>
      <c r="O1317" t="str">
        <f t="shared" si="104"/>
        <v>OK</v>
      </c>
    </row>
    <row r="1318" spans="1:15">
      <c r="A1318" t="str">
        <f>'Raw Data'!A1318</f>
        <v>Denver RM-19</v>
      </c>
      <c r="B1318" t="str">
        <f>'Raw Data'!B1318</f>
        <v>West</v>
      </c>
      <c r="C1318" t="str">
        <f>'Raw Data'!C1318</f>
        <v>Apparel</v>
      </c>
      <c r="D1318" s="3">
        <f>'Raw Data'!D1318</f>
        <v>45748</v>
      </c>
      <c r="E1318" t="str">
        <f t="shared" si="100"/>
        <v>Apr</v>
      </c>
      <c r="F1318" s="5">
        <f>'Raw Data'!E1318</f>
        <v>142</v>
      </c>
      <c r="G1318" s="4">
        <f>'Raw Data'!F1318</f>
        <v>7108.85</v>
      </c>
      <c r="H1318" s="4">
        <f>'Raw Data'!G1318</f>
        <v>4248.26</v>
      </c>
      <c r="I1318" s="4">
        <f t="shared" si="101"/>
        <v>2860.59</v>
      </c>
      <c r="J1318" s="8">
        <f t="shared" si="102"/>
        <v>0.40239841887225081</v>
      </c>
      <c r="K1318" s="6">
        <f>'Raw Data'!I1318</f>
        <v>3.62</v>
      </c>
      <c r="L1318" s="5">
        <f>'Raw Data'!J1318</f>
        <v>23</v>
      </c>
      <c r="M1318" s="5">
        <f>IF(COUNTIFS($A$2:A1318,A1318,$D$2:D1318,D1318)=1,L1318,0)</f>
        <v>0</v>
      </c>
      <c r="N1318" s="4">
        <f t="shared" si="103"/>
        <v>309.08043478260873</v>
      </c>
      <c r="O1318" t="str">
        <f t="shared" si="104"/>
        <v>OK</v>
      </c>
    </row>
    <row r="1319" spans="1:15">
      <c r="A1319" t="str">
        <f>'Raw Data'!A1319</f>
        <v>Denver RM-19</v>
      </c>
      <c r="B1319" t="str">
        <f>'Raw Data'!B1319</f>
        <v>West</v>
      </c>
      <c r="C1319" t="str">
        <f>'Raw Data'!C1319</f>
        <v>Beauty</v>
      </c>
      <c r="D1319" s="3">
        <f>'Raw Data'!D1319</f>
        <v>45748</v>
      </c>
      <c r="E1319" t="str">
        <f t="shared" si="100"/>
        <v>Apr</v>
      </c>
      <c r="F1319" s="5">
        <f>'Raw Data'!E1319</f>
        <v>103</v>
      </c>
      <c r="G1319" s="4">
        <f>'Raw Data'!F1319</f>
        <v>3956.45</v>
      </c>
      <c r="H1319" s="4">
        <f>'Raw Data'!G1319</f>
        <v>1904.62</v>
      </c>
      <c r="I1319" s="4">
        <f t="shared" si="101"/>
        <v>2051.83</v>
      </c>
      <c r="J1319" s="8">
        <f t="shared" si="102"/>
        <v>0.51860379886008923</v>
      </c>
      <c r="K1319" s="6">
        <f>'Raw Data'!I1319</f>
        <v>3.71</v>
      </c>
      <c r="L1319" s="5">
        <f>'Raw Data'!J1319</f>
        <v>23</v>
      </c>
      <c r="M1319" s="5">
        <f>IF(COUNTIFS($A$2:A1319,A1319,$D$2:D1319,D1319)=1,L1319,0)</f>
        <v>0</v>
      </c>
      <c r="N1319" s="4">
        <f t="shared" si="103"/>
        <v>172.01956521739129</v>
      </c>
      <c r="O1319" t="str">
        <f t="shared" si="104"/>
        <v>OK</v>
      </c>
    </row>
    <row r="1320" spans="1:15">
      <c r="A1320" t="str">
        <f>'Raw Data'!A1320</f>
        <v>Denver RM-19</v>
      </c>
      <c r="B1320" t="str">
        <f>'Raw Data'!B1320</f>
        <v>West</v>
      </c>
      <c r="C1320" t="str">
        <f>'Raw Data'!C1320</f>
        <v>Grocery</v>
      </c>
      <c r="D1320" s="3">
        <f>'Raw Data'!D1320</f>
        <v>45748</v>
      </c>
      <c r="E1320" t="str">
        <f t="shared" si="100"/>
        <v>Apr</v>
      </c>
      <c r="F1320" s="5">
        <f>'Raw Data'!E1320</f>
        <v>164</v>
      </c>
      <c r="G1320" s="4">
        <f>'Raw Data'!F1320</f>
        <v>3036.35</v>
      </c>
      <c r="H1320" s="4">
        <f>'Raw Data'!G1320</f>
        <v>2792.84</v>
      </c>
      <c r="I1320" s="4">
        <f t="shared" si="101"/>
        <v>243.50999999999976</v>
      </c>
      <c r="J1320" s="8">
        <f t="shared" si="102"/>
        <v>8.019826436346264E-2</v>
      </c>
      <c r="K1320" s="6">
        <f>'Raw Data'!I1320</f>
        <v>3.88</v>
      </c>
      <c r="L1320" s="5">
        <f>'Raw Data'!J1320</f>
        <v>23</v>
      </c>
      <c r="M1320" s="5">
        <f>IF(COUNTIFS($A$2:A1320,A1320,$D$2:D1320,D1320)=1,L1320,0)</f>
        <v>0</v>
      </c>
      <c r="N1320" s="4">
        <f t="shared" si="103"/>
        <v>132.01521739130433</v>
      </c>
      <c r="O1320" t="str">
        <f t="shared" si="104"/>
        <v>OK</v>
      </c>
    </row>
    <row r="1321" spans="1:15">
      <c r="A1321" t="str">
        <f>'Raw Data'!A1321</f>
        <v>Denver RM-19</v>
      </c>
      <c r="B1321" t="str">
        <f>'Raw Data'!B1321</f>
        <v>West</v>
      </c>
      <c r="C1321" t="str">
        <f>'Raw Data'!C1321</f>
        <v>Sports</v>
      </c>
      <c r="D1321" s="3">
        <f>'Raw Data'!D1321</f>
        <v>45748</v>
      </c>
      <c r="E1321" t="str">
        <f t="shared" si="100"/>
        <v>Apr</v>
      </c>
      <c r="F1321" s="5">
        <f>'Raw Data'!E1321</f>
        <v>74</v>
      </c>
      <c r="G1321" s="4">
        <f>'Raw Data'!F1321</f>
        <v>4375.21</v>
      </c>
      <c r="H1321" s="4">
        <f>'Raw Data'!G1321</f>
        <v>2810.01</v>
      </c>
      <c r="I1321" s="4">
        <f t="shared" si="101"/>
        <v>1565.1999999999998</v>
      </c>
      <c r="J1321" s="8">
        <f t="shared" si="102"/>
        <v>0.35774282834423943</v>
      </c>
      <c r="K1321" s="6">
        <f>'Raw Data'!I1321</f>
        <v>3.92</v>
      </c>
      <c r="L1321" s="5">
        <f>'Raw Data'!J1321</f>
        <v>23</v>
      </c>
      <c r="M1321" s="5">
        <f>IF(COUNTIFS($A$2:A1321,A1321,$D$2:D1321,D1321)=1,L1321,0)</f>
        <v>0</v>
      </c>
      <c r="N1321" s="4">
        <f t="shared" si="103"/>
        <v>190.22652173913045</v>
      </c>
      <c r="O1321" t="str">
        <f t="shared" si="104"/>
        <v>OK</v>
      </c>
    </row>
    <row r="1322" spans="1:15">
      <c r="A1322" t="str">
        <f>'Raw Data'!A1322</f>
        <v>Denver RM-19</v>
      </c>
      <c r="B1322" t="str">
        <f>'Raw Data'!B1322</f>
        <v>West</v>
      </c>
      <c r="C1322" t="str">
        <f>'Raw Data'!C1322</f>
        <v>Electronics</v>
      </c>
      <c r="D1322" s="3">
        <f>'Raw Data'!D1322</f>
        <v>45778</v>
      </c>
      <c r="E1322" t="str">
        <f t="shared" si="100"/>
        <v>May</v>
      </c>
      <c r="F1322" s="5">
        <f>'Raw Data'!E1322</f>
        <v>114</v>
      </c>
      <c r="G1322" s="4">
        <f>'Raw Data'!F1322</f>
        <v>16688.689999999999</v>
      </c>
      <c r="H1322" s="4">
        <f>'Raw Data'!G1322</f>
        <v>13148.91</v>
      </c>
      <c r="I1322" s="4">
        <f t="shared" si="101"/>
        <v>3539.7799999999988</v>
      </c>
      <c r="J1322" s="8">
        <f t="shared" si="102"/>
        <v>0.21210652244124609</v>
      </c>
      <c r="K1322" s="6">
        <f>'Raw Data'!I1322</f>
        <v>3.7</v>
      </c>
      <c r="L1322" s="5">
        <f>'Raw Data'!J1322</f>
        <v>23</v>
      </c>
      <c r="M1322" s="5">
        <f>IF(COUNTIFS($A$2:A1322,A1322,$D$2:D1322,D1322)=1,L1322,0)</f>
        <v>23</v>
      </c>
      <c r="N1322" s="4">
        <f t="shared" si="103"/>
        <v>725.59521739130435</v>
      </c>
      <c r="O1322" t="str">
        <f t="shared" si="104"/>
        <v>OK</v>
      </c>
    </row>
    <row r="1323" spans="1:15">
      <c r="A1323" t="str">
        <f>'Raw Data'!A1323</f>
        <v>Denver RM-19</v>
      </c>
      <c r="B1323" t="str">
        <f>'Raw Data'!B1323</f>
        <v>West</v>
      </c>
      <c r="C1323" t="str">
        <f>'Raw Data'!C1323</f>
        <v>Home Goods</v>
      </c>
      <c r="D1323" s="3">
        <f>'Raw Data'!D1323</f>
        <v>45778</v>
      </c>
      <c r="E1323" t="str">
        <f t="shared" si="100"/>
        <v>May</v>
      </c>
      <c r="F1323" s="5">
        <f>'Raw Data'!E1323</f>
        <v>98</v>
      </c>
      <c r="G1323" s="4">
        <f>'Raw Data'!F1323</f>
        <v>7839.94</v>
      </c>
      <c r="H1323" s="4">
        <f>'Raw Data'!G1323</f>
        <v>5182.67</v>
      </c>
      <c r="I1323" s="4">
        <f t="shared" si="101"/>
        <v>2657.2699999999995</v>
      </c>
      <c r="J1323" s="8">
        <f t="shared" si="102"/>
        <v>0.33894009392929025</v>
      </c>
      <c r="K1323" s="6">
        <f>'Raw Data'!I1323</f>
        <v>3.91</v>
      </c>
      <c r="L1323" s="5">
        <f>'Raw Data'!J1323</f>
        <v>23</v>
      </c>
      <c r="M1323" s="5">
        <f>IF(COUNTIFS($A$2:A1323,A1323,$D$2:D1323,D1323)=1,L1323,0)</f>
        <v>0</v>
      </c>
      <c r="N1323" s="4">
        <f t="shared" si="103"/>
        <v>340.8669565217391</v>
      </c>
      <c r="O1323" t="str">
        <f t="shared" si="104"/>
        <v>OK</v>
      </c>
    </row>
    <row r="1324" spans="1:15">
      <c r="A1324" t="str">
        <f>'Raw Data'!A1324</f>
        <v>Denver RM-19</v>
      </c>
      <c r="B1324" t="str">
        <f>'Raw Data'!B1324</f>
        <v>West</v>
      </c>
      <c r="C1324" t="str">
        <f>'Raw Data'!C1324</f>
        <v>Apparel</v>
      </c>
      <c r="D1324" s="3">
        <f>'Raw Data'!D1324</f>
        <v>45778</v>
      </c>
      <c r="E1324" t="str">
        <f t="shared" si="100"/>
        <v>May</v>
      </c>
      <c r="F1324" s="5">
        <f>'Raw Data'!E1324</f>
        <v>144</v>
      </c>
      <c r="G1324" s="4">
        <f>'Raw Data'!F1324</f>
        <v>6811.04</v>
      </c>
      <c r="H1324" s="4">
        <f>'Raw Data'!G1324</f>
        <v>4231.32</v>
      </c>
      <c r="I1324" s="4">
        <f t="shared" si="101"/>
        <v>2579.7200000000003</v>
      </c>
      <c r="J1324" s="8">
        <f t="shared" si="102"/>
        <v>0.37875566726960935</v>
      </c>
      <c r="K1324" s="6">
        <f>'Raw Data'!I1324</f>
        <v>3.83</v>
      </c>
      <c r="L1324" s="5">
        <f>'Raw Data'!J1324</f>
        <v>23</v>
      </c>
      <c r="M1324" s="5">
        <f>IF(COUNTIFS($A$2:A1324,A1324,$D$2:D1324,D1324)=1,L1324,0)</f>
        <v>0</v>
      </c>
      <c r="N1324" s="4">
        <f t="shared" si="103"/>
        <v>296.13217391304346</v>
      </c>
      <c r="O1324" t="str">
        <f t="shared" si="104"/>
        <v>OK</v>
      </c>
    </row>
    <row r="1325" spans="1:15">
      <c r="A1325" t="str">
        <f>'Raw Data'!A1325</f>
        <v>Denver RM-19</v>
      </c>
      <c r="B1325" t="str">
        <f>'Raw Data'!B1325</f>
        <v>West</v>
      </c>
      <c r="C1325" t="str">
        <f>'Raw Data'!C1325</f>
        <v>Beauty</v>
      </c>
      <c r="D1325" s="3">
        <f>'Raw Data'!D1325</f>
        <v>45778</v>
      </c>
      <c r="E1325" t="str">
        <f t="shared" si="100"/>
        <v>May</v>
      </c>
      <c r="F1325" s="5">
        <f>'Raw Data'!E1325</f>
        <v>105</v>
      </c>
      <c r="G1325" s="4">
        <f>'Raw Data'!F1325</f>
        <v>3625.87</v>
      </c>
      <c r="H1325" s="4">
        <f>'Raw Data'!G1325</f>
        <v>1790.35</v>
      </c>
      <c r="I1325" s="4">
        <f t="shared" si="101"/>
        <v>1835.52</v>
      </c>
      <c r="J1325" s="8">
        <f t="shared" si="102"/>
        <v>0.50622884990360939</v>
      </c>
      <c r="K1325" s="6">
        <f>'Raw Data'!I1325</f>
        <v>3.9</v>
      </c>
      <c r="L1325" s="5">
        <f>'Raw Data'!J1325</f>
        <v>23</v>
      </c>
      <c r="M1325" s="5">
        <f>IF(COUNTIFS($A$2:A1325,A1325,$D$2:D1325,D1325)=1,L1325,0)</f>
        <v>0</v>
      </c>
      <c r="N1325" s="4">
        <f t="shared" si="103"/>
        <v>157.64652173913043</v>
      </c>
      <c r="O1325" t="str">
        <f t="shared" si="104"/>
        <v>OK</v>
      </c>
    </row>
    <row r="1326" spans="1:15">
      <c r="A1326" t="str">
        <f>'Raw Data'!A1326</f>
        <v>Denver RM-19</v>
      </c>
      <c r="B1326" t="str">
        <f>'Raw Data'!B1326</f>
        <v>West</v>
      </c>
      <c r="C1326" t="str">
        <f>'Raw Data'!C1326</f>
        <v>Grocery</v>
      </c>
      <c r="D1326" s="3">
        <f>'Raw Data'!D1326</f>
        <v>45778</v>
      </c>
      <c r="E1326" t="str">
        <f t="shared" si="100"/>
        <v>May</v>
      </c>
      <c r="F1326" s="5">
        <f>'Raw Data'!E1326</f>
        <v>178</v>
      </c>
      <c r="G1326" s="4">
        <f>'Raw Data'!F1326</f>
        <v>3162.25</v>
      </c>
      <c r="H1326" s="4">
        <f>'Raw Data'!G1326</f>
        <v>2793.63</v>
      </c>
      <c r="I1326" s="4">
        <f t="shared" si="101"/>
        <v>368.61999999999989</v>
      </c>
      <c r="J1326" s="8">
        <f t="shared" si="102"/>
        <v>0.11656889872717208</v>
      </c>
      <c r="K1326" s="6">
        <f>'Raw Data'!I1326</f>
        <v>3.64</v>
      </c>
      <c r="L1326" s="5">
        <f>'Raw Data'!J1326</f>
        <v>23</v>
      </c>
      <c r="M1326" s="5">
        <f>IF(COUNTIFS($A$2:A1326,A1326,$D$2:D1326,D1326)=1,L1326,0)</f>
        <v>0</v>
      </c>
      <c r="N1326" s="4">
        <f t="shared" si="103"/>
        <v>137.4891304347826</v>
      </c>
      <c r="O1326" t="str">
        <f t="shared" si="104"/>
        <v>OK</v>
      </c>
    </row>
    <row r="1327" spans="1:15">
      <c r="A1327" t="str">
        <f>'Raw Data'!A1327</f>
        <v>Denver RM-19</v>
      </c>
      <c r="B1327" t="str">
        <f>'Raw Data'!B1327</f>
        <v>West</v>
      </c>
      <c r="C1327" t="str">
        <f>'Raw Data'!C1327</f>
        <v>Sports</v>
      </c>
      <c r="D1327" s="3">
        <f>'Raw Data'!D1327</f>
        <v>45778</v>
      </c>
      <c r="E1327" t="str">
        <f t="shared" si="100"/>
        <v>May</v>
      </c>
      <c r="F1327" s="5">
        <f>'Raw Data'!E1327</f>
        <v>91</v>
      </c>
      <c r="G1327" s="4">
        <f>'Raw Data'!F1327</f>
        <v>5631.4</v>
      </c>
      <c r="H1327" s="4">
        <f>'Raw Data'!G1327</f>
        <v>3669.34</v>
      </c>
      <c r="I1327" s="4">
        <f t="shared" si="101"/>
        <v>1962.0599999999995</v>
      </c>
      <c r="J1327" s="8">
        <f t="shared" si="102"/>
        <v>0.34841424867706072</v>
      </c>
      <c r="K1327" s="6">
        <f>'Raw Data'!I1327</f>
        <v>3.82</v>
      </c>
      <c r="L1327" s="5">
        <f>'Raw Data'!J1327</f>
        <v>23</v>
      </c>
      <c r="M1327" s="5">
        <f>IF(COUNTIFS($A$2:A1327,A1327,$D$2:D1327,D1327)=1,L1327,0)</f>
        <v>0</v>
      </c>
      <c r="N1327" s="4">
        <f t="shared" si="103"/>
        <v>244.84347826086955</v>
      </c>
      <c r="O1327" t="str">
        <f t="shared" si="104"/>
        <v>OK</v>
      </c>
    </row>
    <row r="1328" spans="1:15">
      <c r="A1328" t="str">
        <f>'Raw Data'!A1328</f>
        <v>Denver RM-19</v>
      </c>
      <c r="B1328" t="str">
        <f>'Raw Data'!B1328</f>
        <v>West</v>
      </c>
      <c r="C1328" t="str">
        <f>'Raw Data'!C1328</f>
        <v>Electronics</v>
      </c>
      <c r="D1328" s="3">
        <f>'Raw Data'!D1328</f>
        <v>45809</v>
      </c>
      <c r="E1328" t="str">
        <f t="shared" si="100"/>
        <v>Jun</v>
      </c>
      <c r="F1328" s="5">
        <f>'Raw Data'!E1328</f>
        <v>118</v>
      </c>
      <c r="G1328" s="4">
        <f>'Raw Data'!F1328</f>
        <v>16402.88</v>
      </c>
      <c r="H1328" s="4">
        <f>'Raw Data'!G1328</f>
        <v>13017.67</v>
      </c>
      <c r="I1328" s="4">
        <f t="shared" si="101"/>
        <v>3385.2100000000009</v>
      </c>
      <c r="J1328" s="8">
        <f t="shared" si="102"/>
        <v>0.20637900173628052</v>
      </c>
      <c r="K1328" s="6">
        <f>'Raw Data'!I1328</f>
        <v>3.85</v>
      </c>
      <c r="L1328" s="5">
        <f>'Raw Data'!J1328</f>
        <v>26</v>
      </c>
      <c r="M1328" s="5">
        <f>IF(COUNTIFS($A$2:A1328,A1328,$D$2:D1328,D1328)=1,L1328,0)</f>
        <v>26</v>
      </c>
      <c r="N1328" s="4">
        <f t="shared" si="103"/>
        <v>630.88</v>
      </c>
      <c r="O1328" t="str">
        <f t="shared" si="104"/>
        <v>OK</v>
      </c>
    </row>
    <row r="1329" spans="1:15">
      <c r="A1329" t="str">
        <f>'Raw Data'!A1329</f>
        <v>Denver RM-19</v>
      </c>
      <c r="B1329" t="str">
        <f>'Raw Data'!B1329</f>
        <v>West</v>
      </c>
      <c r="C1329" t="str">
        <f>'Raw Data'!C1329</f>
        <v>Home Goods</v>
      </c>
      <c r="D1329" s="3">
        <f>'Raw Data'!D1329</f>
        <v>45809</v>
      </c>
      <c r="E1329" t="str">
        <f t="shared" si="100"/>
        <v>Jun</v>
      </c>
      <c r="F1329" s="5">
        <f>'Raw Data'!E1329</f>
        <v>118</v>
      </c>
      <c r="G1329" s="4">
        <f>'Raw Data'!F1329</f>
        <v>8902.16</v>
      </c>
      <c r="H1329" s="4">
        <f>'Raw Data'!G1329</f>
        <v>5841.97</v>
      </c>
      <c r="I1329" s="4">
        <f t="shared" si="101"/>
        <v>3060.1899999999996</v>
      </c>
      <c r="J1329" s="8">
        <f t="shared" si="102"/>
        <v>0.3437581440908723</v>
      </c>
      <c r="K1329" s="6">
        <f>'Raw Data'!I1329</f>
        <v>3.93</v>
      </c>
      <c r="L1329" s="5">
        <f>'Raw Data'!J1329</f>
        <v>26</v>
      </c>
      <c r="M1329" s="5">
        <f>IF(COUNTIFS($A$2:A1329,A1329,$D$2:D1329,D1329)=1,L1329,0)</f>
        <v>0</v>
      </c>
      <c r="N1329" s="4">
        <f t="shared" si="103"/>
        <v>342.39076923076925</v>
      </c>
      <c r="O1329" t="str">
        <f t="shared" si="104"/>
        <v>OK</v>
      </c>
    </row>
    <row r="1330" spans="1:15">
      <c r="A1330" t="str">
        <f>'Raw Data'!A1330</f>
        <v>Denver RM-19</v>
      </c>
      <c r="B1330" t="str">
        <f>'Raw Data'!B1330</f>
        <v>West</v>
      </c>
      <c r="C1330" t="str">
        <f>'Raw Data'!C1330</f>
        <v>Apparel</v>
      </c>
      <c r="D1330" s="3">
        <f>'Raw Data'!D1330</f>
        <v>45809</v>
      </c>
      <c r="E1330" t="str">
        <f t="shared" si="100"/>
        <v>Jun</v>
      </c>
      <c r="F1330" s="5">
        <f>'Raw Data'!E1330</f>
        <v>135</v>
      </c>
      <c r="G1330" s="4">
        <f>'Raw Data'!F1330</f>
        <v>6931.39</v>
      </c>
      <c r="H1330" s="4">
        <f>'Raw Data'!G1330</f>
        <v>4280.6000000000004</v>
      </c>
      <c r="I1330" s="4">
        <f t="shared" si="101"/>
        <v>2650.79</v>
      </c>
      <c r="J1330" s="8">
        <f t="shared" si="102"/>
        <v>0.38243267223457339</v>
      </c>
      <c r="K1330" s="6">
        <f>'Raw Data'!I1330</f>
        <v>3.83</v>
      </c>
      <c r="L1330" s="5">
        <f>'Raw Data'!J1330</f>
        <v>26</v>
      </c>
      <c r="M1330" s="5">
        <f>IF(COUNTIFS($A$2:A1330,A1330,$D$2:D1330,D1330)=1,L1330,0)</f>
        <v>0</v>
      </c>
      <c r="N1330" s="4">
        <f t="shared" si="103"/>
        <v>266.59192307692308</v>
      </c>
      <c r="O1330" t="str">
        <f t="shared" si="104"/>
        <v>OK</v>
      </c>
    </row>
    <row r="1331" spans="1:15">
      <c r="A1331" t="str">
        <f>'Raw Data'!A1331</f>
        <v>Denver RM-19</v>
      </c>
      <c r="B1331" t="str">
        <f>'Raw Data'!B1331</f>
        <v>West</v>
      </c>
      <c r="C1331" t="str">
        <f>'Raw Data'!C1331</f>
        <v>Beauty</v>
      </c>
      <c r="D1331" s="3">
        <f>'Raw Data'!D1331</f>
        <v>45809</v>
      </c>
      <c r="E1331" t="str">
        <f t="shared" si="100"/>
        <v>Jun</v>
      </c>
      <c r="F1331" s="5">
        <f>'Raw Data'!E1331</f>
        <v>112</v>
      </c>
      <c r="G1331" s="4">
        <f>'Raw Data'!F1331</f>
        <v>3950.24</v>
      </c>
      <c r="H1331" s="4">
        <f>'Raw Data'!G1331</f>
        <v>1958.09</v>
      </c>
      <c r="I1331" s="4">
        <f t="shared" si="101"/>
        <v>1992.1499999999999</v>
      </c>
      <c r="J1331" s="8">
        <f t="shared" si="102"/>
        <v>0.50431113046295917</v>
      </c>
      <c r="K1331" s="6">
        <f>'Raw Data'!I1331</f>
        <v>3.9</v>
      </c>
      <c r="L1331" s="5">
        <f>'Raw Data'!J1331</f>
        <v>26</v>
      </c>
      <c r="M1331" s="5">
        <f>IF(COUNTIFS($A$2:A1331,A1331,$D$2:D1331,D1331)=1,L1331,0)</f>
        <v>0</v>
      </c>
      <c r="N1331" s="4">
        <f t="shared" si="103"/>
        <v>151.93230769230769</v>
      </c>
      <c r="O1331" t="str">
        <f t="shared" si="104"/>
        <v>OK</v>
      </c>
    </row>
    <row r="1332" spans="1:15">
      <c r="A1332" t="str">
        <f>'Raw Data'!A1332</f>
        <v>Denver RM-19</v>
      </c>
      <c r="B1332" t="str">
        <f>'Raw Data'!B1332</f>
        <v>West</v>
      </c>
      <c r="C1332" t="str">
        <f>'Raw Data'!C1332</f>
        <v>Grocery</v>
      </c>
      <c r="D1332" s="3">
        <f>'Raw Data'!D1332</f>
        <v>45809</v>
      </c>
      <c r="E1332" t="str">
        <f t="shared" si="100"/>
        <v>Jun</v>
      </c>
      <c r="F1332" s="5">
        <f>'Raw Data'!E1332</f>
        <v>177</v>
      </c>
      <c r="G1332" s="4">
        <f>'Raw Data'!F1332</f>
        <v>3058.66</v>
      </c>
      <c r="H1332" s="4">
        <f>'Raw Data'!G1332</f>
        <v>2745.13</v>
      </c>
      <c r="I1332" s="4">
        <f t="shared" si="101"/>
        <v>313.52999999999975</v>
      </c>
      <c r="J1332" s="8">
        <f t="shared" si="102"/>
        <v>0.10250567241864077</v>
      </c>
      <c r="K1332" s="6">
        <f>'Raw Data'!I1332</f>
        <v>3.75</v>
      </c>
      <c r="L1332" s="5">
        <f>'Raw Data'!J1332</f>
        <v>26</v>
      </c>
      <c r="M1332" s="5">
        <f>IF(COUNTIFS($A$2:A1332,A1332,$D$2:D1332,D1332)=1,L1332,0)</f>
        <v>0</v>
      </c>
      <c r="N1332" s="4">
        <f t="shared" si="103"/>
        <v>117.64076923076922</v>
      </c>
      <c r="O1332" t="str">
        <f t="shared" si="104"/>
        <v>OK</v>
      </c>
    </row>
    <row r="1333" spans="1:15">
      <c r="A1333" t="str">
        <f>'Raw Data'!A1333</f>
        <v>Denver RM-19</v>
      </c>
      <c r="B1333" t="str">
        <f>'Raw Data'!B1333</f>
        <v>West</v>
      </c>
      <c r="C1333" t="str">
        <f>'Raw Data'!C1333</f>
        <v>Sports</v>
      </c>
      <c r="D1333" s="3">
        <f>'Raw Data'!D1333</f>
        <v>45809</v>
      </c>
      <c r="E1333" t="str">
        <f t="shared" si="100"/>
        <v>Jun</v>
      </c>
      <c r="F1333" s="5">
        <f>'Raw Data'!E1333</f>
        <v>108</v>
      </c>
      <c r="G1333" s="4">
        <f>'Raw Data'!F1333</f>
        <v>6518.53</v>
      </c>
      <c r="H1333" s="4">
        <f>'Raw Data'!G1333</f>
        <v>4154.3</v>
      </c>
      <c r="I1333" s="4">
        <f t="shared" si="101"/>
        <v>2364.2299999999996</v>
      </c>
      <c r="J1333" s="8">
        <f t="shared" si="102"/>
        <v>0.36269373616444195</v>
      </c>
      <c r="K1333" s="6">
        <f>'Raw Data'!I1333</f>
        <v>3.87</v>
      </c>
      <c r="L1333" s="5">
        <f>'Raw Data'!J1333</f>
        <v>26</v>
      </c>
      <c r="M1333" s="5">
        <f>IF(COUNTIFS($A$2:A1333,A1333,$D$2:D1333,D1333)=1,L1333,0)</f>
        <v>0</v>
      </c>
      <c r="N1333" s="4">
        <f t="shared" si="103"/>
        <v>250.71269230769229</v>
      </c>
      <c r="O1333" t="str">
        <f t="shared" si="104"/>
        <v>OK</v>
      </c>
    </row>
    <row r="1334" spans="1:15">
      <c r="A1334" t="str">
        <f>'Raw Data'!A1334</f>
        <v>Denver RM-19</v>
      </c>
      <c r="B1334" t="str">
        <f>'Raw Data'!B1334</f>
        <v>West</v>
      </c>
      <c r="C1334" t="str">
        <f>'Raw Data'!C1334</f>
        <v>Electronics</v>
      </c>
      <c r="D1334" s="3">
        <f>'Raw Data'!D1334</f>
        <v>45839</v>
      </c>
      <c r="E1334" t="str">
        <f t="shared" si="100"/>
        <v>Jul</v>
      </c>
      <c r="F1334" s="5">
        <f>'Raw Data'!E1334</f>
        <v>120</v>
      </c>
      <c r="G1334" s="4">
        <f>'Raw Data'!F1334</f>
        <v>16570.419999999998</v>
      </c>
      <c r="H1334" s="4">
        <f>'Raw Data'!G1334</f>
        <v>13279.48</v>
      </c>
      <c r="I1334" s="4">
        <f t="shared" si="101"/>
        <v>3290.9399999999987</v>
      </c>
      <c r="J1334" s="8">
        <f t="shared" si="102"/>
        <v>0.19860329430394638</v>
      </c>
      <c r="K1334" s="6">
        <f>'Raw Data'!I1334</f>
        <v>3.73</v>
      </c>
      <c r="L1334" s="5">
        <f>'Raw Data'!J1334</f>
        <v>25</v>
      </c>
      <c r="M1334" s="5">
        <f>IF(COUNTIFS($A$2:A1334,A1334,$D$2:D1334,D1334)=1,L1334,0)</f>
        <v>25</v>
      </c>
      <c r="N1334" s="4">
        <f t="shared" si="103"/>
        <v>662.81679999999994</v>
      </c>
      <c r="O1334" t="str">
        <f t="shared" si="104"/>
        <v>OK</v>
      </c>
    </row>
    <row r="1335" spans="1:15">
      <c r="A1335" t="str">
        <f>'Raw Data'!A1335</f>
        <v>Denver RM-19</v>
      </c>
      <c r="B1335" t="str">
        <f>'Raw Data'!B1335</f>
        <v>West</v>
      </c>
      <c r="C1335" t="str">
        <f>'Raw Data'!C1335</f>
        <v>Home Goods</v>
      </c>
      <c r="D1335" s="3">
        <f>'Raw Data'!D1335</f>
        <v>45839</v>
      </c>
      <c r="E1335" t="str">
        <f t="shared" si="100"/>
        <v>Jul</v>
      </c>
      <c r="F1335" s="5">
        <f>'Raw Data'!E1335</f>
        <v>99</v>
      </c>
      <c r="G1335" s="4">
        <f>'Raw Data'!F1335</f>
        <v>7513.69</v>
      </c>
      <c r="H1335" s="4">
        <f>'Raw Data'!G1335</f>
        <v>5096.84</v>
      </c>
      <c r="I1335" s="4">
        <f t="shared" si="101"/>
        <v>2416.8499999999995</v>
      </c>
      <c r="J1335" s="8">
        <f t="shared" si="102"/>
        <v>0.32165953080310733</v>
      </c>
      <c r="K1335" s="6">
        <f>'Raw Data'!I1335</f>
        <v>3.69</v>
      </c>
      <c r="L1335" s="5">
        <f>'Raw Data'!J1335</f>
        <v>25</v>
      </c>
      <c r="M1335" s="5">
        <f>IF(COUNTIFS($A$2:A1335,A1335,$D$2:D1335,D1335)=1,L1335,0)</f>
        <v>0</v>
      </c>
      <c r="N1335" s="4">
        <f t="shared" si="103"/>
        <v>300.54759999999999</v>
      </c>
      <c r="O1335" t="str">
        <f t="shared" si="104"/>
        <v>OK</v>
      </c>
    </row>
    <row r="1336" spans="1:15">
      <c r="A1336" t="str">
        <f>'Raw Data'!A1336</f>
        <v>Denver RM-19</v>
      </c>
      <c r="B1336" t="str">
        <f>'Raw Data'!B1336</f>
        <v>West</v>
      </c>
      <c r="C1336" t="str">
        <f>'Raw Data'!C1336</f>
        <v>Apparel</v>
      </c>
      <c r="D1336" s="3">
        <f>'Raw Data'!D1336</f>
        <v>45839</v>
      </c>
      <c r="E1336" t="str">
        <f t="shared" si="100"/>
        <v>Jul</v>
      </c>
      <c r="F1336" s="5">
        <f>'Raw Data'!E1336</f>
        <v>171</v>
      </c>
      <c r="G1336" s="4">
        <f>'Raw Data'!F1336</f>
        <v>8426.73</v>
      </c>
      <c r="H1336" s="4">
        <f>'Raw Data'!G1336</f>
        <v>5303.84</v>
      </c>
      <c r="I1336" s="4">
        <f t="shared" si="101"/>
        <v>3122.8899999999994</v>
      </c>
      <c r="J1336" s="8">
        <f t="shared" si="102"/>
        <v>0.37059333810386708</v>
      </c>
      <c r="K1336" s="6">
        <f>'Raw Data'!I1336</f>
        <v>3.97</v>
      </c>
      <c r="L1336" s="5">
        <f>'Raw Data'!J1336</f>
        <v>25</v>
      </c>
      <c r="M1336" s="5">
        <f>IF(COUNTIFS($A$2:A1336,A1336,$D$2:D1336,D1336)=1,L1336,0)</f>
        <v>0</v>
      </c>
      <c r="N1336" s="4">
        <f t="shared" si="103"/>
        <v>337.06919999999997</v>
      </c>
      <c r="O1336" t="str">
        <f t="shared" si="104"/>
        <v>OK</v>
      </c>
    </row>
    <row r="1337" spans="1:15">
      <c r="A1337" t="str">
        <f>'Raw Data'!A1337</f>
        <v>Denver RM-19</v>
      </c>
      <c r="B1337" t="str">
        <f>'Raw Data'!B1337</f>
        <v>West</v>
      </c>
      <c r="C1337" t="str">
        <f>'Raw Data'!C1337</f>
        <v>Beauty</v>
      </c>
      <c r="D1337" s="3">
        <f>'Raw Data'!D1337</f>
        <v>45839</v>
      </c>
      <c r="E1337" t="str">
        <f t="shared" si="100"/>
        <v>Jul</v>
      </c>
      <c r="F1337" s="5">
        <f>'Raw Data'!E1337</f>
        <v>115</v>
      </c>
      <c r="G1337" s="4">
        <f>'Raw Data'!F1337</f>
        <v>4185.7700000000004</v>
      </c>
      <c r="H1337" s="4">
        <f>'Raw Data'!G1337</f>
        <v>2071.6799999999998</v>
      </c>
      <c r="I1337" s="4">
        <f t="shared" si="101"/>
        <v>2114.0900000000006</v>
      </c>
      <c r="J1337" s="8">
        <f t="shared" si="102"/>
        <v>0.5050659735245846</v>
      </c>
      <c r="K1337" s="6">
        <f>'Raw Data'!I1337</f>
        <v>3.84</v>
      </c>
      <c r="L1337" s="5">
        <f>'Raw Data'!J1337</f>
        <v>25</v>
      </c>
      <c r="M1337" s="5">
        <f>IF(COUNTIFS($A$2:A1337,A1337,$D$2:D1337,D1337)=1,L1337,0)</f>
        <v>0</v>
      </c>
      <c r="N1337" s="4">
        <f t="shared" si="103"/>
        <v>167.4308</v>
      </c>
      <c r="O1337" t="str">
        <f t="shared" si="104"/>
        <v>OK</v>
      </c>
    </row>
    <row r="1338" spans="1:15">
      <c r="A1338" t="str">
        <f>'Raw Data'!A1338</f>
        <v>Denver RM-19</v>
      </c>
      <c r="B1338" t="str">
        <f>'Raw Data'!B1338</f>
        <v>West</v>
      </c>
      <c r="C1338" t="str">
        <f>'Raw Data'!C1338</f>
        <v>Grocery</v>
      </c>
      <c r="D1338" s="3">
        <f>'Raw Data'!D1338</f>
        <v>45839</v>
      </c>
      <c r="E1338" t="str">
        <f t="shared" si="100"/>
        <v>Jul</v>
      </c>
      <c r="F1338" s="5">
        <f>'Raw Data'!E1338</f>
        <v>194</v>
      </c>
      <c r="G1338" s="4">
        <f>'Raw Data'!F1338</f>
        <v>3337.57</v>
      </c>
      <c r="H1338" s="4">
        <f>'Raw Data'!G1338</f>
        <v>2992.87</v>
      </c>
      <c r="I1338" s="4">
        <f t="shared" si="101"/>
        <v>344.70000000000027</v>
      </c>
      <c r="J1338" s="8">
        <f t="shared" si="102"/>
        <v>0.10327873273069936</v>
      </c>
      <c r="K1338" s="6">
        <f>'Raw Data'!I1338</f>
        <v>3.89</v>
      </c>
      <c r="L1338" s="5">
        <f>'Raw Data'!J1338</f>
        <v>25</v>
      </c>
      <c r="M1338" s="5">
        <f>IF(COUNTIFS($A$2:A1338,A1338,$D$2:D1338,D1338)=1,L1338,0)</f>
        <v>0</v>
      </c>
      <c r="N1338" s="4">
        <f t="shared" si="103"/>
        <v>133.50280000000001</v>
      </c>
      <c r="O1338" t="str">
        <f t="shared" si="104"/>
        <v>OK</v>
      </c>
    </row>
    <row r="1339" spans="1:15">
      <c r="A1339" t="str">
        <f>'Raw Data'!A1339</f>
        <v>Denver RM-19</v>
      </c>
      <c r="B1339" t="str">
        <f>'Raw Data'!B1339</f>
        <v>West</v>
      </c>
      <c r="C1339" t="str">
        <f>'Raw Data'!C1339</f>
        <v>Sports</v>
      </c>
      <c r="D1339" s="3">
        <f>'Raw Data'!D1339</f>
        <v>45839</v>
      </c>
      <c r="E1339" t="str">
        <f t="shared" si="100"/>
        <v>Jul</v>
      </c>
      <c r="F1339" s="5">
        <f>'Raw Data'!E1339</f>
        <v>115</v>
      </c>
      <c r="G1339" s="4">
        <f>'Raw Data'!F1339</f>
        <v>7612.04</v>
      </c>
      <c r="H1339" s="4">
        <f>'Raw Data'!G1339</f>
        <v>4992.76</v>
      </c>
      <c r="I1339" s="4">
        <f t="shared" si="101"/>
        <v>2619.2799999999997</v>
      </c>
      <c r="J1339" s="8">
        <f t="shared" si="102"/>
        <v>0.34409698320029847</v>
      </c>
      <c r="K1339" s="6">
        <f>'Raw Data'!I1339</f>
        <v>3.68</v>
      </c>
      <c r="L1339" s="5">
        <f>'Raw Data'!J1339</f>
        <v>25</v>
      </c>
      <c r="M1339" s="5">
        <f>IF(COUNTIFS($A$2:A1339,A1339,$D$2:D1339,D1339)=1,L1339,0)</f>
        <v>0</v>
      </c>
      <c r="N1339" s="4">
        <f t="shared" si="103"/>
        <v>304.48160000000001</v>
      </c>
      <c r="O1339" t="str">
        <f t="shared" si="104"/>
        <v>OK</v>
      </c>
    </row>
    <row r="1340" spans="1:15">
      <c r="A1340" t="str">
        <f>'Raw Data'!A1340</f>
        <v>Denver RM-19</v>
      </c>
      <c r="B1340" t="str">
        <f>'Raw Data'!B1340</f>
        <v>West</v>
      </c>
      <c r="C1340" t="str">
        <f>'Raw Data'!C1340</f>
        <v>Electronics</v>
      </c>
      <c r="D1340" s="3">
        <f>'Raw Data'!D1340</f>
        <v>45870</v>
      </c>
      <c r="E1340" t="str">
        <f t="shared" si="100"/>
        <v>Aug</v>
      </c>
      <c r="F1340" s="5">
        <f>'Raw Data'!E1340</f>
        <v>125</v>
      </c>
      <c r="G1340" s="4">
        <f>'Raw Data'!F1340</f>
        <v>17569.330000000002</v>
      </c>
      <c r="H1340" s="4">
        <f>'Raw Data'!G1340</f>
        <v>13707.34</v>
      </c>
      <c r="I1340" s="4">
        <f t="shared" si="101"/>
        <v>3861.9900000000016</v>
      </c>
      <c r="J1340" s="8">
        <f t="shared" si="102"/>
        <v>0.21981430139908587</v>
      </c>
      <c r="K1340" s="6">
        <f>'Raw Data'!I1340</f>
        <v>3.84</v>
      </c>
      <c r="L1340" s="5">
        <f>'Raw Data'!J1340</f>
        <v>24</v>
      </c>
      <c r="M1340" s="5">
        <f>IF(COUNTIFS($A$2:A1340,A1340,$D$2:D1340,D1340)=1,L1340,0)</f>
        <v>24</v>
      </c>
      <c r="N1340" s="4">
        <f t="shared" si="103"/>
        <v>732.0554166666667</v>
      </c>
      <c r="O1340" t="str">
        <f t="shared" si="104"/>
        <v>OK</v>
      </c>
    </row>
    <row r="1341" spans="1:15">
      <c r="A1341" t="str">
        <f>'Raw Data'!A1341</f>
        <v>Denver RM-19</v>
      </c>
      <c r="B1341" t="str">
        <f>'Raw Data'!B1341</f>
        <v>West</v>
      </c>
      <c r="C1341" t="str">
        <f>'Raw Data'!C1341</f>
        <v>Home Goods</v>
      </c>
      <c r="D1341" s="3">
        <f>'Raw Data'!D1341</f>
        <v>45870</v>
      </c>
      <c r="E1341" t="str">
        <f t="shared" si="100"/>
        <v>Aug</v>
      </c>
      <c r="F1341" s="5">
        <f>'Raw Data'!E1341</f>
        <v>108</v>
      </c>
      <c r="G1341" s="4">
        <f>'Raw Data'!F1341</f>
        <v>8738.33</v>
      </c>
      <c r="H1341" s="4">
        <f>'Raw Data'!G1341</f>
        <v>5942.79</v>
      </c>
      <c r="I1341" s="4">
        <f t="shared" si="101"/>
        <v>2795.54</v>
      </c>
      <c r="J1341" s="8">
        <f t="shared" si="102"/>
        <v>0.31991696353879973</v>
      </c>
      <c r="K1341" s="6">
        <f>'Raw Data'!I1341</f>
        <v>3.66</v>
      </c>
      <c r="L1341" s="5">
        <f>'Raw Data'!J1341</f>
        <v>24</v>
      </c>
      <c r="M1341" s="5">
        <f>IF(COUNTIFS($A$2:A1341,A1341,$D$2:D1341,D1341)=1,L1341,0)</f>
        <v>0</v>
      </c>
      <c r="N1341" s="4">
        <f t="shared" si="103"/>
        <v>364.09708333333333</v>
      </c>
      <c r="O1341" t="str">
        <f t="shared" si="104"/>
        <v>OK</v>
      </c>
    </row>
    <row r="1342" spans="1:15">
      <c r="A1342" t="str">
        <f>'Raw Data'!A1342</f>
        <v>Denver RM-19</v>
      </c>
      <c r="B1342" t="str">
        <f>'Raw Data'!B1342</f>
        <v>West</v>
      </c>
      <c r="C1342" t="str">
        <f>'Raw Data'!C1342</f>
        <v>Apparel</v>
      </c>
      <c r="D1342" s="3">
        <f>'Raw Data'!D1342</f>
        <v>45870</v>
      </c>
      <c r="E1342" t="str">
        <f t="shared" si="100"/>
        <v>Aug</v>
      </c>
      <c r="F1342" s="5">
        <f>'Raw Data'!E1342</f>
        <v>172</v>
      </c>
      <c r="G1342" s="4">
        <f>'Raw Data'!F1342</f>
        <v>7943.32</v>
      </c>
      <c r="H1342" s="4">
        <f>'Raw Data'!G1342</f>
        <v>4801.1400000000003</v>
      </c>
      <c r="I1342" s="4">
        <f t="shared" si="101"/>
        <v>3142.1799999999994</v>
      </c>
      <c r="J1342" s="8">
        <f t="shared" si="102"/>
        <v>0.39557514993730575</v>
      </c>
      <c r="K1342" s="6">
        <f>'Raw Data'!I1342</f>
        <v>3.8</v>
      </c>
      <c r="L1342" s="5">
        <f>'Raw Data'!J1342</f>
        <v>24</v>
      </c>
      <c r="M1342" s="5">
        <f>IF(COUNTIFS($A$2:A1342,A1342,$D$2:D1342,D1342)=1,L1342,0)</f>
        <v>0</v>
      </c>
      <c r="N1342" s="4">
        <f t="shared" si="103"/>
        <v>330.97166666666664</v>
      </c>
      <c r="O1342" t="str">
        <f t="shared" si="104"/>
        <v>OK</v>
      </c>
    </row>
    <row r="1343" spans="1:15">
      <c r="A1343" t="str">
        <f>'Raw Data'!A1343</f>
        <v>Denver RM-19</v>
      </c>
      <c r="B1343" t="str">
        <f>'Raw Data'!B1343</f>
        <v>West</v>
      </c>
      <c r="C1343" t="str">
        <f>'Raw Data'!C1343</f>
        <v>Beauty</v>
      </c>
      <c r="D1343" s="3">
        <f>'Raw Data'!D1343</f>
        <v>45870</v>
      </c>
      <c r="E1343" t="str">
        <f t="shared" si="100"/>
        <v>Aug</v>
      </c>
      <c r="F1343" s="5">
        <f>'Raw Data'!E1343</f>
        <v>115</v>
      </c>
      <c r="G1343" s="4">
        <f>'Raw Data'!F1343</f>
        <v>3932.67</v>
      </c>
      <c r="H1343" s="4">
        <f>'Raw Data'!G1343</f>
        <v>1942.85</v>
      </c>
      <c r="I1343" s="4">
        <f t="shared" si="101"/>
        <v>1989.8200000000002</v>
      </c>
      <c r="J1343" s="8">
        <f t="shared" si="102"/>
        <v>0.50597176981541803</v>
      </c>
      <c r="K1343" s="6">
        <f>'Raw Data'!I1343</f>
        <v>3.78</v>
      </c>
      <c r="L1343" s="5">
        <f>'Raw Data'!J1343</f>
        <v>24</v>
      </c>
      <c r="M1343" s="5">
        <f>IF(COUNTIFS($A$2:A1343,A1343,$D$2:D1343,D1343)=1,L1343,0)</f>
        <v>0</v>
      </c>
      <c r="N1343" s="4">
        <f t="shared" si="103"/>
        <v>163.86125000000001</v>
      </c>
      <c r="O1343" t="str">
        <f t="shared" si="104"/>
        <v>OK</v>
      </c>
    </row>
    <row r="1344" spans="1:15">
      <c r="A1344" t="str">
        <f>'Raw Data'!A1344</f>
        <v>Denver RM-19</v>
      </c>
      <c r="B1344" t="str">
        <f>'Raw Data'!B1344</f>
        <v>West</v>
      </c>
      <c r="C1344" t="str">
        <f>'Raw Data'!C1344</f>
        <v>Grocery</v>
      </c>
      <c r="D1344" s="3">
        <f>'Raw Data'!D1344</f>
        <v>45870</v>
      </c>
      <c r="E1344" t="str">
        <f t="shared" si="100"/>
        <v>Aug</v>
      </c>
      <c r="F1344" s="5">
        <f>'Raw Data'!E1344</f>
        <v>170</v>
      </c>
      <c r="G1344" s="4">
        <f>'Raw Data'!F1344</f>
        <v>3196.45</v>
      </c>
      <c r="H1344" s="4">
        <f>'Raw Data'!G1344</f>
        <v>3017.57</v>
      </c>
      <c r="I1344" s="4">
        <f t="shared" si="101"/>
        <v>178.87999999999965</v>
      </c>
      <c r="J1344" s="8">
        <f t="shared" si="102"/>
        <v>5.5962082935756753E-2</v>
      </c>
      <c r="K1344" s="6">
        <f>'Raw Data'!I1344</f>
        <v>3.67</v>
      </c>
      <c r="L1344" s="5">
        <f>'Raw Data'!J1344</f>
        <v>24</v>
      </c>
      <c r="M1344" s="5">
        <f>IF(COUNTIFS($A$2:A1344,A1344,$D$2:D1344,D1344)=1,L1344,0)</f>
        <v>0</v>
      </c>
      <c r="N1344" s="4">
        <f t="shared" si="103"/>
        <v>133.18541666666667</v>
      </c>
      <c r="O1344" t="str">
        <f t="shared" si="104"/>
        <v>OK</v>
      </c>
    </row>
    <row r="1345" spans="1:15">
      <c r="A1345" t="str">
        <f>'Raw Data'!A1345</f>
        <v>Denver RM-19</v>
      </c>
      <c r="B1345" t="str">
        <f>'Raw Data'!B1345</f>
        <v>West</v>
      </c>
      <c r="C1345" t="str">
        <f>'Raw Data'!C1345</f>
        <v>Sports</v>
      </c>
      <c r="D1345" s="3">
        <f>'Raw Data'!D1345</f>
        <v>45870</v>
      </c>
      <c r="E1345" t="str">
        <f t="shared" si="100"/>
        <v>Aug</v>
      </c>
      <c r="F1345" s="5">
        <f>'Raw Data'!E1345</f>
        <v>102</v>
      </c>
      <c r="G1345" s="4">
        <f>'Raw Data'!F1345</f>
        <v>6042.07</v>
      </c>
      <c r="H1345" s="4">
        <f>'Raw Data'!G1345</f>
        <v>3934.52</v>
      </c>
      <c r="I1345" s="4">
        <f t="shared" si="101"/>
        <v>2107.5499999999997</v>
      </c>
      <c r="J1345" s="8">
        <f t="shared" si="102"/>
        <v>0.3488125758225244</v>
      </c>
      <c r="K1345" s="6">
        <f>'Raw Data'!I1345</f>
        <v>3.7</v>
      </c>
      <c r="L1345" s="5">
        <f>'Raw Data'!J1345</f>
        <v>24</v>
      </c>
      <c r="M1345" s="5">
        <f>IF(COUNTIFS($A$2:A1345,A1345,$D$2:D1345,D1345)=1,L1345,0)</f>
        <v>0</v>
      </c>
      <c r="N1345" s="4">
        <f t="shared" si="103"/>
        <v>251.75291666666666</v>
      </c>
      <c r="O1345" t="str">
        <f t="shared" si="104"/>
        <v>OK</v>
      </c>
    </row>
    <row r="1346" spans="1:15">
      <c r="A1346" t="str">
        <f>'Raw Data'!A1346</f>
        <v>Denver RM-19</v>
      </c>
      <c r="B1346" t="str">
        <f>'Raw Data'!B1346</f>
        <v>West</v>
      </c>
      <c r="C1346" t="str">
        <f>'Raw Data'!C1346</f>
        <v>Electronics</v>
      </c>
      <c r="D1346" s="3">
        <f>'Raw Data'!D1346</f>
        <v>45901</v>
      </c>
      <c r="E1346" t="str">
        <f t="shared" ref="E1346:E1409" si="105">TEXT(D1346,"mmm")</f>
        <v>Sep</v>
      </c>
      <c r="F1346" s="5">
        <f>'Raw Data'!E1346</f>
        <v>118</v>
      </c>
      <c r="G1346" s="4">
        <f>'Raw Data'!F1346</f>
        <v>16611.98</v>
      </c>
      <c r="H1346" s="4">
        <f>'Raw Data'!G1346</f>
        <v>13233.28</v>
      </c>
      <c r="I1346" s="4">
        <f t="shared" ref="I1346:I1409" si="106">G1346-H1346</f>
        <v>3378.6999999999989</v>
      </c>
      <c r="J1346" s="8">
        <f t="shared" ref="J1346:J1409" si="107">IFERROR(I1346/G1346,0)</f>
        <v>0.20338936117187711</v>
      </c>
      <c r="K1346" s="6">
        <f>'Raw Data'!I1346</f>
        <v>3.79</v>
      </c>
      <c r="L1346" s="5">
        <f>'Raw Data'!J1346</f>
        <v>25</v>
      </c>
      <c r="M1346" s="5">
        <f>IF(COUNTIFS($A$2:A1346,A1346,$D$2:D1346,D1346)=1,L1346,0)</f>
        <v>25</v>
      </c>
      <c r="N1346" s="4">
        <f t="shared" ref="N1346:N1409" si="108">IFERROR(G1346/L1346,0)</f>
        <v>664.47919999999999</v>
      </c>
      <c r="O1346" t="str">
        <f t="shared" ref="O1346:O1409" si="109">IF(OR(A1346="",B1346="",C1346="",F1346&lt;0,G1346&lt;0,H1346&lt;0,K1346&lt;1,K1346&gt;5),"Review","OK")</f>
        <v>OK</v>
      </c>
    </row>
    <row r="1347" spans="1:15">
      <c r="A1347" t="str">
        <f>'Raw Data'!A1347</f>
        <v>Denver RM-19</v>
      </c>
      <c r="B1347" t="str">
        <f>'Raw Data'!B1347</f>
        <v>West</v>
      </c>
      <c r="C1347" t="str">
        <f>'Raw Data'!C1347</f>
        <v>Home Goods</v>
      </c>
      <c r="D1347" s="3">
        <f>'Raw Data'!D1347</f>
        <v>45901</v>
      </c>
      <c r="E1347" t="str">
        <f t="shared" si="105"/>
        <v>Sep</v>
      </c>
      <c r="F1347" s="5">
        <f>'Raw Data'!E1347</f>
        <v>95</v>
      </c>
      <c r="G1347" s="4">
        <f>'Raw Data'!F1347</f>
        <v>7686.91</v>
      </c>
      <c r="H1347" s="4">
        <f>'Raw Data'!G1347</f>
        <v>5175.93</v>
      </c>
      <c r="I1347" s="4">
        <f t="shared" si="106"/>
        <v>2510.9799999999996</v>
      </c>
      <c r="J1347" s="8">
        <f t="shared" si="107"/>
        <v>0.32665661494670806</v>
      </c>
      <c r="K1347" s="6">
        <f>'Raw Data'!I1347</f>
        <v>3.95</v>
      </c>
      <c r="L1347" s="5">
        <f>'Raw Data'!J1347</f>
        <v>25</v>
      </c>
      <c r="M1347" s="5">
        <f>IF(COUNTIFS($A$2:A1347,A1347,$D$2:D1347,D1347)=1,L1347,0)</f>
        <v>0</v>
      </c>
      <c r="N1347" s="4">
        <f t="shared" si="108"/>
        <v>307.47640000000001</v>
      </c>
      <c r="O1347" t="str">
        <f t="shared" si="109"/>
        <v>OK</v>
      </c>
    </row>
    <row r="1348" spans="1:15">
      <c r="A1348" t="str">
        <f>'Raw Data'!A1348</f>
        <v>Denver RM-19</v>
      </c>
      <c r="B1348" t="str">
        <f>'Raw Data'!B1348</f>
        <v>West</v>
      </c>
      <c r="C1348" t="str">
        <f>'Raw Data'!C1348</f>
        <v>Apparel</v>
      </c>
      <c r="D1348" s="3">
        <f>'Raw Data'!D1348</f>
        <v>45901</v>
      </c>
      <c r="E1348" t="str">
        <f t="shared" si="105"/>
        <v>Sep</v>
      </c>
      <c r="F1348" s="5">
        <f>'Raw Data'!E1348</f>
        <v>118</v>
      </c>
      <c r="G1348" s="4">
        <f>'Raw Data'!F1348</f>
        <v>5432.32</v>
      </c>
      <c r="H1348" s="4">
        <f>'Raw Data'!G1348</f>
        <v>3456.49</v>
      </c>
      <c r="I1348" s="4">
        <f t="shared" si="106"/>
        <v>1975.83</v>
      </c>
      <c r="J1348" s="8">
        <f t="shared" si="107"/>
        <v>0.36371752768614513</v>
      </c>
      <c r="K1348" s="6">
        <f>'Raw Data'!I1348</f>
        <v>3.85</v>
      </c>
      <c r="L1348" s="5">
        <f>'Raw Data'!J1348</f>
        <v>25</v>
      </c>
      <c r="M1348" s="5">
        <f>IF(COUNTIFS($A$2:A1348,A1348,$D$2:D1348,D1348)=1,L1348,0)</f>
        <v>0</v>
      </c>
      <c r="N1348" s="4">
        <f t="shared" si="108"/>
        <v>217.2928</v>
      </c>
      <c r="O1348" t="str">
        <f t="shared" si="109"/>
        <v>OK</v>
      </c>
    </row>
    <row r="1349" spans="1:15">
      <c r="A1349" t="str">
        <f>'Raw Data'!A1349</f>
        <v>Denver RM-19</v>
      </c>
      <c r="B1349" t="str">
        <f>'Raw Data'!B1349</f>
        <v>West</v>
      </c>
      <c r="C1349" t="str">
        <f>'Raw Data'!C1349</f>
        <v>Beauty</v>
      </c>
      <c r="D1349" s="3">
        <f>'Raw Data'!D1349</f>
        <v>45901</v>
      </c>
      <c r="E1349" t="str">
        <f t="shared" si="105"/>
        <v>Sep</v>
      </c>
      <c r="F1349" s="5">
        <f>'Raw Data'!E1349</f>
        <v>109</v>
      </c>
      <c r="G1349" s="4">
        <f>'Raw Data'!F1349</f>
        <v>4224.49</v>
      </c>
      <c r="H1349" s="4">
        <f>'Raw Data'!G1349</f>
        <v>2107.6999999999998</v>
      </c>
      <c r="I1349" s="4">
        <f t="shared" si="106"/>
        <v>2116.79</v>
      </c>
      <c r="J1349" s="8">
        <f t="shared" si="107"/>
        <v>0.50107586951324301</v>
      </c>
      <c r="K1349" s="6">
        <f>'Raw Data'!I1349</f>
        <v>3.66</v>
      </c>
      <c r="L1349" s="5">
        <f>'Raw Data'!J1349</f>
        <v>25</v>
      </c>
      <c r="M1349" s="5">
        <f>IF(COUNTIFS($A$2:A1349,A1349,$D$2:D1349,D1349)=1,L1349,0)</f>
        <v>0</v>
      </c>
      <c r="N1349" s="4">
        <f t="shared" si="108"/>
        <v>168.9796</v>
      </c>
      <c r="O1349" t="str">
        <f t="shared" si="109"/>
        <v>OK</v>
      </c>
    </row>
    <row r="1350" spans="1:15">
      <c r="A1350" t="str">
        <f>'Raw Data'!A1350</f>
        <v>Denver RM-19</v>
      </c>
      <c r="B1350" t="str">
        <f>'Raw Data'!B1350</f>
        <v>West</v>
      </c>
      <c r="C1350" t="str">
        <f>'Raw Data'!C1350</f>
        <v>Grocery</v>
      </c>
      <c r="D1350" s="3">
        <f>'Raw Data'!D1350</f>
        <v>45901</v>
      </c>
      <c r="E1350" t="str">
        <f t="shared" si="105"/>
        <v>Sep</v>
      </c>
      <c r="F1350" s="5">
        <f>'Raw Data'!E1350</f>
        <v>174</v>
      </c>
      <c r="G1350" s="4">
        <f>'Raw Data'!F1350</f>
        <v>3003.93</v>
      </c>
      <c r="H1350" s="4">
        <f>'Raw Data'!G1350</f>
        <v>2846.47</v>
      </c>
      <c r="I1350" s="4">
        <f t="shared" si="106"/>
        <v>157.46000000000004</v>
      </c>
      <c r="J1350" s="8">
        <f t="shared" si="107"/>
        <v>5.2417999087861586E-2</v>
      </c>
      <c r="K1350" s="6">
        <f>'Raw Data'!I1350</f>
        <v>3.75</v>
      </c>
      <c r="L1350" s="5">
        <f>'Raw Data'!J1350</f>
        <v>25</v>
      </c>
      <c r="M1350" s="5">
        <f>IF(COUNTIFS($A$2:A1350,A1350,$D$2:D1350,D1350)=1,L1350,0)</f>
        <v>0</v>
      </c>
      <c r="N1350" s="4">
        <f t="shared" si="108"/>
        <v>120.15719999999999</v>
      </c>
      <c r="O1350" t="str">
        <f t="shared" si="109"/>
        <v>OK</v>
      </c>
    </row>
    <row r="1351" spans="1:15">
      <c r="A1351" t="str">
        <f>'Raw Data'!A1351</f>
        <v>Denver RM-19</v>
      </c>
      <c r="B1351" t="str">
        <f>'Raw Data'!B1351</f>
        <v>West</v>
      </c>
      <c r="C1351" t="str">
        <f>'Raw Data'!C1351</f>
        <v>Sports</v>
      </c>
      <c r="D1351" s="3">
        <f>'Raw Data'!D1351</f>
        <v>45901</v>
      </c>
      <c r="E1351" t="str">
        <f t="shared" si="105"/>
        <v>Sep</v>
      </c>
      <c r="F1351" s="5">
        <f>'Raw Data'!E1351</f>
        <v>78</v>
      </c>
      <c r="G1351" s="4">
        <f>'Raw Data'!F1351</f>
        <v>4661.75</v>
      </c>
      <c r="H1351" s="4">
        <f>'Raw Data'!G1351</f>
        <v>3084.82</v>
      </c>
      <c r="I1351" s="4">
        <f t="shared" si="106"/>
        <v>1576.9299999999998</v>
      </c>
      <c r="J1351" s="8">
        <f t="shared" si="107"/>
        <v>0.33826996299672868</v>
      </c>
      <c r="K1351" s="6">
        <f>'Raw Data'!I1351</f>
        <v>3.94</v>
      </c>
      <c r="L1351" s="5">
        <f>'Raw Data'!J1351</f>
        <v>25</v>
      </c>
      <c r="M1351" s="5">
        <f>IF(COUNTIFS($A$2:A1351,A1351,$D$2:D1351,D1351)=1,L1351,0)</f>
        <v>0</v>
      </c>
      <c r="N1351" s="4">
        <f t="shared" si="108"/>
        <v>186.47</v>
      </c>
      <c r="O1351" t="str">
        <f t="shared" si="109"/>
        <v>OK</v>
      </c>
    </row>
    <row r="1352" spans="1:15">
      <c r="A1352" t="str">
        <f>'Raw Data'!A1352</f>
        <v>Denver RM-19</v>
      </c>
      <c r="B1352" t="str">
        <f>'Raw Data'!B1352</f>
        <v>West</v>
      </c>
      <c r="C1352" t="str">
        <f>'Raw Data'!C1352</f>
        <v>Electronics</v>
      </c>
      <c r="D1352" s="3">
        <f>'Raw Data'!D1352</f>
        <v>45931</v>
      </c>
      <c r="E1352" t="str">
        <f t="shared" si="105"/>
        <v>Oct</v>
      </c>
      <c r="F1352" s="5">
        <f>'Raw Data'!E1352</f>
        <v>121</v>
      </c>
      <c r="G1352" s="4">
        <f>'Raw Data'!F1352</f>
        <v>17994.400000000001</v>
      </c>
      <c r="H1352" s="4">
        <f>'Raw Data'!G1352</f>
        <v>14180.98</v>
      </c>
      <c r="I1352" s="4">
        <f t="shared" si="106"/>
        <v>3813.4200000000019</v>
      </c>
      <c r="J1352" s="8">
        <f t="shared" si="107"/>
        <v>0.21192259814164416</v>
      </c>
      <c r="K1352" s="6">
        <f>'Raw Data'!I1352</f>
        <v>3.97</v>
      </c>
      <c r="L1352" s="5">
        <f>'Raw Data'!J1352</f>
        <v>24</v>
      </c>
      <c r="M1352" s="5">
        <f>IF(COUNTIFS($A$2:A1352,A1352,$D$2:D1352,D1352)=1,L1352,0)</f>
        <v>24</v>
      </c>
      <c r="N1352" s="4">
        <f t="shared" si="108"/>
        <v>749.76666666666677</v>
      </c>
      <c r="O1352" t="str">
        <f t="shared" si="109"/>
        <v>OK</v>
      </c>
    </row>
    <row r="1353" spans="1:15">
      <c r="A1353" t="str">
        <f>'Raw Data'!A1353</f>
        <v>Denver RM-19</v>
      </c>
      <c r="B1353" t="str">
        <f>'Raw Data'!B1353</f>
        <v>West</v>
      </c>
      <c r="C1353" t="str">
        <f>'Raw Data'!C1353</f>
        <v>Home Goods</v>
      </c>
      <c r="D1353" s="3">
        <f>'Raw Data'!D1353</f>
        <v>45931</v>
      </c>
      <c r="E1353" t="str">
        <f t="shared" si="105"/>
        <v>Oct</v>
      </c>
      <c r="F1353" s="5">
        <f>'Raw Data'!E1353</f>
        <v>95</v>
      </c>
      <c r="G1353" s="4">
        <f>'Raw Data'!F1353</f>
        <v>7651.04</v>
      </c>
      <c r="H1353" s="4">
        <f>'Raw Data'!G1353</f>
        <v>5178.08</v>
      </c>
      <c r="I1353" s="4">
        <f t="shared" si="106"/>
        <v>2472.96</v>
      </c>
      <c r="J1353" s="8">
        <f t="shared" si="107"/>
        <v>0.32321880424099209</v>
      </c>
      <c r="K1353" s="6">
        <f>'Raw Data'!I1353</f>
        <v>3.93</v>
      </c>
      <c r="L1353" s="5">
        <f>'Raw Data'!J1353</f>
        <v>24</v>
      </c>
      <c r="M1353" s="5">
        <f>IF(COUNTIFS($A$2:A1353,A1353,$D$2:D1353,D1353)=1,L1353,0)</f>
        <v>0</v>
      </c>
      <c r="N1353" s="4">
        <f t="shared" si="108"/>
        <v>318.79333333333335</v>
      </c>
      <c r="O1353" t="str">
        <f t="shared" si="109"/>
        <v>OK</v>
      </c>
    </row>
    <row r="1354" spans="1:15">
      <c r="A1354" t="str">
        <f>'Raw Data'!A1354</f>
        <v>Denver RM-19</v>
      </c>
      <c r="B1354" t="str">
        <f>'Raw Data'!B1354</f>
        <v>West</v>
      </c>
      <c r="C1354" t="str">
        <f>'Raw Data'!C1354</f>
        <v>Apparel</v>
      </c>
      <c r="D1354" s="3">
        <f>'Raw Data'!D1354</f>
        <v>45931</v>
      </c>
      <c r="E1354" t="str">
        <f t="shared" si="105"/>
        <v>Oct</v>
      </c>
      <c r="F1354" s="5">
        <f>'Raw Data'!E1354</f>
        <v>101</v>
      </c>
      <c r="G1354" s="4">
        <f>'Raw Data'!F1354</f>
        <v>4958.6400000000003</v>
      </c>
      <c r="H1354" s="4">
        <f>'Raw Data'!G1354</f>
        <v>3207.34</v>
      </c>
      <c r="I1354" s="4">
        <f t="shared" si="106"/>
        <v>1751.3000000000002</v>
      </c>
      <c r="J1354" s="8">
        <f t="shared" si="107"/>
        <v>0.35318151751286647</v>
      </c>
      <c r="K1354" s="6">
        <f>'Raw Data'!I1354</f>
        <v>3.72</v>
      </c>
      <c r="L1354" s="5">
        <f>'Raw Data'!J1354</f>
        <v>24</v>
      </c>
      <c r="M1354" s="5">
        <f>IF(COUNTIFS($A$2:A1354,A1354,$D$2:D1354,D1354)=1,L1354,0)</f>
        <v>0</v>
      </c>
      <c r="N1354" s="4">
        <f t="shared" si="108"/>
        <v>206.61</v>
      </c>
      <c r="O1354" t="str">
        <f t="shared" si="109"/>
        <v>OK</v>
      </c>
    </row>
    <row r="1355" spans="1:15">
      <c r="A1355" t="str">
        <f>'Raw Data'!A1355</f>
        <v>Denver RM-19</v>
      </c>
      <c r="B1355" t="str">
        <f>'Raw Data'!B1355</f>
        <v>West</v>
      </c>
      <c r="C1355" t="str">
        <f>'Raw Data'!C1355</f>
        <v>Beauty</v>
      </c>
      <c r="D1355" s="3">
        <f>'Raw Data'!D1355</f>
        <v>45931</v>
      </c>
      <c r="E1355" t="str">
        <f t="shared" si="105"/>
        <v>Oct</v>
      </c>
      <c r="F1355" s="5">
        <f>'Raw Data'!E1355</f>
        <v>114</v>
      </c>
      <c r="G1355" s="4">
        <f>'Raw Data'!F1355</f>
        <v>4277.2</v>
      </c>
      <c r="H1355" s="4">
        <f>'Raw Data'!G1355</f>
        <v>2229.63</v>
      </c>
      <c r="I1355" s="4">
        <f t="shared" si="106"/>
        <v>2047.5699999999997</v>
      </c>
      <c r="J1355" s="8">
        <f t="shared" si="107"/>
        <v>0.4787173852052744</v>
      </c>
      <c r="K1355" s="6">
        <f>'Raw Data'!I1355</f>
        <v>3.71</v>
      </c>
      <c r="L1355" s="5">
        <f>'Raw Data'!J1355</f>
        <v>24</v>
      </c>
      <c r="M1355" s="5">
        <f>IF(COUNTIFS($A$2:A1355,A1355,$D$2:D1355,D1355)=1,L1355,0)</f>
        <v>0</v>
      </c>
      <c r="N1355" s="4">
        <f t="shared" si="108"/>
        <v>178.21666666666667</v>
      </c>
      <c r="O1355" t="str">
        <f t="shared" si="109"/>
        <v>OK</v>
      </c>
    </row>
    <row r="1356" spans="1:15">
      <c r="A1356" t="str">
        <f>'Raw Data'!A1356</f>
        <v>Denver RM-19</v>
      </c>
      <c r="B1356" t="str">
        <f>'Raw Data'!B1356</f>
        <v>West</v>
      </c>
      <c r="C1356" t="str">
        <f>'Raw Data'!C1356</f>
        <v>Grocery</v>
      </c>
      <c r="D1356" s="3">
        <f>'Raw Data'!D1356</f>
        <v>45931</v>
      </c>
      <c r="E1356" t="str">
        <f t="shared" si="105"/>
        <v>Oct</v>
      </c>
      <c r="F1356" s="5">
        <f>'Raw Data'!E1356</f>
        <v>177</v>
      </c>
      <c r="G1356" s="4">
        <f>'Raw Data'!F1356</f>
        <v>3392.63</v>
      </c>
      <c r="H1356" s="4">
        <f>'Raw Data'!G1356</f>
        <v>3186.16</v>
      </c>
      <c r="I1356" s="4">
        <f t="shared" si="106"/>
        <v>206.47000000000025</v>
      </c>
      <c r="J1356" s="8">
        <f t="shared" si="107"/>
        <v>6.0858390098537198E-2</v>
      </c>
      <c r="K1356" s="6">
        <f>'Raw Data'!I1356</f>
        <v>3.64</v>
      </c>
      <c r="L1356" s="5">
        <f>'Raw Data'!J1356</f>
        <v>24</v>
      </c>
      <c r="M1356" s="5">
        <f>IF(COUNTIFS($A$2:A1356,A1356,$D$2:D1356,D1356)=1,L1356,0)</f>
        <v>0</v>
      </c>
      <c r="N1356" s="4">
        <f t="shared" si="108"/>
        <v>141.35958333333335</v>
      </c>
      <c r="O1356" t="str">
        <f t="shared" si="109"/>
        <v>OK</v>
      </c>
    </row>
    <row r="1357" spans="1:15">
      <c r="A1357" t="str">
        <f>'Raw Data'!A1357</f>
        <v>Denver RM-19</v>
      </c>
      <c r="B1357" t="str">
        <f>'Raw Data'!B1357</f>
        <v>West</v>
      </c>
      <c r="C1357" t="str">
        <f>'Raw Data'!C1357</f>
        <v>Sports</v>
      </c>
      <c r="D1357" s="3">
        <f>'Raw Data'!D1357</f>
        <v>45931</v>
      </c>
      <c r="E1357" t="str">
        <f t="shared" si="105"/>
        <v>Oct</v>
      </c>
      <c r="F1357" s="5">
        <f>'Raw Data'!E1357</f>
        <v>92</v>
      </c>
      <c r="G1357" s="4">
        <f>'Raw Data'!F1357</f>
        <v>5819.89</v>
      </c>
      <c r="H1357" s="4">
        <f>'Raw Data'!G1357</f>
        <v>3806.13</v>
      </c>
      <c r="I1357" s="4">
        <f t="shared" si="106"/>
        <v>2013.7600000000002</v>
      </c>
      <c r="J1357" s="8">
        <f t="shared" si="107"/>
        <v>0.34601341262463725</v>
      </c>
      <c r="K1357" s="6">
        <f>'Raw Data'!I1357</f>
        <v>3.97</v>
      </c>
      <c r="L1357" s="5">
        <f>'Raw Data'!J1357</f>
        <v>24</v>
      </c>
      <c r="M1357" s="5">
        <f>IF(COUNTIFS($A$2:A1357,A1357,$D$2:D1357,D1357)=1,L1357,0)</f>
        <v>0</v>
      </c>
      <c r="N1357" s="4">
        <f t="shared" si="108"/>
        <v>242.49541666666667</v>
      </c>
      <c r="O1357" t="str">
        <f t="shared" si="109"/>
        <v>OK</v>
      </c>
    </row>
    <row r="1358" spans="1:15">
      <c r="A1358" t="str">
        <f>'Raw Data'!A1358</f>
        <v>Denver RM-19</v>
      </c>
      <c r="B1358" t="str">
        <f>'Raw Data'!B1358</f>
        <v>West</v>
      </c>
      <c r="C1358" t="str">
        <f>'Raw Data'!C1358</f>
        <v>Electronics</v>
      </c>
      <c r="D1358" s="3">
        <f>'Raw Data'!D1358</f>
        <v>45962</v>
      </c>
      <c r="E1358" t="str">
        <f t="shared" si="105"/>
        <v>Nov</v>
      </c>
      <c r="F1358" s="5">
        <f>'Raw Data'!E1358</f>
        <v>215</v>
      </c>
      <c r="G1358" s="4">
        <f>'Raw Data'!F1358</f>
        <v>31505.15</v>
      </c>
      <c r="H1358" s="4">
        <f>'Raw Data'!G1358</f>
        <v>25405.41</v>
      </c>
      <c r="I1358" s="4">
        <f t="shared" si="106"/>
        <v>6099.7400000000016</v>
      </c>
      <c r="J1358" s="8">
        <f t="shared" si="107"/>
        <v>0.19361088583929933</v>
      </c>
      <c r="K1358" s="6">
        <f>'Raw Data'!I1358</f>
        <v>3.76</v>
      </c>
      <c r="L1358" s="5">
        <f>'Raw Data'!J1358</f>
        <v>25</v>
      </c>
      <c r="M1358" s="5">
        <f>IF(COUNTIFS($A$2:A1358,A1358,$D$2:D1358,D1358)=1,L1358,0)</f>
        <v>25</v>
      </c>
      <c r="N1358" s="4">
        <f t="shared" si="108"/>
        <v>1260.2060000000001</v>
      </c>
      <c r="O1358" t="str">
        <f t="shared" si="109"/>
        <v>OK</v>
      </c>
    </row>
    <row r="1359" spans="1:15">
      <c r="A1359" t="str">
        <f>'Raw Data'!A1359</f>
        <v>Denver RM-19</v>
      </c>
      <c r="B1359" t="str">
        <f>'Raw Data'!B1359</f>
        <v>West</v>
      </c>
      <c r="C1359" t="str">
        <f>'Raw Data'!C1359</f>
        <v>Home Goods</v>
      </c>
      <c r="D1359" s="3">
        <f>'Raw Data'!D1359</f>
        <v>45962</v>
      </c>
      <c r="E1359" t="str">
        <f t="shared" si="105"/>
        <v>Nov</v>
      </c>
      <c r="F1359" s="5">
        <f>'Raw Data'!E1359</f>
        <v>127</v>
      </c>
      <c r="G1359" s="4">
        <f>'Raw Data'!F1359</f>
        <v>10167.030000000001</v>
      </c>
      <c r="H1359" s="4">
        <f>'Raw Data'!G1359</f>
        <v>7200.9</v>
      </c>
      <c r="I1359" s="4">
        <f t="shared" si="106"/>
        <v>2966.130000000001</v>
      </c>
      <c r="J1359" s="8">
        <f t="shared" si="107"/>
        <v>0.29174006568289862</v>
      </c>
      <c r="K1359" s="6">
        <f>'Raw Data'!I1359</f>
        <v>3.65</v>
      </c>
      <c r="L1359" s="5">
        <f>'Raw Data'!J1359</f>
        <v>25</v>
      </c>
      <c r="M1359" s="5">
        <f>IF(COUNTIFS($A$2:A1359,A1359,$D$2:D1359,D1359)=1,L1359,0)</f>
        <v>0</v>
      </c>
      <c r="N1359" s="4">
        <f t="shared" si="108"/>
        <v>406.68120000000005</v>
      </c>
      <c r="O1359" t="str">
        <f t="shared" si="109"/>
        <v>OK</v>
      </c>
    </row>
    <row r="1360" spans="1:15">
      <c r="A1360" t="str">
        <f>'Raw Data'!A1360</f>
        <v>Denver RM-19</v>
      </c>
      <c r="B1360" t="str">
        <f>'Raw Data'!B1360</f>
        <v>West</v>
      </c>
      <c r="C1360" t="str">
        <f>'Raw Data'!C1360</f>
        <v>Apparel</v>
      </c>
      <c r="D1360" s="3">
        <f>'Raw Data'!D1360</f>
        <v>45962</v>
      </c>
      <c r="E1360" t="str">
        <f t="shared" si="105"/>
        <v>Nov</v>
      </c>
      <c r="F1360" s="5">
        <f>'Raw Data'!E1360</f>
        <v>185</v>
      </c>
      <c r="G1360" s="4">
        <f>'Raw Data'!F1360</f>
        <v>9283.43</v>
      </c>
      <c r="H1360" s="4">
        <f>'Raw Data'!G1360</f>
        <v>6010.25</v>
      </c>
      <c r="I1360" s="4">
        <f t="shared" si="106"/>
        <v>3273.1800000000003</v>
      </c>
      <c r="J1360" s="8">
        <f t="shared" si="107"/>
        <v>0.35258304312091548</v>
      </c>
      <c r="K1360" s="6">
        <f>'Raw Data'!I1360</f>
        <v>3.76</v>
      </c>
      <c r="L1360" s="5">
        <f>'Raw Data'!J1360</f>
        <v>25</v>
      </c>
      <c r="M1360" s="5">
        <f>IF(COUNTIFS($A$2:A1360,A1360,$D$2:D1360,D1360)=1,L1360,0)</f>
        <v>0</v>
      </c>
      <c r="N1360" s="4">
        <f t="shared" si="108"/>
        <v>371.3372</v>
      </c>
      <c r="O1360" t="str">
        <f t="shared" si="109"/>
        <v>OK</v>
      </c>
    </row>
    <row r="1361" spans="1:15">
      <c r="A1361" t="str">
        <f>'Raw Data'!A1361</f>
        <v>Denver RM-19</v>
      </c>
      <c r="B1361" t="str">
        <f>'Raw Data'!B1361</f>
        <v>West</v>
      </c>
      <c r="C1361" t="str">
        <f>'Raw Data'!C1361</f>
        <v>Beauty</v>
      </c>
      <c r="D1361" s="3">
        <f>'Raw Data'!D1361</f>
        <v>45962</v>
      </c>
      <c r="E1361" t="str">
        <f t="shared" si="105"/>
        <v>Nov</v>
      </c>
      <c r="F1361" s="5">
        <f>'Raw Data'!E1361</f>
        <v>135</v>
      </c>
      <c r="G1361" s="4">
        <f>'Raw Data'!F1361</f>
        <v>4716.7299999999996</v>
      </c>
      <c r="H1361" s="4">
        <f>'Raw Data'!G1361</f>
        <v>2431.86</v>
      </c>
      <c r="I1361" s="4">
        <f t="shared" si="106"/>
        <v>2284.8699999999994</v>
      </c>
      <c r="J1361" s="8">
        <f t="shared" si="107"/>
        <v>0.48441823042658783</v>
      </c>
      <c r="K1361" s="6">
        <f>'Raw Data'!I1361</f>
        <v>3.7</v>
      </c>
      <c r="L1361" s="5">
        <f>'Raw Data'!J1361</f>
        <v>25</v>
      </c>
      <c r="M1361" s="5">
        <f>IF(COUNTIFS($A$2:A1361,A1361,$D$2:D1361,D1361)=1,L1361,0)</f>
        <v>0</v>
      </c>
      <c r="N1361" s="4">
        <f t="shared" si="108"/>
        <v>188.66919999999999</v>
      </c>
      <c r="O1361" t="str">
        <f t="shared" si="109"/>
        <v>OK</v>
      </c>
    </row>
    <row r="1362" spans="1:15">
      <c r="A1362" t="str">
        <f>'Raw Data'!A1362</f>
        <v>Denver RM-19</v>
      </c>
      <c r="B1362" t="str">
        <f>'Raw Data'!B1362</f>
        <v>West</v>
      </c>
      <c r="C1362" t="str">
        <f>'Raw Data'!C1362</f>
        <v>Grocery</v>
      </c>
      <c r="D1362" s="3">
        <f>'Raw Data'!D1362</f>
        <v>45962</v>
      </c>
      <c r="E1362" t="str">
        <f t="shared" si="105"/>
        <v>Nov</v>
      </c>
      <c r="F1362" s="5">
        <f>'Raw Data'!E1362</f>
        <v>234</v>
      </c>
      <c r="G1362" s="4">
        <f>'Raw Data'!F1362</f>
        <v>4353.8</v>
      </c>
      <c r="H1362" s="4">
        <f>'Raw Data'!G1362</f>
        <v>4009.52</v>
      </c>
      <c r="I1362" s="4">
        <f t="shared" si="106"/>
        <v>344.2800000000002</v>
      </c>
      <c r="J1362" s="8">
        <f t="shared" si="107"/>
        <v>7.90757499196105E-2</v>
      </c>
      <c r="K1362" s="6">
        <f>'Raw Data'!I1362</f>
        <v>3.75</v>
      </c>
      <c r="L1362" s="5">
        <f>'Raw Data'!J1362</f>
        <v>25</v>
      </c>
      <c r="M1362" s="5">
        <f>IF(COUNTIFS($A$2:A1362,A1362,$D$2:D1362,D1362)=1,L1362,0)</f>
        <v>0</v>
      </c>
      <c r="N1362" s="4">
        <f t="shared" si="108"/>
        <v>174.15200000000002</v>
      </c>
      <c r="O1362" t="str">
        <f t="shared" si="109"/>
        <v>OK</v>
      </c>
    </row>
    <row r="1363" spans="1:15">
      <c r="A1363" t="str">
        <f>'Raw Data'!A1363</f>
        <v>Denver RM-19</v>
      </c>
      <c r="B1363" t="str">
        <f>'Raw Data'!B1363</f>
        <v>West</v>
      </c>
      <c r="C1363" t="str">
        <f>'Raw Data'!C1363</f>
        <v>Sports</v>
      </c>
      <c r="D1363" s="3">
        <f>'Raw Data'!D1363</f>
        <v>45962</v>
      </c>
      <c r="E1363" t="str">
        <f t="shared" si="105"/>
        <v>Nov</v>
      </c>
      <c r="F1363" s="5">
        <f>'Raw Data'!E1363</f>
        <v>101</v>
      </c>
      <c r="G1363" s="4">
        <f>'Raw Data'!F1363</f>
        <v>6386.32</v>
      </c>
      <c r="H1363" s="4">
        <f>'Raw Data'!G1363</f>
        <v>4364.5</v>
      </c>
      <c r="I1363" s="4">
        <f t="shared" si="106"/>
        <v>2021.8199999999997</v>
      </c>
      <c r="J1363" s="8">
        <f t="shared" si="107"/>
        <v>0.3165860777411717</v>
      </c>
      <c r="K1363" s="6">
        <f>'Raw Data'!I1363</f>
        <v>3.97</v>
      </c>
      <c r="L1363" s="5">
        <f>'Raw Data'!J1363</f>
        <v>25</v>
      </c>
      <c r="M1363" s="5">
        <f>IF(COUNTIFS($A$2:A1363,A1363,$D$2:D1363,D1363)=1,L1363,0)</f>
        <v>0</v>
      </c>
      <c r="N1363" s="4">
        <f t="shared" si="108"/>
        <v>255.4528</v>
      </c>
      <c r="O1363" t="str">
        <f t="shared" si="109"/>
        <v>OK</v>
      </c>
    </row>
    <row r="1364" spans="1:15">
      <c r="A1364" t="str">
        <f>'Raw Data'!A1364</f>
        <v>Denver RM-19</v>
      </c>
      <c r="B1364" t="str">
        <f>'Raw Data'!B1364</f>
        <v>West</v>
      </c>
      <c r="C1364" t="str">
        <f>'Raw Data'!C1364</f>
        <v>Electronics</v>
      </c>
      <c r="D1364" s="3">
        <f>'Raw Data'!D1364</f>
        <v>45992</v>
      </c>
      <c r="E1364" t="str">
        <f t="shared" si="105"/>
        <v>Dec</v>
      </c>
      <c r="F1364" s="5">
        <f>'Raw Data'!E1364</f>
        <v>218</v>
      </c>
      <c r="G1364" s="4">
        <f>'Raw Data'!F1364</f>
        <v>31507.279999999999</v>
      </c>
      <c r="H1364" s="4">
        <f>'Raw Data'!G1364</f>
        <v>26798.18</v>
      </c>
      <c r="I1364" s="4">
        <f t="shared" si="106"/>
        <v>4709.0999999999985</v>
      </c>
      <c r="J1364" s="8">
        <f t="shared" si="107"/>
        <v>0.1494606960677024</v>
      </c>
      <c r="K1364" s="6">
        <f>'Raw Data'!I1364</f>
        <v>3.72</v>
      </c>
      <c r="L1364" s="5">
        <f>'Raw Data'!J1364</f>
        <v>27</v>
      </c>
      <c r="M1364" s="5">
        <f>IF(COUNTIFS($A$2:A1364,A1364,$D$2:D1364,D1364)=1,L1364,0)</f>
        <v>27</v>
      </c>
      <c r="N1364" s="4">
        <f t="shared" si="108"/>
        <v>1166.9362962962962</v>
      </c>
      <c r="O1364" t="str">
        <f t="shared" si="109"/>
        <v>OK</v>
      </c>
    </row>
    <row r="1365" spans="1:15">
      <c r="A1365" t="str">
        <f>'Raw Data'!A1365</f>
        <v>Denver RM-19</v>
      </c>
      <c r="B1365" t="str">
        <f>'Raw Data'!B1365</f>
        <v>West</v>
      </c>
      <c r="C1365" t="str">
        <f>'Raw Data'!C1365</f>
        <v>Home Goods</v>
      </c>
      <c r="D1365" s="3">
        <f>'Raw Data'!D1365</f>
        <v>45992</v>
      </c>
      <c r="E1365" t="str">
        <f t="shared" si="105"/>
        <v>Dec</v>
      </c>
      <c r="F1365" s="5">
        <f>'Raw Data'!E1365</f>
        <v>121</v>
      </c>
      <c r="G1365" s="4">
        <f>'Raw Data'!F1365</f>
        <v>9241.99</v>
      </c>
      <c r="H1365" s="4">
        <f>'Raw Data'!G1365</f>
        <v>6763.39</v>
      </c>
      <c r="I1365" s="4">
        <f t="shared" si="106"/>
        <v>2478.5999999999995</v>
      </c>
      <c r="J1365" s="8">
        <f t="shared" si="107"/>
        <v>0.26818899392879669</v>
      </c>
      <c r="K1365" s="6">
        <f>'Raw Data'!I1365</f>
        <v>3.93</v>
      </c>
      <c r="L1365" s="5">
        <f>'Raw Data'!J1365</f>
        <v>27</v>
      </c>
      <c r="M1365" s="5">
        <f>IF(COUNTIFS($A$2:A1365,A1365,$D$2:D1365,D1365)=1,L1365,0)</f>
        <v>0</v>
      </c>
      <c r="N1365" s="4">
        <f t="shared" si="108"/>
        <v>342.29592592592593</v>
      </c>
      <c r="O1365" t="str">
        <f t="shared" si="109"/>
        <v>OK</v>
      </c>
    </row>
    <row r="1366" spans="1:15">
      <c r="A1366" t="str">
        <f>'Raw Data'!A1366</f>
        <v>Denver RM-19</v>
      </c>
      <c r="B1366" t="str">
        <f>'Raw Data'!B1366</f>
        <v>West</v>
      </c>
      <c r="C1366" t="str">
        <f>'Raw Data'!C1366</f>
        <v>Apparel</v>
      </c>
      <c r="D1366" s="3">
        <f>'Raw Data'!D1366</f>
        <v>45992</v>
      </c>
      <c r="E1366" t="str">
        <f t="shared" si="105"/>
        <v>Dec</v>
      </c>
      <c r="F1366" s="5">
        <f>'Raw Data'!E1366</f>
        <v>244</v>
      </c>
      <c r="G1366" s="4">
        <f>'Raw Data'!F1366</f>
        <v>11555.14</v>
      </c>
      <c r="H1366" s="4">
        <f>'Raw Data'!G1366</f>
        <v>7479.96</v>
      </c>
      <c r="I1366" s="4">
        <f t="shared" si="106"/>
        <v>4075.1799999999994</v>
      </c>
      <c r="J1366" s="8">
        <f t="shared" si="107"/>
        <v>0.35267249033763326</v>
      </c>
      <c r="K1366" s="6">
        <f>'Raw Data'!I1366</f>
        <v>3.77</v>
      </c>
      <c r="L1366" s="5">
        <f>'Raw Data'!J1366</f>
        <v>27</v>
      </c>
      <c r="M1366" s="5">
        <f>IF(COUNTIFS($A$2:A1366,A1366,$D$2:D1366,D1366)=1,L1366,0)</f>
        <v>0</v>
      </c>
      <c r="N1366" s="4">
        <f t="shared" si="108"/>
        <v>427.96814814814815</v>
      </c>
      <c r="O1366" t="str">
        <f t="shared" si="109"/>
        <v>OK</v>
      </c>
    </row>
    <row r="1367" spans="1:15">
      <c r="A1367" t="str">
        <f>'Raw Data'!A1367</f>
        <v>Denver RM-19</v>
      </c>
      <c r="B1367" t="str">
        <f>'Raw Data'!B1367</f>
        <v>West</v>
      </c>
      <c r="C1367" t="str">
        <f>'Raw Data'!C1367</f>
        <v>Beauty</v>
      </c>
      <c r="D1367" s="3">
        <f>'Raw Data'!D1367</f>
        <v>45992</v>
      </c>
      <c r="E1367" t="str">
        <f t="shared" si="105"/>
        <v>Dec</v>
      </c>
      <c r="F1367" s="5">
        <f>'Raw Data'!E1367</f>
        <v>161</v>
      </c>
      <c r="G1367" s="4">
        <f>'Raw Data'!F1367</f>
        <v>5667.16</v>
      </c>
      <c r="H1367" s="4">
        <f>'Raw Data'!G1367</f>
        <v>3177.09</v>
      </c>
      <c r="I1367" s="4">
        <f t="shared" si="106"/>
        <v>2490.0699999999997</v>
      </c>
      <c r="J1367" s="8">
        <f t="shared" si="107"/>
        <v>0.43938586523055634</v>
      </c>
      <c r="K1367" s="6">
        <f>'Raw Data'!I1367</f>
        <v>3.81</v>
      </c>
      <c r="L1367" s="5">
        <f>'Raw Data'!J1367</f>
        <v>27</v>
      </c>
      <c r="M1367" s="5">
        <f>IF(COUNTIFS($A$2:A1367,A1367,$D$2:D1367,D1367)=1,L1367,0)</f>
        <v>0</v>
      </c>
      <c r="N1367" s="4">
        <f t="shared" si="108"/>
        <v>209.89481481481482</v>
      </c>
      <c r="O1367" t="str">
        <f t="shared" si="109"/>
        <v>OK</v>
      </c>
    </row>
    <row r="1368" spans="1:15">
      <c r="A1368" t="str">
        <f>'Raw Data'!A1368</f>
        <v>Denver RM-19</v>
      </c>
      <c r="B1368" t="str">
        <f>'Raw Data'!B1368</f>
        <v>West</v>
      </c>
      <c r="C1368" t="str">
        <f>'Raw Data'!C1368</f>
        <v>Grocery</v>
      </c>
      <c r="D1368" s="3">
        <f>'Raw Data'!D1368</f>
        <v>45992</v>
      </c>
      <c r="E1368" t="str">
        <f t="shared" si="105"/>
        <v>Dec</v>
      </c>
      <c r="F1368" s="5">
        <f>'Raw Data'!E1368</f>
        <v>268</v>
      </c>
      <c r="G1368" s="4">
        <f>'Raw Data'!F1368</f>
        <v>4589.24</v>
      </c>
      <c r="H1368" s="4">
        <f>'Raw Data'!G1368</f>
        <v>4506.34</v>
      </c>
      <c r="I1368" s="4">
        <f t="shared" si="106"/>
        <v>82.899999999999636</v>
      </c>
      <c r="J1368" s="8">
        <f t="shared" si="107"/>
        <v>1.8063993166624461E-2</v>
      </c>
      <c r="K1368" s="6">
        <f>'Raw Data'!I1368</f>
        <v>3.85</v>
      </c>
      <c r="L1368" s="5">
        <f>'Raw Data'!J1368</f>
        <v>27</v>
      </c>
      <c r="M1368" s="5">
        <f>IF(COUNTIFS($A$2:A1368,A1368,$D$2:D1368,D1368)=1,L1368,0)</f>
        <v>0</v>
      </c>
      <c r="N1368" s="4">
        <f t="shared" si="108"/>
        <v>169.97185185185185</v>
      </c>
      <c r="O1368" t="str">
        <f t="shared" si="109"/>
        <v>OK</v>
      </c>
    </row>
    <row r="1369" spans="1:15">
      <c r="A1369" t="str">
        <f>'Raw Data'!A1369</f>
        <v>Denver RM-19</v>
      </c>
      <c r="B1369" t="str">
        <f>'Raw Data'!B1369</f>
        <v>West</v>
      </c>
      <c r="C1369" t="str">
        <f>'Raw Data'!C1369</f>
        <v>Sports</v>
      </c>
      <c r="D1369" s="3">
        <f>'Raw Data'!D1369</f>
        <v>45992</v>
      </c>
      <c r="E1369" t="str">
        <f t="shared" si="105"/>
        <v>Dec</v>
      </c>
      <c r="F1369" s="5">
        <f>'Raw Data'!E1369</f>
        <v>98</v>
      </c>
      <c r="G1369" s="4">
        <f>'Raw Data'!F1369</f>
        <v>5758.07</v>
      </c>
      <c r="H1369" s="4">
        <f>'Raw Data'!G1369</f>
        <v>4173.8100000000004</v>
      </c>
      <c r="I1369" s="4">
        <f t="shared" si="106"/>
        <v>1584.2599999999993</v>
      </c>
      <c r="J1369" s="8">
        <f t="shared" si="107"/>
        <v>0.27513732900086302</v>
      </c>
      <c r="K1369" s="6">
        <f>'Raw Data'!I1369</f>
        <v>3.86</v>
      </c>
      <c r="L1369" s="5">
        <f>'Raw Data'!J1369</f>
        <v>27</v>
      </c>
      <c r="M1369" s="5">
        <f>IF(COUNTIFS($A$2:A1369,A1369,$D$2:D1369,D1369)=1,L1369,0)</f>
        <v>0</v>
      </c>
      <c r="N1369" s="4">
        <f t="shared" si="108"/>
        <v>213.26185185185184</v>
      </c>
      <c r="O1369" t="str">
        <f t="shared" si="109"/>
        <v>OK</v>
      </c>
    </row>
    <row r="1370" spans="1:15">
      <c r="A1370" t="str">
        <f>'Raw Data'!A1370</f>
        <v>Las Vegas RM-20</v>
      </c>
      <c r="B1370" t="str">
        <f>'Raw Data'!B1370</f>
        <v>West</v>
      </c>
      <c r="C1370" t="str">
        <f>'Raw Data'!C1370</f>
        <v>Electronics</v>
      </c>
      <c r="D1370" s="3">
        <f>'Raw Data'!D1370</f>
        <v>45658</v>
      </c>
      <c r="E1370" t="str">
        <f t="shared" si="105"/>
        <v>Jan</v>
      </c>
      <c r="F1370" s="5">
        <f>'Raw Data'!E1370</f>
        <v>115</v>
      </c>
      <c r="G1370" s="4">
        <f>'Raw Data'!F1370</f>
        <v>17119.87</v>
      </c>
      <c r="H1370" s="4">
        <f>'Raw Data'!G1370</f>
        <v>12736.34</v>
      </c>
      <c r="I1370" s="4">
        <f t="shared" si="106"/>
        <v>4383.5299999999988</v>
      </c>
      <c r="J1370" s="8">
        <f t="shared" si="107"/>
        <v>0.25604925738337964</v>
      </c>
      <c r="K1370" s="6">
        <f>'Raw Data'!I1370</f>
        <v>3.81</v>
      </c>
      <c r="L1370" s="5">
        <f>'Raw Data'!J1370</f>
        <v>28</v>
      </c>
      <c r="M1370" s="5">
        <f>IF(COUNTIFS($A$2:A1370,A1370,$D$2:D1370,D1370)=1,L1370,0)</f>
        <v>28</v>
      </c>
      <c r="N1370" s="4">
        <f t="shared" si="108"/>
        <v>611.42392857142852</v>
      </c>
      <c r="O1370" t="str">
        <f t="shared" si="109"/>
        <v>OK</v>
      </c>
    </row>
    <row r="1371" spans="1:15">
      <c r="A1371" t="str">
        <f>'Raw Data'!A1371</f>
        <v>Las Vegas RM-20</v>
      </c>
      <c r="B1371" t="str">
        <f>'Raw Data'!B1371</f>
        <v>West</v>
      </c>
      <c r="C1371" t="str">
        <f>'Raw Data'!C1371</f>
        <v>Home Goods</v>
      </c>
      <c r="D1371" s="3">
        <f>'Raw Data'!D1371</f>
        <v>45658</v>
      </c>
      <c r="E1371" t="str">
        <f t="shared" si="105"/>
        <v>Jan</v>
      </c>
      <c r="F1371" s="5">
        <f>'Raw Data'!E1371</f>
        <v>103</v>
      </c>
      <c r="G1371" s="4">
        <f>'Raw Data'!F1371</f>
        <v>7970.71</v>
      </c>
      <c r="H1371" s="4">
        <f>'Raw Data'!G1371</f>
        <v>4968.7299999999996</v>
      </c>
      <c r="I1371" s="4">
        <f t="shared" si="106"/>
        <v>3001.9800000000005</v>
      </c>
      <c r="J1371" s="8">
        <f t="shared" si="107"/>
        <v>0.37662642349301384</v>
      </c>
      <c r="K1371" s="6">
        <f>'Raw Data'!I1371</f>
        <v>4</v>
      </c>
      <c r="L1371" s="5">
        <f>'Raw Data'!J1371</f>
        <v>28</v>
      </c>
      <c r="M1371" s="5">
        <f>IF(COUNTIFS($A$2:A1371,A1371,$D$2:D1371,D1371)=1,L1371,0)</f>
        <v>0</v>
      </c>
      <c r="N1371" s="4">
        <f t="shared" si="108"/>
        <v>284.66821428571427</v>
      </c>
      <c r="O1371" t="str">
        <f t="shared" si="109"/>
        <v>OK</v>
      </c>
    </row>
    <row r="1372" spans="1:15">
      <c r="A1372" t="str">
        <f>'Raw Data'!A1372</f>
        <v>Las Vegas RM-20</v>
      </c>
      <c r="B1372" t="str">
        <f>'Raw Data'!B1372</f>
        <v>West</v>
      </c>
      <c r="C1372" t="str">
        <f>'Raw Data'!C1372</f>
        <v>Apparel</v>
      </c>
      <c r="D1372" s="3">
        <f>'Raw Data'!D1372</f>
        <v>45658</v>
      </c>
      <c r="E1372" t="str">
        <f t="shared" si="105"/>
        <v>Jan</v>
      </c>
      <c r="F1372" s="5">
        <f>'Raw Data'!E1372</f>
        <v>132</v>
      </c>
      <c r="G1372" s="4">
        <f>'Raw Data'!F1372</f>
        <v>6167.52</v>
      </c>
      <c r="H1372" s="4">
        <f>'Raw Data'!G1372</f>
        <v>3494.22</v>
      </c>
      <c r="I1372" s="4">
        <f t="shared" si="106"/>
        <v>2673.3000000000006</v>
      </c>
      <c r="J1372" s="8">
        <f t="shared" si="107"/>
        <v>0.43344812825900858</v>
      </c>
      <c r="K1372" s="6">
        <f>'Raw Data'!I1372</f>
        <v>3.92</v>
      </c>
      <c r="L1372" s="5">
        <f>'Raw Data'!J1372</f>
        <v>28</v>
      </c>
      <c r="M1372" s="5">
        <f>IF(COUNTIFS($A$2:A1372,A1372,$D$2:D1372,D1372)=1,L1372,0)</f>
        <v>0</v>
      </c>
      <c r="N1372" s="4">
        <f t="shared" si="108"/>
        <v>220.26857142857145</v>
      </c>
      <c r="O1372" t="str">
        <f t="shared" si="109"/>
        <v>OK</v>
      </c>
    </row>
    <row r="1373" spans="1:15">
      <c r="A1373" t="str">
        <f>'Raw Data'!A1373</f>
        <v>Las Vegas RM-20</v>
      </c>
      <c r="B1373" t="str">
        <f>'Raw Data'!B1373</f>
        <v>West</v>
      </c>
      <c r="C1373" t="str">
        <f>'Raw Data'!C1373</f>
        <v>Beauty</v>
      </c>
      <c r="D1373" s="3">
        <f>'Raw Data'!D1373</f>
        <v>45658</v>
      </c>
      <c r="E1373" t="str">
        <f t="shared" si="105"/>
        <v>Jan</v>
      </c>
      <c r="F1373" s="5">
        <f>'Raw Data'!E1373</f>
        <v>128</v>
      </c>
      <c r="G1373" s="4">
        <f>'Raw Data'!F1373</f>
        <v>4937.38</v>
      </c>
      <c r="H1373" s="4">
        <f>'Raw Data'!G1373</f>
        <v>2282.11</v>
      </c>
      <c r="I1373" s="4">
        <f t="shared" si="106"/>
        <v>2655.27</v>
      </c>
      <c r="J1373" s="8">
        <f t="shared" si="107"/>
        <v>0.53778927285321365</v>
      </c>
      <c r="K1373" s="6">
        <f>'Raw Data'!I1373</f>
        <v>4.09</v>
      </c>
      <c r="L1373" s="5">
        <f>'Raw Data'!J1373</f>
        <v>28</v>
      </c>
      <c r="M1373" s="5">
        <f>IF(COUNTIFS($A$2:A1373,A1373,$D$2:D1373,D1373)=1,L1373,0)</f>
        <v>0</v>
      </c>
      <c r="N1373" s="4">
        <f t="shared" si="108"/>
        <v>176.33500000000001</v>
      </c>
      <c r="O1373" t="str">
        <f t="shared" si="109"/>
        <v>OK</v>
      </c>
    </row>
    <row r="1374" spans="1:15">
      <c r="A1374" t="str">
        <f>'Raw Data'!A1374</f>
        <v>Las Vegas RM-20</v>
      </c>
      <c r="B1374" t="str">
        <f>'Raw Data'!B1374</f>
        <v>West</v>
      </c>
      <c r="C1374" t="str">
        <f>'Raw Data'!C1374</f>
        <v>Grocery</v>
      </c>
      <c r="D1374" s="3">
        <f>'Raw Data'!D1374</f>
        <v>45658</v>
      </c>
      <c r="E1374" t="str">
        <f t="shared" si="105"/>
        <v>Jan</v>
      </c>
      <c r="F1374" s="5">
        <f>'Raw Data'!E1374</f>
        <v>176</v>
      </c>
      <c r="G1374" s="4">
        <f>'Raw Data'!F1374</f>
        <v>3077.91</v>
      </c>
      <c r="H1374" s="4">
        <f>'Raw Data'!G1374</f>
        <v>2684.62</v>
      </c>
      <c r="I1374" s="4">
        <f t="shared" si="106"/>
        <v>393.28999999999996</v>
      </c>
      <c r="J1374" s="8">
        <f t="shared" si="107"/>
        <v>0.12777826512146229</v>
      </c>
      <c r="K1374" s="6">
        <f>'Raw Data'!I1374</f>
        <v>3.82</v>
      </c>
      <c r="L1374" s="5">
        <f>'Raw Data'!J1374</f>
        <v>28</v>
      </c>
      <c r="M1374" s="5">
        <f>IF(COUNTIFS($A$2:A1374,A1374,$D$2:D1374,D1374)=1,L1374,0)</f>
        <v>0</v>
      </c>
      <c r="N1374" s="4">
        <f t="shared" si="108"/>
        <v>109.92535714285714</v>
      </c>
      <c r="O1374" t="str">
        <f t="shared" si="109"/>
        <v>OK</v>
      </c>
    </row>
    <row r="1375" spans="1:15">
      <c r="A1375" t="str">
        <f>'Raw Data'!A1375</f>
        <v>Las Vegas RM-20</v>
      </c>
      <c r="B1375" t="str">
        <f>'Raw Data'!B1375</f>
        <v>West</v>
      </c>
      <c r="C1375" t="str">
        <f>'Raw Data'!C1375</f>
        <v>Sports</v>
      </c>
      <c r="D1375" s="3">
        <f>'Raw Data'!D1375</f>
        <v>45658</v>
      </c>
      <c r="E1375" t="str">
        <f t="shared" si="105"/>
        <v>Jan</v>
      </c>
      <c r="F1375" s="5">
        <f>'Raw Data'!E1375</f>
        <v>88</v>
      </c>
      <c r="G1375" s="4">
        <f>'Raw Data'!F1375</f>
        <v>5648.22</v>
      </c>
      <c r="H1375" s="4">
        <f>'Raw Data'!G1375</f>
        <v>3455.07</v>
      </c>
      <c r="I1375" s="4">
        <f t="shared" si="106"/>
        <v>2193.15</v>
      </c>
      <c r="J1375" s="8">
        <f t="shared" si="107"/>
        <v>0.38829047027205033</v>
      </c>
      <c r="K1375" s="6">
        <f>'Raw Data'!I1375</f>
        <v>3.77</v>
      </c>
      <c r="L1375" s="5">
        <f>'Raw Data'!J1375</f>
        <v>28</v>
      </c>
      <c r="M1375" s="5">
        <f>IF(COUNTIFS($A$2:A1375,A1375,$D$2:D1375,D1375)=1,L1375,0)</f>
        <v>0</v>
      </c>
      <c r="N1375" s="4">
        <f t="shared" si="108"/>
        <v>201.72214285714287</v>
      </c>
      <c r="O1375" t="str">
        <f t="shared" si="109"/>
        <v>OK</v>
      </c>
    </row>
    <row r="1376" spans="1:15">
      <c r="A1376" t="str">
        <f>'Raw Data'!A1376</f>
        <v>Las Vegas RM-20</v>
      </c>
      <c r="B1376" t="str">
        <f>'Raw Data'!B1376</f>
        <v>West</v>
      </c>
      <c r="C1376" t="str">
        <f>'Raw Data'!C1376</f>
        <v>Electronics</v>
      </c>
      <c r="D1376" s="3">
        <f>'Raw Data'!D1376</f>
        <v>45689</v>
      </c>
      <c r="E1376" t="str">
        <f t="shared" si="105"/>
        <v>Feb</v>
      </c>
      <c r="F1376" s="5">
        <f>'Raw Data'!E1376</f>
        <v>97</v>
      </c>
      <c r="G1376" s="4">
        <f>'Raw Data'!F1376</f>
        <v>14854.59</v>
      </c>
      <c r="H1376" s="4">
        <f>'Raw Data'!G1376</f>
        <v>11209.96</v>
      </c>
      <c r="I1376" s="4">
        <f t="shared" si="106"/>
        <v>3644.630000000001</v>
      </c>
      <c r="J1376" s="8">
        <f t="shared" si="107"/>
        <v>0.24535379300270158</v>
      </c>
      <c r="K1376" s="6">
        <f>'Raw Data'!I1376</f>
        <v>3.94</v>
      </c>
      <c r="L1376" s="5">
        <f>'Raw Data'!J1376</f>
        <v>29</v>
      </c>
      <c r="M1376" s="5">
        <f>IF(COUNTIFS($A$2:A1376,A1376,$D$2:D1376,D1376)=1,L1376,0)</f>
        <v>29</v>
      </c>
      <c r="N1376" s="4">
        <f t="shared" si="108"/>
        <v>512.22724137931039</v>
      </c>
      <c r="O1376" t="str">
        <f t="shared" si="109"/>
        <v>OK</v>
      </c>
    </row>
    <row r="1377" spans="1:15">
      <c r="A1377" t="str">
        <f>'Raw Data'!A1377</f>
        <v>Las Vegas RM-20</v>
      </c>
      <c r="B1377" t="str">
        <f>'Raw Data'!B1377</f>
        <v>West</v>
      </c>
      <c r="C1377" t="str">
        <f>'Raw Data'!C1377</f>
        <v>Home Goods</v>
      </c>
      <c r="D1377" s="3">
        <f>'Raw Data'!D1377</f>
        <v>45689</v>
      </c>
      <c r="E1377" t="str">
        <f t="shared" si="105"/>
        <v>Feb</v>
      </c>
      <c r="F1377" s="5">
        <f>'Raw Data'!E1377</f>
        <v>100</v>
      </c>
      <c r="G1377" s="4">
        <f>'Raw Data'!F1377</f>
        <v>8022.2</v>
      </c>
      <c r="H1377" s="4">
        <f>'Raw Data'!G1377</f>
        <v>5306.55</v>
      </c>
      <c r="I1377" s="4">
        <f t="shared" si="106"/>
        <v>2715.6499999999996</v>
      </c>
      <c r="J1377" s="8">
        <f t="shared" si="107"/>
        <v>0.33851686569768885</v>
      </c>
      <c r="K1377" s="6">
        <f>'Raw Data'!I1377</f>
        <v>3.91</v>
      </c>
      <c r="L1377" s="5">
        <f>'Raw Data'!J1377</f>
        <v>29</v>
      </c>
      <c r="M1377" s="5">
        <f>IF(COUNTIFS($A$2:A1377,A1377,$D$2:D1377,D1377)=1,L1377,0)</f>
        <v>0</v>
      </c>
      <c r="N1377" s="4">
        <f t="shared" si="108"/>
        <v>276.62758620689652</v>
      </c>
      <c r="O1377" t="str">
        <f t="shared" si="109"/>
        <v>OK</v>
      </c>
    </row>
    <row r="1378" spans="1:15">
      <c r="A1378" t="str">
        <f>'Raw Data'!A1378</f>
        <v>Las Vegas RM-20</v>
      </c>
      <c r="B1378" t="str">
        <f>'Raw Data'!B1378</f>
        <v>West</v>
      </c>
      <c r="C1378" t="str">
        <f>'Raw Data'!C1378</f>
        <v>Apparel</v>
      </c>
      <c r="D1378" s="3">
        <f>'Raw Data'!D1378</f>
        <v>45689</v>
      </c>
      <c r="E1378" t="str">
        <f t="shared" si="105"/>
        <v>Feb</v>
      </c>
      <c r="F1378" s="5">
        <f>'Raw Data'!E1378</f>
        <v>112</v>
      </c>
      <c r="G1378" s="4">
        <f>'Raw Data'!F1378</f>
        <v>5575.19</v>
      </c>
      <c r="H1378" s="4">
        <f>'Raw Data'!G1378</f>
        <v>3360.78</v>
      </c>
      <c r="I1378" s="4">
        <f t="shared" si="106"/>
        <v>2214.4099999999994</v>
      </c>
      <c r="J1378" s="8">
        <f t="shared" si="107"/>
        <v>0.3971900509220313</v>
      </c>
      <c r="K1378" s="6">
        <f>'Raw Data'!I1378</f>
        <v>4.07</v>
      </c>
      <c r="L1378" s="5">
        <f>'Raw Data'!J1378</f>
        <v>29</v>
      </c>
      <c r="M1378" s="5">
        <f>IF(COUNTIFS($A$2:A1378,A1378,$D$2:D1378,D1378)=1,L1378,0)</f>
        <v>0</v>
      </c>
      <c r="N1378" s="4">
        <f t="shared" si="108"/>
        <v>192.24793103448275</v>
      </c>
      <c r="O1378" t="str">
        <f t="shared" si="109"/>
        <v>OK</v>
      </c>
    </row>
    <row r="1379" spans="1:15">
      <c r="A1379" t="str">
        <f>'Raw Data'!A1379</f>
        <v>Las Vegas RM-20</v>
      </c>
      <c r="B1379" t="str">
        <f>'Raw Data'!B1379</f>
        <v>West</v>
      </c>
      <c r="C1379" t="str">
        <f>'Raw Data'!C1379</f>
        <v>Beauty</v>
      </c>
      <c r="D1379" s="3">
        <f>'Raw Data'!D1379</f>
        <v>45689</v>
      </c>
      <c r="E1379" t="str">
        <f t="shared" si="105"/>
        <v>Feb</v>
      </c>
      <c r="F1379" s="5">
        <f>'Raw Data'!E1379</f>
        <v>112</v>
      </c>
      <c r="G1379" s="4">
        <f>'Raw Data'!F1379</f>
        <v>3896.4</v>
      </c>
      <c r="H1379" s="4">
        <f>'Raw Data'!G1379</f>
        <v>1857.56</v>
      </c>
      <c r="I1379" s="4">
        <f t="shared" si="106"/>
        <v>2038.8400000000001</v>
      </c>
      <c r="J1379" s="8">
        <f t="shared" si="107"/>
        <v>0.52326249871676422</v>
      </c>
      <c r="K1379" s="6">
        <f>'Raw Data'!I1379</f>
        <v>3.78</v>
      </c>
      <c r="L1379" s="5">
        <f>'Raw Data'!J1379</f>
        <v>29</v>
      </c>
      <c r="M1379" s="5">
        <f>IF(COUNTIFS($A$2:A1379,A1379,$D$2:D1379,D1379)=1,L1379,0)</f>
        <v>0</v>
      </c>
      <c r="N1379" s="4">
        <f t="shared" si="108"/>
        <v>134.35862068965517</v>
      </c>
      <c r="O1379" t="str">
        <f t="shared" si="109"/>
        <v>OK</v>
      </c>
    </row>
    <row r="1380" spans="1:15">
      <c r="A1380" t="str">
        <f>'Raw Data'!A1380</f>
        <v>Las Vegas RM-20</v>
      </c>
      <c r="B1380" t="str">
        <f>'Raw Data'!B1380</f>
        <v>West</v>
      </c>
      <c r="C1380" t="str">
        <f>'Raw Data'!C1380</f>
        <v>Grocery</v>
      </c>
      <c r="D1380" s="3">
        <f>'Raw Data'!D1380</f>
        <v>45689</v>
      </c>
      <c r="E1380" t="str">
        <f t="shared" si="105"/>
        <v>Feb</v>
      </c>
      <c r="F1380" s="5">
        <f>'Raw Data'!E1380</f>
        <v>162</v>
      </c>
      <c r="G1380" s="4">
        <f>'Raw Data'!F1380</f>
        <v>3132.24</v>
      </c>
      <c r="H1380" s="4">
        <f>'Raw Data'!G1380</f>
        <v>2704.72</v>
      </c>
      <c r="I1380" s="4">
        <f t="shared" si="106"/>
        <v>427.52</v>
      </c>
      <c r="J1380" s="8">
        <f t="shared" si="107"/>
        <v>0.1364901795520139</v>
      </c>
      <c r="K1380" s="6">
        <f>'Raw Data'!I1380</f>
        <v>3.78</v>
      </c>
      <c r="L1380" s="5">
        <f>'Raw Data'!J1380</f>
        <v>29</v>
      </c>
      <c r="M1380" s="5">
        <f>IF(COUNTIFS($A$2:A1380,A1380,$D$2:D1380,D1380)=1,L1380,0)</f>
        <v>0</v>
      </c>
      <c r="N1380" s="4">
        <f t="shared" si="108"/>
        <v>108.00827586206896</v>
      </c>
      <c r="O1380" t="str">
        <f t="shared" si="109"/>
        <v>OK</v>
      </c>
    </row>
    <row r="1381" spans="1:15">
      <c r="A1381" t="str">
        <f>'Raw Data'!A1381</f>
        <v>Las Vegas RM-20</v>
      </c>
      <c r="B1381" t="str">
        <f>'Raw Data'!B1381</f>
        <v>West</v>
      </c>
      <c r="C1381" t="str">
        <f>'Raw Data'!C1381</f>
        <v>Sports</v>
      </c>
      <c r="D1381" s="3">
        <f>'Raw Data'!D1381</f>
        <v>45689</v>
      </c>
      <c r="E1381" t="str">
        <f t="shared" si="105"/>
        <v>Feb</v>
      </c>
      <c r="F1381" s="5">
        <f>'Raw Data'!E1381</f>
        <v>79</v>
      </c>
      <c r="G1381" s="4">
        <f>'Raw Data'!F1381</f>
        <v>4680.9399999999996</v>
      </c>
      <c r="H1381" s="4">
        <f>'Raw Data'!G1381</f>
        <v>2868.37</v>
      </c>
      <c r="I1381" s="4">
        <f t="shared" si="106"/>
        <v>1812.5699999999997</v>
      </c>
      <c r="J1381" s="8">
        <f t="shared" si="107"/>
        <v>0.38722350638974218</v>
      </c>
      <c r="K1381" s="6">
        <f>'Raw Data'!I1381</f>
        <v>3.8</v>
      </c>
      <c r="L1381" s="5">
        <f>'Raw Data'!J1381</f>
        <v>29</v>
      </c>
      <c r="M1381" s="5">
        <f>IF(COUNTIFS($A$2:A1381,A1381,$D$2:D1381,D1381)=1,L1381,0)</f>
        <v>0</v>
      </c>
      <c r="N1381" s="4">
        <f t="shared" si="108"/>
        <v>161.41172413793103</v>
      </c>
      <c r="O1381" t="str">
        <f t="shared" si="109"/>
        <v>OK</v>
      </c>
    </row>
    <row r="1382" spans="1:15">
      <c r="A1382" t="str">
        <f>'Raw Data'!A1382</f>
        <v>Las Vegas RM-20</v>
      </c>
      <c r="B1382" t="str">
        <f>'Raw Data'!B1382</f>
        <v>West</v>
      </c>
      <c r="C1382" t="str">
        <f>'Raw Data'!C1382</f>
        <v>Electronics</v>
      </c>
      <c r="D1382" s="3">
        <f>'Raw Data'!D1382</f>
        <v>45717</v>
      </c>
      <c r="E1382" t="str">
        <f t="shared" si="105"/>
        <v>Mar</v>
      </c>
      <c r="F1382" s="5">
        <f>'Raw Data'!E1382</f>
        <v>105</v>
      </c>
      <c r="G1382" s="4">
        <f>'Raw Data'!F1382</f>
        <v>14936.39</v>
      </c>
      <c r="H1382" s="4">
        <f>'Raw Data'!G1382</f>
        <v>11702.2</v>
      </c>
      <c r="I1382" s="4">
        <f t="shared" si="106"/>
        <v>3234.1899999999987</v>
      </c>
      <c r="J1382" s="8">
        <f t="shared" si="107"/>
        <v>0.21653090204527325</v>
      </c>
      <c r="K1382" s="6">
        <f>'Raw Data'!I1382</f>
        <v>3.94</v>
      </c>
      <c r="L1382" s="5">
        <f>'Raw Data'!J1382</f>
        <v>29</v>
      </c>
      <c r="M1382" s="5">
        <f>IF(COUNTIFS($A$2:A1382,A1382,$D$2:D1382,D1382)=1,L1382,0)</f>
        <v>29</v>
      </c>
      <c r="N1382" s="4">
        <f t="shared" si="108"/>
        <v>515.04793103448276</v>
      </c>
      <c r="O1382" t="str">
        <f t="shared" si="109"/>
        <v>OK</v>
      </c>
    </row>
    <row r="1383" spans="1:15">
      <c r="A1383" t="str">
        <f>'Raw Data'!A1383</f>
        <v>Las Vegas RM-20</v>
      </c>
      <c r="B1383" t="str">
        <f>'Raw Data'!B1383</f>
        <v>West</v>
      </c>
      <c r="C1383" t="str">
        <f>'Raw Data'!C1383</f>
        <v>Home Goods</v>
      </c>
      <c r="D1383" s="3">
        <f>'Raw Data'!D1383</f>
        <v>45717</v>
      </c>
      <c r="E1383" t="str">
        <f t="shared" si="105"/>
        <v>Mar</v>
      </c>
      <c r="F1383" s="5">
        <f>'Raw Data'!E1383</f>
        <v>106</v>
      </c>
      <c r="G1383" s="4">
        <f>'Raw Data'!F1383</f>
        <v>7721.55</v>
      </c>
      <c r="H1383" s="4">
        <f>'Raw Data'!G1383</f>
        <v>4988.1400000000003</v>
      </c>
      <c r="I1383" s="4">
        <f t="shared" si="106"/>
        <v>2733.41</v>
      </c>
      <c r="J1383" s="8">
        <f t="shared" si="107"/>
        <v>0.35399757820644817</v>
      </c>
      <c r="K1383" s="6">
        <f>'Raw Data'!I1383</f>
        <v>3.91</v>
      </c>
      <c r="L1383" s="5">
        <f>'Raw Data'!J1383</f>
        <v>29</v>
      </c>
      <c r="M1383" s="5">
        <f>IF(COUNTIFS($A$2:A1383,A1383,$D$2:D1383,D1383)=1,L1383,0)</f>
        <v>0</v>
      </c>
      <c r="N1383" s="4">
        <f t="shared" si="108"/>
        <v>266.26034482758621</v>
      </c>
      <c r="O1383" t="str">
        <f t="shared" si="109"/>
        <v>OK</v>
      </c>
    </row>
    <row r="1384" spans="1:15">
      <c r="A1384" t="str">
        <f>'Raw Data'!A1384</f>
        <v>Las Vegas RM-20</v>
      </c>
      <c r="B1384" t="str">
        <f>'Raw Data'!B1384</f>
        <v>West</v>
      </c>
      <c r="C1384" t="str">
        <f>'Raw Data'!C1384</f>
        <v>Apparel</v>
      </c>
      <c r="D1384" s="3">
        <f>'Raw Data'!D1384</f>
        <v>45717</v>
      </c>
      <c r="E1384" t="str">
        <f t="shared" si="105"/>
        <v>Mar</v>
      </c>
      <c r="F1384" s="5">
        <f>'Raw Data'!E1384</f>
        <v>154</v>
      </c>
      <c r="G1384" s="4">
        <f>'Raw Data'!F1384</f>
        <v>7013.63</v>
      </c>
      <c r="H1384" s="4">
        <f>'Raw Data'!G1384</f>
        <v>4244.6899999999996</v>
      </c>
      <c r="I1384" s="4">
        <f t="shared" si="106"/>
        <v>2768.9400000000005</v>
      </c>
      <c r="J1384" s="8">
        <f t="shared" si="107"/>
        <v>0.39479413655981288</v>
      </c>
      <c r="K1384" s="6">
        <f>'Raw Data'!I1384</f>
        <v>3.83</v>
      </c>
      <c r="L1384" s="5">
        <f>'Raw Data'!J1384</f>
        <v>29</v>
      </c>
      <c r="M1384" s="5">
        <f>IF(COUNTIFS($A$2:A1384,A1384,$D$2:D1384,D1384)=1,L1384,0)</f>
        <v>0</v>
      </c>
      <c r="N1384" s="4">
        <f t="shared" si="108"/>
        <v>241.84931034482759</v>
      </c>
      <c r="O1384" t="str">
        <f t="shared" si="109"/>
        <v>OK</v>
      </c>
    </row>
    <row r="1385" spans="1:15">
      <c r="A1385" t="str">
        <f>'Raw Data'!A1385</f>
        <v>Las Vegas RM-20</v>
      </c>
      <c r="B1385" t="str">
        <f>'Raw Data'!B1385</f>
        <v>West</v>
      </c>
      <c r="C1385" t="str">
        <f>'Raw Data'!C1385</f>
        <v>Beauty</v>
      </c>
      <c r="D1385" s="3">
        <f>'Raw Data'!D1385</f>
        <v>45717</v>
      </c>
      <c r="E1385" t="str">
        <f t="shared" si="105"/>
        <v>Mar</v>
      </c>
      <c r="F1385" s="5">
        <f>'Raw Data'!E1385</f>
        <v>107</v>
      </c>
      <c r="G1385" s="4">
        <f>'Raw Data'!F1385</f>
        <v>4131.82</v>
      </c>
      <c r="H1385" s="4">
        <f>'Raw Data'!G1385</f>
        <v>1967.15</v>
      </c>
      <c r="I1385" s="4">
        <f t="shared" si="106"/>
        <v>2164.6699999999996</v>
      </c>
      <c r="J1385" s="8">
        <f t="shared" si="107"/>
        <v>0.52390229971295932</v>
      </c>
      <c r="K1385" s="6">
        <f>'Raw Data'!I1385</f>
        <v>3.9</v>
      </c>
      <c r="L1385" s="5">
        <f>'Raw Data'!J1385</f>
        <v>29</v>
      </c>
      <c r="M1385" s="5">
        <f>IF(COUNTIFS($A$2:A1385,A1385,$D$2:D1385,D1385)=1,L1385,0)</f>
        <v>0</v>
      </c>
      <c r="N1385" s="4">
        <f t="shared" si="108"/>
        <v>142.47655172413792</v>
      </c>
      <c r="O1385" t="str">
        <f t="shared" si="109"/>
        <v>OK</v>
      </c>
    </row>
    <row r="1386" spans="1:15">
      <c r="A1386" t="str">
        <f>'Raw Data'!A1386</f>
        <v>Las Vegas RM-20</v>
      </c>
      <c r="B1386" t="str">
        <f>'Raw Data'!B1386</f>
        <v>West</v>
      </c>
      <c r="C1386" t="str">
        <f>'Raw Data'!C1386</f>
        <v>Grocery</v>
      </c>
      <c r="D1386" s="3">
        <f>'Raw Data'!D1386</f>
        <v>45717</v>
      </c>
      <c r="E1386" t="str">
        <f t="shared" si="105"/>
        <v>Mar</v>
      </c>
      <c r="F1386" s="5">
        <f>'Raw Data'!E1386</f>
        <v>175</v>
      </c>
      <c r="G1386" s="4">
        <f>'Raw Data'!F1386</f>
        <v>3104.9</v>
      </c>
      <c r="H1386" s="4">
        <f>'Raw Data'!G1386</f>
        <v>2785.09</v>
      </c>
      <c r="I1386" s="4">
        <f t="shared" si="106"/>
        <v>319.80999999999995</v>
      </c>
      <c r="J1386" s="8">
        <f t="shared" si="107"/>
        <v>0.10300170697929077</v>
      </c>
      <c r="K1386" s="6">
        <f>'Raw Data'!I1386</f>
        <v>3.97</v>
      </c>
      <c r="L1386" s="5">
        <f>'Raw Data'!J1386</f>
        <v>29</v>
      </c>
      <c r="M1386" s="5">
        <f>IF(COUNTIFS($A$2:A1386,A1386,$D$2:D1386,D1386)=1,L1386,0)</f>
        <v>0</v>
      </c>
      <c r="N1386" s="4">
        <f t="shared" si="108"/>
        <v>107.06551724137931</v>
      </c>
      <c r="O1386" t="str">
        <f t="shared" si="109"/>
        <v>OK</v>
      </c>
    </row>
    <row r="1387" spans="1:15">
      <c r="A1387" t="str">
        <f>'Raw Data'!A1387</f>
        <v>Las Vegas RM-20</v>
      </c>
      <c r="B1387" t="str">
        <f>'Raw Data'!B1387</f>
        <v>West</v>
      </c>
      <c r="C1387" t="str">
        <f>'Raw Data'!C1387</f>
        <v>Sports</v>
      </c>
      <c r="D1387" s="3">
        <f>'Raw Data'!D1387</f>
        <v>45717</v>
      </c>
      <c r="E1387" t="str">
        <f t="shared" si="105"/>
        <v>Mar</v>
      </c>
      <c r="F1387" s="5">
        <f>'Raw Data'!E1387</f>
        <v>94</v>
      </c>
      <c r="G1387" s="4">
        <f>'Raw Data'!F1387</f>
        <v>6165.25</v>
      </c>
      <c r="H1387" s="4">
        <f>'Raw Data'!G1387</f>
        <v>3883.64</v>
      </c>
      <c r="I1387" s="4">
        <f t="shared" si="106"/>
        <v>2281.61</v>
      </c>
      <c r="J1387" s="8">
        <f t="shared" si="107"/>
        <v>0.37007582823080981</v>
      </c>
      <c r="K1387" s="6">
        <f>'Raw Data'!I1387</f>
        <v>3.86</v>
      </c>
      <c r="L1387" s="5">
        <f>'Raw Data'!J1387</f>
        <v>29</v>
      </c>
      <c r="M1387" s="5">
        <f>IF(COUNTIFS($A$2:A1387,A1387,$D$2:D1387,D1387)=1,L1387,0)</f>
        <v>0</v>
      </c>
      <c r="N1387" s="4">
        <f t="shared" si="108"/>
        <v>212.59482758620689</v>
      </c>
      <c r="O1387" t="str">
        <f t="shared" si="109"/>
        <v>OK</v>
      </c>
    </row>
    <row r="1388" spans="1:15">
      <c r="A1388" t="str">
        <f>'Raw Data'!A1388</f>
        <v>Las Vegas RM-20</v>
      </c>
      <c r="B1388" t="str">
        <f>'Raw Data'!B1388</f>
        <v>West</v>
      </c>
      <c r="C1388" t="str">
        <f>'Raw Data'!C1388</f>
        <v>Electronics</v>
      </c>
      <c r="D1388" s="3">
        <f>'Raw Data'!D1388</f>
        <v>45748</v>
      </c>
      <c r="E1388" t="str">
        <f t="shared" si="105"/>
        <v>Apr</v>
      </c>
      <c r="F1388" s="5">
        <f>'Raw Data'!E1388</f>
        <v>137</v>
      </c>
      <c r="G1388" s="4">
        <f>'Raw Data'!F1388</f>
        <v>20868.13</v>
      </c>
      <c r="H1388" s="4">
        <f>'Raw Data'!G1388</f>
        <v>15764</v>
      </c>
      <c r="I1388" s="4">
        <f t="shared" si="106"/>
        <v>5104.130000000001</v>
      </c>
      <c r="J1388" s="8">
        <f t="shared" si="107"/>
        <v>0.2445897164719599</v>
      </c>
      <c r="K1388" s="6">
        <f>'Raw Data'!I1388</f>
        <v>3.88</v>
      </c>
      <c r="L1388" s="5">
        <f>'Raw Data'!J1388</f>
        <v>29</v>
      </c>
      <c r="M1388" s="5">
        <f>IF(COUNTIFS($A$2:A1388,A1388,$D$2:D1388,D1388)=1,L1388,0)</f>
        <v>29</v>
      </c>
      <c r="N1388" s="4">
        <f t="shared" si="108"/>
        <v>719.59068965517247</v>
      </c>
      <c r="O1388" t="str">
        <f t="shared" si="109"/>
        <v>OK</v>
      </c>
    </row>
    <row r="1389" spans="1:15">
      <c r="A1389" t="str">
        <f>'Raw Data'!A1389</f>
        <v>Las Vegas RM-20</v>
      </c>
      <c r="B1389" t="str">
        <f>'Raw Data'!B1389</f>
        <v>West</v>
      </c>
      <c r="C1389" t="str">
        <f>'Raw Data'!C1389</f>
        <v>Home Goods</v>
      </c>
      <c r="D1389" s="3">
        <f>'Raw Data'!D1389</f>
        <v>45748</v>
      </c>
      <c r="E1389" t="str">
        <f t="shared" si="105"/>
        <v>Apr</v>
      </c>
      <c r="F1389" s="5">
        <f>'Raw Data'!E1389</f>
        <v>112</v>
      </c>
      <c r="G1389" s="4">
        <f>'Raw Data'!F1389</f>
        <v>8344.66</v>
      </c>
      <c r="H1389" s="4">
        <f>'Raw Data'!G1389</f>
        <v>5604.61</v>
      </c>
      <c r="I1389" s="4">
        <f t="shared" si="106"/>
        <v>2740.05</v>
      </c>
      <c r="J1389" s="8">
        <f t="shared" si="107"/>
        <v>0.3283596935045886</v>
      </c>
      <c r="K1389" s="6">
        <f>'Raw Data'!I1389</f>
        <v>3.8</v>
      </c>
      <c r="L1389" s="5">
        <f>'Raw Data'!J1389</f>
        <v>29</v>
      </c>
      <c r="M1389" s="5">
        <f>IF(COUNTIFS($A$2:A1389,A1389,$D$2:D1389,D1389)=1,L1389,0)</f>
        <v>0</v>
      </c>
      <c r="N1389" s="4">
        <f t="shared" si="108"/>
        <v>287.74689655172415</v>
      </c>
      <c r="O1389" t="str">
        <f t="shared" si="109"/>
        <v>OK</v>
      </c>
    </row>
    <row r="1390" spans="1:15">
      <c r="A1390" t="str">
        <f>'Raw Data'!A1390</f>
        <v>Las Vegas RM-20</v>
      </c>
      <c r="B1390" t="str">
        <f>'Raw Data'!B1390</f>
        <v>West</v>
      </c>
      <c r="C1390" t="str">
        <f>'Raw Data'!C1390</f>
        <v>Apparel</v>
      </c>
      <c r="D1390" s="3">
        <f>'Raw Data'!D1390</f>
        <v>45748</v>
      </c>
      <c r="E1390" t="str">
        <f t="shared" si="105"/>
        <v>Apr</v>
      </c>
      <c r="F1390" s="5">
        <f>'Raw Data'!E1390</f>
        <v>167</v>
      </c>
      <c r="G1390" s="4">
        <f>'Raw Data'!F1390</f>
        <v>8229.2900000000009</v>
      </c>
      <c r="H1390" s="4">
        <f>'Raw Data'!G1390</f>
        <v>4820.96</v>
      </c>
      <c r="I1390" s="4">
        <f t="shared" si="106"/>
        <v>3408.3300000000008</v>
      </c>
      <c r="J1390" s="8">
        <f t="shared" si="107"/>
        <v>0.41417060281020607</v>
      </c>
      <c r="K1390" s="6">
        <f>'Raw Data'!I1390</f>
        <v>3.94</v>
      </c>
      <c r="L1390" s="5">
        <f>'Raw Data'!J1390</f>
        <v>29</v>
      </c>
      <c r="M1390" s="5">
        <f>IF(COUNTIFS($A$2:A1390,A1390,$D$2:D1390,D1390)=1,L1390,0)</f>
        <v>0</v>
      </c>
      <c r="N1390" s="4">
        <f t="shared" si="108"/>
        <v>283.76862068965522</v>
      </c>
      <c r="O1390" t="str">
        <f t="shared" si="109"/>
        <v>OK</v>
      </c>
    </row>
    <row r="1391" spans="1:15">
      <c r="A1391" t="str">
        <f>'Raw Data'!A1391</f>
        <v>Las Vegas RM-20</v>
      </c>
      <c r="B1391" t="str">
        <f>'Raw Data'!B1391</f>
        <v>West</v>
      </c>
      <c r="C1391" t="str">
        <f>'Raw Data'!C1391</f>
        <v>Beauty</v>
      </c>
      <c r="D1391" s="3">
        <f>'Raw Data'!D1391</f>
        <v>45748</v>
      </c>
      <c r="E1391" t="str">
        <f t="shared" si="105"/>
        <v>Apr</v>
      </c>
      <c r="F1391" s="5">
        <f>'Raw Data'!E1391</f>
        <v>149</v>
      </c>
      <c r="G1391" s="4">
        <f>'Raw Data'!F1391</f>
        <v>5179.05</v>
      </c>
      <c r="H1391" s="4">
        <f>'Raw Data'!G1391</f>
        <v>2427.36</v>
      </c>
      <c r="I1391" s="4">
        <f t="shared" si="106"/>
        <v>2751.69</v>
      </c>
      <c r="J1391" s="8">
        <f t="shared" si="107"/>
        <v>0.5313117270541895</v>
      </c>
      <c r="K1391" s="6">
        <f>'Raw Data'!I1391</f>
        <v>4</v>
      </c>
      <c r="L1391" s="5">
        <f>'Raw Data'!J1391</f>
        <v>29</v>
      </c>
      <c r="M1391" s="5">
        <f>IF(COUNTIFS($A$2:A1391,A1391,$D$2:D1391,D1391)=1,L1391,0)</f>
        <v>0</v>
      </c>
      <c r="N1391" s="4">
        <f t="shared" si="108"/>
        <v>178.58793103448278</v>
      </c>
      <c r="O1391" t="str">
        <f t="shared" si="109"/>
        <v>OK</v>
      </c>
    </row>
    <row r="1392" spans="1:15">
      <c r="A1392" t="str">
        <f>'Raw Data'!A1392</f>
        <v>Las Vegas RM-20</v>
      </c>
      <c r="B1392" t="str">
        <f>'Raw Data'!B1392</f>
        <v>West</v>
      </c>
      <c r="C1392" t="str">
        <f>'Raw Data'!C1392</f>
        <v>Grocery</v>
      </c>
      <c r="D1392" s="3">
        <f>'Raw Data'!D1392</f>
        <v>45748</v>
      </c>
      <c r="E1392" t="str">
        <f t="shared" si="105"/>
        <v>Apr</v>
      </c>
      <c r="F1392" s="5">
        <f>'Raw Data'!E1392</f>
        <v>229</v>
      </c>
      <c r="G1392" s="4">
        <f>'Raw Data'!F1392</f>
        <v>3967.74</v>
      </c>
      <c r="H1392" s="4">
        <f>'Raw Data'!G1392</f>
        <v>3481.13</v>
      </c>
      <c r="I1392" s="4">
        <f t="shared" si="106"/>
        <v>486.60999999999967</v>
      </c>
      <c r="J1392" s="8">
        <f t="shared" si="107"/>
        <v>0.12264160454062002</v>
      </c>
      <c r="K1392" s="6">
        <f>'Raw Data'!I1392</f>
        <v>4.08</v>
      </c>
      <c r="L1392" s="5">
        <f>'Raw Data'!J1392</f>
        <v>29</v>
      </c>
      <c r="M1392" s="5">
        <f>IF(COUNTIFS($A$2:A1392,A1392,$D$2:D1392,D1392)=1,L1392,0)</f>
        <v>0</v>
      </c>
      <c r="N1392" s="4">
        <f t="shared" si="108"/>
        <v>136.81862068965518</v>
      </c>
      <c r="O1392" t="str">
        <f t="shared" si="109"/>
        <v>OK</v>
      </c>
    </row>
    <row r="1393" spans="1:15">
      <c r="A1393" t="str">
        <f>'Raw Data'!A1393</f>
        <v>Las Vegas RM-20</v>
      </c>
      <c r="B1393" t="str">
        <f>'Raw Data'!B1393</f>
        <v>West</v>
      </c>
      <c r="C1393" t="str">
        <f>'Raw Data'!C1393</f>
        <v>Sports</v>
      </c>
      <c r="D1393" s="3">
        <f>'Raw Data'!D1393</f>
        <v>45748</v>
      </c>
      <c r="E1393" t="str">
        <f t="shared" si="105"/>
        <v>Apr</v>
      </c>
      <c r="F1393" s="5">
        <f>'Raw Data'!E1393</f>
        <v>84</v>
      </c>
      <c r="G1393" s="4">
        <f>'Raw Data'!F1393</f>
        <v>5314.42</v>
      </c>
      <c r="H1393" s="4">
        <f>'Raw Data'!G1393</f>
        <v>3378.57</v>
      </c>
      <c r="I1393" s="4">
        <f t="shared" si="106"/>
        <v>1935.85</v>
      </c>
      <c r="J1393" s="8">
        <f t="shared" si="107"/>
        <v>0.36426364495090713</v>
      </c>
      <c r="K1393" s="6">
        <f>'Raw Data'!I1393</f>
        <v>3.88</v>
      </c>
      <c r="L1393" s="5">
        <f>'Raw Data'!J1393</f>
        <v>29</v>
      </c>
      <c r="M1393" s="5">
        <f>IF(COUNTIFS($A$2:A1393,A1393,$D$2:D1393,D1393)=1,L1393,0)</f>
        <v>0</v>
      </c>
      <c r="N1393" s="4">
        <f t="shared" si="108"/>
        <v>183.25586206896551</v>
      </c>
      <c r="O1393" t="str">
        <f t="shared" si="109"/>
        <v>OK</v>
      </c>
    </row>
    <row r="1394" spans="1:15">
      <c r="A1394" t="str">
        <f>'Raw Data'!A1394</f>
        <v>Las Vegas RM-20</v>
      </c>
      <c r="B1394" t="str">
        <f>'Raw Data'!B1394</f>
        <v>West</v>
      </c>
      <c r="C1394" t="str">
        <f>'Raw Data'!C1394</f>
        <v>Electronics</v>
      </c>
      <c r="D1394" s="3">
        <f>'Raw Data'!D1394</f>
        <v>45778</v>
      </c>
      <c r="E1394" t="str">
        <f t="shared" si="105"/>
        <v>May</v>
      </c>
      <c r="F1394" s="5">
        <f>'Raw Data'!E1394</f>
        <v>135</v>
      </c>
      <c r="G1394" s="4">
        <f>'Raw Data'!F1394</f>
        <v>19269.080000000002</v>
      </c>
      <c r="H1394" s="4">
        <f>'Raw Data'!G1394</f>
        <v>14774.54</v>
      </c>
      <c r="I1394" s="4">
        <f t="shared" si="106"/>
        <v>4494.5400000000009</v>
      </c>
      <c r="J1394" s="8">
        <f t="shared" si="107"/>
        <v>0.2332514058792636</v>
      </c>
      <c r="K1394" s="6">
        <f>'Raw Data'!I1394</f>
        <v>3.88</v>
      </c>
      <c r="L1394" s="5">
        <f>'Raw Data'!J1394</f>
        <v>29</v>
      </c>
      <c r="M1394" s="5">
        <f>IF(COUNTIFS($A$2:A1394,A1394,$D$2:D1394,D1394)=1,L1394,0)</f>
        <v>29</v>
      </c>
      <c r="N1394" s="4">
        <f t="shared" si="108"/>
        <v>664.4510344827587</v>
      </c>
      <c r="O1394" t="str">
        <f t="shared" si="109"/>
        <v>OK</v>
      </c>
    </row>
    <row r="1395" spans="1:15">
      <c r="A1395" t="str">
        <f>'Raw Data'!A1395</f>
        <v>Las Vegas RM-20</v>
      </c>
      <c r="B1395" t="str">
        <f>'Raw Data'!B1395</f>
        <v>West</v>
      </c>
      <c r="C1395" t="str">
        <f>'Raw Data'!C1395</f>
        <v>Home Goods</v>
      </c>
      <c r="D1395" s="3">
        <f>'Raw Data'!D1395</f>
        <v>45778</v>
      </c>
      <c r="E1395" t="str">
        <f t="shared" si="105"/>
        <v>May</v>
      </c>
      <c r="F1395" s="5">
        <f>'Raw Data'!E1395</f>
        <v>124</v>
      </c>
      <c r="G1395" s="4">
        <f>'Raw Data'!F1395</f>
        <v>9570.84</v>
      </c>
      <c r="H1395" s="4">
        <f>'Raw Data'!G1395</f>
        <v>6226.38</v>
      </c>
      <c r="I1395" s="4">
        <f t="shared" si="106"/>
        <v>3344.46</v>
      </c>
      <c r="J1395" s="8">
        <f t="shared" si="107"/>
        <v>0.34944268214702157</v>
      </c>
      <c r="K1395" s="6">
        <f>'Raw Data'!I1395</f>
        <v>3.86</v>
      </c>
      <c r="L1395" s="5">
        <f>'Raw Data'!J1395</f>
        <v>29</v>
      </c>
      <c r="M1395" s="5">
        <f>IF(COUNTIFS($A$2:A1395,A1395,$D$2:D1395,D1395)=1,L1395,0)</f>
        <v>0</v>
      </c>
      <c r="N1395" s="4">
        <f t="shared" si="108"/>
        <v>330.02896551724137</v>
      </c>
      <c r="O1395" t="str">
        <f t="shared" si="109"/>
        <v>OK</v>
      </c>
    </row>
    <row r="1396" spans="1:15">
      <c r="A1396" t="str">
        <f>'Raw Data'!A1396</f>
        <v>Las Vegas RM-20</v>
      </c>
      <c r="B1396" t="str">
        <f>'Raw Data'!B1396</f>
        <v>West</v>
      </c>
      <c r="C1396" t="str">
        <f>'Raw Data'!C1396</f>
        <v>Apparel</v>
      </c>
      <c r="D1396" s="3">
        <f>'Raw Data'!D1396</f>
        <v>45778</v>
      </c>
      <c r="E1396" t="str">
        <f t="shared" si="105"/>
        <v>May</v>
      </c>
      <c r="F1396" s="5">
        <f>'Raw Data'!E1396</f>
        <v>170</v>
      </c>
      <c r="G1396" s="4">
        <f>'Raw Data'!F1396</f>
        <v>8240.93</v>
      </c>
      <c r="H1396" s="4">
        <f>'Raw Data'!G1396</f>
        <v>4871.62</v>
      </c>
      <c r="I1396" s="4">
        <f t="shared" si="106"/>
        <v>3369.3100000000004</v>
      </c>
      <c r="J1396" s="8">
        <f t="shared" si="107"/>
        <v>0.40885070010302238</v>
      </c>
      <c r="K1396" s="6">
        <f>'Raw Data'!I1396</f>
        <v>3.91</v>
      </c>
      <c r="L1396" s="5">
        <f>'Raw Data'!J1396</f>
        <v>29</v>
      </c>
      <c r="M1396" s="5">
        <f>IF(COUNTIFS($A$2:A1396,A1396,$D$2:D1396,D1396)=1,L1396,0)</f>
        <v>0</v>
      </c>
      <c r="N1396" s="4">
        <f t="shared" si="108"/>
        <v>284.17</v>
      </c>
      <c r="O1396" t="str">
        <f t="shared" si="109"/>
        <v>OK</v>
      </c>
    </row>
    <row r="1397" spans="1:15">
      <c r="A1397" t="str">
        <f>'Raw Data'!A1397</f>
        <v>Las Vegas RM-20</v>
      </c>
      <c r="B1397" t="str">
        <f>'Raw Data'!B1397</f>
        <v>West</v>
      </c>
      <c r="C1397" t="str">
        <f>'Raw Data'!C1397</f>
        <v>Beauty</v>
      </c>
      <c r="D1397" s="3">
        <f>'Raw Data'!D1397</f>
        <v>45778</v>
      </c>
      <c r="E1397" t="str">
        <f t="shared" si="105"/>
        <v>May</v>
      </c>
      <c r="F1397" s="5">
        <f>'Raw Data'!E1397</f>
        <v>126</v>
      </c>
      <c r="G1397" s="4">
        <f>'Raw Data'!F1397</f>
        <v>4467.1899999999996</v>
      </c>
      <c r="H1397" s="4">
        <f>'Raw Data'!G1397</f>
        <v>2097.81</v>
      </c>
      <c r="I1397" s="4">
        <f t="shared" si="106"/>
        <v>2369.3799999999997</v>
      </c>
      <c r="J1397" s="8">
        <f t="shared" si="107"/>
        <v>0.53039606553560514</v>
      </c>
      <c r="K1397" s="6">
        <f>'Raw Data'!I1397</f>
        <v>4.0199999999999996</v>
      </c>
      <c r="L1397" s="5">
        <f>'Raw Data'!J1397</f>
        <v>29</v>
      </c>
      <c r="M1397" s="5">
        <f>IF(COUNTIFS($A$2:A1397,A1397,$D$2:D1397,D1397)=1,L1397,0)</f>
        <v>0</v>
      </c>
      <c r="N1397" s="4">
        <f t="shared" si="108"/>
        <v>154.04103448275862</v>
      </c>
      <c r="O1397" t="str">
        <f t="shared" si="109"/>
        <v>OK</v>
      </c>
    </row>
    <row r="1398" spans="1:15">
      <c r="A1398" t="str">
        <f>'Raw Data'!A1398</f>
        <v>Las Vegas RM-20</v>
      </c>
      <c r="B1398" t="str">
        <f>'Raw Data'!B1398</f>
        <v>West</v>
      </c>
      <c r="C1398" t="str">
        <f>'Raw Data'!C1398</f>
        <v>Grocery</v>
      </c>
      <c r="D1398" s="3">
        <f>'Raw Data'!D1398</f>
        <v>45778</v>
      </c>
      <c r="E1398" t="str">
        <f t="shared" si="105"/>
        <v>May</v>
      </c>
      <c r="F1398" s="5">
        <f>'Raw Data'!E1398</f>
        <v>234</v>
      </c>
      <c r="G1398" s="4">
        <f>'Raw Data'!F1398</f>
        <v>4375.2700000000004</v>
      </c>
      <c r="H1398" s="4">
        <f>'Raw Data'!G1398</f>
        <v>3949.05</v>
      </c>
      <c r="I1398" s="4">
        <f t="shared" si="106"/>
        <v>426.22000000000025</v>
      </c>
      <c r="J1398" s="8">
        <f t="shared" si="107"/>
        <v>9.7415702345226743E-2</v>
      </c>
      <c r="K1398" s="6">
        <f>'Raw Data'!I1398</f>
        <v>3.82</v>
      </c>
      <c r="L1398" s="5">
        <f>'Raw Data'!J1398</f>
        <v>29</v>
      </c>
      <c r="M1398" s="5">
        <f>IF(COUNTIFS($A$2:A1398,A1398,$D$2:D1398,D1398)=1,L1398,0)</f>
        <v>0</v>
      </c>
      <c r="N1398" s="4">
        <f t="shared" si="108"/>
        <v>150.87137931034485</v>
      </c>
      <c r="O1398" t="str">
        <f t="shared" si="109"/>
        <v>OK</v>
      </c>
    </row>
    <row r="1399" spans="1:15">
      <c r="A1399" t="str">
        <f>'Raw Data'!A1399</f>
        <v>Las Vegas RM-20</v>
      </c>
      <c r="B1399" t="str">
        <f>'Raw Data'!B1399</f>
        <v>West</v>
      </c>
      <c r="C1399" t="str">
        <f>'Raw Data'!C1399</f>
        <v>Sports</v>
      </c>
      <c r="D1399" s="3">
        <f>'Raw Data'!D1399</f>
        <v>45778</v>
      </c>
      <c r="E1399" t="str">
        <f t="shared" si="105"/>
        <v>May</v>
      </c>
      <c r="F1399" s="5">
        <f>'Raw Data'!E1399</f>
        <v>125</v>
      </c>
      <c r="G1399" s="4">
        <f>'Raw Data'!F1399</f>
        <v>8309.25</v>
      </c>
      <c r="H1399" s="4">
        <f>'Raw Data'!G1399</f>
        <v>5505.49</v>
      </c>
      <c r="I1399" s="4">
        <f t="shared" si="106"/>
        <v>2803.76</v>
      </c>
      <c r="J1399" s="8">
        <f t="shared" si="107"/>
        <v>0.33742636218671962</v>
      </c>
      <c r="K1399" s="6">
        <f>'Raw Data'!I1399</f>
        <v>3.96</v>
      </c>
      <c r="L1399" s="5">
        <f>'Raw Data'!J1399</f>
        <v>29</v>
      </c>
      <c r="M1399" s="5">
        <f>IF(COUNTIFS($A$2:A1399,A1399,$D$2:D1399,D1399)=1,L1399,0)</f>
        <v>0</v>
      </c>
      <c r="N1399" s="4">
        <f t="shared" si="108"/>
        <v>286.52586206896552</v>
      </c>
      <c r="O1399" t="str">
        <f t="shared" si="109"/>
        <v>OK</v>
      </c>
    </row>
    <row r="1400" spans="1:15">
      <c r="A1400" t="str">
        <f>'Raw Data'!A1400</f>
        <v>Las Vegas RM-20</v>
      </c>
      <c r="B1400" t="str">
        <f>'Raw Data'!B1400</f>
        <v>West</v>
      </c>
      <c r="C1400" t="str">
        <f>'Raw Data'!C1400</f>
        <v>Electronics</v>
      </c>
      <c r="D1400" s="3">
        <f>'Raw Data'!D1400</f>
        <v>45809</v>
      </c>
      <c r="E1400" t="str">
        <f t="shared" si="105"/>
        <v>Jun</v>
      </c>
      <c r="F1400" s="5">
        <f>'Raw Data'!E1400</f>
        <v>151</v>
      </c>
      <c r="G1400" s="4">
        <f>'Raw Data'!F1400</f>
        <v>23408.400000000001</v>
      </c>
      <c r="H1400" s="4">
        <f>'Raw Data'!G1400</f>
        <v>18081.830000000002</v>
      </c>
      <c r="I1400" s="4">
        <f t="shared" si="106"/>
        <v>5326.57</v>
      </c>
      <c r="J1400" s="8">
        <f t="shared" si="107"/>
        <v>0.22754951214094082</v>
      </c>
      <c r="K1400" s="6">
        <f>'Raw Data'!I1400</f>
        <v>3.79</v>
      </c>
      <c r="L1400" s="5">
        <f>'Raw Data'!J1400</f>
        <v>30</v>
      </c>
      <c r="M1400" s="5">
        <f>IF(COUNTIFS($A$2:A1400,A1400,$D$2:D1400,D1400)=1,L1400,0)</f>
        <v>30</v>
      </c>
      <c r="N1400" s="4">
        <f t="shared" si="108"/>
        <v>780.28000000000009</v>
      </c>
      <c r="O1400" t="str">
        <f t="shared" si="109"/>
        <v>OK</v>
      </c>
    </row>
    <row r="1401" spans="1:15">
      <c r="A1401" t="str">
        <f>'Raw Data'!A1401</f>
        <v>Las Vegas RM-20</v>
      </c>
      <c r="B1401" t="str">
        <f>'Raw Data'!B1401</f>
        <v>West</v>
      </c>
      <c r="C1401" t="str">
        <f>'Raw Data'!C1401</f>
        <v>Home Goods</v>
      </c>
      <c r="D1401" s="3">
        <f>'Raw Data'!D1401</f>
        <v>45809</v>
      </c>
      <c r="E1401" t="str">
        <f t="shared" si="105"/>
        <v>Jun</v>
      </c>
      <c r="F1401" s="5">
        <f>'Raw Data'!E1401</f>
        <v>114</v>
      </c>
      <c r="G1401" s="4">
        <f>'Raw Data'!F1401</f>
        <v>8725.15</v>
      </c>
      <c r="H1401" s="4">
        <f>'Raw Data'!G1401</f>
        <v>5684.53</v>
      </c>
      <c r="I1401" s="4">
        <f t="shared" si="106"/>
        <v>3040.62</v>
      </c>
      <c r="J1401" s="8">
        <f t="shared" si="107"/>
        <v>0.34848913772256063</v>
      </c>
      <c r="K1401" s="6">
        <f>'Raw Data'!I1401</f>
        <v>3.99</v>
      </c>
      <c r="L1401" s="5">
        <f>'Raw Data'!J1401</f>
        <v>30</v>
      </c>
      <c r="M1401" s="5">
        <f>IF(COUNTIFS($A$2:A1401,A1401,$D$2:D1401,D1401)=1,L1401,0)</f>
        <v>0</v>
      </c>
      <c r="N1401" s="4">
        <f t="shared" si="108"/>
        <v>290.83833333333331</v>
      </c>
      <c r="O1401" t="str">
        <f t="shared" si="109"/>
        <v>OK</v>
      </c>
    </row>
    <row r="1402" spans="1:15">
      <c r="A1402" t="str">
        <f>'Raw Data'!A1402</f>
        <v>Las Vegas RM-20</v>
      </c>
      <c r="B1402" t="str">
        <f>'Raw Data'!B1402</f>
        <v>West</v>
      </c>
      <c r="C1402" t="str">
        <f>'Raw Data'!C1402</f>
        <v>Apparel</v>
      </c>
      <c r="D1402" s="3">
        <f>'Raw Data'!D1402</f>
        <v>45809</v>
      </c>
      <c r="E1402" t="str">
        <f t="shared" si="105"/>
        <v>Jun</v>
      </c>
      <c r="F1402" s="5">
        <f>'Raw Data'!E1402</f>
        <v>168</v>
      </c>
      <c r="G1402" s="4">
        <f>'Raw Data'!F1402</f>
        <v>8277.32</v>
      </c>
      <c r="H1402" s="4">
        <f>'Raw Data'!G1402</f>
        <v>4964.45</v>
      </c>
      <c r="I1402" s="4">
        <f t="shared" si="106"/>
        <v>3312.87</v>
      </c>
      <c r="J1402" s="8">
        <f t="shared" si="107"/>
        <v>0.4002346170016382</v>
      </c>
      <c r="K1402" s="6">
        <f>'Raw Data'!I1402</f>
        <v>3.88</v>
      </c>
      <c r="L1402" s="5">
        <f>'Raw Data'!J1402</f>
        <v>30</v>
      </c>
      <c r="M1402" s="5">
        <f>IF(COUNTIFS($A$2:A1402,A1402,$D$2:D1402,D1402)=1,L1402,0)</f>
        <v>0</v>
      </c>
      <c r="N1402" s="4">
        <f t="shared" si="108"/>
        <v>275.91066666666666</v>
      </c>
      <c r="O1402" t="str">
        <f t="shared" si="109"/>
        <v>OK</v>
      </c>
    </row>
    <row r="1403" spans="1:15">
      <c r="A1403" t="str">
        <f>'Raw Data'!A1403</f>
        <v>Las Vegas RM-20</v>
      </c>
      <c r="B1403" t="str">
        <f>'Raw Data'!B1403</f>
        <v>West</v>
      </c>
      <c r="C1403" t="str">
        <f>'Raw Data'!C1403</f>
        <v>Beauty</v>
      </c>
      <c r="D1403" s="3">
        <f>'Raw Data'!D1403</f>
        <v>45809</v>
      </c>
      <c r="E1403" t="str">
        <f t="shared" si="105"/>
        <v>Jun</v>
      </c>
      <c r="F1403" s="5">
        <f>'Raw Data'!E1403</f>
        <v>139</v>
      </c>
      <c r="G1403" s="4">
        <f>'Raw Data'!F1403</f>
        <v>4932.3999999999996</v>
      </c>
      <c r="H1403" s="4">
        <f>'Raw Data'!G1403</f>
        <v>2432.56</v>
      </c>
      <c r="I1403" s="4">
        <f t="shared" si="106"/>
        <v>2499.8399999999997</v>
      </c>
      <c r="J1403" s="8">
        <f t="shared" si="107"/>
        <v>0.50682020922877302</v>
      </c>
      <c r="K1403" s="6">
        <f>'Raw Data'!I1403</f>
        <v>3.82</v>
      </c>
      <c r="L1403" s="5">
        <f>'Raw Data'!J1403</f>
        <v>30</v>
      </c>
      <c r="M1403" s="5">
        <f>IF(COUNTIFS($A$2:A1403,A1403,$D$2:D1403,D1403)=1,L1403,0)</f>
        <v>0</v>
      </c>
      <c r="N1403" s="4">
        <f t="shared" si="108"/>
        <v>164.41333333333333</v>
      </c>
      <c r="O1403" t="str">
        <f t="shared" si="109"/>
        <v>OK</v>
      </c>
    </row>
    <row r="1404" spans="1:15">
      <c r="A1404" t="str">
        <f>'Raw Data'!A1404</f>
        <v>Las Vegas RM-20</v>
      </c>
      <c r="B1404" t="str">
        <f>'Raw Data'!B1404</f>
        <v>West</v>
      </c>
      <c r="C1404" t="str">
        <f>'Raw Data'!C1404</f>
        <v>Grocery</v>
      </c>
      <c r="D1404" s="3">
        <f>'Raw Data'!D1404</f>
        <v>45809</v>
      </c>
      <c r="E1404" t="str">
        <f t="shared" si="105"/>
        <v>Jun</v>
      </c>
      <c r="F1404" s="5">
        <f>'Raw Data'!E1404</f>
        <v>195</v>
      </c>
      <c r="G1404" s="4">
        <f>'Raw Data'!F1404</f>
        <v>3676.35</v>
      </c>
      <c r="H1404" s="4">
        <f>'Raw Data'!G1404</f>
        <v>3284.4</v>
      </c>
      <c r="I1404" s="4">
        <f t="shared" si="106"/>
        <v>391.94999999999982</v>
      </c>
      <c r="J1404" s="8">
        <f t="shared" si="107"/>
        <v>0.10661389693581945</v>
      </c>
      <c r="K1404" s="6">
        <f>'Raw Data'!I1404</f>
        <v>3.75</v>
      </c>
      <c r="L1404" s="5">
        <f>'Raw Data'!J1404</f>
        <v>30</v>
      </c>
      <c r="M1404" s="5">
        <f>IF(COUNTIFS($A$2:A1404,A1404,$D$2:D1404,D1404)=1,L1404,0)</f>
        <v>0</v>
      </c>
      <c r="N1404" s="4">
        <f t="shared" si="108"/>
        <v>122.545</v>
      </c>
      <c r="O1404" t="str">
        <f t="shared" si="109"/>
        <v>OK</v>
      </c>
    </row>
    <row r="1405" spans="1:15">
      <c r="A1405" t="str">
        <f>'Raw Data'!A1405</f>
        <v>Las Vegas RM-20</v>
      </c>
      <c r="B1405" t="str">
        <f>'Raw Data'!B1405</f>
        <v>West</v>
      </c>
      <c r="C1405" t="str">
        <f>'Raw Data'!C1405</f>
        <v>Sports</v>
      </c>
      <c r="D1405" s="3">
        <f>'Raw Data'!D1405</f>
        <v>45809</v>
      </c>
      <c r="E1405" t="str">
        <f t="shared" si="105"/>
        <v>Jun</v>
      </c>
      <c r="F1405" s="5">
        <f>'Raw Data'!E1405</f>
        <v>129</v>
      </c>
      <c r="G1405" s="4">
        <f>'Raw Data'!F1405</f>
        <v>8469.27</v>
      </c>
      <c r="H1405" s="4">
        <f>'Raw Data'!G1405</f>
        <v>5563.51</v>
      </c>
      <c r="I1405" s="4">
        <f t="shared" si="106"/>
        <v>2905.76</v>
      </c>
      <c r="J1405" s="8">
        <f t="shared" si="107"/>
        <v>0.34309450519348184</v>
      </c>
      <c r="K1405" s="6">
        <f>'Raw Data'!I1405</f>
        <v>4.09</v>
      </c>
      <c r="L1405" s="5">
        <f>'Raw Data'!J1405</f>
        <v>30</v>
      </c>
      <c r="M1405" s="5">
        <f>IF(COUNTIFS($A$2:A1405,A1405,$D$2:D1405,D1405)=1,L1405,0)</f>
        <v>0</v>
      </c>
      <c r="N1405" s="4">
        <f t="shared" si="108"/>
        <v>282.30900000000003</v>
      </c>
      <c r="O1405" t="str">
        <f t="shared" si="109"/>
        <v>OK</v>
      </c>
    </row>
    <row r="1406" spans="1:15">
      <c r="A1406" t="str">
        <f>'Raw Data'!A1406</f>
        <v>Las Vegas RM-20</v>
      </c>
      <c r="B1406" t="str">
        <f>'Raw Data'!B1406</f>
        <v>West</v>
      </c>
      <c r="C1406" t="str">
        <f>'Raw Data'!C1406</f>
        <v>Electronics</v>
      </c>
      <c r="D1406" s="3">
        <f>'Raw Data'!D1406</f>
        <v>45839</v>
      </c>
      <c r="E1406" t="str">
        <f t="shared" si="105"/>
        <v>Jul</v>
      </c>
      <c r="F1406" s="5">
        <f>'Raw Data'!E1406</f>
        <v>155</v>
      </c>
      <c r="G1406" s="4">
        <f>'Raw Data'!F1406</f>
        <v>23030.38</v>
      </c>
      <c r="H1406" s="4">
        <f>'Raw Data'!G1406</f>
        <v>18583.46</v>
      </c>
      <c r="I1406" s="4">
        <f t="shared" si="106"/>
        <v>4446.9200000000019</v>
      </c>
      <c r="J1406" s="8">
        <f t="shared" si="107"/>
        <v>0.19308930204364852</v>
      </c>
      <c r="K1406" s="6">
        <f>'Raw Data'!I1406</f>
        <v>4.08</v>
      </c>
      <c r="L1406" s="5">
        <f>'Raw Data'!J1406</f>
        <v>31</v>
      </c>
      <c r="M1406" s="5">
        <f>IF(COUNTIFS($A$2:A1406,A1406,$D$2:D1406,D1406)=1,L1406,0)</f>
        <v>31</v>
      </c>
      <c r="N1406" s="4">
        <f t="shared" si="108"/>
        <v>742.91548387096782</v>
      </c>
      <c r="O1406" t="str">
        <f t="shared" si="109"/>
        <v>OK</v>
      </c>
    </row>
    <row r="1407" spans="1:15">
      <c r="A1407" t="str">
        <f>'Raw Data'!A1407</f>
        <v>Las Vegas RM-20</v>
      </c>
      <c r="B1407" t="str">
        <f>'Raw Data'!B1407</f>
        <v>West</v>
      </c>
      <c r="C1407" t="str">
        <f>'Raw Data'!C1407</f>
        <v>Home Goods</v>
      </c>
      <c r="D1407" s="3">
        <f>'Raw Data'!D1407</f>
        <v>45839</v>
      </c>
      <c r="E1407" t="str">
        <f t="shared" si="105"/>
        <v>Jul</v>
      </c>
      <c r="F1407" s="5">
        <f>'Raw Data'!E1407</f>
        <v>146</v>
      </c>
      <c r="G1407" s="4">
        <f>'Raw Data'!F1407</f>
        <v>10991.13</v>
      </c>
      <c r="H1407" s="4">
        <f>'Raw Data'!G1407</f>
        <v>7273.06</v>
      </c>
      <c r="I1407" s="4">
        <f t="shared" si="106"/>
        <v>3718.0699999999988</v>
      </c>
      <c r="J1407" s="8">
        <f t="shared" si="107"/>
        <v>0.33827913963350437</v>
      </c>
      <c r="K1407" s="6">
        <f>'Raw Data'!I1407</f>
        <v>4.0599999999999996</v>
      </c>
      <c r="L1407" s="5">
        <f>'Raw Data'!J1407</f>
        <v>31</v>
      </c>
      <c r="M1407" s="5">
        <f>IF(COUNTIFS($A$2:A1407,A1407,$D$2:D1407,D1407)=1,L1407,0)</f>
        <v>0</v>
      </c>
      <c r="N1407" s="4">
        <f t="shared" si="108"/>
        <v>354.55258064516124</v>
      </c>
      <c r="O1407" t="str">
        <f t="shared" si="109"/>
        <v>OK</v>
      </c>
    </row>
    <row r="1408" spans="1:15">
      <c r="A1408" t="str">
        <f>'Raw Data'!A1408</f>
        <v>Las Vegas RM-20</v>
      </c>
      <c r="B1408" t="str">
        <f>'Raw Data'!B1408</f>
        <v>West</v>
      </c>
      <c r="C1408" t="str">
        <f>'Raw Data'!C1408</f>
        <v>Apparel</v>
      </c>
      <c r="D1408" s="3">
        <f>'Raw Data'!D1408</f>
        <v>45839</v>
      </c>
      <c r="E1408" t="str">
        <f t="shared" si="105"/>
        <v>Jul</v>
      </c>
      <c r="F1408" s="5">
        <f>'Raw Data'!E1408</f>
        <v>163</v>
      </c>
      <c r="G1408" s="4">
        <f>'Raw Data'!F1408</f>
        <v>7666.35</v>
      </c>
      <c r="H1408" s="4">
        <f>'Raw Data'!G1408</f>
        <v>4680.3599999999997</v>
      </c>
      <c r="I1408" s="4">
        <f t="shared" si="106"/>
        <v>2985.9900000000007</v>
      </c>
      <c r="J1408" s="8">
        <f t="shared" si="107"/>
        <v>0.38949304427791592</v>
      </c>
      <c r="K1408" s="6">
        <f>'Raw Data'!I1408</f>
        <v>4.0999999999999996</v>
      </c>
      <c r="L1408" s="5">
        <f>'Raw Data'!J1408</f>
        <v>31</v>
      </c>
      <c r="M1408" s="5">
        <f>IF(COUNTIFS($A$2:A1408,A1408,$D$2:D1408,D1408)=1,L1408,0)</f>
        <v>0</v>
      </c>
      <c r="N1408" s="4">
        <f t="shared" si="108"/>
        <v>247.30161290322582</v>
      </c>
      <c r="O1408" t="str">
        <f t="shared" si="109"/>
        <v>OK</v>
      </c>
    </row>
    <row r="1409" spans="1:15">
      <c r="A1409" t="str">
        <f>'Raw Data'!A1409</f>
        <v>Las Vegas RM-20</v>
      </c>
      <c r="B1409" t="str">
        <f>'Raw Data'!B1409</f>
        <v>West</v>
      </c>
      <c r="C1409" t="str">
        <f>'Raw Data'!C1409</f>
        <v>Beauty</v>
      </c>
      <c r="D1409" s="3">
        <f>'Raw Data'!D1409</f>
        <v>45839</v>
      </c>
      <c r="E1409" t="str">
        <f t="shared" si="105"/>
        <v>Jul</v>
      </c>
      <c r="F1409" s="5">
        <f>'Raw Data'!E1409</f>
        <v>152</v>
      </c>
      <c r="G1409" s="4">
        <f>'Raw Data'!F1409</f>
        <v>5813.47</v>
      </c>
      <c r="H1409" s="4">
        <f>'Raw Data'!G1409</f>
        <v>2812.13</v>
      </c>
      <c r="I1409" s="4">
        <f t="shared" si="106"/>
        <v>3001.34</v>
      </c>
      <c r="J1409" s="8">
        <f t="shared" si="107"/>
        <v>0.51627341329704979</v>
      </c>
      <c r="K1409" s="6">
        <f>'Raw Data'!I1409</f>
        <v>4.01</v>
      </c>
      <c r="L1409" s="5">
        <f>'Raw Data'!J1409</f>
        <v>31</v>
      </c>
      <c r="M1409" s="5">
        <f>IF(COUNTIFS($A$2:A1409,A1409,$D$2:D1409,D1409)=1,L1409,0)</f>
        <v>0</v>
      </c>
      <c r="N1409" s="4">
        <f t="shared" si="108"/>
        <v>187.53129032258065</v>
      </c>
      <c r="O1409" t="str">
        <f t="shared" si="109"/>
        <v>OK</v>
      </c>
    </row>
    <row r="1410" spans="1:15">
      <c r="A1410" t="str">
        <f>'Raw Data'!A1410</f>
        <v>Las Vegas RM-20</v>
      </c>
      <c r="B1410" t="str">
        <f>'Raw Data'!B1410</f>
        <v>West</v>
      </c>
      <c r="C1410" t="str">
        <f>'Raw Data'!C1410</f>
        <v>Grocery</v>
      </c>
      <c r="D1410" s="3">
        <f>'Raw Data'!D1410</f>
        <v>45839</v>
      </c>
      <c r="E1410" t="str">
        <f t="shared" ref="E1410:E1473" si="110">TEXT(D1410,"mmm")</f>
        <v>Jul</v>
      </c>
      <c r="F1410" s="5">
        <f>'Raw Data'!E1410</f>
        <v>181</v>
      </c>
      <c r="G1410" s="4">
        <f>'Raw Data'!F1410</f>
        <v>3429.1</v>
      </c>
      <c r="H1410" s="4">
        <f>'Raw Data'!G1410</f>
        <v>3101.22</v>
      </c>
      <c r="I1410" s="4">
        <f t="shared" ref="I1410:I1473" si="111">G1410-H1410</f>
        <v>327.88000000000011</v>
      </c>
      <c r="J1410" s="8">
        <f t="shared" ref="J1410:J1473" si="112">IFERROR(I1410/G1410,0)</f>
        <v>9.5616925723950918E-2</v>
      </c>
      <c r="K1410" s="6">
        <f>'Raw Data'!I1410</f>
        <v>4.01</v>
      </c>
      <c r="L1410" s="5">
        <f>'Raw Data'!J1410</f>
        <v>31</v>
      </c>
      <c r="M1410" s="5">
        <f>IF(COUNTIFS($A$2:A1410,A1410,$D$2:D1410,D1410)=1,L1410,0)</f>
        <v>0</v>
      </c>
      <c r="N1410" s="4">
        <f t="shared" ref="N1410:N1473" si="113">IFERROR(G1410/L1410,0)</f>
        <v>110.61612903225806</v>
      </c>
      <c r="O1410" t="str">
        <f t="shared" ref="O1410:O1473" si="114">IF(OR(A1410="",B1410="",C1410="",F1410&lt;0,G1410&lt;0,H1410&lt;0,K1410&lt;1,K1410&gt;5),"Review","OK")</f>
        <v>OK</v>
      </c>
    </row>
    <row r="1411" spans="1:15">
      <c r="A1411" t="str">
        <f>'Raw Data'!A1411</f>
        <v>Las Vegas RM-20</v>
      </c>
      <c r="B1411" t="str">
        <f>'Raw Data'!B1411</f>
        <v>West</v>
      </c>
      <c r="C1411" t="str">
        <f>'Raw Data'!C1411</f>
        <v>Sports</v>
      </c>
      <c r="D1411" s="3">
        <f>'Raw Data'!D1411</f>
        <v>45839</v>
      </c>
      <c r="E1411" t="str">
        <f t="shared" si="110"/>
        <v>Jul</v>
      </c>
      <c r="F1411" s="5">
        <f>'Raw Data'!E1411</f>
        <v>150</v>
      </c>
      <c r="G1411" s="4">
        <f>'Raw Data'!F1411</f>
        <v>10005.41</v>
      </c>
      <c r="H1411" s="4">
        <f>'Raw Data'!G1411</f>
        <v>6533.55</v>
      </c>
      <c r="I1411" s="4">
        <f t="shared" si="111"/>
        <v>3471.8599999999997</v>
      </c>
      <c r="J1411" s="8">
        <f t="shared" si="112"/>
        <v>0.34699827393380178</v>
      </c>
      <c r="K1411" s="6">
        <f>'Raw Data'!I1411</f>
        <v>4.07</v>
      </c>
      <c r="L1411" s="5">
        <f>'Raw Data'!J1411</f>
        <v>31</v>
      </c>
      <c r="M1411" s="5">
        <f>IF(COUNTIFS($A$2:A1411,A1411,$D$2:D1411,D1411)=1,L1411,0)</f>
        <v>0</v>
      </c>
      <c r="N1411" s="4">
        <f t="shared" si="113"/>
        <v>322.75516129032258</v>
      </c>
      <c r="O1411" t="str">
        <f t="shared" si="114"/>
        <v>OK</v>
      </c>
    </row>
    <row r="1412" spans="1:15">
      <c r="A1412" t="str">
        <f>'Raw Data'!A1412</f>
        <v>Las Vegas RM-20</v>
      </c>
      <c r="B1412" t="str">
        <f>'Raw Data'!B1412</f>
        <v>West</v>
      </c>
      <c r="C1412" t="str">
        <f>'Raw Data'!C1412</f>
        <v>Electronics</v>
      </c>
      <c r="D1412" s="3">
        <f>'Raw Data'!D1412</f>
        <v>45870</v>
      </c>
      <c r="E1412" t="str">
        <f t="shared" si="110"/>
        <v>Aug</v>
      </c>
      <c r="F1412" s="5">
        <f>'Raw Data'!E1412</f>
        <v>152</v>
      </c>
      <c r="G1412" s="4">
        <f>'Raw Data'!F1412</f>
        <v>21160.81</v>
      </c>
      <c r="H1412" s="4">
        <f>'Raw Data'!G1412</f>
        <v>16561.5</v>
      </c>
      <c r="I1412" s="4">
        <f t="shared" si="111"/>
        <v>4599.3100000000013</v>
      </c>
      <c r="J1412" s="8">
        <f t="shared" si="112"/>
        <v>0.21735037552910313</v>
      </c>
      <c r="K1412" s="6">
        <f>'Raw Data'!I1412</f>
        <v>4.1100000000000003</v>
      </c>
      <c r="L1412" s="5">
        <f>'Raw Data'!J1412</f>
        <v>30</v>
      </c>
      <c r="M1412" s="5">
        <f>IF(COUNTIFS($A$2:A1412,A1412,$D$2:D1412,D1412)=1,L1412,0)</f>
        <v>30</v>
      </c>
      <c r="N1412" s="4">
        <f t="shared" si="113"/>
        <v>705.36033333333341</v>
      </c>
      <c r="O1412" t="str">
        <f t="shared" si="114"/>
        <v>OK</v>
      </c>
    </row>
    <row r="1413" spans="1:15">
      <c r="A1413" t="str">
        <f>'Raw Data'!A1413</f>
        <v>Las Vegas RM-20</v>
      </c>
      <c r="B1413" t="str">
        <f>'Raw Data'!B1413</f>
        <v>West</v>
      </c>
      <c r="C1413" t="str">
        <f>'Raw Data'!C1413</f>
        <v>Home Goods</v>
      </c>
      <c r="D1413" s="3">
        <f>'Raw Data'!D1413</f>
        <v>45870</v>
      </c>
      <c r="E1413" t="str">
        <f t="shared" si="110"/>
        <v>Aug</v>
      </c>
      <c r="F1413" s="5">
        <f>'Raw Data'!E1413</f>
        <v>118</v>
      </c>
      <c r="G1413" s="4">
        <f>'Raw Data'!F1413</f>
        <v>9089.4500000000007</v>
      </c>
      <c r="H1413" s="4">
        <f>'Raw Data'!G1413</f>
        <v>6137.79</v>
      </c>
      <c r="I1413" s="4">
        <f t="shared" si="111"/>
        <v>2951.6600000000008</v>
      </c>
      <c r="J1413" s="8">
        <f t="shared" si="112"/>
        <v>0.32473471992254765</v>
      </c>
      <c r="K1413" s="6">
        <f>'Raw Data'!I1413</f>
        <v>4.09</v>
      </c>
      <c r="L1413" s="5">
        <f>'Raw Data'!J1413</f>
        <v>30</v>
      </c>
      <c r="M1413" s="5">
        <f>IF(COUNTIFS($A$2:A1413,A1413,$D$2:D1413,D1413)=1,L1413,0)</f>
        <v>0</v>
      </c>
      <c r="N1413" s="4">
        <f t="shared" si="113"/>
        <v>302.98166666666668</v>
      </c>
      <c r="O1413" t="str">
        <f t="shared" si="114"/>
        <v>OK</v>
      </c>
    </row>
    <row r="1414" spans="1:15">
      <c r="A1414" t="str">
        <f>'Raw Data'!A1414</f>
        <v>Las Vegas RM-20</v>
      </c>
      <c r="B1414" t="str">
        <f>'Raw Data'!B1414</f>
        <v>West</v>
      </c>
      <c r="C1414" t="str">
        <f>'Raw Data'!C1414</f>
        <v>Apparel</v>
      </c>
      <c r="D1414" s="3">
        <f>'Raw Data'!D1414</f>
        <v>45870</v>
      </c>
      <c r="E1414" t="str">
        <f t="shared" si="110"/>
        <v>Aug</v>
      </c>
      <c r="F1414" s="5">
        <f>'Raw Data'!E1414</f>
        <v>181</v>
      </c>
      <c r="G1414" s="4">
        <f>'Raw Data'!F1414</f>
        <v>8174.77</v>
      </c>
      <c r="H1414" s="4">
        <f>'Raw Data'!G1414</f>
        <v>5127.05</v>
      </c>
      <c r="I1414" s="4">
        <f t="shared" si="111"/>
        <v>3047.7200000000003</v>
      </c>
      <c r="J1414" s="8">
        <f t="shared" si="112"/>
        <v>0.37282027506584287</v>
      </c>
      <c r="K1414" s="6">
        <f>'Raw Data'!I1414</f>
        <v>3.85</v>
      </c>
      <c r="L1414" s="5">
        <f>'Raw Data'!J1414</f>
        <v>30</v>
      </c>
      <c r="M1414" s="5">
        <f>IF(COUNTIFS($A$2:A1414,A1414,$D$2:D1414,D1414)=1,L1414,0)</f>
        <v>0</v>
      </c>
      <c r="N1414" s="4">
        <f t="shared" si="113"/>
        <v>272.49233333333336</v>
      </c>
      <c r="O1414" t="str">
        <f t="shared" si="114"/>
        <v>OK</v>
      </c>
    </row>
    <row r="1415" spans="1:15">
      <c r="A1415" t="str">
        <f>'Raw Data'!A1415</f>
        <v>Las Vegas RM-20</v>
      </c>
      <c r="B1415" t="str">
        <f>'Raw Data'!B1415</f>
        <v>West</v>
      </c>
      <c r="C1415" t="str">
        <f>'Raw Data'!C1415</f>
        <v>Beauty</v>
      </c>
      <c r="D1415" s="3">
        <f>'Raw Data'!D1415</f>
        <v>45870</v>
      </c>
      <c r="E1415" t="str">
        <f t="shared" si="110"/>
        <v>Aug</v>
      </c>
      <c r="F1415" s="5">
        <f>'Raw Data'!E1415</f>
        <v>131</v>
      </c>
      <c r="G1415" s="4">
        <f>'Raw Data'!F1415</f>
        <v>4548.51</v>
      </c>
      <c r="H1415" s="4">
        <f>'Raw Data'!G1415</f>
        <v>2278.16</v>
      </c>
      <c r="I1415" s="4">
        <f t="shared" si="111"/>
        <v>2270.3500000000004</v>
      </c>
      <c r="J1415" s="8">
        <f t="shared" si="112"/>
        <v>0.49914147709909407</v>
      </c>
      <c r="K1415" s="6">
        <f>'Raw Data'!I1415</f>
        <v>3.95</v>
      </c>
      <c r="L1415" s="5">
        <f>'Raw Data'!J1415</f>
        <v>30</v>
      </c>
      <c r="M1415" s="5">
        <f>IF(COUNTIFS($A$2:A1415,A1415,$D$2:D1415,D1415)=1,L1415,0)</f>
        <v>0</v>
      </c>
      <c r="N1415" s="4">
        <f t="shared" si="113"/>
        <v>151.61700000000002</v>
      </c>
      <c r="O1415" t="str">
        <f t="shared" si="114"/>
        <v>OK</v>
      </c>
    </row>
    <row r="1416" spans="1:15">
      <c r="A1416" t="str">
        <f>'Raw Data'!A1416</f>
        <v>Las Vegas RM-20</v>
      </c>
      <c r="B1416" t="str">
        <f>'Raw Data'!B1416</f>
        <v>West</v>
      </c>
      <c r="C1416" t="str">
        <f>'Raw Data'!C1416</f>
        <v>Grocery</v>
      </c>
      <c r="D1416" s="3">
        <f>'Raw Data'!D1416</f>
        <v>45870</v>
      </c>
      <c r="E1416" t="str">
        <f t="shared" si="110"/>
        <v>Aug</v>
      </c>
      <c r="F1416" s="5">
        <f>'Raw Data'!E1416</f>
        <v>237</v>
      </c>
      <c r="G1416" s="4">
        <f>'Raw Data'!F1416</f>
        <v>4507.1099999999997</v>
      </c>
      <c r="H1416" s="4">
        <f>'Raw Data'!G1416</f>
        <v>4103.0600000000004</v>
      </c>
      <c r="I1416" s="4">
        <f t="shared" si="111"/>
        <v>404.04999999999927</v>
      </c>
      <c r="J1416" s="8">
        <f t="shared" si="112"/>
        <v>8.9647246239829809E-2</v>
      </c>
      <c r="K1416" s="6">
        <f>'Raw Data'!I1416</f>
        <v>3.9</v>
      </c>
      <c r="L1416" s="5">
        <f>'Raw Data'!J1416</f>
        <v>30</v>
      </c>
      <c r="M1416" s="5">
        <f>IF(COUNTIFS($A$2:A1416,A1416,$D$2:D1416,D1416)=1,L1416,0)</f>
        <v>0</v>
      </c>
      <c r="N1416" s="4">
        <f t="shared" si="113"/>
        <v>150.23699999999999</v>
      </c>
      <c r="O1416" t="str">
        <f t="shared" si="114"/>
        <v>OK</v>
      </c>
    </row>
    <row r="1417" spans="1:15">
      <c r="A1417" t="str">
        <f>'Raw Data'!A1417</f>
        <v>Las Vegas RM-20</v>
      </c>
      <c r="B1417" t="str">
        <f>'Raw Data'!B1417</f>
        <v>West</v>
      </c>
      <c r="C1417" t="str">
        <f>'Raw Data'!C1417</f>
        <v>Sports</v>
      </c>
      <c r="D1417" s="3">
        <f>'Raw Data'!D1417</f>
        <v>45870</v>
      </c>
      <c r="E1417" t="str">
        <f t="shared" si="110"/>
        <v>Aug</v>
      </c>
      <c r="F1417" s="5">
        <f>'Raw Data'!E1417</f>
        <v>128</v>
      </c>
      <c r="G1417" s="4">
        <f>'Raw Data'!F1417</f>
        <v>8374</v>
      </c>
      <c r="H1417" s="4">
        <f>'Raw Data'!G1417</f>
        <v>5477.73</v>
      </c>
      <c r="I1417" s="4">
        <f t="shared" si="111"/>
        <v>2896.2700000000004</v>
      </c>
      <c r="J1417" s="8">
        <f t="shared" si="112"/>
        <v>0.34586458084547411</v>
      </c>
      <c r="K1417" s="6">
        <f>'Raw Data'!I1417</f>
        <v>3.96</v>
      </c>
      <c r="L1417" s="5">
        <f>'Raw Data'!J1417</f>
        <v>30</v>
      </c>
      <c r="M1417" s="5">
        <f>IF(COUNTIFS($A$2:A1417,A1417,$D$2:D1417,D1417)=1,L1417,0)</f>
        <v>0</v>
      </c>
      <c r="N1417" s="4">
        <f t="shared" si="113"/>
        <v>279.13333333333333</v>
      </c>
      <c r="O1417" t="str">
        <f t="shared" si="114"/>
        <v>OK</v>
      </c>
    </row>
    <row r="1418" spans="1:15">
      <c r="A1418" t="str">
        <f>'Raw Data'!A1418</f>
        <v>Las Vegas RM-20</v>
      </c>
      <c r="B1418" t="str">
        <f>'Raw Data'!B1418</f>
        <v>West</v>
      </c>
      <c r="C1418" t="str">
        <f>'Raw Data'!C1418</f>
        <v>Electronics</v>
      </c>
      <c r="D1418" s="3">
        <f>'Raw Data'!D1418</f>
        <v>45901</v>
      </c>
      <c r="E1418" t="str">
        <f t="shared" si="110"/>
        <v>Sep</v>
      </c>
      <c r="F1418" s="5">
        <f>'Raw Data'!E1418</f>
        <v>126</v>
      </c>
      <c r="G1418" s="4">
        <f>'Raw Data'!F1418</f>
        <v>17242.45</v>
      </c>
      <c r="H1418" s="4">
        <f>'Raw Data'!G1418</f>
        <v>13348.71</v>
      </c>
      <c r="I1418" s="4">
        <f t="shared" si="111"/>
        <v>3893.7400000000016</v>
      </c>
      <c r="J1418" s="8">
        <f t="shared" si="112"/>
        <v>0.22582289639813377</v>
      </c>
      <c r="K1418" s="6">
        <f>'Raw Data'!I1418</f>
        <v>3.84</v>
      </c>
      <c r="L1418" s="5">
        <f>'Raw Data'!J1418</f>
        <v>30</v>
      </c>
      <c r="M1418" s="5">
        <f>IF(COUNTIFS($A$2:A1418,A1418,$D$2:D1418,D1418)=1,L1418,0)</f>
        <v>30</v>
      </c>
      <c r="N1418" s="4">
        <f t="shared" si="113"/>
        <v>574.74833333333333</v>
      </c>
      <c r="O1418" t="str">
        <f t="shared" si="114"/>
        <v>OK</v>
      </c>
    </row>
    <row r="1419" spans="1:15">
      <c r="A1419" t="str">
        <f>'Raw Data'!A1419</f>
        <v>Las Vegas RM-20</v>
      </c>
      <c r="B1419" t="str">
        <f>'Raw Data'!B1419</f>
        <v>West</v>
      </c>
      <c r="C1419" t="str">
        <f>'Raw Data'!C1419</f>
        <v>Home Goods</v>
      </c>
      <c r="D1419" s="3">
        <f>'Raw Data'!D1419</f>
        <v>45901</v>
      </c>
      <c r="E1419" t="str">
        <f t="shared" si="110"/>
        <v>Sep</v>
      </c>
      <c r="F1419" s="5">
        <f>'Raw Data'!E1419</f>
        <v>121</v>
      </c>
      <c r="G1419" s="4">
        <f>'Raw Data'!F1419</f>
        <v>9875.07</v>
      </c>
      <c r="H1419" s="4">
        <f>'Raw Data'!G1419</f>
        <v>6930.3</v>
      </c>
      <c r="I1419" s="4">
        <f t="shared" si="111"/>
        <v>2944.7699999999995</v>
      </c>
      <c r="J1419" s="8">
        <f t="shared" si="112"/>
        <v>0.29820244312192212</v>
      </c>
      <c r="K1419" s="6">
        <f>'Raw Data'!I1419</f>
        <v>3.92</v>
      </c>
      <c r="L1419" s="5">
        <f>'Raw Data'!J1419</f>
        <v>30</v>
      </c>
      <c r="M1419" s="5">
        <f>IF(COUNTIFS($A$2:A1419,A1419,$D$2:D1419,D1419)=1,L1419,0)</f>
        <v>0</v>
      </c>
      <c r="N1419" s="4">
        <f t="shared" si="113"/>
        <v>329.16899999999998</v>
      </c>
      <c r="O1419" t="str">
        <f t="shared" si="114"/>
        <v>OK</v>
      </c>
    </row>
    <row r="1420" spans="1:15">
      <c r="A1420" t="str">
        <f>'Raw Data'!A1420</f>
        <v>Las Vegas RM-20</v>
      </c>
      <c r="B1420" t="str">
        <f>'Raw Data'!B1420</f>
        <v>West</v>
      </c>
      <c r="C1420" t="str">
        <f>'Raw Data'!C1420</f>
        <v>Apparel</v>
      </c>
      <c r="D1420" s="3">
        <f>'Raw Data'!D1420</f>
        <v>45901</v>
      </c>
      <c r="E1420" t="str">
        <f t="shared" si="110"/>
        <v>Sep</v>
      </c>
      <c r="F1420" s="5">
        <f>'Raw Data'!E1420</f>
        <v>143</v>
      </c>
      <c r="G1420" s="4">
        <f>'Raw Data'!F1420</f>
        <v>6853.03</v>
      </c>
      <c r="H1420" s="4">
        <f>'Raw Data'!G1420</f>
        <v>4301.6099999999997</v>
      </c>
      <c r="I1420" s="4">
        <f t="shared" si="111"/>
        <v>2551.42</v>
      </c>
      <c r="J1420" s="8">
        <f t="shared" si="112"/>
        <v>0.3723053890031125</v>
      </c>
      <c r="K1420" s="6">
        <f>'Raw Data'!I1420</f>
        <v>4</v>
      </c>
      <c r="L1420" s="5">
        <f>'Raw Data'!J1420</f>
        <v>30</v>
      </c>
      <c r="M1420" s="5">
        <f>IF(COUNTIFS($A$2:A1420,A1420,$D$2:D1420,D1420)=1,L1420,0)</f>
        <v>0</v>
      </c>
      <c r="N1420" s="4">
        <f t="shared" si="113"/>
        <v>228.43433333333331</v>
      </c>
      <c r="O1420" t="str">
        <f t="shared" si="114"/>
        <v>OK</v>
      </c>
    </row>
    <row r="1421" spans="1:15">
      <c r="A1421" t="str">
        <f>'Raw Data'!A1421</f>
        <v>Las Vegas RM-20</v>
      </c>
      <c r="B1421" t="str">
        <f>'Raw Data'!B1421</f>
        <v>West</v>
      </c>
      <c r="C1421" t="str">
        <f>'Raw Data'!C1421</f>
        <v>Beauty</v>
      </c>
      <c r="D1421" s="3">
        <f>'Raw Data'!D1421</f>
        <v>45901</v>
      </c>
      <c r="E1421" t="str">
        <f t="shared" si="110"/>
        <v>Sep</v>
      </c>
      <c r="F1421" s="5">
        <f>'Raw Data'!E1421</f>
        <v>113</v>
      </c>
      <c r="G1421" s="4">
        <f>'Raw Data'!F1421</f>
        <v>3963.31</v>
      </c>
      <c r="H1421" s="4">
        <f>'Raw Data'!G1421</f>
        <v>1967.38</v>
      </c>
      <c r="I1421" s="4">
        <f t="shared" si="111"/>
        <v>1995.9299999999998</v>
      </c>
      <c r="J1421" s="8">
        <f t="shared" si="112"/>
        <v>0.50360178739487949</v>
      </c>
      <c r="K1421" s="6">
        <f>'Raw Data'!I1421</f>
        <v>3.85</v>
      </c>
      <c r="L1421" s="5">
        <f>'Raw Data'!J1421</f>
        <v>30</v>
      </c>
      <c r="M1421" s="5">
        <f>IF(COUNTIFS($A$2:A1421,A1421,$D$2:D1421,D1421)=1,L1421,0)</f>
        <v>0</v>
      </c>
      <c r="N1421" s="4">
        <f t="shared" si="113"/>
        <v>132.11033333333333</v>
      </c>
      <c r="O1421" t="str">
        <f t="shared" si="114"/>
        <v>OK</v>
      </c>
    </row>
    <row r="1422" spans="1:15">
      <c r="A1422" t="str">
        <f>'Raw Data'!A1422</f>
        <v>Las Vegas RM-20</v>
      </c>
      <c r="B1422" t="str">
        <f>'Raw Data'!B1422</f>
        <v>West</v>
      </c>
      <c r="C1422" t="str">
        <f>'Raw Data'!C1422</f>
        <v>Grocery</v>
      </c>
      <c r="D1422" s="3">
        <f>'Raw Data'!D1422</f>
        <v>45901</v>
      </c>
      <c r="E1422" t="str">
        <f t="shared" si="110"/>
        <v>Sep</v>
      </c>
      <c r="F1422" s="5">
        <f>'Raw Data'!E1422</f>
        <v>223</v>
      </c>
      <c r="G1422" s="4">
        <f>'Raw Data'!F1422</f>
        <v>4192.1400000000003</v>
      </c>
      <c r="H1422" s="4">
        <f>'Raw Data'!G1422</f>
        <v>3909.23</v>
      </c>
      <c r="I1422" s="4">
        <f t="shared" si="111"/>
        <v>282.91000000000031</v>
      </c>
      <c r="J1422" s="8">
        <f t="shared" si="112"/>
        <v>6.748581869880306E-2</v>
      </c>
      <c r="K1422" s="6">
        <f>'Raw Data'!I1422</f>
        <v>3.92</v>
      </c>
      <c r="L1422" s="5">
        <f>'Raw Data'!J1422</f>
        <v>30</v>
      </c>
      <c r="M1422" s="5">
        <f>IF(COUNTIFS($A$2:A1422,A1422,$D$2:D1422,D1422)=1,L1422,0)</f>
        <v>0</v>
      </c>
      <c r="N1422" s="4">
        <f t="shared" si="113"/>
        <v>139.738</v>
      </c>
      <c r="O1422" t="str">
        <f t="shared" si="114"/>
        <v>OK</v>
      </c>
    </row>
    <row r="1423" spans="1:15">
      <c r="A1423" t="str">
        <f>'Raw Data'!A1423</f>
        <v>Las Vegas RM-20</v>
      </c>
      <c r="B1423" t="str">
        <f>'Raw Data'!B1423</f>
        <v>West</v>
      </c>
      <c r="C1423" t="str">
        <f>'Raw Data'!C1423</f>
        <v>Sports</v>
      </c>
      <c r="D1423" s="3">
        <f>'Raw Data'!D1423</f>
        <v>45901</v>
      </c>
      <c r="E1423" t="str">
        <f t="shared" si="110"/>
        <v>Sep</v>
      </c>
      <c r="F1423" s="5">
        <f>'Raw Data'!E1423</f>
        <v>98</v>
      </c>
      <c r="G1423" s="4">
        <f>'Raw Data'!F1423</f>
        <v>6450.09</v>
      </c>
      <c r="H1423" s="4">
        <f>'Raw Data'!G1423</f>
        <v>4341.75</v>
      </c>
      <c r="I1423" s="4">
        <f t="shared" si="111"/>
        <v>2108.34</v>
      </c>
      <c r="J1423" s="8">
        <f t="shared" si="112"/>
        <v>0.32686985762989357</v>
      </c>
      <c r="K1423" s="6">
        <f>'Raw Data'!I1423</f>
        <v>3.92</v>
      </c>
      <c r="L1423" s="5">
        <f>'Raw Data'!J1423</f>
        <v>30</v>
      </c>
      <c r="M1423" s="5">
        <f>IF(COUNTIFS($A$2:A1423,A1423,$D$2:D1423,D1423)=1,L1423,0)</f>
        <v>0</v>
      </c>
      <c r="N1423" s="4">
        <f t="shared" si="113"/>
        <v>215.00300000000001</v>
      </c>
      <c r="O1423" t="str">
        <f t="shared" si="114"/>
        <v>OK</v>
      </c>
    </row>
    <row r="1424" spans="1:15">
      <c r="A1424" t="str">
        <f>'Raw Data'!A1424</f>
        <v>Las Vegas RM-20</v>
      </c>
      <c r="B1424" t="str">
        <f>'Raw Data'!B1424</f>
        <v>West</v>
      </c>
      <c r="C1424" t="str">
        <f>'Raw Data'!C1424</f>
        <v>Electronics</v>
      </c>
      <c r="D1424" s="3">
        <f>'Raw Data'!D1424</f>
        <v>45931</v>
      </c>
      <c r="E1424" t="str">
        <f t="shared" si="110"/>
        <v>Oct</v>
      </c>
      <c r="F1424" s="5">
        <f>'Raw Data'!E1424</f>
        <v>133</v>
      </c>
      <c r="G1424" s="4">
        <f>'Raw Data'!F1424</f>
        <v>18175.27</v>
      </c>
      <c r="H1424" s="4">
        <f>'Raw Data'!G1424</f>
        <v>14402.09</v>
      </c>
      <c r="I1424" s="4">
        <f t="shared" si="111"/>
        <v>3773.1800000000003</v>
      </c>
      <c r="J1424" s="8">
        <f t="shared" si="112"/>
        <v>0.20759966702007729</v>
      </c>
      <c r="K1424" s="6">
        <f>'Raw Data'!I1424</f>
        <v>3.96</v>
      </c>
      <c r="L1424" s="5">
        <f>'Raw Data'!J1424</f>
        <v>28</v>
      </c>
      <c r="M1424" s="5">
        <f>IF(COUNTIFS($A$2:A1424,A1424,$D$2:D1424,D1424)=1,L1424,0)</f>
        <v>28</v>
      </c>
      <c r="N1424" s="4">
        <f t="shared" si="113"/>
        <v>649.1167857142857</v>
      </c>
      <c r="O1424" t="str">
        <f t="shared" si="114"/>
        <v>OK</v>
      </c>
    </row>
    <row r="1425" spans="1:15">
      <c r="A1425" t="str">
        <f>'Raw Data'!A1425</f>
        <v>Las Vegas RM-20</v>
      </c>
      <c r="B1425" t="str">
        <f>'Raw Data'!B1425</f>
        <v>West</v>
      </c>
      <c r="C1425" t="str">
        <f>'Raw Data'!C1425</f>
        <v>Home Goods</v>
      </c>
      <c r="D1425" s="3">
        <f>'Raw Data'!D1425</f>
        <v>45931</v>
      </c>
      <c r="E1425" t="str">
        <f t="shared" si="110"/>
        <v>Oct</v>
      </c>
      <c r="F1425" s="5">
        <f>'Raw Data'!E1425</f>
        <v>144</v>
      </c>
      <c r="G1425" s="4">
        <f>'Raw Data'!F1425</f>
        <v>10511.27</v>
      </c>
      <c r="H1425" s="4">
        <f>'Raw Data'!G1425</f>
        <v>7277.77</v>
      </c>
      <c r="I1425" s="4">
        <f t="shared" si="111"/>
        <v>3233.5</v>
      </c>
      <c r="J1425" s="8">
        <f t="shared" si="112"/>
        <v>0.30762219979127164</v>
      </c>
      <c r="K1425" s="6">
        <f>'Raw Data'!I1425</f>
        <v>4</v>
      </c>
      <c r="L1425" s="5">
        <f>'Raw Data'!J1425</f>
        <v>28</v>
      </c>
      <c r="M1425" s="5">
        <f>IF(COUNTIFS($A$2:A1425,A1425,$D$2:D1425,D1425)=1,L1425,0)</f>
        <v>0</v>
      </c>
      <c r="N1425" s="4">
        <f t="shared" si="113"/>
        <v>375.40250000000003</v>
      </c>
      <c r="O1425" t="str">
        <f t="shared" si="114"/>
        <v>OK</v>
      </c>
    </row>
    <row r="1426" spans="1:15">
      <c r="A1426" t="str">
        <f>'Raw Data'!A1426</f>
        <v>Las Vegas RM-20</v>
      </c>
      <c r="B1426" t="str">
        <f>'Raw Data'!B1426</f>
        <v>West</v>
      </c>
      <c r="C1426" t="str">
        <f>'Raw Data'!C1426</f>
        <v>Apparel</v>
      </c>
      <c r="D1426" s="3">
        <f>'Raw Data'!D1426</f>
        <v>45931</v>
      </c>
      <c r="E1426" t="str">
        <f t="shared" si="110"/>
        <v>Oct</v>
      </c>
      <c r="F1426" s="5">
        <f>'Raw Data'!E1426</f>
        <v>164</v>
      </c>
      <c r="G1426" s="4">
        <f>'Raw Data'!F1426</f>
        <v>7797.71</v>
      </c>
      <c r="H1426" s="4">
        <f>'Raw Data'!G1426</f>
        <v>4984.16</v>
      </c>
      <c r="I1426" s="4">
        <f t="shared" si="111"/>
        <v>2813.55</v>
      </c>
      <c r="J1426" s="8">
        <f t="shared" si="112"/>
        <v>0.3608174707702646</v>
      </c>
      <c r="K1426" s="6">
        <f>'Raw Data'!I1426</f>
        <v>4.09</v>
      </c>
      <c r="L1426" s="5">
        <f>'Raw Data'!J1426</f>
        <v>28</v>
      </c>
      <c r="M1426" s="5">
        <f>IF(COUNTIFS($A$2:A1426,A1426,$D$2:D1426,D1426)=1,L1426,0)</f>
        <v>0</v>
      </c>
      <c r="N1426" s="4">
        <f t="shared" si="113"/>
        <v>278.48964285714288</v>
      </c>
      <c r="O1426" t="str">
        <f t="shared" si="114"/>
        <v>OK</v>
      </c>
    </row>
    <row r="1427" spans="1:15">
      <c r="A1427" t="str">
        <f>'Raw Data'!A1427</f>
        <v>Las Vegas RM-20</v>
      </c>
      <c r="B1427" t="str">
        <f>'Raw Data'!B1427</f>
        <v>West</v>
      </c>
      <c r="C1427" t="str">
        <f>'Raw Data'!C1427</f>
        <v>Beauty</v>
      </c>
      <c r="D1427" s="3">
        <f>'Raw Data'!D1427</f>
        <v>45931</v>
      </c>
      <c r="E1427" t="str">
        <f t="shared" si="110"/>
        <v>Oct</v>
      </c>
      <c r="F1427" s="5">
        <f>'Raw Data'!E1427</f>
        <v>141</v>
      </c>
      <c r="G1427" s="4">
        <f>'Raw Data'!F1427</f>
        <v>4806.0600000000004</v>
      </c>
      <c r="H1427" s="4">
        <f>'Raw Data'!G1427</f>
        <v>2439.4299999999998</v>
      </c>
      <c r="I1427" s="4">
        <f t="shared" si="111"/>
        <v>2366.6300000000006</v>
      </c>
      <c r="J1427" s="8">
        <f t="shared" si="112"/>
        <v>0.49242622855311841</v>
      </c>
      <c r="K1427" s="6">
        <f>'Raw Data'!I1427</f>
        <v>3.98</v>
      </c>
      <c r="L1427" s="5">
        <f>'Raw Data'!J1427</f>
        <v>28</v>
      </c>
      <c r="M1427" s="5">
        <f>IF(COUNTIFS($A$2:A1427,A1427,$D$2:D1427,D1427)=1,L1427,0)</f>
        <v>0</v>
      </c>
      <c r="N1427" s="4">
        <f t="shared" si="113"/>
        <v>171.64500000000001</v>
      </c>
      <c r="O1427" t="str">
        <f t="shared" si="114"/>
        <v>OK</v>
      </c>
    </row>
    <row r="1428" spans="1:15">
      <c r="A1428" t="str">
        <f>'Raw Data'!A1428</f>
        <v>Las Vegas RM-20</v>
      </c>
      <c r="B1428" t="str">
        <f>'Raw Data'!B1428</f>
        <v>West</v>
      </c>
      <c r="C1428" t="str">
        <f>'Raw Data'!C1428</f>
        <v>Grocery</v>
      </c>
      <c r="D1428" s="3">
        <f>'Raw Data'!D1428</f>
        <v>45931</v>
      </c>
      <c r="E1428" t="str">
        <f t="shared" si="110"/>
        <v>Oct</v>
      </c>
      <c r="F1428" s="5">
        <f>'Raw Data'!E1428</f>
        <v>239</v>
      </c>
      <c r="G1428" s="4">
        <f>'Raw Data'!F1428</f>
        <v>4422.13</v>
      </c>
      <c r="H1428" s="4">
        <f>'Raw Data'!G1428</f>
        <v>4195.8599999999997</v>
      </c>
      <c r="I1428" s="4">
        <f t="shared" si="111"/>
        <v>226.27000000000044</v>
      </c>
      <c r="J1428" s="8">
        <f t="shared" si="112"/>
        <v>5.1167649978630304E-2</v>
      </c>
      <c r="K1428" s="6">
        <f>'Raw Data'!I1428</f>
        <v>3.93</v>
      </c>
      <c r="L1428" s="5">
        <f>'Raw Data'!J1428</f>
        <v>28</v>
      </c>
      <c r="M1428" s="5">
        <f>IF(COUNTIFS($A$2:A1428,A1428,$D$2:D1428,D1428)=1,L1428,0)</f>
        <v>0</v>
      </c>
      <c r="N1428" s="4">
        <f t="shared" si="113"/>
        <v>157.93321428571429</v>
      </c>
      <c r="O1428" t="str">
        <f t="shared" si="114"/>
        <v>OK</v>
      </c>
    </row>
    <row r="1429" spans="1:15">
      <c r="A1429" t="str">
        <f>'Raw Data'!A1429</f>
        <v>Las Vegas RM-20</v>
      </c>
      <c r="B1429" t="str">
        <f>'Raw Data'!B1429</f>
        <v>West</v>
      </c>
      <c r="C1429" t="str">
        <f>'Raw Data'!C1429</f>
        <v>Sports</v>
      </c>
      <c r="D1429" s="3">
        <f>'Raw Data'!D1429</f>
        <v>45931</v>
      </c>
      <c r="E1429" t="str">
        <f t="shared" si="110"/>
        <v>Oct</v>
      </c>
      <c r="F1429" s="5">
        <f>'Raw Data'!E1429</f>
        <v>106</v>
      </c>
      <c r="G1429" s="4">
        <f>'Raw Data'!F1429</f>
        <v>6331.46</v>
      </c>
      <c r="H1429" s="4">
        <f>'Raw Data'!G1429</f>
        <v>4221.9799999999996</v>
      </c>
      <c r="I1429" s="4">
        <f t="shared" si="111"/>
        <v>2109.4800000000005</v>
      </c>
      <c r="J1429" s="8">
        <f t="shared" si="112"/>
        <v>0.33317433893604326</v>
      </c>
      <c r="K1429" s="6">
        <f>'Raw Data'!I1429</f>
        <v>3.86</v>
      </c>
      <c r="L1429" s="5">
        <f>'Raw Data'!J1429</f>
        <v>28</v>
      </c>
      <c r="M1429" s="5">
        <f>IF(COUNTIFS($A$2:A1429,A1429,$D$2:D1429,D1429)=1,L1429,0)</f>
        <v>0</v>
      </c>
      <c r="N1429" s="4">
        <f t="shared" si="113"/>
        <v>226.12357142857144</v>
      </c>
      <c r="O1429" t="str">
        <f t="shared" si="114"/>
        <v>OK</v>
      </c>
    </row>
    <row r="1430" spans="1:15">
      <c r="A1430" t="str">
        <f>'Raw Data'!A1430</f>
        <v>Las Vegas RM-20</v>
      </c>
      <c r="B1430" t="str">
        <f>'Raw Data'!B1430</f>
        <v>West</v>
      </c>
      <c r="C1430" t="str">
        <f>'Raw Data'!C1430</f>
        <v>Electronics</v>
      </c>
      <c r="D1430" s="3">
        <f>'Raw Data'!D1430</f>
        <v>45962</v>
      </c>
      <c r="E1430" t="str">
        <f t="shared" si="110"/>
        <v>Nov</v>
      </c>
      <c r="F1430" s="5">
        <f>'Raw Data'!E1430</f>
        <v>231</v>
      </c>
      <c r="G1430" s="4">
        <f>'Raw Data'!F1430</f>
        <v>33185.279999999999</v>
      </c>
      <c r="H1430" s="4">
        <f>'Raw Data'!G1430</f>
        <v>26935.59</v>
      </c>
      <c r="I1430" s="4">
        <f t="shared" si="111"/>
        <v>6249.6899999999987</v>
      </c>
      <c r="J1430" s="8">
        <f t="shared" si="112"/>
        <v>0.18832717397593146</v>
      </c>
      <c r="K1430" s="6">
        <f>'Raw Data'!I1430</f>
        <v>3.88</v>
      </c>
      <c r="L1430" s="5">
        <f>'Raw Data'!J1430</f>
        <v>31</v>
      </c>
      <c r="M1430" s="5">
        <f>IF(COUNTIFS($A$2:A1430,A1430,$D$2:D1430,D1430)=1,L1430,0)</f>
        <v>31</v>
      </c>
      <c r="N1430" s="4">
        <f t="shared" si="113"/>
        <v>1070.4929032258065</v>
      </c>
      <c r="O1430" t="str">
        <f t="shared" si="114"/>
        <v>OK</v>
      </c>
    </row>
    <row r="1431" spans="1:15">
      <c r="A1431" t="str">
        <f>'Raw Data'!A1431</f>
        <v>Las Vegas RM-20</v>
      </c>
      <c r="B1431" t="str">
        <f>'Raw Data'!B1431</f>
        <v>West</v>
      </c>
      <c r="C1431" t="str">
        <f>'Raw Data'!C1431</f>
        <v>Home Goods</v>
      </c>
      <c r="D1431" s="3">
        <f>'Raw Data'!D1431</f>
        <v>45962</v>
      </c>
      <c r="E1431" t="str">
        <f t="shared" si="110"/>
        <v>Nov</v>
      </c>
      <c r="F1431" s="5">
        <f>'Raw Data'!E1431</f>
        <v>176</v>
      </c>
      <c r="G1431" s="4">
        <f>'Raw Data'!F1431</f>
        <v>12842.57</v>
      </c>
      <c r="H1431" s="4">
        <f>'Raw Data'!G1431</f>
        <v>8793.9699999999993</v>
      </c>
      <c r="I1431" s="4">
        <f t="shared" si="111"/>
        <v>4048.6000000000004</v>
      </c>
      <c r="J1431" s="8">
        <f t="shared" si="112"/>
        <v>0.31524842769009631</v>
      </c>
      <c r="K1431" s="6">
        <f>'Raw Data'!I1431</f>
        <v>3.85</v>
      </c>
      <c r="L1431" s="5">
        <f>'Raw Data'!J1431</f>
        <v>31</v>
      </c>
      <c r="M1431" s="5">
        <f>IF(COUNTIFS($A$2:A1431,A1431,$D$2:D1431,D1431)=1,L1431,0)</f>
        <v>0</v>
      </c>
      <c r="N1431" s="4">
        <f t="shared" si="113"/>
        <v>414.2764516129032</v>
      </c>
      <c r="O1431" t="str">
        <f t="shared" si="114"/>
        <v>OK</v>
      </c>
    </row>
    <row r="1432" spans="1:15">
      <c r="A1432" t="str">
        <f>'Raw Data'!A1432</f>
        <v>Las Vegas RM-20</v>
      </c>
      <c r="B1432" t="str">
        <f>'Raw Data'!B1432</f>
        <v>West</v>
      </c>
      <c r="C1432" t="str">
        <f>'Raw Data'!C1432</f>
        <v>Apparel</v>
      </c>
      <c r="D1432" s="3">
        <f>'Raw Data'!D1432</f>
        <v>45962</v>
      </c>
      <c r="E1432" t="str">
        <f t="shared" si="110"/>
        <v>Nov</v>
      </c>
      <c r="F1432" s="5">
        <f>'Raw Data'!E1432</f>
        <v>238</v>
      </c>
      <c r="G1432" s="4">
        <f>'Raw Data'!F1432</f>
        <v>12211.42</v>
      </c>
      <c r="H1432" s="4">
        <f>'Raw Data'!G1432</f>
        <v>7657.3</v>
      </c>
      <c r="I1432" s="4">
        <f t="shared" si="111"/>
        <v>4554.12</v>
      </c>
      <c r="J1432" s="8">
        <f t="shared" si="112"/>
        <v>0.3729394288297348</v>
      </c>
      <c r="K1432" s="6">
        <f>'Raw Data'!I1432</f>
        <v>3.83</v>
      </c>
      <c r="L1432" s="5">
        <f>'Raw Data'!J1432</f>
        <v>31</v>
      </c>
      <c r="M1432" s="5">
        <f>IF(COUNTIFS($A$2:A1432,A1432,$D$2:D1432,D1432)=1,L1432,0)</f>
        <v>0</v>
      </c>
      <c r="N1432" s="4">
        <f t="shared" si="113"/>
        <v>393.91677419354841</v>
      </c>
      <c r="O1432" t="str">
        <f t="shared" si="114"/>
        <v>OK</v>
      </c>
    </row>
    <row r="1433" spans="1:15">
      <c r="A1433" t="str">
        <f>'Raw Data'!A1433</f>
        <v>Las Vegas RM-20</v>
      </c>
      <c r="B1433" t="str">
        <f>'Raw Data'!B1433</f>
        <v>West</v>
      </c>
      <c r="C1433" t="str">
        <f>'Raw Data'!C1433</f>
        <v>Beauty</v>
      </c>
      <c r="D1433" s="3">
        <f>'Raw Data'!D1433</f>
        <v>45962</v>
      </c>
      <c r="E1433" t="str">
        <f t="shared" si="110"/>
        <v>Nov</v>
      </c>
      <c r="F1433" s="5">
        <f>'Raw Data'!E1433</f>
        <v>153</v>
      </c>
      <c r="G1433" s="4">
        <f>'Raw Data'!F1433</f>
        <v>5565.69</v>
      </c>
      <c r="H1433" s="4">
        <f>'Raw Data'!G1433</f>
        <v>2951.74</v>
      </c>
      <c r="I1433" s="4">
        <f t="shared" si="111"/>
        <v>2613.9499999999998</v>
      </c>
      <c r="J1433" s="8">
        <f t="shared" si="112"/>
        <v>0.46965425670491889</v>
      </c>
      <c r="K1433" s="6">
        <f>'Raw Data'!I1433</f>
        <v>4.04</v>
      </c>
      <c r="L1433" s="5">
        <f>'Raw Data'!J1433</f>
        <v>31</v>
      </c>
      <c r="M1433" s="5">
        <f>IF(COUNTIFS($A$2:A1433,A1433,$D$2:D1433,D1433)=1,L1433,0)</f>
        <v>0</v>
      </c>
      <c r="N1433" s="4">
        <f t="shared" si="113"/>
        <v>179.53838709677419</v>
      </c>
      <c r="O1433" t="str">
        <f t="shared" si="114"/>
        <v>OK</v>
      </c>
    </row>
    <row r="1434" spans="1:15">
      <c r="A1434" t="str">
        <f>'Raw Data'!A1434</f>
        <v>Las Vegas RM-20</v>
      </c>
      <c r="B1434" t="str">
        <f>'Raw Data'!B1434</f>
        <v>West</v>
      </c>
      <c r="C1434" t="str">
        <f>'Raw Data'!C1434</f>
        <v>Grocery</v>
      </c>
      <c r="D1434" s="3">
        <f>'Raw Data'!D1434</f>
        <v>45962</v>
      </c>
      <c r="E1434" t="str">
        <f t="shared" si="110"/>
        <v>Nov</v>
      </c>
      <c r="F1434" s="5">
        <f>'Raw Data'!E1434</f>
        <v>254</v>
      </c>
      <c r="G1434" s="4">
        <f>'Raw Data'!F1434</f>
        <v>4907.3500000000004</v>
      </c>
      <c r="H1434" s="4">
        <f>'Raw Data'!G1434</f>
        <v>4708.7</v>
      </c>
      <c r="I1434" s="4">
        <f t="shared" si="111"/>
        <v>198.65000000000055</v>
      </c>
      <c r="J1434" s="8">
        <f t="shared" si="112"/>
        <v>4.0480096182257334E-2</v>
      </c>
      <c r="K1434" s="6">
        <f>'Raw Data'!I1434</f>
        <v>3.98</v>
      </c>
      <c r="L1434" s="5">
        <f>'Raw Data'!J1434</f>
        <v>31</v>
      </c>
      <c r="M1434" s="5">
        <f>IF(COUNTIFS($A$2:A1434,A1434,$D$2:D1434,D1434)=1,L1434,0)</f>
        <v>0</v>
      </c>
      <c r="N1434" s="4">
        <f t="shared" si="113"/>
        <v>158.30161290322582</v>
      </c>
      <c r="O1434" t="str">
        <f t="shared" si="114"/>
        <v>OK</v>
      </c>
    </row>
    <row r="1435" spans="1:15">
      <c r="A1435" t="str">
        <f>'Raw Data'!A1435</f>
        <v>Las Vegas RM-20</v>
      </c>
      <c r="B1435" t="str">
        <f>'Raw Data'!B1435</f>
        <v>West</v>
      </c>
      <c r="C1435" t="str">
        <f>'Raw Data'!C1435</f>
        <v>Sports</v>
      </c>
      <c r="D1435" s="3">
        <f>'Raw Data'!D1435</f>
        <v>45962</v>
      </c>
      <c r="E1435" t="str">
        <f t="shared" si="110"/>
        <v>Nov</v>
      </c>
      <c r="F1435" s="5">
        <f>'Raw Data'!E1435</f>
        <v>119</v>
      </c>
      <c r="G1435" s="4">
        <f>'Raw Data'!F1435</f>
        <v>7660.7</v>
      </c>
      <c r="H1435" s="4">
        <f>'Raw Data'!G1435</f>
        <v>5303.85</v>
      </c>
      <c r="I1435" s="4">
        <f t="shared" si="111"/>
        <v>2356.8499999999995</v>
      </c>
      <c r="J1435" s="8">
        <f t="shared" si="112"/>
        <v>0.30765465296904976</v>
      </c>
      <c r="K1435" s="6">
        <f>'Raw Data'!I1435</f>
        <v>3.9</v>
      </c>
      <c r="L1435" s="5">
        <f>'Raw Data'!J1435</f>
        <v>31</v>
      </c>
      <c r="M1435" s="5">
        <f>IF(COUNTIFS($A$2:A1435,A1435,$D$2:D1435,D1435)=1,L1435,0)</f>
        <v>0</v>
      </c>
      <c r="N1435" s="4">
        <f t="shared" si="113"/>
        <v>247.11935483870968</v>
      </c>
      <c r="O1435" t="str">
        <f t="shared" si="114"/>
        <v>OK</v>
      </c>
    </row>
    <row r="1436" spans="1:15">
      <c r="A1436" t="str">
        <f>'Raw Data'!A1436</f>
        <v>Las Vegas RM-20</v>
      </c>
      <c r="B1436" t="str">
        <f>'Raw Data'!B1436</f>
        <v>West</v>
      </c>
      <c r="C1436" t="str">
        <f>'Raw Data'!C1436</f>
        <v>Electronics</v>
      </c>
      <c r="D1436" s="3">
        <f>'Raw Data'!D1436</f>
        <v>45992</v>
      </c>
      <c r="E1436" t="str">
        <f t="shared" si="110"/>
        <v>Dec</v>
      </c>
      <c r="F1436" s="5">
        <f>'Raw Data'!E1436</f>
        <v>270</v>
      </c>
      <c r="G1436" s="4">
        <f>'Raw Data'!F1436</f>
        <v>36896.26</v>
      </c>
      <c r="H1436" s="4">
        <f>'Raw Data'!G1436</f>
        <v>30564.35</v>
      </c>
      <c r="I1436" s="4">
        <f t="shared" si="111"/>
        <v>6331.9100000000035</v>
      </c>
      <c r="J1436" s="8">
        <f t="shared" si="112"/>
        <v>0.17161387089097929</v>
      </c>
      <c r="K1436" s="6">
        <f>'Raw Data'!I1436</f>
        <v>4</v>
      </c>
      <c r="L1436" s="5">
        <f>'Raw Data'!J1436</f>
        <v>30</v>
      </c>
      <c r="M1436" s="5">
        <f>IF(COUNTIFS($A$2:A1436,A1436,$D$2:D1436,D1436)=1,L1436,0)</f>
        <v>30</v>
      </c>
      <c r="N1436" s="4">
        <f t="shared" si="113"/>
        <v>1229.8753333333334</v>
      </c>
      <c r="O1436" t="str">
        <f t="shared" si="114"/>
        <v>OK</v>
      </c>
    </row>
    <row r="1437" spans="1:15">
      <c r="A1437" t="str">
        <f>'Raw Data'!A1437</f>
        <v>Las Vegas RM-20</v>
      </c>
      <c r="B1437" t="str">
        <f>'Raw Data'!B1437</f>
        <v>West</v>
      </c>
      <c r="C1437" t="str">
        <f>'Raw Data'!C1437</f>
        <v>Home Goods</v>
      </c>
      <c r="D1437" s="3">
        <f>'Raw Data'!D1437</f>
        <v>45992</v>
      </c>
      <c r="E1437" t="str">
        <f t="shared" si="110"/>
        <v>Dec</v>
      </c>
      <c r="F1437" s="5">
        <f>'Raw Data'!E1437</f>
        <v>181</v>
      </c>
      <c r="G1437" s="4">
        <f>'Raw Data'!F1437</f>
        <v>13198.36</v>
      </c>
      <c r="H1437" s="4">
        <f>'Raw Data'!G1437</f>
        <v>9548.6299999999992</v>
      </c>
      <c r="I1437" s="4">
        <f t="shared" si="111"/>
        <v>3649.7300000000014</v>
      </c>
      <c r="J1437" s="8">
        <f t="shared" si="112"/>
        <v>0.27652905360969099</v>
      </c>
      <c r="K1437" s="6">
        <f>'Raw Data'!I1437</f>
        <v>4.0999999999999996</v>
      </c>
      <c r="L1437" s="5">
        <f>'Raw Data'!J1437</f>
        <v>30</v>
      </c>
      <c r="M1437" s="5">
        <f>IF(COUNTIFS($A$2:A1437,A1437,$D$2:D1437,D1437)=1,L1437,0)</f>
        <v>0</v>
      </c>
      <c r="N1437" s="4">
        <f t="shared" si="113"/>
        <v>439.94533333333334</v>
      </c>
      <c r="O1437" t="str">
        <f t="shared" si="114"/>
        <v>OK</v>
      </c>
    </row>
    <row r="1438" spans="1:15">
      <c r="A1438" t="str">
        <f>'Raw Data'!A1438</f>
        <v>Las Vegas RM-20</v>
      </c>
      <c r="B1438" t="str">
        <f>'Raw Data'!B1438</f>
        <v>West</v>
      </c>
      <c r="C1438" t="str">
        <f>'Raw Data'!C1438</f>
        <v>Apparel</v>
      </c>
      <c r="D1438" s="3">
        <f>'Raw Data'!D1438</f>
        <v>45992</v>
      </c>
      <c r="E1438" t="str">
        <f t="shared" si="110"/>
        <v>Dec</v>
      </c>
      <c r="F1438" s="5">
        <f>'Raw Data'!E1438</f>
        <v>211</v>
      </c>
      <c r="G1438" s="4">
        <f>'Raw Data'!F1438</f>
        <v>9764.5</v>
      </c>
      <c r="H1438" s="4">
        <f>'Raw Data'!G1438</f>
        <v>6426.94</v>
      </c>
      <c r="I1438" s="4">
        <f t="shared" si="111"/>
        <v>3337.5600000000004</v>
      </c>
      <c r="J1438" s="8">
        <f t="shared" si="112"/>
        <v>0.34180551999590358</v>
      </c>
      <c r="K1438" s="6">
        <f>'Raw Data'!I1438</f>
        <v>4.0199999999999996</v>
      </c>
      <c r="L1438" s="5">
        <f>'Raw Data'!J1438</f>
        <v>30</v>
      </c>
      <c r="M1438" s="5">
        <f>IF(COUNTIFS($A$2:A1438,A1438,$D$2:D1438,D1438)=1,L1438,0)</f>
        <v>0</v>
      </c>
      <c r="N1438" s="4">
        <f t="shared" si="113"/>
        <v>325.48333333333335</v>
      </c>
      <c r="O1438" t="str">
        <f t="shared" si="114"/>
        <v>OK</v>
      </c>
    </row>
    <row r="1439" spans="1:15">
      <c r="A1439" t="str">
        <f>'Raw Data'!A1439</f>
        <v>Las Vegas RM-20</v>
      </c>
      <c r="B1439" t="str">
        <f>'Raw Data'!B1439</f>
        <v>West</v>
      </c>
      <c r="C1439" t="str">
        <f>'Raw Data'!C1439</f>
        <v>Beauty</v>
      </c>
      <c r="D1439" s="3">
        <f>'Raw Data'!D1439</f>
        <v>45992</v>
      </c>
      <c r="E1439" t="str">
        <f t="shared" si="110"/>
        <v>Dec</v>
      </c>
      <c r="F1439" s="5">
        <f>'Raw Data'!E1439</f>
        <v>180</v>
      </c>
      <c r="G1439" s="4">
        <f>'Raw Data'!F1439</f>
        <v>6198.79</v>
      </c>
      <c r="H1439" s="4">
        <f>'Raw Data'!G1439</f>
        <v>3309.14</v>
      </c>
      <c r="I1439" s="4">
        <f t="shared" si="111"/>
        <v>2889.65</v>
      </c>
      <c r="J1439" s="8">
        <f t="shared" si="112"/>
        <v>0.46616355772658857</v>
      </c>
      <c r="K1439" s="6">
        <f>'Raw Data'!I1439</f>
        <v>4</v>
      </c>
      <c r="L1439" s="5">
        <f>'Raw Data'!J1439</f>
        <v>30</v>
      </c>
      <c r="M1439" s="5">
        <f>IF(COUNTIFS($A$2:A1439,A1439,$D$2:D1439,D1439)=1,L1439,0)</f>
        <v>0</v>
      </c>
      <c r="N1439" s="4">
        <f t="shared" si="113"/>
        <v>206.62633333333332</v>
      </c>
      <c r="O1439" t="str">
        <f t="shared" si="114"/>
        <v>OK</v>
      </c>
    </row>
    <row r="1440" spans="1:15">
      <c r="A1440" t="str">
        <f>'Raw Data'!A1440</f>
        <v>Las Vegas RM-20</v>
      </c>
      <c r="B1440" t="str">
        <f>'Raw Data'!B1440</f>
        <v>West</v>
      </c>
      <c r="C1440" t="str">
        <f>'Raw Data'!C1440</f>
        <v>Grocery</v>
      </c>
      <c r="D1440" s="3">
        <f>'Raw Data'!D1440</f>
        <v>45992</v>
      </c>
      <c r="E1440" t="str">
        <f t="shared" si="110"/>
        <v>Dec</v>
      </c>
      <c r="F1440" s="5">
        <f>'Raw Data'!E1440</f>
        <v>310</v>
      </c>
      <c r="G1440" s="4">
        <f>'Raw Data'!F1440</f>
        <v>5409.13</v>
      </c>
      <c r="H1440" s="4">
        <f>'Raw Data'!G1440</f>
        <v>5342.66</v>
      </c>
      <c r="I1440" s="4">
        <f t="shared" si="111"/>
        <v>66.470000000000255</v>
      </c>
      <c r="J1440" s="8">
        <f t="shared" si="112"/>
        <v>1.2288482621050012E-2</v>
      </c>
      <c r="K1440" s="6">
        <f>'Raw Data'!I1440</f>
        <v>3.87</v>
      </c>
      <c r="L1440" s="5">
        <f>'Raw Data'!J1440</f>
        <v>30</v>
      </c>
      <c r="M1440" s="5">
        <f>IF(COUNTIFS($A$2:A1440,A1440,$D$2:D1440,D1440)=1,L1440,0)</f>
        <v>0</v>
      </c>
      <c r="N1440" s="4">
        <f t="shared" si="113"/>
        <v>180.30433333333335</v>
      </c>
      <c r="O1440" t="str">
        <f t="shared" si="114"/>
        <v>OK</v>
      </c>
    </row>
    <row r="1441" spans="1:15">
      <c r="A1441" t="str">
        <f>'Raw Data'!A1441</f>
        <v>Las Vegas RM-20</v>
      </c>
      <c r="B1441" t="str">
        <f>'Raw Data'!B1441</f>
        <v>West</v>
      </c>
      <c r="C1441" t="str">
        <f>'Raw Data'!C1441</f>
        <v>Sports</v>
      </c>
      <c r="D1441" s="3">
        <f>'Raw Data'!D1441</f>
        <v>45992</v>
      </c>
      <c r="E1441" t="str">
        <f t="shared" si="110"/>
        <v>Dec</v>
      </c>
      <c r="F1441" s="5">
        <f>'Raw Data'!E1441</f>
        <v>130</v>
      </c>
      <c r="G1441" s="4">
        <f>'Raw Data'!F1441</f>
        <v>8437.4</v>
      </c>
      <c r="H1441" s="4">
        <f>'Raw Data'!G1441</f>
        <v>5818.03</v>
      </c>
      <c r="I1441" s="4">
        <f t="shared" si="111"/>
        <v>2619.37</v>
      </c>
      <c r="J1441" s="8">
        <f t="shared" si="112"/>
        <v>0.31044753122999974</v>
      </c>
      <c r="K1441" s="6">
        <f>'Raw Data'!I1441</f>
        <v>3.76</v>
      </c>
      <c r="L1441" s="5">
        <f>'Raw Data'!J1441</f>
        <v>30</v>
      </c>
      <c r="M1441" s="5">
        <f>IF(COUNTIFS($A$2:A1441,A1441,$D$2:D1441,D1441)=1,L1441,0)</f>
        <v>0</v>
      </c>
      <c r="N1441" s="4">
        <f t="shared" si="113"/>
        <v>281.24666666666667</v>
      </c>
      <c r="O1441" t="str">
        <f t="shared" si="114"/>
        <v>OK</v>
      </c>
    </row>
    <row r="1442" spans="1:15">
      <c r="A1442" t="str">
        <f>'Raw Data'!A1442</f>
        <v>Miami RM-21</v>
      </c>
      <c r="B1442" t="str">
        <f>'Raw Data'!B1442</f>
        <v>Southeast</v>
      </c>
      <c r="C1442" t="str">
        <f>'Raw Data'!C1442</f>
        <v>Electronics</v>
      </c>
      <c r="D1442" s="3">
        <f>'Raw Data'!D1442</f>
        <v>45658</v>
      </c>
      <c r="E1442" t="str">
        <f t="shared" si="110"/>
        <v>Jan</v>
      </c>
      <c r="F1442" s="5">
        <f>'Raw Data'!E1442</f>
        <v>106</v>
      </c>
      <c r="G1442" s="4">
        <f>'Raw Data'!F1442</f>
        <v>14679.8</v>
      </c>
      <c r="H1442" s="4">
        <f>'Raw Data'!G1442</f>
        <v>11203.44</v>
      </c>
      <c r="I1442" s="4">
        <f t="shared" si="111"/>
        <v>3476.3599999999988</v>
      </c>
      <c r="J1442" s="8">
        <f t="shared" si="112"/>
        <v>0.2368124906333873</v>
      </c>
      <c r="K1442" s="6">
        <f>'Raw Data'!I1442</f>
        <v>4.13</v>
      </c>
      <c r="L1442" s="5">
        <f>'Raw Data'!J1442</f>
        <v>30</v>
      </c>
      <c r="M1442" s="5">
        <f>IF(COUNTIFS($A$2:A1442,A1442,$D$2:D1442,D1442)=1,L1442,0)</f>
        <v>30</v>
      </c>
      <c r="N1442" s="4">
        <f t="shared" si="113"/>
        <v>489.32666666666665</v>
      </c>
      <c r="O1442" t="str">
        <f t="shared" si="114"/>
        <v>OK</v>
      </c>
    </row>
    <row r="1443" spans="1:15">
      <c r="A1443" t="str">
        <f>'Raw Data'!A1443</f>
        <v>Miami RM-21</v>
      </c>
      <c r="B1443" t="str">
        <f>'Raw Data'!B1443</f>
        <v>Southeast</v>
      </c>
      <c r="C1443" t="str">
        <f>'Raw Data'!C1443</f>
        <v>Home Goods</v>
      </c>
      <c r="D1443" s="3">
        <f>'Raw Data'!D1443</f>
        <v>45658</v>
      </c>
      <c r="E1443" t="str">
        <f t="shared" si="110"/>
        <v>Jan</v>
      </c>
      <c r="F1443" s="5">
        <f>'Raw Data'!E1443</f>
        <v>93</v>
      </c>
      <c r="G1443" s="4">
        <f>'Raw Data'!F1443</f>
        <v>6702.56</v>
      </c>
      <c r="H1443" s="4">
        <f>'Raw Data'!G1443</f>
        <v>4191.5600000000004</v>
      </c>
      <c r="I1443" s="4">
        <f t="shared" si="111"/>
        <v>2511</v>
      </c>
      <c r="J1443" s="8">
        <f t="shared" si="112"/>
        <v>0.37463297605690959</v>
      </c>
      <c r="K1443" s="6">
        <f>'Raw Data'!I1443</f>
        <v>4.04</v>
      </c>
      <c r="L1443" s="5">
        <f>'Raw Data'!J1443</f>
        <v>30</v>
      </c>
      <c r="M1443" s="5">
        <f>IF(COUNTIFS($A$2:A1443,A1443,$D$2:D1443,D1443)=1,L1443,0)</f>
        <v>0</v>
      </c>
      <c r="N1443" s="4">
        <f t="shared" si="113"/>
        <v>223.41866666666667</v>
      </c>
      <c r="O1443" t="str">
        <f t="shared" si="114"/>
        <v>OK</v>
      </c>
    </row>
    <row r="1444" spans="1:15">
      <c r="A1444" t="str">
        <f>'Raw Data'!A1444</f>
        <v>Miami RM-21</v>
      </c>
      <c r="B1444" t="str">
        <f>'Raw Data'!B1444</f>
        <v>Southeast</v>
      </c>
      <c r="C1444" t="str">
        <f>'Raw Data'!C1444</f>
        <v>Apparel</v>
      </c>
      <c r="D1444" s="3">
        <f>'Raw Data'!D1444</f>
        <v>45658</v>
      </c>
      <c r="E1444" t="str">
        <f t="shared" si="110"/>
        <v>Jan</v>
      </c>
      <c r="F1444" s="5">
        <f>'Raw Data'!E1444</f>
        <v>136</v>
      </c>
      <c r="G1444" s="4">
        <f>'Raw Data'!F1444</f>
        <v>6825.92</v>
      </c>
      <c r="H1444" s="4">
        <f>'Raw Data'!G1444</f>
        <v>4026.11</v>
      </c>
      <c r="I1444" s="4">
        <f t="shared" si="111"/>
        <v>2799.81</v>
      </c>
      <c r="J1444" s="8">
        <f t="shared" si="112"/>
        <v>0.41017328067132341</v>
      </c>
      <c r="K1444" s="6">
        <f>'Raw Data'!I1444</f>
        <v>4.28</v>
      </c>
      <c r="L1444" s="5">
        <f>'Raw Data'!J1444</f>
        <v>30</v>
      </c>
      <c r="M1444" s="5">
        <f>IF(COUNTIFS($A$2:A1444,A1444,$D$2:D1444,D1444)=1,L1444,0)</f>
        <v>0</v>
      </c>
      <c r="N1444" s="4">
        <f t="shared" si="113"/>
        <v>227.53066666666666</v>
      </c>
      <c r="O1444" t="str">
        <f t="shared" si="114"/>
        <v>OK</v>
      </c>
    </row>
    <row r="1445" spans="1:15">
      <c r="A1445" t="str">
        <f>'Raw Data'!A1445</f>
        <v>Miami RM-21</v>
      </c>
      <c r="B1445" t="str">
        <f>'Raw Data'!B1445</f>
        <v>Southeast</v>
      </c>
      <c r="C1445" t="str">
        <f>'Raw Data'!C1445</f>
        <v>Beauty</v>
      </c>
      <c r="D1445" s="3">
        <f>'Raw Data'!D1445</f>
        <v>45658</v>
      </c>
      <c r="E1445" t="str">
        <f t="shared" si="110"/>
        <v>Jan</v>
      </c>
      <c r="F1445" s="5">
        <f>'Raw Data'!E1445</f>
        <v>106</v>
      </c>
      <c r="G1445" s="4">
        <f>'Raw Data'!F1445</f>
        <v>3696.77</v>
      </c>
      <c r="H1445" s="4">
        <f>'Raw Data'!G1445</f>
        <v>1741.45</v>
      </c>
      <c r="I1445" s="4">
        <f t="shared" si="111"/>
        <v>1955.32</v>
      </c>
      <c r="J1445" s="8">
        <f t="shared" si="112"/>
        <v>0.5289266034944019</v>
      </c>
      <c r="K1445" s="6">
        <f>'Raw Data'!I1445</f>
        <v>4.01</v>
      </c>
      <c r="L1445" s="5">
        <f>'Raw Data'!J1445</f>
        <v>30</v>
      </c>
      <c r="M1445" s="5">
        <f>IF(COUNTIFS($A$2:A1445,A1445,$D$2:D1445,D1445)=1,L1445,0)</f>
        <v>0</v>
      </c>
      <c r="N1445" s="4">
        <f t="shared" si="113"/>
        <v>123.22566666666667</v>
      </c>
      <c r="O1445" t="str">
        <f t="shared" si="114"/>
        <v>OK</v>
      </c>
    </row>
    <row r="1446" spans="1:15">
      <c r="A1446" t="str">
        <f>'Raw Data'!A1446</f>
        <v>Miami RM-21</v>
      </c>
      <c r="B1446" t="str">
        <f>'Raw Data'!B1446</f>
        <v>Southeast</v>
      </c>
      <c r="C1446" t="str">
        <f>'Raw Data'!C1446</f>
        <v>Grocery</v>
      </c>
      <c r="D1446" s="3">
        <f>'Raw Data'!D1446</f>
        <v>45658</v>
      </c>
      <c r="E1446" t="str">
        <f t="shared" si="110"/>
        <v>Jan</v>
      </c>
      <c r="F1446" s="5">
        <f>'Raw Data'!E1446</f>
        <v>163</v>
      </c>
      <c r="G1446" s="4">
        <f>'Raw Data'!F1446</f>
        <v>3105.41</v>
      </c>
      <c r="H1446" s="4">
        <f>'Raw Data'!G1446</f>
        <v>2805.2</v>
      </c>
      <c r="I1446" s="4">
        <f t="shared" si="111"/>
        <v>300.21000000000004</v>
      </c>
      <c r="J1446" s="8">
        <f t="shared" si="112"/>
        <v>9.6673225113592096E-2</v>
      </c>
      <c r="K1446" s="6">
        <f>'Raw Data'!I1446</f>
        <v>4.26</v>
      </c>
      <c r="L1446" s="5">
        <f>'Raw Data'!J1446</f>
        <v>30</v>
      </c>
      <c r="M1446" s="5">
        <f>IF(COUNTIFS($A$2:A1446,A1446,$D$2:D1446,D1446)=1,L1446,0)</f>
        <v>0</v>
      </c>
      <c r="N1446" s="4">
        <f t="shared" si="113"/>
        <v>103.51366666666667</v>
      </c>
      <c r="O1446" t="str">
        <f t="shared" si="114"/>
        <v>OK</v>
      </c>
    </row>
    <row r="1447" spans="1:15">
      <c r="A1447" t="str">
        <f>'Raw Data'!A1447</f>
        <v>Miami RM-21</v>
      </c>
      <c r="B1447" t="str">
        <f>'Raw Data'!B1447</f>
        <v>Southeast</v>
      </c>
      <c r="C1447" t="str">
        <f>'Raw Data'!C1447</f>
        <v>Sports</v>
      </c>
      <c r="D1447" s="3">
        <f>'Raw Data'!D1447</f>
        <v>45658</v>
      </c>
      <c r="E1447" t="str">
        <f t="shared" si="110"/>
        <v>Jan</v>
      </c>
      <c r="F1447" s="5">
        <f>'Raw Data'!E1447</f>
        <v>78</v>
      </c>
      <c r="G1447" s="4">
        <f>'Raw Data'!F1447</f>
        <v>4781.34</v>
      </c>
      <c r="H1447" s="4">
        <f>'Raw Data'!G1447</f>
        <v>2904.06</v>
      </c>
      <c r="I1447" s="4">
        <f t="shared" si="111"/>
        <v>1877.2800000000002</v>
      </c>
      <c r="J1447" s="8">
        <f t="shared" si="112"/>
        <v>0.39262633487683374</v>
      </c>
      <c r="K1447" s="6">
        <f>'Raw Data'!I1447</f>
        <v>4.12</v>
      </c>
      <c r="L1447" s="5">
        <f>'Raw Data'!J1447</f>
        <v>30</v>
      </c>
      <c r="M1447" s="5">
        <f>IF(COUNTIFS($A$2:A1447,A1447,$D$2:D1447,D1447)=1,L1447,0)</f>
        <v>0</v>
      </c>
      <c r="N1447" s="4">
        <f t="shared" si="113"/>
        <v>159.37800000000001</v>
      </c>
      <c r="O1447" t="str">
        <f t="shared" si="114"/>
        <v>OK</v>
      </c>
    </row>
    <row r="1448" spans="1:15">
      <c r="A1448" t="str">
        <f>'Raw Data'!A1448</f>
        <v>Miami RM-21</v>
      </c>
      <c r="B1448" t="str">
        <f>'Raw Data'!B1448</f>
        <v>Southeast</v>
      </c>
      <c r="C1448" t="str">
        <f>'Raw Data'!C1448</f>
        <v>Electronics</v>
      </c>
      <c r="D1448" s="3">
        <f>'Raw Data'!D1448</f>
        <v>45689</v>
      </c>
      <c r="E1448" t="str">
        <f t="shared" si="110"/>
        <v>Feb</v>
      </c>
      <c r="F1448" s="5">
        <f>'Raw Data'!E1448</f>
        <v>102</v>
      </c>
      <c r="G1448" s="4">
        <f>'Raw Data'!F1448</f>
        <v>15599.64</v>
      </c>
      <c r="H1448" s="4">
        <f>'Raw Data'!G1448</f>
        <v>11979.6</v>
      </c>
      <c r="I1448" s="4">
        <f t="shared" si="111"/>
        <v>3620.0399999999991</v>
      </c>
      <c r="J1448" s="8">
        <f t="shared" si="112"/>
        <v>0.23205920136618532</v>
      </c>
      <c r="K1448" s="6">
        <f>'Raw Data'!I1448</f>
        <v>4.13</v>
      </c>
      <c r="L1448" s="5">
        <f>'Raw Data'!J1448</f>
        <v>29</v>
      </c>
      <c r="M1448" s="5">
        <f>IF(COUNTIFS($A$2:A1448,A1448,$D$2:D1448,D1448)=1,L1448,0)</f>
        <v>29</v>
      </c>
      <c r="N1448" s="4">
        <f t="shared" si="113"/>
        <v>537.9186206896552</v>
      </c>
      <c r="O1448" t="str">
        <f t="shared" si="114"/>
        <v>OK</v>
      </c>
    </row>
    <row r="1449" spans="1:15">
      <c r="A1449" t="str">
        <f>'Raw Data'!A1449</f>
        <v>Miami RM-21</v>
      </c>
      <c r="B1449" t="str">
        <f>'Raw Data'!B1449</f>
        <v>Southeast</v>
      </c>
      <c r="C1449" t="str">
        <f>'Raw Data'!C1449</f>
        <v>Home Goods</v>
      </c>
      <c r="D1449" s="3">
        <f>'Raw Data'!D1449</f>
        <v>45689</v>
      </c>
      <c r="E1449" t="str">
        <f t="shared" si="110"/>
        <v>Feb</v>
      </c>
      <c r="F1449" s="5">
        <f>'Raw Data'!E1449</f>
        <v>95</v>
      </c>
      <c r="G1449" s="4">
        <f>'Raw Data'!F1449</f>
        <v>7510.34</v>
      </c>
      <c r="H1449" s="4">
        <f>'Raw Data'!G1449</f>
        <v>4986.83</v>
      </c>
      <c r="I1449" s="4">
        <f t="shared" si="111"/>
        <v>2523.5100000000002</v>
      </c>
      <c r="J1449" s="8">
        <f t="shared" si="112"/>
        <v>0.33600476143556751</v>
      </c>
      <c r="K1449" s="6">
        <f>'Raw Data'!I1449</f>
        <v>4.01</v>
      </c>
      <c r="L1449" s="5">
        <f>'Raw Data'!J1449</f>
        <v>29</v>
      </c>
      <c r="M1449" s="5">
        <f>IF(COUNTIFS($A$2:A1449,A1449,$D$2:D1449,D1449)=1,L1449,0)</f>
        <v>0</v>
      </c>
      <c r="N1449" s="4">
        <f t="shared" si="113"/>
        <v>258.97724137931033</v>
      </c>
      <c r="O1449" t="str">
        <f t="shared" si="114"/>
        <v>OK</v>
      </c>
    </row>
    <row r="1450" spans="1:15">
      <c r="A1450" t="str">
        <f>'Raw Data'!A1450</f>
        <v>Miami RM-21</v>
      </c>
      <c r="B1450" t="str">
        <f>'Raw Data'!B1450</f>
        <v>Southeast</v>
      </c>
      <c r="C1450" t="str">
        <f>'Raw Data'!C1450</f>
        <v>Apparel</v>
      </c>
      <c r="D1450" s="3">
        <f>'Raw Data'!D1450</f>
        <v>45689</v>
      </c>
      <c r="E1450" t="str">
        <f t="shared" si="110"/>
        <v>Feb</v>
      </c>
      <c r="F1450" s="5">
        <f>'Raw Data'!E1450</f>
        <v>120</v>
      </c>
      <c r="G1450" s="4">
        <f>'Raw Data'!F1450</f>
        <v>5999.32</v>
      </c>
      <c r="H1450" s="4">
        <f>'Raw Data'!G1450</f>
        <v>3605.09</v>
      </c>
      <c r="I1450" s="4">
        <f t="shared" si="111"/>
        <v>2394.2299999999996</v>
      </c>
      <c r="J1450" s="8">
        <f t="shared" si="112"/>
        <v>0.39908356280378438</v>
      </c>
      <c r="K1450" s="6">
        <f>'Raw Data'!I1450</f>
        <v>4.28</v>
      </c>
      <c r="L1450" s="5">
        <f>'Raw Data'!J1450</f>
        <v>29</v>
      </c>
      <c r="M1450" s="5">
        <f>IF(COUNTIFS($A$2:A1450,A1450,$D$2:D1450,D1450)=1,L1450,0)</f>
        <v>0</v>
      </c>
      <c r="N1450" s="4">
        <f t="shared" si="113"/>
        <v>206.87310344827586</v>
      </c>
      <c r="O1450" t="str">
        <f t="shared" si="114"/>
        <v>OK</v>
      </c>
    </row>
    <row r="1451" spans="1:15">
      <c r="A1451" t="str">
        <f>'Raw Data'!A1451</f>
        <v>Miami RM-21</v>
      </c>
      <c r="B1451" t="str">
        <f>'Raw Data'!B1451</f>
        <v>Southeast</v>
      </c>
      <c r="C1451" t="str">
        <f>'Raw Data'!C1451</f>
        <v>Beauty</v>
      </c>
      <c r="D1451" s="3">
        <f>'Raw Data'!D1451</f>
        <v>45689</v>
      </c>
      <c r="E1451" t="str">
        <f t="shared" si="110"/>
        <v>Feb</v>
      </c>
      <c r="F1451" s="5">
        <f>'Raw Data'!E1451</f>
        <v>99</v>
      </c>
      <c r="G1451" s="4">
        <f>'Raw Data'!F1451</f>
        <v>3774.92</v>
      </c>
      <c r="H1451" s="4">
        <f>'Raw Data'!G1451</f>
        <v>1756.45</v>
      </c>
      <c r="I1451" s="4">
        <f t="shared" si="111"/>
        <v>2018.47</v>
      </c>
      <c r="J1451" s="8">
        <f t="shared" si="112"/>
        <v>0.53470537123965545</v>
      </c>
      <c r="K1451" s="6">
        <f>'Raw Data'!I1451</f>
        <v>4.2</v>
      </c>
      <c r="L1451" s="5">
        <f>'Raw Data'!J1451</f>
        <v>29</v>
      </c>
      <c r="M1451" s="5">
        <f>IF(COUNTIFS($A$2:A1451,A1451,$D$2:D1451,D1451)=1,L1451,0)</f>
        <v>0</v>
      </c>
      <c r="N1451" s="4">
        <f t="shared" si="113"/>
        <v>130.1696551724138</v>
      </c>
      <c r="O1451" t="str">
        <f t="shared" si="114"/>
        <v>OK</v>
      </c>
    </row>
    <row r="1452" spans="1:15">
      <c r="A1452" t="str">
        <f>'Raw Data'!A1452</f>
        <v>Miami RM-21</v>
      </c>
      <c r="B1452" t="str">
        <f>'Raw Data'!B1452</f>
        <v>Southeast</v>
      </c>
      <c r="C1452" t="str">
        <f>'Raw Data'!C1452</f>
        <v>Grocery</v>
      </c>
      <c r="D1452" s="3">
        <f>'Raw Data'!D1452</f>
        <v>45689</v>
      </c>
      <c r="E1452" t="str">
        <f t="shared" si="110"/>
        <v>Feb</v>
      </c>
      <c r="F1452" s="5">
        <f>'Raw Data'!E1452</f>
        <v>174</v>
      </c>
      <c r="G1452" s="4">
        <f>'Raw Data'!F1452</f>
        <v>2991.14</v>
      </c>
      <c r="H1452" s="4">
        <f>'Raw Data'!G1452</f>
        <v>2703.38</v>
      </c>
      <c r="I1452" s="4">
        <f t="shared" si="111"/>
        <v>287.75999999999976</v>
      </c>
      <c r="J1452" s="8">
        <f t="shared" si="112"/>
        <v>9.6204122842795642E-2</v>
      </c>
      <c r="K1452" s="6">
        <f>'Raw Data'!I1452</f>
        <v>4.2699999999999996</v>
      </c>
      <c r="L1452" s="5">
        <f>'Raw Data'!J1452</f>
        <v>29</v>
      </c>
      <c r="M1452" s="5">
        <f>IF(COUNTIFS($A$2:A1452,A1452,$D$2:D1452,D1452)=1,L1452,0)</f>
        <v>0</v>
      </c>
      <c r="N1452" s="4">
        <f t="shared" si="113"/>
        <v>103.14275862068965</v>
      </c>
      <c r="O1452" t="str">
        <f t="shared" si="114"/>
        <v>OK</v>
      </c>
    </row>
    <row r="1453" spans="1:15">
      <c r="A1453" t="str">
        <f>'Raw Data'!A1453</f>
        <v>Miami RM-21</v>
      </c>
      <c r="B1453" t="str">
        <f>'Raw Data'!B1453</f>
        <v>Southeast</v>
      </c>
      <c r="C1453" t="str">
        <f>'Raw Data'!C1453</f>
        <v>Sports</v>
      </c>
      <c r="D1453" s="3">
        <f>'Raw Data'!D1453</f>
        <v>45689</v>
      </c>
      <c r="E1453" t="str">
        <f t="shared" si="110"/>
        <v>Feb</v>
      </c>
      <c r="F1453" s="5">
        <f>'Raw Data'!E1453</f>
        <v>84</v>
      </c>
      <c r="G1453" s="4">
        <f>'Raw Data'!F1453</f>
        <v>5204.7299999999996</v>
      </c>
      <c r="H1453" s="4">
        <f>'Raw Data'!G1453</f>
        <v>3260.95</v>
      </c>
      <c r="I1453" s="4">
        <f t="shared" si="111"/>
        <v>1943.7799999999997</v>
      </c>
      <c r="J1453" s="8">
        <f t="shared" si="112"/>
        <v>0.37346413742883877</v>
      </c>
      <c r="K1453" s="6">
        <f>'Raw Data'!I1453</f>
        <v>4.09</v>
      </c>
      <c r="L1453" s="5">
        <f>'Raw Data'!J1453</f>
        <v>29</v>
      </c>
      <c r="M1453" s="5">
        <f>IF(COUNTIFS($A$2:A1453,A1453,$D$2:D1453,D1453)=1,L1453,0)</f>
        <v>0</v>
      </c>
      <c r="N1453" s="4">
        <f t="shared" si="113"/>
        <v>179.47344827586204</v>
      </c>
      <c r="O1453" t="str">
        <f t="shared" si="114"/>
        <v>OK</v>
      </c>
    </row>
    <row r="1454" spans="1:15">
      <c r="A1454" t="str">
        <f>'Raw Data'!A1454</f>
        <v>Miami RM-21</v>
      </c>
      <c r="B1454" t="str">
        <f>'Raw Data'!B1454</f>
        <v>Southeast</v>
      </c>
      <c r="C1454" t="str">
        <f>'Raw Data'!C1454</f>
        <v>Electronics</v>
      </c>
      <c r="D1454" s="3">
        <f>'Raw Data'!D1454</f>
        <v>45717</v>
      </c>
      <c r="E1454" t="str">
        <f t="shared" si="110"/>
        <v>Mar</v>
      </c>
      <c r="F1454" s="5">
        <f>'Raw Data'!E1454</f>
        <v>121</v>
      </c>
      <c r="G1454" s="4">
        <f>'Raw Data'!F1454</f>
        <v>16826.14</v>
      </c>
      <c r="H1454" s="4">
        <f>'Raw Data'!G1454</f>
        <v>13023.28</v>
      </c>
      <c r="I1454" s="4">
        <f t="shared" si="111"/>
        <v>3802.8599999999988</v>
      </c>
      <c r="J1454" s="8">
        <f t="shared" si="112"/>
        <v>0.22600905495853468</v>
      </c>
      <c r="K1454" s="6">
        <f>'Raw Data'!I1454</f>
        <v>4.2</v>
      </c>
      <c r="L1454" s="5">
        <f>'Raw Data'!J1454</f>
        <v>29</v>
      </c>
      <c r="M1454" s="5">
        <f>IF(COUNTIFS($A$2:A1454,A1454,$D$2:D1454,D1454)=1,L1454,0)</f>
        <v>29</v>
      </c>
      <c r="N1454" s="4">
        <f t="shared" si="113"/>
        <v>580.21172413793101</v>
      </c>
      <c r="O1454" t="str">
        <f t="shared" si="114"/>
        <v>OK</v>
      </c>
    </row>
    <row r="1455" spans="1:15">
      <c r="A1455" t="str">
        <f>'Raw Data'!A1455</f>
        <v>Miami RM-21</v>
      </c>
      <c r="B1455" t="str">
        <f>'Raw Data'!B1455</f>
        <v>Southeast</v>
      </c>
      <c r="C1455" t="str">
        <f>'Raw Data'!C1455</f>
        <v>Home Goods</v>
      </c>
      <c r="D1455" s="3">
        <f>'Raw Data'!D1455</f>
        <v>45717</v>
      </c>
      <c r="E1455" t="str">
        <f t="shared" si="110"/>
        <v>Mar</v>
      </c>
      <c r="F1455" s="5">
        <f>'Raw Data'!E1455</f>
        <v>109</v>
      </c>
      <c r="G1455" s="4">
        <f>'Raw Data'!F1455</f>
        <v>8433.1</v>
      </c>
      <c r="H1455" s="4">
        <f>'Raw Data'!G1455</f>
        <v>5346.83</v>
      </c>
      <c r="I1455" s="4">
        <f t="shared" si="111"/>
        <v>3086.2700000000004</v>
      </c>
      <c r="J1455" s="8">
        <f t="shared" si="112"/>
        <v>0.36597099524492777</v>
      </c>
      <c r="K1455" s="6">
        <f>'Raw Data'!I1455</f>
        <v>4.0599999999999996</v>
      </c>
      <c r="L1455" s="5">
        <f>'Raw Data'!J1455</f>
        <v>29</v>
      </c>
      <c r="M1455" s="5">
        <f>IF(COUNTIFS($A$2:A1455,A1455,$D$2:D1455,D1455)=1,L1455,0)</f>
        <v>0</v>
      </c>
      <c r="N1455" s="4">
        <f t="shared" si="113"/>
        <v>290.79655172413794</v>
      </c>
      <c r="O1455" t="str">
        <f t="shared" si="114"/>
        <v>OK</v>
      </c>
    </row>
    <row r="1456" spans="1:15">
      <c r="A1456" t="str">
        <f>'Raw Data'!A1456</f>
        <v>Miami RM-21</v>
      </c>
      <c r="B1456" t="str">
        <f>'Raw Data'!B1456</f>
        <v>Southeast</v>
      </c>
      <c r="C1456" t="str">
        <f>'Raw Data'!C1456</f>
        <v>Apparel</v>
      </c>
      <c r="D1456" s="3">
        <f>'Raw Data'!D1456</f>
        <v>45717</v>
      </c>
      <c r="E1456" t="str">
        <f t="shared" si="110"/>
        <v>Mar</v>
      </c>
      <c r="F1456" s="5">
        <f>'Raw Data'!E1456</f>
        <v>166</v>
      </c>
      <c r="G1456" s="4">
        <f>'Raw Data'!F1456</f>
        <v>8159.67</v>
      </c>
      <c r="H1456" s="4">
        <f>'Raw Data'!G1456</f>
        <v>4776.04</v>
      </c>
      <c r="I1456" s="4">
        <f t="shared" si="111"/>
        <v>3383.63</v>
      </c>
      <c r="J1456" s="8">
        <f t="shared" si="112"/>
        <v>0.41467730925392815</v>
      </c>
      <c r="K1456" s="6">
        <f>'Raw Data'!I1456</f>
        <v>4.3</v>
      </c>
      <c r="L1456" s="5">
        <f>'Raw Data'!J1456</f>
        <v>29</v>
      </c>
      <c r="M1456" s="5">
        <f>IF(COUNTIFS($A$2:A1456,A1456,$D$2:D1456,D1456)=1,L1456,0)</f>
        <v>0</v>
      </c>
      <c r="N1456" s="4">
        <f t="shared" si="113"/>
        <v>281.36793103448275</v>
      </c>
      <c r="O1456" t="str">
        <f t="shared" si="114"/>
        <v>OK</v>
      </c>
    </row>
    <row r="1457" spans="1:15">
      <c r="A1457" t="str">
        <f>'Raw Data'!A1457</f>
        <v>Miami RM-21</v>
      </c>
      <c r="B1457" t="str">
        <f>'Raw Data'!B1457</f>
        <v>Southeast</v>
      </c>
      <c r="C1457" t="str">
        <f>'Raw Data'!C1457</f>
        <v>Beauty</v>
      </c>
      <c r="D1457" s="3">
        <f>'Raw Data'!D1457</f>
        <v>45717</v>
      </c>
      <c r="E1457" t="str">
        <f t="shared" si="110"/>
        <v>Mar</v>
      </c>
      <c r="F1457" s="5">
        <f>'Raw Data'!E1457</f>
        <v>117</v>
      </c>
      <c r="G1457" s="4">
        <f>'Raw Data'!F1457</f>
        <v>4221.07</v>
      </c>
      <c r="H1457" s="4">
        <f>'Raw Data'!G1457</f>
        <v>1998.79</v>
      </c>
      <c r="I1457" s="4">
        <f t="shared" si="111"/>
        <v>2222.2799999999997</v>
      </c>
      <c r="J1457" s="8">
        <f t="shared" si="112"/>
        <v>0.52647314543468837</v>
      </c>
      <c r="K1457" s="6">
        <f>'Raw Data'!I1457</f>
        <v>4.05</v>
      </c>
      <c r="L1457" s="5">
        <f>'Raw Data'!J1457</f>
        <v>29</v>
      </c>
      <c r="M1457" s="5">
        <f>IF(COUNTIFS($A$2:A1457,A1457,$D$2:D1457,D1457)=1,L1457,0)</f>
        <v>0</v>
      </c>
      <c r="N1457" s="4">
        <f t="shared" si="113"/>
        <v>145.55413793103446</v>
      </c>
      <c r="O1457" t="str">
        <f t="shared" si="114"/>
        <v>OK</v>
      </c>
    </row>
    <row r="1458" spans="1:15">
      <c r="A1458" t="str">
        <f>'Raw Data'!A1458</f>
        <v>Miami RM-21</v>
      </c>
      <c r="B1458" t="str">
        <f>'Raw Data'!B1458</f>
        <v>Southeast</v>
      </c>
      <c r="C1458" t="str">
        <f>'Raw Data'!C1458</f>
        <v>Grocery</v>
      </c>
      <c r="D1458" s="3">
        <f>'Raw Data'!D1458</f>
        <v>45717</v>
      </c>
      <c r="E1458" t="str">
        <f t="shared" si="110"/>
        <v>Mar</v>
      </c>
      <c r="F1458" s="5">
        <f>'Raw Data'!E1458</f>
        <v>191</v>
      </c>
      <c r="G1458" s="4">
        <f>'Raw Data'!F1458</f>
        <v>3265.22</v>
      </c>
      <c r="H1458" s="4">
        <f>'Raw Data'!G1458</f>
        <v>2972.18</v>
      </c>
      <c r="I1458" s="4">
        <f t="shared" si="111"/>
        <v>293.03999999999996</v>
      </c>
      <c r="J1458" s="8">
        <f t="shared" si="112"/>
        <v>8.9745867047243369E-2</v>
      </c>
      <c r="K1458" s="6">
        <f>'Raw Data'!I1458</f>
        <v>4.09</v>
      </c>
      <c r="L1458" s="5">
        <f>'Raw Data'!J1458</f>
        <v>29</v>
      </c>
      <c r="M1458" s="5">
        <f>IF(COUNTIFS($A$2:A1458,A1458,$D$2:D1458,D1458)=1,L1458,0)</f>
        <v>0</v>
      </c>
      <c r="N1458" s="4">
        <f t="shared" si="113"/>
        <v>112.59379310344826</v>
      </c>
      <c r="O1458" t="str">
        <f t="shared" si="114"/>
        <v>OK</v>
      </c>
    </row>
    <row r="1459" spans="1:15">
      <c r="A1459" t="str">
        <f>'Raw Data'!A1459</f>
        <v>Miami RM-21</v>
      </c>
      <c r="B1459" t="str">
        <f>'Raw Data'!B1459</f>
        <v>Southeast</v>
      </c>
      <c r="C1459" t="str">
        <f>'Raw Data'!C1459</f>
        <v>Sports</v>
      </c>
      <c r="D1459" s="3">
        <f>'Raw Data'!D1459</f>
        <v>45717</v>
      </c>
      <c r="E1459" t="str">
        <f t="shared" si="110"/>
        <v>Mar</v>
      </c>
      <c r="F1459" s="5">
        <f>'Raw Data'!E1459</f>
        <v>80</v>
      </c>
      <c r="G1459" s="4">
        <f>'Raw Data'!F1459</f>
        <v>5133.99</v>
      </c>
      <c r="H1459" s="4">
        <f>'Raw Data'!G1459</f>
        <v>3182.25</v>
      </c>
      <c r="I1459" s="4">
        <f t="shared" si="111"/>
        <v>1951.7399999999998</v>
      </c>
      <c r="J1459" s="8">
        <f t="shared" si="112"/>
        <v>0.38016045999310477</v>
      </c>
      <c r="K1459" s="6">
        <f>'Raw Data'!I1459</f>
        <v>4.3</v>
      </c>
      <c r="L1459" s="5">
        <f>'Raw Data'!J1459</f>
        <v>29</v>
      </c>
      <c r="M1459" s="5">
        <f>IF(COUNTIFS($A$2:A1459,A1459,$D$2:D1459,D1459)=1,L1459,0)</f>
        <v>0</v>
      </c>
      <c r="N1459" s="4">
        <f t="shared" si="113"/>
        <v>177.03413793103448</v>
      </c>
      <c r="O1459" t="str">
        <f t="shared" si="114"/>
        <v>OK</v>
      </c>
    </row>
    <row r="1460" spans="1:15">
      <c r="A1460" t="str">
        <f>'Raw Data'!A1460</f>
        <v>Miami RM-21</v>
      </c>
      <c r="B1460" t="str">
        <f>'Raw Data'!B1460</f>
        <v>Southeast</v>
      </c>
      <c r="C1460" t="str">
        <f>'Raw Data'!C1460</f>
        <v>Electronics</v>
      </c>
      <c r="D1460" s="3">
        <f>'Raw Data'!D1460</f>
        <v>45748</v>
      </c>
      <c r="E1460" t="str">
        <f t="shared" si="110"/>
        <v>Apr</v>
      </c>
      <c r="F1460" s="5">
        <f>'Raw Data'!E1460</f>
        <v>122</v>
      </c>
      <c r="G1460" s="4">
        <f>'Raw Data'!F1460</f>
        <v>17923.03</v>
      </c>
      <c r="H1460" s="4">
        <f>'Raw Data'!G1460</f>
        <v>13910.67</v>
      </c>
      <c r="I1460" s="4">
        <f t="shared" si="111"/>
        <v>4012.3599999999988</v>
      </c>
      <c r="J1460" s="8">
        <f t="shared" si="112"/>
        <v>0.2238661654865276</v>
      </c>
      <c r="K1460" s="6">
        <f>'Raw Data'!I1460</f>
        <v>3.99</v>
      </c>
      <c r="L1460" s="5">
        <f>'Raw Data'!J1460</f>
        <v>30</v>
      </c>
      <c r="M1460" s="5">
        <f>IF(COUNTIFS($A$2:A1460,A1460,$D$2:D1460,D1460)=1,L1460,0)</f>
        <v>30</v>
      </c>
      <c r="N1460" s="4">
        <f t="shared" si="113"/>
        <v>597.43433333333326</v>
      </c>
      <c r="O1460" t="str">
        <f t="shared" si="114"/>
        <v>OK</v>
      </c>
    </row>
    <row r="1461" spans="1:15">
      <c r="A1461" t="str">
        <f>'Raw Data'!A1461</f>
        <v>Miami RM-21</v>
      </c>
      <c r="B1461" t="str">
        <f>'Raw Data'!B1461</f>
        <v>Southeast</v>
      </c>
      <c r="C1461" t="str">
        <f>'Raw Data'!C1461</f>
        <v>Home Goods</v>
      </c>
      <c r="D1461" s="3">
        <f>'Raw Data'!D1461</f>
        <v>45748</v>
      </c>
      <c r="E1461" t="str">
        <f t="shared" si="110"/>
        <v>Apr</v>
      </c>
      <c r="F1461" s="5">
        <f>'Raw Data'!E1461</f>
        <v>106</v>
      </c>
      <c r="G1461" s="4">
        <f>'Raw Data'!F1461</f>
        <v>8017.92</v>
      </c>
      <c r="H1461" s="4">
        <f>'Raw Data'!G1461</f>
        <v>5337.53</v>
      </c>
      <c r="I1461" s="4">
        <f t="shared" si="111"/>
        <v>2680.3900000000003</v>
      </c>
      <c r="J1461" s="8">
        <f t="shared" si="112"/>
        <v>0.33429991818326954</v>
      </c>
      <c r="K1461" s="6">
        <f>'Raw Data'!I1461</f>
        <v>4.3</v>
      </c>
      <c r="L1461" s="5">
        <f>'Raw Data'!J1461</f>
        <v>30</v>
      </c>
      <c r="M1461" s="5">
        <f>IF(COUNTIFS($A$2:A1461,A1461,$D$2:D1461,D1461)=1,L1461,0)</f>
        <v>0</v>
      </c>
      <c r="N1461" s="4">
        <f t="shared" si="113"/>
        <v>267.26400000000001</v>
      </c>
      <c r="O1461" t="str">
        <f t="shared" si="114"/>
        <v>OK</v>
      </c>
    </row>
    <row r="1462" spans="1:15">
      <c r="A1462" t="str">
        <f>'Raw Data'!A1462</f>
        <v>Miami RM-21</v>
      </c>
      <c r="B1462" t="str">
        <f>'Raw Data'!B1462</f>
        <v>Southeast</v>
      </c>
      <c r="C1462" t="str">
        <f>'Raw Data'!C1462</f>
        <v>Apparel</v>
      </c>
      <c r="D1462" s="3">
        <f>'Raw Data'!D1462</f>
        <v>45748</v>
      </c>
      <c r="E1462" t="str">
        <f t="shared" si="110"/>
        <v>Apr</v>
      </c>
      <c r="F1462" s="5">
        <f>'Raw Data'!E1462</f>
        <v>169</v>
      </c>
      <c r="G1462" s="4">
        <f>'Raw Data'!F1462</f>
        <v>7816.9</v>
      </c>
      <c r="H1462" s="4">
        <f>'Raw Data'!G1462</f>
        <v>4636.28</v>
      </c>
      <c r="I1462" s="4">
        <f t="shared" si="111"/>
        <v>3180.62</v>
      </c>
      <c r="J1462" s="8">
        <f t="shared" si="112"/>
        <v>0.40689019943967558</v>
      </c>
      <c r="K1462" s="6">
        <f>'Raw Data'!I1462</f>
        <v>4.0199999999999996</v>
      </c>
      <c r="L1462" s="5">
        <f>'Raw Data'!J1462</f>
        <v>30</v>
      </c>
      <c r="M1462" s="5">
        <f>IF(COUNTIFS($A$2:A1462,A1462,$D$2:D1462,D1462)=1,L1462,0)</f>
        <v>0</v>
      </c>
      <c r="N1462" s="4">
        <f t="shared" si="113"/>
        <v>260.56333333333333</v>
      </c>
      <c r="O1462" t="str">
        <f t="shared" si="114"/>
        <v>OK</v>
      </c>
    </row>
    <row r="1463" spans="1:15">
      <c r="A1463" t="str">
        <f>'Raw Data'!A1463</f>
        <v>Miami RM-21</v>
      </c>
      <c r="B1463" t="str">
        <f>'Raw Data'!B1463</f>
        <v>Southeast</v>
      </c>
      <c r="C1463" t="str">
        <f>'Raw Data'!C1463</f>
        <v>Beauty</v>
      </c>
      <c r="D1463" s="3">
        <f>'Raw Data'!D1463</f>
        <v>45748</v>
      </c>
      <c r="E1463" t="str">
        <f t="shared" si="110"/>
        <v>Apr</v>
      </c>
      <c r="F1463" s="5">
        <f>'Raw Data'!E1463</f>
        <v>99</v>
      </c>
      <c r="G1463" s="4">
        <f>'Raw Data'!F1463</f>
        <v>3450.08</v>
      </c>
      <c r="H1463" s="4">
        <f>'Raw Data'!G1463</f>
        <v>1683.18</v>
      </c>
      <c r="I1463" s="4">
        <f t="shared" si="111"/>
        <v>1766.8999999999999</v>
      </c>
      <c r="J1463" s="8">
        <f t="shared" si="112"/>
        <v>0.51213305198720027</v>
      </c>
      <c r="K1463" s="6">
        <f>'Raw Data'!I1463</f>
        <v>4.09</v>
      </c>
      <c r="L1463" s="5">
        <f>'Raw Data'!J1463</f>
        <v>30</v>
      </c>
      <c r="M1463" s="5">
        <f>IF(COUNTIFS($A$2:A1463,A1463,$D$2:D1463,D1463)=1,L1463,0)</f>
        <v>0</v>
      </c>
      <c r="N1463" s="4">
        <f t="shared" si="113"/>
        <v>115.00266666666667</v>
      </c>
      <c r="O1463" t="str">
        <f t="shared" si="114"/>
        <v>OK</v>
      </c>
    </row>
    <row r="1464" spans="1:15">
      <c r="A1464" t="str">
        <f>'Raw Data'!A1464</f>
        <v>Miami RM-21</v>
      </c>
      <c r="B1464" t="str">
        <f>'Raw Data'!B1464</f>
        <v>Southeast</v>
      </c>
      <c r="C1464" t="str">
        <f>'Raw Data'!C1464</f>
        <v>Grocery</v>
      </c>
      <c r="D1464" s="3">
        <f>'Raw Data'!D1464</f>
        <v>45748</v>
      </c>
      <c r="E1464" t="str">
        <f t="shared" si="110"/>
        <v>Apr</v>
      </c>
      <c r="F1464" s="5">
        <f>'Raw Data'!E1464</f>
        <v>201</v>
      </c>
      <c r="G1464" s="4">
        <f>'Raw Data'!F1464</f>
        <v>3653.73</v>
      </c>
      <c r="H1464" s="4">
        <f>'Raw Data'!G1464</f>
        <v>3333.18</v>
      </c>
      <c r="I1464" s="4">
        <f t="shared" si="111"/>
        <v>320.55000000000018</v>
      </c>
      <c r="J1464" s="8">
        <f t="shared" si="112"/>
        <v>8.7732262646665241E-2</v>
      </c>
      <c r="K1464" s="6">
        <f>'Raw Data'!I1464</f>
        <v>4.1900000000000004</v>
      </c>
      <c r="L1464" s="5">
        <f>'Raw Data'!J1464</f>
        <v>30</v>
      </c>
      <c r="M1464" s="5">
        <f>IF(COUNTIFS($A$2:A1464,A1464,$D$2:D1464,D1464)=1,L1464,0)</f>
        <v>0</v>
      </c>
      <c r="N1464" s="4">
        <f t="shared" si="113"/>
        <v>121.791</v>
      </c>
      <c r="O1464" t="str">
        <f t="shared" si="114"/>
        <v>OK</v>
      </c>
    </row>
    <row r="1465" spans="1:15">
      <c r="A1465" t="str">
        <f>'Raw Data'!A1465</f>
        <v>Miami RM-21</v>
      </c>
      <c r="B1465" t="str">
        <f>'Raw Data'!B1465</f>
        <v>Southeast</v>
      </c>
      <c r="C1465" t="str">
        <f>'Raw Data'!C1465</f>
        <v>Sports</v>
      </c>
      <c r="D1465" s="3">
        <f>'Raw Data'!D1465</f>
        <v>45748</v>
      </c>
      <c r="E1465" t="str">
        <f t="shared" si="110"/>
        <v>Apr</v>
      </c>
      <c r="F1465" s="5">
        <f>'Raw Data'!E1465</f>
        <v>99</v>
      </c>
      <c r="G1465" s="4">
        <f>'Raw Data'!F1465</f>
        <v>6279.86</v>
      </c>
      <c r="H1465" s="4">
        <f>'Raw Data'!G1465</f>
        <v>4068.16</v>
      </c>
      <c r="I1465" s="4">
        <f t="shared" si="111"/>
        <v>2211.6999999999998</v>
      </c>
      <c r="J1465" s="8">
        <f t="shared" si="112"/>
        <v>0.35218938001802585</v>
      </c>
      <c r="K1465" s="6">
        <f>'Raw Data'!I1465</f>
        <v>4.2300000000000004</v>
      </c>
      <c r="L1465" s="5">
        <f>'Raw Data'!J1465</f>
        <v>30</v>
      </c>
      <c r="M1465" s="5">
        <f>IF(COUNTIFS($A$2:A1465,A1465,$D$2:D1465,D1465)=1,L1465,0)</f>
        <v>0</v>
      </c>
      <c r="N1465" s="4">
        <f t="shared" si="113"/>
        <v>209.32866666666666</v>
      </c>
      <c r="O1465" t="str">
        <f t="shared" si="114"/>
        <v>OK</v>
      </c>
    </row>
    <row r="1466" spans="1:15">
      <c r="A1466" t="str">
        <f>'Raw Data'!A1466</f>
        <v>Miami RM-21</v>
      </c>
      <c r="B1466" t="str">
        <f>'Raw Data'!B1466</f>
        <v>Southeast</v>
      </c>
      <c r="C1466" t="str">
        <f>'Raw Data'!C1466</f>
        <v>Electronics</v>
      </c>
      <c r="D1466" s="3">
        <f>'Raw Data'!D1466</f>
        <v>45778</v>
      </c>
      <c r="E1466" t="str">
        <f t="shared" si="110"/>
        <v>May</v>
      </c>
      <c r="F1466" s="5">
        <f>'Raw Data'!E1466</f>
        <v>125</v>
      </c>
      <c r="G1466" s="4">
        <f>'Raw Data'!F1466</f>
        <v>19448.48</v>
      </c>
      <c r="H1466" s="4">
        <f>'Raw Data'!G1466</f>
        <v>15493.45</v>
      </c>
      <c r="I1466" s="4">
        <f t="shared" si="111"/>
        <v>3955.0299999999988</v>
      </c>
      <c r="J1466" s="8">
        <f t="shared" si="112"/>
        <v>0.20335933707929868</v>
      </c>
      <c r="K1466" s="6">
        <f>'Raw Data'!I1466</f>
        <v>4.13</v>
      </c>
      <c r="L1466" s="5">
        <f>'Raw Data'!J1466</f>
        <v>30</v>
      </c>
      <c r="M1466" s="5">
        <f>IF(COUNTIFS($A$2:A1466,A1466,$D$2:D1466,D1466)=1,L1466,0)</f>
        <v>30</v>
      </c>
      <c r="N1466" s="4">
        <f t="shared" si="113"/>
        <v>648.28266666666661</v>
      </c>
      <c r="O1466" t="str">
        <f t="shared" si="114"/>
        <v>OK</v>
      </c>
    </row>
    <row r="1467" spans="1:15">
      <c r="A1467" t="str">
        <f>'Raw Data'!A1467</f>
        <v>Miami RM-21</v>
      </c>
      <c r="B1467" t="str">
        <f>'Raw Data'!B1467</f>
        <v>Southeast</v>
      </c>
      <c r="C1467" t="str">
        <f>'Raw Data'!C1467</f>
        <v>Home Goods</v>
      </c>
      <c r="D1467" s="3">
        <f>'Raw Data'!D1467</f>
        <v>45778</v>
      </c>
      <c r="E1467" t="str">
        <f t="shared" si="110"/>
        <v>May</v>
      </c>
      <c r="F1467" s="5">
        <f>'Raw Data'!E1467</f>
        <v>134</v>
      </c>
      <c r="G1467" s="4">
        <f>'Raw Data'!F1467</f>
        <v>9783.08</v>
      </c>
      <c r="H1467" s="4">
        <f>'Raw Data'!G1467</f>
        <v>6478.28</v>
      </c>
      <c r="I1467" s="4">
        <f t="shared" si="111"/>
        <v>3304.8</v>
      </c>
      <c r="J1467" s="8">
        <f t="shared" si="112"/>
        <v>0.33780772517448493</v>
      </c>
      <c r="K1467" s="6">
        <f>'Raw Data'!I1467</f>
        <v>3.99</v>
      </c>
      <c r="L1467" s="5">
        <f>'Raw Data'!J1467</f>
        <v>30</v>
      </c>
      <c r="M1467" s="5">
        <f>IF(COUNTIFS($A$2:A1467,A1467,$D$2:D1467,D1467)=1,L1467,0)</f>
        <v>0</v>
      </c>
      <c r="N1467" s="4">
        <f t="shared" si="113"/>
        <v>326.10266666666666</v>
      </c>
      <c r="O1467" t="str">
        <f t="shared" si="114"/>
        <v>OK</v>
      </c>
    </row>
    <row r="1468" spans="1:15">
      <c r="A1468" t="str">
        <f>'Raw Data'!A1468</f>
        <v>Miami RM-21</v>
      </c>
      <c r="B1468" t="str">
        <f>'Raw Data'!B1468</f>
        <v>Southeast</v>
      </c>
      <c r="C1468" t="str">
        <f>'Raw Data'!C1468</f>
        <v>Apparel</v>
      </c>
      <c r="D1468" s="3">
        <f>'Raw Data'!D1468</f>
        <v>45778</v>
      </c>
      <c r="E1468" t="str">
        <f t="shared" si="110"/>
        <v>May</v>
      </c>
      <c r="F1468" s="5">
        <f>'Raw Data'!E1468</f>
        <v>145</v>
      </c>
      <c r="G1468" s="4">
        <f>'Raw Data'!F1468</f>
        <v>7460.68</v>
      </c>
      <c r="H1468" s="4">
        <f>'Raw Data'!G1468</f>
        <v>4379.1000000000004</v>
      </c>
      <c r="I1468" s="4">
        <f t="shared" si="111"/>
        <v>3081.58</v>
      </c>
      <c r="J1468" s="8">
        <f t="shared" si="112"/>
        <v>0.41304277894240199</v>
      </c>
      <c r="K1468" s="6">
        <f>'Raw Data'!I1468</f>
        <v>4.21</v>
      </c>
      <c r="L1468" s="5">
        <f>'Raw Data'!J1468</f>
        <v>30</v>
      </c>
      <c r="M1468" s="5">
        <f>IF(COUNTIFS($A$2:A1468,A1468,$D$2:D1468,D1468)=1,L1468,0)</f>
        <v>0</v>
      </c>
      <c r="N1468" s="4">
        <f t="shared" si="113"/>
        <v>248.68933333333334</v>
      </c>
      <c r="O1468" t="str">
        <f t="shared" si="114"/>
        <v>OK</v>
      </c>
    </row>
    <row r="1469" spans="1:15">
      <c r="A1469" t="str">
        <f>'Raw Data'!A1469</f>
        <v>Miami RM-21</v>
      </c>
      <c r="B1469" t="str">
        <f>'Raw Data'!B1469</f>
        <v>Southeast</v>
      </c>
      <c r="C1469" t="str">
        <f>'Raw Data'!C1469</f>
        <v>Beauty</v>
      </c>
      <c r="D1469" s="3">
        <f>'Raw Data'!D1469</f>
        <v>45778</v>
      </c>
      <c r="E1469" t="str">
        <f t="shared" si="110"/>
        <v>May</v>
      </c>
      <c r="F1469" s="5">
        <f>'Raw Data'!E1469</f>
        <v>129</v>
      </c>
      <c r="G1469" s="4">
        <f>'Raw Data'!F1469</f>
        <v>4905.2</v>
      </c>
      <c r="H1469" s="4">
        <f>'Raw Data'!G1469</f>
        <v>2373.85</v>
      </c>
      <c r="I1469" s="4">
        <f t="shared" si="111"/>
        <v>2531.35</v>
      </c>
      <c r="J1469" s="8">
        <f t="shared" si="112"/>
        <v>0.51605439125825658</v>
      </c>
      <c r="K1469" s="6">
        <f>'Raw Data'!I1469</f>
        <v>3.95</v>
      </c>
      <c r="L1469" s="5">
        <f>'Raw Data'!J1469</f>
        <v>30</v>
      </c>
      <c r="M1469" s="5">
        <f>IF(COUNTIFS($A$2:A1469,A1469,$D$2:D1469,D1469)=1,L1469,0)</f>
        <v>0</v>
      </c>
      <c r="N1469" s="4">
        <f t="shared" si="113"/>
        <v>163.50666666666666</v>
      </c>
      <c r="O1469" t="str">
        <f t="shared" si="114"/>
        <v>OK</v>
      </c>
    </row>
    <row r="1470" spans="1:15">
      <c r="A1470" t="str">
        <f>'Raw Data'!A1470</f>
        <v>Miami RM-21</v>
      </c>
      <c r="B1470" t="str">
        <f>'Raw Data'!B1470</f>
        <v>Southeast</v>
      </c>
      <c r="C1470" t="str">
        <f>'Raw Data'!C1470</f>
        <v>Grocery</v>
      </c>
      <c r="D1470" s="3">
        <f>'Raw Data'!D1470</f>
        <v>45778</v>
      </c>
      <c r="E1470" t="str">
        <f t="shared" si="110"/>
        <v>May</v>
      </c>
      <c r="F1470" s="5">
        <f>'Raw Data'!E1470</f>
        <v>224</v>
      </c>
      <c r="G1470" s="4">
        <f>'Raw Data'!F1470</f>
        <v>3974.64</v>
      </c>
      <c r="H1470" s="4">
        <f>'Raw Data'!G1470</f>
        <v>3550.55</v>
      </c>
      <c r="I1470" s="4">
        <f t="shared" si="111"/>
        <v>424.08999999999969</v>
      </c>
      <c r="J1470" s="8">
        <f t="shared" si="112"/>
        <v>0.10669897147917791</v>
      </c>
      <c r="K1470" s="6">
        <f>'Raw Data'!I1470</f>
        <v>4.1399999999999997</v>
      </c>
      <c r="L1470" s="5">
        <f>'Raw Data'!J1470</f>
        <v>30</v>
      </c>
      <c r="M1470" s="5">
        <f>IF(COUNTIFS($A$2:A1470,A1470,$D$2:D1470,D1470)=1,L1470,0)</f>
        <v>0</v>
      </c>
      <c r="N1470" s="4">
        <f t="shared" si="113"/>
        <v>132.488</v>
      </c>
      <c r="O1470" t="str">
        <f t="shared" si="114"/>
        <v>OK</v>
      </c>
    </row>
    <row r="1471" spans="1:15">
      <c r="A1471" t="str">
        <f>'Raw Data'!A1471</f>
        <v>Miami RM-21</v>
      </c>
      <c r="B1471" t="str">
        <f>'Raw Data'!B1471</f>
        <v>Southeast</v>
      </c>
      <c r="C1471" t="str">
        <f>'Raw Data'!C1471</f>
        <v>Sports</v>
      </c>
      <c r="D1471" s="3">
        <f>'Raw Data'!D1471</f>
        <v>45778</v>
      </c>
      <c r="E1471" t="str">
        <f t="shared" si="110"/>
        <v>May</v>
      </c>
      <c r="F1471" s="5">
        <f>'Raw Data'!E1471</f>
        <v>137</v>
      </c>
      <c r="G1471" s="4">
        <f>'Raw Data'!F1471</f>
        <v>8888.33</v>
      </c>
      <c r="H1471" s="4">
        <f>'Raw Data'!G1471</f>
        <v>5779.4</v>
      </c>
      <c r="I1471" s="4">
        <f t="shared" si="111"/>
        <v>3108.9300000000003</v>
      </c>
      <c r="J1471" s="8">
        <f t="shared" si="112"/>
        <v>0.34977661720480679</v>
      </c>
      <c r="K1471" s="6">
        <f>'Raw Data'!I1471</f>
        <v>4.13</v>
      </c>
      <c r="L1471" s="5">
        <f>'Raw Data'!J1471</f>
        <v>30</v>
      </c>
      <c r="M1471" s="5">
        <f>IF(COUNTIFS($A$2:A1471,A1471,$D$2:D1471,D1471)=1,L1471,0)</f>
        <v>0</v>
      </c>
      <c r="N1471" s="4">
        <f t="shared" si="113"/>
        <v>296.27766666666668</v>
      </c>
      <c r="O1471" t="str">
        <f t="shared" si="114"/>
        <v>OK</v>
      </c>
    </row>
    <row r="1472" spans="1:15">
      <c r="A1472" t="str">
        <f>'Raw Data'!A1472</f>
        <v>Miami RM-21</v>
      </c>
      <c r="B1472" t="str">
        <f>'Raw Data'!B1472</f>
        <v>Southeast</v>
      </c>
      <c r="C1472" t="str">
        <f>'Raw Data'!C1472</f>
        <v>Electronics</v>
      </c>
      <c r="D1472" s="3">
        <f>'Raw Data'!D1472</f>
        <v>45809</v>
      </c>
      <c r="E1472" t="str">
        <f t="shared" si="110"/>
        <v>Jun</v>
      </c>
      <c r="F1472" s="5">
        <f>'Raw Data'!E1472</f>
        <v>144</v>
      </c>
      <c r="G1472" s="4">
        <f>'Raw Data'!F1472</f>
        <v>21562.63</v>
      </c>
      <c r="H1472" s="4">
        <f>'Raw Data'!G1472</f>
        <v>16809.009999999998</v>
      </c>
      <c r="I1472" s="4">
        <f t="shared" si="111"/>
        <v>4753.6200000000026</v>
      </c>
      <c r="J1472" s="8">
        <f t="shared" si="112"/>
        <v>0.220456410001934</v>
      </c>
      <c r="K1472" s="6">
        <f>'Raw Data'!I1472</f>
        <v>4.04</v>
      </c>
      <c r="L1472" s="5">
        <f>'Raw Data'!J1472</f>
        <v>31</v>
      </c>
      <c r="M1472" s="5">
        <f>IF(COUNTIFS($A$2:A1472,A1472,$D$2:D1472,D1472)=1,L1472,0)</f>
        <v>31</v>
      </c>
      <c r="N1472" s="4">
        <f t="shared" si="113"/>
        <v>695.56870967741941</v>
      </c>
      <c r="O1472" t="str">
        <f t="shared" si="114"/>
        <v>OK</v>
      </c>
    </row>
    <row r="1473" spans="1:15">
      <c r="A1473" t="str">
        <f>'Raw Data'!A1473</f>
        <v>Miami RM-21</v>
      </c>
      <c r="B1473" t="str">
        <f>'Raw Data'!B1473</f>
        <v>Southeast</v>
      </c>
      <c r="C1473" t="str">
        <f>'Raw Data'!C1473</f>
        <v>Home Goods</v>
      </c>
      <c r="D1473" s="3">
        <f>'Raw Data'!D1473</f>
        <v>45809</v>
      </c>
      <c r="E1473" t="str">
        <f t="shared" si="110"/>
        <v>Jun</v>
      </c>
      <c r="F1473" s="5">
        <f>'Raw Data'!E1473</f>
        <v>121</v>
      </c>
      <c r="G1473" s="4">
        <f>'Raw Data'!F1473</f>
        <v>9086.6200000000008</v>
      </c>
      <c r="H1473" s="4">
        <f>'Raw Data'!G1473</f>
        <v>6219.42</v>
      </c>
      <c r="I1473" s="4">
        <f t="shared" si="111"/>
        <v>2867.2000000000007</v>
      </c>
      <c r="J1473" s="8">
        <f t="shared" si="112"/>
        <v>0.31554087218349625</v>
      </c>
      <c r="K1473" s="6">
        <f>'Raw Data'!I1473</f>
        <v>4.1399999999999997</v>
      </c>
      <c r="L1473" s="5">
        <f>'Raw Data'!J1473</f>
        <v>31</v>
      </c>
      <c r="M1473" s="5">
        <f>IF(COUNTIFS($A$2:A1473,A1473,$D$2:D1473,D1473)=1,L1473,0)</f>
        <v>0</v>
      </c>
      <c r="N1473" s="4">
        <f t="shared" si="113"/>
        <v>293.11677419354839</v>
      </c>
      <c r="O1473" t="str">
        <f t="shared" si="114"/>
        <v>OK</v>
      </c>
    </row>
    <row r="1474" spans="1:15">
      <c r="A1474" t="str">
        <f>'Raw Data'!A1474</f>
        <v>Miami RM-21</v>
      </c>
      <c r="B1474" t="str">
        <f>'Raw Data'!B1474</f>
        <v>Southeast</v>
      </c>
      <c r="C1474" t="str">
        <f>'Raw Data'!C1474</f>
        <v>Apparel</v>
      </c>
      <c r="D1474" s="3">
        <f>'Raw Data'!D1474</f>
        <v>45809</v>
      </c>
      <c r="E1474" t="str">
        <f t="shared" ref="E1474:E1537" si="115">TEXT(D1474,"mmm")</f>
        <v>Jun</v>
      </c>
      <c r="F1474" s="5">
        <f>'Raw Data'!E1474</f>
        <v>165</v>
      </c>
      <c r="G1474" s="4">
        <f>'Raw Data'!F1474</f>
        <v>7922.03</v>
      </c>
      <c r="H1474" s="4">
        <f>'Raw Data'!G1474</f>
        <v>4952.75</v>
      </c>
      <c r="I1474" s="4">
        <f t="shared" ref="I1474:I1537" si="116">G1474-H1474</f>
        <v>2969.2799999999997</v>
      </c>
      <c r="J1474" s="8">
        <f t="shared" ref="J1474:J1537" si="117">IFERROR(I1474/G1474,0)</f>
        <v>0.3748130214099164</v>
      </c>
      <c r="K1474" s="6">
        <f>'Raw Data'!I1474</f>
        <v>4.08</v>
      </c>
      <c r="L1474" s="5">
        <f>'Raw Data'!J1474</f>
        <v>31</v>
      </c>
      <c r="M1474" s="5">
        <f>IF(COUNTIFS($A$2:A1474,A1474,$D$2:D1474,D1474)=1,L1474,0)</f>
        <v>0</v>
      </c>
      <c r="N1474" s="4">
        <f t="shared" ref="N1474:N1537" si="118">IFERROR(G1474/L1474,0)</f>
        <v>255.54935483870966</v>
      </c>
      <c r="O1474" t="str">
        <f t="shared" ref="O1474:O1537" si="119">IF(OR(A1474="",B1474="",C1474="",F1474&lt;0,G1474&lt;0,H1474&lt;0,K1474&lt;1,K1474&gt;5),"Review","OK")</f>
        <v>OK</v>
      </c>
    </row>
    <row r="1475" spans="1:15">
      <c r="A1475" t="str">
        <f>'Raw Data'!A1475</f>
        <v>Miami RM-21</v>
      </c>
      <c r="B1475" t="str">
        <f>'Raw Data'!B1475</f>
        <v>Southeast</v>
      </c>
      <c r="C1475" t="str">
        <f>'Raw Data'!C1475</f>
        <v>Beauty</v>
      </c>
      <c r="D1475" s="3">
        <f>'Raw Data'!D1475</f>
        <v>45809</v>
      </c>
      <c r="E1475" t="str">
        <f t="shared" si="115"/>
        <v>Jun</v>
      </c>
      <c r="F1475" s="5">
        <f>'Raw Data'!E1475</f>
        <v>134</v>
      </c>
      <c r="G1475" s="4">
        <f>'Raw Data'!F1475</f>
        <v>4747</v>
      </c>
      <c r="H1475" s="4">
        <f>'Raw Data'!G1475</f>
        <v>2308.77</v>
      </c>
      <c r="I1475" s="4">
        <f t="shared" si="116"/>
        <v>2438.23</v>
      </c>
      <c r="J1475" s="8">
        <f t="shared" si="117"/>
        <v>0.51363598061933857</v>
      </c>
      <c r="K1475" s="6">
        <f>'Raw Data'!I1475</f>
        <v>4.1100000000000003</v>
      </c>
      <c r="L1475" s="5">
        <f>'Raw Data'!J1475</f>
        <v>31</v>
      </c>
      <c r="M1475" s="5">
        <f>IF(COUNTIFS($A$2:A1475,A1475,$D$2:D1475,D1475)=1,L1475,0)</f>
        <v>0</v>
      </c>
      <c r="N1475" s="4">
        <f t="shared" si="118"/>
        <v>153.12903225806451</v>
      </c>
      <c r="O1475" t="str">
        <f t="shared" si="119"/>
        <v>OK</v>
      </c>
    </row>
    <row r="1476" spans="1:15">
      <c r="A1476" t="str">
        <f>'Raw Data'!A1476</f>
        <v>Miami RM-21</v>
      </c>
      <c r="B1476" t="str">
        <f>'Raw Data'!B1476</f>
        <v>Southeast</v>
      </c>
      <c r="C1476" t="str">
        <f>'Raw Data'!C1476</f>
        <v>Grocery</v>
      </c>
      <c r="D1476" s="3">
        <f>'Raw Data'!D1476</f>
        <v>45809</v>
      </c>
      <c r="E1476" t="str">
        <f t="shared" si="115"/>
        <v>Jun</v>
      </c>
      <c r="F1476" s="5">
        <f>'Raw Data'!E1476</f>
        <v>246</v>
      </c>
      <c r="G1476" s="4">
        <f>'Raw Data'!F1476</f>
        <v>4695.67</v>
      </c>
      <c r="H1476" s="4">
        <f>'Raw Data'!G1476</f>
        <v>4222.57</v>
      </c>
      <c r="I1476" s="4">
        <f t="shared" si="116"/>
        <v>473.10000000000036</v>
      </c>
      <c r="J1476" s="8">
        <f t="shared" si="117"/>
        <v>0.10075239529183276</v>
      </c>
      <c r="K1476" s="6">
        <f>'Raw Data'!I1476</f>
        <v>4.17</v>
      </c>
      <c r="L1476" s="5">
        <f>'Raw Data'!J1476</f>
        <v>31</v>
      </c>
      <c r="M1476" s="5">
        <f>IF(COUNTIFS($A$2:A1476,A1476,$D$2:D1476,D1476)=1,L1476,0)</f>
        <v>0</v>
      </c>
      <c r="N1476" s="4">
        <f t="shared" si="118"/>
        <v>151.47322580645161</v>
      </c>
      <c r="O1476" t="str">
        <f t="shared" si="119"/>
        <v>OK</v>
      </c>
    </row>
    <row r="1477" spans="1:15">
      <c r="A1477" t="str">
        <f>'Raw Data'!A1477</f>
        <v>Miami RM-21</v>
      </c>
      <c r="B1477" t="str">
        <f>'Raw Data'!B1477</f>
        <v>Southeast</v>
      </c>
      <c r="C1477" t="str">
        <f>'Raw Data'!C1477</f>
        <v>Sports</v>
      </c>
      <c r="D1477" s="3">
        <f>'Raw Data'!D1477</f>
        <v>45809</v>
      </c>
      <c r="E1477" t="str">
        <f t="shared" si="115"/>
        <v>Jun</v>
      </c>
      <c r="F1477" s="5">
        <f>'Raw Data'!E1477</f>
        <v>132</v>
      </c>
      <c r="G1477" s="4">
        <f>'Raw Data'!F1477</f>
        <v>8256.08</v>
      </c>
      <c r="H1477" s="4">
        <f>'Raw Data'!G1477</f>
        <v>5248.76</v>
      </c>
      <c r="I1477" s="4">
        <f t="shared" si="116"/>
        <v>3007.3199999999997</v>
      </c>
      <c r="J1477" s="8">
        <f t="shared" si="117"/>
        <v>0.36425519132566542</v>
      </c>
      <c r="K1477" s="6">
        <f>'Raw Data'!I1477</f>
        <v>4.2</v>
      </c>
      <c r="L1477" s="5">
        <f>'Raw Data'!J1477</f>
        <v>31</v>
      </c>
      <c r="M1477" s="5">
        <f>IF(COUNTIFS($A$2:A1477,A1477,$D$2:D1477,D1477)=1,L1477,0)</f>
        <v>0</v>
      </c>
      <c r="N1477" s="4">
        <f t="shared" si="118"/>
        <v>266.32516129032257</v>
      </c>
      <c r="O1477" t="str">
        <f t="shared" si="119"/>
        <v>OK</v>
      </c>
    </row>
    <row r="1478" spans="1:15">
      <c r="A1478" t="str">
        <f>'Raw Data'!A1478</f>
        <v>Miami RM-21</v>
      </c>
      <c r="B1478" t="str">
        <f>'Raw Data'!B1478</f>
        <v>Southeast</v>
      </c>
      <c r="C1478" t="str">
        <f>'Raw Data'!C1478</f>
        <v>Electronics</v>
      </c>
      <c r="D1478" s="3">
        <f>'Raw Data'!D1478</f>
        <v>45839</v>
      </c>
      <c r="E1478" t="str">
        <f t="shared" si="115"/>
        <v>Jul</v>
      </c>
      <c r="F1478" s="5">
        <f>'Raw Data'!E1478</f>
        <v>149</v>
      </c>
      <c r="G1478" s="4">
        <f>'Raw Data'!F1478</f>
        <v>21792.48</v>
      </c>
      <c r="H1478" s="4">
        <f>'Raw Data'!G1478</f>
        <v>17184.16</v>
      </c>
      <c r="I1478" s="4">
        <f t="shared" si="116"/>
        <v>4608.32</v>
      </c>
      <c r="J1478" s="8">
        <f t="shared" si="117"/>
        <v>0.21146377098889158</v>
      </c>
      <c r="K1478" s="6">
        <f>'Raw Data'!I1478</f>
        <v>4.1399999999999997</v>
      </c>
      <c r="L1478" s="5">
        <f>'Raw Data'!J1478</f>
        <v>31</v>
      </c>
      <c r="M1478" s="5">
        <f>IF(COUNTIFS($A$2:A1478,A1478,$D$2:D1478,D1478)=1,L1478,0)</f>
        <v>31</v>
      </c>
      <c r="N1478" s="4">
        <f t="shared" si="118"/>
        <v>702.98322580645163</v>
      </c>
      <c r="O1478" t="str">
        <f t="shared" si="119"/>
        <v>OK</v>
      </c>
    </row>
    <row r="1479" spans="1:15">
      <c r="A1479" t="str">
        <f>'Raw Data'!A1479</f>
        <v>Miami RM-21</v>
      </c>
      <c r="B1479" t="str">
        <f>'Raw Data'!B1479</f>
        <v>Southeast</v>
      </c>
      <c r="C1479" t="str">
        <f>'Raw Data'!C1479</f>
        <v>Home Goods</v>
      </c>
      <c r="D1479" s="3">
        <f>'Raw Data'!D1479</f>
        <v>45839</v>
      </c>
      <c r="E1479" t="str">
        <f t="shared" si="115"/>
        <v>Jul</v>
      </c>
      <c r="F1479" s="5">
        <f>'Raw Data'!E1479</f>
        <v>120</v>
      </c>
      <c r="G1479" s="4">
        <f>'Raw Data'!F1479</f>
        <v>9172.66</v>
      </c>
      <c r="H1479" s="4">
        <f>'Raw Data'!G1479</f>
        <v>6223.88</v>
      </c>
      <c r="I1479" s="4">
        <f t="shared" si="116"/>
        <v>2948.7799999999997</v>
      </c>
      <c r="J1479" s="8">
        <f t="shared" si="117"/>
        <v>0.3214749047713531</v>
      </c>
      <c r="K1479" s="6">
        <f>'Raw Data'!I1479</f>
        <v>4</v>
      </c>
      <c r="L1479" s="5">
        <f>'Raw Data'!J1479</f>
        <v>31</v>
      </c>
      <c r="M1479" s="5">
        <f>IF(COUNTIFS($A$2:A1479,A1479,$D$2:D1479,D1479)=1,L1479,0)</f>
        <v>0</v>
      </c>
      <c r="N1479" s="4">
        <f t="shared" si="118"/>
        <v>295.89225806451611</v>
      </c>
      <c r="O1479" t="str">
        <f t="shared" si="119"/>
        <v>OK</v>
      </c>
    </row>
    <row r="1480" spans="1:15">
      <c r="A1480" t="str">
        <f>'Raw Data'!A1480</f>
        <v>Miami RM-21</v>
      </c>
      <c r="B1480" t="str">
        <f>'Raw Data'!B1480</f>
        <v>Southeast</v>
      </c>
      <c r="C1480" t="str">
        <f>'Raw Data'!C1480</f>
        <v>Apparel</v>
      </c>
      <c r="D1480" s="3">
        <f>'Raw Data'!D1480</f>
        <v>45839</v>
      </c>
      <c r="E1480" t="str">
        <f t="shared" si="115"/>
        <v>Jul</v>
      </c>
      <c r="F1480" s="5">
        <f>'Raw Data'!E1480</f>
        <v>179</v>
      </c>
      <c r="G1480" s="4">
        <f>'Raw Data'!F1480</f>
        <v>8787.44</v>
      </c>
      <c r="H1480" s="4">
        <f>'Raw Data'!G1480</f>
        <v>5373.37</v>
      </c>
      <c r="I1480" s="4">
        <f t="shared" si="116"/>
        <v>3414.0700000000006</v>
      </c>
      <c r="J1480" s="8">
        <f t="shared" si="117"/>
        <v>0.38851701974636532</v>
      </c>
      <c r="K1480" s="6">
        <f>'Raw Data'!I1480</f>
        <v>4.1900000000000004</v>
      </c>
      <c r="L1480" s="5">
        <f>'Raw Data'!J1480</f>
        <v>31</v>
      </c>
      <c r="M1480" s="5">
        <f>IF(COUNTIFS($A$2:A1480,A1480,$D$2:D1480,D1480)=1,L1480,0)</f>
        <v>0</v>
      </c>
      <c r="N1480" s="4">
        <f t="shared" si="118"/>
        <v>283.46580645161293</v>
      </c>
      <c r="O1480" t="str">
        <f t="shared" si="119"/>
        <v>OK</v>
      </c>
    </row>
    <row r="1481" spans="1:15">
      <c r="A1481" t="str">
        <f>'Raw Data'!A1481</f>
        <v>Miami RM-21</v>
      </c>
      <c r="B1481" t="str">
        <f>'Raw Data'!B1481</f>
        <v>Southeast</v>
      </c>
      <c r="C1481" t="str">
        <f>'Raw Data'!C1481</f>
        <v>Beauty</v>
      </c>
      <c r="D1481" s="3">
        <f>'Raw Data'!D1481</f>
        <v>45839</v>
      </c>
      <c r="E1481" t="str">
        <f t="shared" si="115"/>
        <v>Jul</v>
      </c>
      <c r="F1481" s="5">
        <f>'Raw Data'!E1481</f>
        <v>144</v>
      </c>
      <c r="G1481" s="4">
        <f>'Raw Data'!F1481</f>
        <v>5429.23</v>
      </c>
      <c r="H1481" s="4">
        <f>'Raw Data'!G1481</f>
        <v>2658.07</v>
      </c>
      <c r="I1481" s="4">
        <f t="shared" si="116"/>
        <v>2771.1599999999994</v>
      </c>
      <c r="J1481" s="8">
        <f t="shared" si="117"/>
        <v>0.51041492071619721</v>
      </c>
      <c r="K1481" s="6">
        <f>'Raw Data'!I1481</f>
        <v>3.97</v>
      </c>
      <c r="L1481" s="5">
        <f>'Raw Data'!J1481</f>
        <v>31</v>
      </c>
      <c r="M1481" s="5">
        <f>IF(COUNTIFS($A$2:A1481,A1481,$D$2:D1481,D1481)=1,L1481,0)</f>
        <v>0</v>
      </c>
      <c r="N1481" s="4">
        <f t="shared" si="118"/>
        <v>175.13645161290322</v>
      </c>
      <c r="O1481" t="str">
        <f t="shared" si="119"/>
        <v>OK</v>
      </c>
    </row>
    <row r="1482" spans="1:15">
      <c r="A1482" t="str">
        <f>'Raw Data'!A1482</f>
        <v>Miami RM-21</v>
      </c>
      <c r="B1482" t="str">
        <f>'Raw Data'!B1482</f>
        <v>Southeast</v>
      </c>
      <c r="C1482" t="str">
        <f>'Raw Data'!C1482</f>
        <v>Grocery</v>
      </c>
      <c r="D1482" s="3">
        <f>'Raw Data'!D1482</f>
        <v>45839</v>
      </c>
      <c r="E1482" t="str">
        <f t="shared" si="115"/>
        <v>Jul</v>
      </c>
      <c r="F1482" s="5">
        <f>'Raw Data'!E1482</f>
        <v>224</v>
      </c>
      <c r="G1482" s="4">
        <f>'Raw Data'!F1482</f>
        <v>3996.91</v>
      </c>
      <c r="H1482" s="4">
        <f>'Raw Data'!G1482</f>
        <v>3729.17</v>
      </c>
      <c r="I1482" s="4">
        <f t="shared" si="116"/>
        <v>267.73999999999978</v>
      </c>
      <c r="J1482" s="8">
        <f t="shared" si="117"/>
        <v>6.6986747262260046E-2</v>
      </c>
      <c r="K1482" s="6">
        <f>'Raw Data'!I1482</f>
        <v>4.12</v>
      </c>
      <c r="L1482" s="5">
        <f>'Raw Data'!J1482</f>
        <v>31</v>
      </c>
      <c r="M1482" s="5">
        <f>IF(COUNTIFS($A$2:A1482,A1482,$D$2:D1482,D1482)=1,L1482,0)</f>
        <v>0</v>
      </c>
      <c r="N1482" s="4">
        <f t="shared" si="118"/>
        <v>128.93258064516129</v>
      </c>
      <c r="O1482" t="str">
        <f t="shared" si="119"/>
        <v>OK</v>
      </c>
    </row>
    <row r="1483" spans="1:15">
      <c r="A1483" t="str">
        <f>'Raw Data'!A1483</f>
        <v>Miami RM-21</v>
      </c>
      <c r="B1483" t="str">
        <f>'Raw Data'!B1483</f>
        <v>Southeast</v>
      </c>
      <c r="C1483" t="str">
        <f>'Raw Data'!C1483</f>
        <v>Sports</v>
      </c>
      <c r="D1483" s="3">
        <f>'Raw Data'!D1483</f>
        <v>45839</v>
      </c>
      <c r="E1483" t="str">
        <f t="shared" si="115"/>
        <v>Jul</v>
      </c>
      <c r="F1483" s="5">
        <f>'Raw Data'!E1483</f>
        <v>132</v>
      </c>
      <c r="G1483" s="4">
        <f>'Raw Data'!F1483</f>
        <v>8569.69</v>
      </c>
      <c r="H1483" s="4">
        <f>'Raw Data'!G1483</f>
        <v>5663.93</v>
      </c>
      <c r="I1483" s="4">
        <f t="shared" si="116"/>
        <v>2905.76</v>
      </c>
      <c r="J1483" s="8">
        <f t="shared" si="117"/>
        <v>0.33907410886508149</v>
      </c>
      <c r="K1483" s="6">
        <f>'Raw Data'!I1483</f>
        <v>4.08</v>
      </c>
      <c r="L1483" s="5">
        <f>'Raw Data'!J1483</f>
        <v>31</v>
      </c>
      <c r="M1483" s="5">
        <f>IF(COUNTIFS($A$2:A1483,A1483,$D$2:D1483,D1483)=1,L1483,0)</f>
        <v>0</v>
      </c>
      <c r="N1483" s="4">
        <f t="shared" si="118"/>
        <v>276.4416129032258</v>
      </c>
      <c r="O1483" t="str">
        <f t="shared" si="119"/>
        <v>OK</v>
      </c>
    </row>
    <row r="1484" spans="1:15">
      <c r="A1484" t="str">
        <f>'Raw Data'!A1484</f>
        <v>Miami RM-21</v>
      </c>
      <c r="B1484" t="str">
        <f>'Raw Data'!B1484</f>
        <v>Southeast</v>
      </c>
      <c r="C1484" t="str">
        <f>'Raw Data'!C1484</f>
        <v>Electronics</v>
      </c>
      <c r="D1484" s="3">
        <f>'Raw Data'!D1484</f>
        <v>45870</v>
      </c>
      <c r="E1484" t="str">
        <f t="shared" si="115"/>
        <v>Aug</v>
      </c>
      <c r="F1484" s="5">
        <f>'Raw Data'!E1484</f>
        <v>135</v>
      </c>
      <c r="G1484" s="4">
        <f>'Raw Data'!F1484</f>
        <v>19363.150000000001</v>
      </c>
      <c r="H1484" s="4">
        <f>'Raw Data'!G1484</f>
        <v>15483.98</v>
      </c>
      <c r="I1484" s="4">
        <f t="shared" si="116"/>
        <v>3879.1700000000019</v>
      </c>
      <c r="J1484" s="8">
        <f t="shared" si="117"/>
        <v>0.20033775496238998</v>
      </c>
      <c r="K1484" s="6">
        <f>'Raw Data'!I1484</f>
        <v>4.03</v>
      </c>
      <c r="L1484" s="5">
        <f>'Raw Data'!J1484</f>
        <v>31</v>
      </c>
      <c r="M1484" s="5">
        <f>IF(COUNTIFS($A$2:A1484,A1484,$D$2:D1484,D1484)=1,L1484,0)</f>
        <v>31</v>
      </c>
      <c r="N1484" s="4">
        <f t="shared" si="118"/>
        <v>624.61774193548388</v>
      </c>
      <c r="O1484" t="str">
        <f t="shared" si="119"/>
        <v>OK</v>
      </c>
    </row>
    <row r="1485" spans="1:15">
      <c r="A1485" t="str">
        <f>'Raw Data'!A1485</f>
        <v>Miami RM-21</v>
      </c>
      <c r="B1485" t="str">
        <f>'Raw Data'!B1485</f>
        <v>Southeast</v>
      </c>
      <c r="C1485" t="str">
        <f>'Raw Data'!C1485</f>
        <v>Home Goods</v>
      </c>
      <c r="D1485" s="3">
        <f>'Raw Data'!D1485</f>
        <v>45870</v>
      </c>
      <c r="E1485" t="str">
        <f t="shared" si="115"/>
        <v>Aug</v>
      </c>
      <c r="F1485" s="5">
        <f>'Raw Data'!E1485</f>
        <v>135</v>
      </c>
      <c r="G1485" s="4">
        <f>'Raw Data'!F1485</f>
        <v>10575.31</v>
      </c>
      <c r="H1485" s="4">
        <f>'Raw Data'!G1485</f>
        <v>7252.4</v>
      </c>
      <c r="I1485" s="4">
        <f t="shared" si="116"/>
        <v>3322.91</v>
      </c>
      <c r="J1485" s="8">
        <f t="shared" si="117"/>
        <v>0.31421395684854631</v>
      </c>
      <c r="K1485" s="6">
        <f>'Raw Data'!I1485</f>
        <v>4.2699999999999996</v>
      </c>
      <c r="L1485" s="5">
        <f>'Raw Data'!J1485</f>
        <v>31</v>
      </c>
      <c r="M1485" s="5">
        <f>IF(COUNTIFS($A$2:A1485,A1485,$D$2:D1485,D1485)=1,L1485,0)</f>
        <v>0</v>
      </c>
      <c r="N1485" s="4">
        <f t="shared" si="118"/>
        <v>341.1390322580645</v>
      </c>
      <c r="O1485" t="str">
        <f t="shared" si="119"/>
        <v>OK</v>
      </c>
    </row>
    <row r="1486" spans="1:15">
      <c r="A1486" t="str">
        <f>'Raw Data'!A1486</f>
        <v>Miami RM-21</v>
      </c>
      <c r="B1486" t="str">
        <f>'Raw Data'!B1486</f>
        <v>Southeast</v>
      </c>
      <c r="C1486" t="str">
        <f>'Raw Data'!C1486</f>
        <v>Apparel</v>
      </c>
      <c r="D1486" s="3">
        <f>'Raw Data'!D1486</f>
        <v>45870</v>
      </c>
      <c r="E1486" t="str">
        <f t="shared" si="115"/>
        <v>Aug</v>
      </c>
      <c r="F1486" s="5">
        <f>'Raw Data'!E1486</f>
        <v>202</v>
      </c>
      <c r="G1486" s="4">
        <f>'Raw Data'!F1486</f>
        <v>9572.5</v>
      </c>
      <c r="H1486" s="4">
        <f>'Raw Data'!G1486</f>
        <v>5782.52</v>
      </c>
      <c r="I1486" s="4">
        <f t="shared" si="116"/>
        <v>3789.9799999999996</v>
      </c>
      <c r="J1486" s="8">
        <f t="shared" si="117"/>
        <v>0.39592373987986412</v>
      </c>
      <c r="K1486" s="6">
        <f>'Raw Data'!I1486</f>
        <v>4.0599999999999996</v>
      </c>
      <c r="L1486" s="5">
        <f>'Raw Data'!J1486</f>
        <v>31</v>
      </c>
      <c r="M1486" s="5">
        <f>IF(COUNTIFS($A$2:A1486,A1486,$D$2:D1486,D1486)=1,L1486,0)</f>
        <v>0</v>
      </c>
      <c r="N1486" s="4">
        <f t="shared" si="118"/>
        <v>308.79032258064518</v>
      </c>
      <c r="O1486" t="str">
        <f t="shared" si="119"/>
        <v>OK</v>
      </c>
    </row>
    <row r="1487" spans="1:15">
      <c r="A1487" t="str">
        <f>'Raw Data'!A1487</f>
        <v>Miami RM-21</v>
      </c>
      <c r="B1487" t="str">
        <f>'Raw Data'!B1487</f>
        <v>Southeast</v>
      </c>
      <c r="C1487" t="str">
        <f>'Raw Data'!C1487</f>
        <v>Beauty</v>
      </c>
      <c r="D1487" s="3">
        <f>'Raw Data'!D1487</f>
        <v>45870</v>
      </c>
      <c r="E1487" t="str">
        <f t="shared" si="115"/>
        <v>Aug</v>
      </c>
      <c r="F1487" s="5">
        <f>'Raw Data'!E1487</f>
        <v>138</v>
      </c>
      <c r="G1487" s="4">
        <f>'Raw Data'!F1487</f>
        <v>4990.49</v>
      </c>
      <c r="H1487" s="4">
        <f>'Raw Data'!G1487</f>
        <v>2559.85</v>
      </c>
      <c r="I1487" s="4">
        <f t="shared" si="116"/>
        <v>2430.64</v>
      </c>
      <c r="J1487" s="8">
        <f t="shared" si="117"/>
        <v>0.48705437742586399</v>
      </c>
      <c r="K1487" s="6">
        <f>'Raw Data'!I1487</f>
        <v>4.1500000000000004</v>
      </c>
      <c r="L1487" s="5">
        <f>'Raw Data'!J1487</f>
        <v>31</v>
      </c>
      <c r="M1487" s="5">
        <f>IF(COUNTIFS($A$2:A1487,A1487,$D$2:D1487,D1487)=1,L1487,0)</f>
        <v>0</v>
      </c>
      <c r="N1487" s="4">
        <f t="shared" si="118"/>
        <v>160.98354838709676</v>
      </c>
      <c r="O1487" t="str">
        <f t="shared" si="119"/>
        <v>OK</v>
      </c>
    </row>
    <row r="1488" spans="1:15">
      <c r="A1488" t="str">
        <f>'Raw Data'!A1488</f>
        <v>Miami RM-21</v>
      </c>
      <c r="B1488" t="str">
        <f>'Raw Data'!B1488</f>
        <v>Southeast</v>
      </c>
      <c r="C1488" t="str">
        <f>'Raw Data'!C1488</f>
        <v>Grocery</v>
      </c>
      <c r="D1488" s="3">
        <f>'Raw Data'!D1488</f>
        <v>45870</v>
      </c>
      <c r="E1488" t="str">
        <f t="shared" si="115"/>
        <v>Aug</v>
      </c>
      <c r="F1488" s="5">
        <f>'Raw Data'!E1488</f>
        <v>233</v>
      </c>
      <c r="G1488" s="4">
        <f>'Raw Data'!F1488</f>
        <v>4351</v>
      </c>
      <c r="H1488" s="4">
        <f>'Raw Data'!G1488</f>
        <v>4032.8</v>
      </c>
      <c r="I1488" s="4">
        <f t="shared" si="116"/>
        <v>318.19999999999982</v>
      </c>
      <c r="J1488" s="8">
        <f t="shared" si="117"/>
        <v>7.3132613192369522E-2</v>
      </c>
      <c r="K1488" s="6">
        <f>'Raw Data'!I1488</f>
        <v>4.2699999999999996</v>
      </c>
      <c r="L1488" s="5">
        <f>'Raw Data'!J1488</f>
        <v>31</v>
      </c>
      <c r="M1488" s="5">
        <f>IF(COUNTIFS($A$2:A1488,A1488,$D$2:D1488,D1488)=1,L1488,0)</f>
        <v>0</v>
      </c>
      <c r="N1488" s="4">
        <f t="shared" si="118"/>
        <v>140.35483870967741</v>
      </c>
      <c r="O1488" t="str">
        <f t="shared" si="119"/>
        <v>OK</v>
      </c>
    </row>
    <row r="1489" spans="1:15">
      <c r="A1489" t="str">
        <f>'Raw Data'!A1489</f>
        <v>Miami RM-21</v>
      </c>
      <c r="B1489" t="str">
        <f>'Raw Data'!B1489</f>
        <v>Southeast</v>
      </c>
      <c r="C1489" t="str">
        <f>'Raw Data'!C1489</f>
        <v>Sports</v>
      </c>
      <c r="D1489" s="3">
        <f>'Raw Data'!D1489</f>
        <v>45870</v>
      </c>
      <c r="E1489" t="str">
        <f t="shared" si="115"/>
        <v>Aug</v>
      </c>
      <c r="F1489" s="5">
        <f>'Raw Data'!E1489</f>
        <v>124</v>
      </c>
      <c r="G1489" s="4">
        <f>'Raw Data'!F1489</f>
        <v>7633.29</v>
      </c>
      <c r="H1489" s="4">
        <f>'Raw Data'!G1489</f>
        <v>5019.9799999999996</v>
      </c>
      <c r="I1489" s="4">
        <f t="shared" si="116"/>
        <v>2613.3100000000004</v>
      </c>
      <c r="J1489" s="8">
        <f t="shared" si="117"/>
        <v>0.34235696534521814</v>
      </c>
      <c r="K1489" s="6">
        <f>'Raw Data'!I1489</f>
        <v>4.1500000000000004</v>
      </c>
      <c r="L1489" s="5">
        <f>'Raw Data'!J1489</f>
        <v>31</v>
      </c>
      <c r="M1489" s="5">
        <f>IF(COUNTIFS($A$2:A1489,A1489,$D$2:D1489,D1489)=1,L1489,0)</f>
        <v>0</v>
      </c>
      <c r="N1489" s="4">
        <f t="shared" si="118"/>
        <v>246.23516129032257</v>
      </c>
      <c r="O1489" t="str">
        <f t="shared" si="119"/>
        <v>OK</v>
      </c>
    </row>
    <row r="1490" spans="1:15">
      <c r="A1490" t="str">
        <f>'Raw Data'!A1490</f>
        <v>Miami RM-21</v>
      </c>
      <c r="B1490" t="str">
        <f>'Raw Data'!B1490</f>
        <v>Southeast</v>
      </c>
      <c r="C1490" t="str">
        <f>'Raw Data'!C1490</f>
        <v>Electronics</v>
      </c>
      <c r="D1490" s="3">
        <f>'Raw Data'!D1490</f>
        <v>45901</v>
      </c>
      <c r="E1490" t="str">
        <f t="shared" si="115"/>
        <v>Sep</v>
      </c>
      <c r="F1490" s="5">
        <f>'Raw Data'!E1490</f>
        <v>148</v>
      </c>
      <c r="G1490" s="4">
        <f>'Raw Data'!F1490</f>
        <v>21181.78</v>
      </c>
      <c r="H1490" s="4">
        <f>'Raw Data'!G1490</f>
        <v>16905.87</v>
      </c>
      <c r="I1490" s="4">
        <f t="shared" si="116"/>
        <v>4275.91</v>
      </c>
      <c r="J1490" s="8">
        <f t="shared" si="117"/>
        <v>0.20186735958923188</v>
      </c>
      <c r="K1490" s="6">
        <f>'Raw Data'!I1490</f>
        <v>4.22</v>
      </c>
      <c r="L1490" s="5">
        <f>'Raw Data'!J1490</f>
        <v>30</v>
      </c>
      <c r="M1490" s="5">
        <f>IF(COUNTIFS($A$2:A1490,A1490,$D$2:D1490,D1490)=1,L1490,0)</f>
        <v>30</v>
      </c>
      <c r="N1490" s="4">
        <f t="shared" si="118"/>
        <v>706.05933333333326</v>
      </c>
      <c r="O1490" t="str">
        <f t="shared" si="119"/>
        <v>OK</v>
      </c>
    </row>
    <row r="1491" spans="1:15">
      <c r="A1491" t="str">
        <f>'Raw Data'!A1491</f>
        <v>Miami RM-21</v>
      </c>
      <c r="B1491" t="str">
        <f>'Raw Data'!B1491</f>
        <v>Southeast</v>
      </c>
      <c r="C1491" t="str">
        <f>'Raw Data'!C1491</f>
        <v>Home Goods</v>
      </c>
      <c r="D1491" s="3">
        <f>'Raw Data'!D1491</f>
        <v>45901</v>
      </c>
      <c r="E1491" t="str">
        <f t="shared" si="115"/>
        <v>Sep</v>
      </c>
      <c r="F1491" s="5">
        <f>'Raw Data'!E1491</f>
        <v>130</v>
      </c>
      <c r="G1491" s="4">
        <f>'Raw Data'!F1491</f>
        <v>9756.85</v>
      </c>
      <c r="H1491" s="4">
        <f>'Raw Data'!G1491</f>
        <v>6758.96</v>
      </c>
      <c r="I1491" s="4">
        <f t="shared" si="116"/>
        <v>2997.8900000000003</v>
      </c>
      <c r="J1491" s="8">
        <f t="shared" si="117"/>
        <v>0.30726002757037368</v>
      </c>
      <c r="K1491" s="6">
        <f>'Raw Data'!I1491</f>
        <v>4.08</v>
      </c>
      <c r="L1491" s="5">
        <f>'Raw Data'!J1491</f>
        <v>30</v>
      </c>
      <c r="M1491" s="5">
        <f>IF(COUNTIFS($A$2:A1491,A1491,$D$2:D1491,D1491)=1,L1491,0)</f>
        <v>0</v>
      </c>
      <c r="N1491" s="4">
        <f t="shared" si="118"/>
        <v>325.22833333333335</v>
      </c>
      <c r="O1491" t="str">
        <f t="shared" si="119"/>
        <v>OK</v>
      </c>
    </row>
    <row r="1492" spans="1:15">
      <c r="A1492" t="str">
        <f>'Raw Data'!A1492</f>
        <v>Miami RM-21</v>
      </c>
      <c r="B1492" t="str">
        <f>'Raw Data'!B1492</f>
        <v>Southeast</v>
      </c>
      <c r="C1492" t="str">
        <f>'Raw Data'!C1492</f>
        <v>Apparel</v>
      </c>
      <c r="D1492" s="3">
        <f>'Raw Data'!D1492</f>
        <v>45901</v>
      </c>
      <c r="E1492" t="str">
        <f t="shared" si="115"/>
        <v>Sep</v>
      </c>
      <c r="F1492" s="5">
        <f>'Raw Data'!E1492</f>
        <v>141</v>
      </c>
      <c r="G1492" s="4">
        <f>'Raw Data'!F1492</f>
        <v>7164.79</v>
      </c>
      <c r="H1492" s="4">
        <f>'Raw Data'!G1492</f>
        <v>4577.01</v>
      </c>
      <c r="I1492" s="4">
        <f t="shared" si="116"/>
        <v>2587.7799999999997</v>
      </c>
      <c r="J1492" s="8">
        <f t="shared" si="117"/>
        <v>0.36118016020008958</v>
      </c>
      <c r="K1492" s="6">
        <f>'Raw Data'!I1492</f>
        <v>4.25</v>
      </c>
      <c r="L1492" s="5">
        <f>'Raw Data'!J1492</f>
        <v>30</v>
      </c>
      <c r="M1492" s="5">
        <f>IF(COUNTIFS($A$2:A1492,A1492,$D$2:D1492,D1492)=1,L1492,0)</f>
        <v>0</v>
      </c>
      <c r="N1492" s="4">
        <f t="shared" si="118"/>
        <v>238.82633333333334</v>
      </c>
      <c r="O1492" t="str">
        <f t="shared" si="119"/>
        <v>OK</v>
      </c>
    </row>
    <row r="1493" spans="1:15">
      <c r="A1493" t="str">
        <f>'Raw Data'!A1493</f>
        <v>Miami RM-21</v>
      </c>
      <c r="B1493" t="str">
        <f>'Raw Data'!B1493</f>
        <v>Southeast</v>
      </c>
      <c r="C1493" t="str">
        <f>'Raw Data'!C1493</f>
        <v>Beauty</v>
      </c>
      <c r="D1493" s="3">
        <f>'Raw Data'!D1493</f>
        <v>45901</v>
      </c>
      <c r="E1493" t="str">
        <f t="shared" si="115"/>
        <v>Sep</v>
      </c>
      <c r="F1493" s="5">
        <f>'Raw Data'!E1493</f>
        <v>133</v>
      </c>
      <c r="G1493" s="4">
        <f>'Raw Data'!F1493</f>
        <v>4859.8999999999996</v>
      </c>
      <c r="H1493" s="4">
        <f>'Raw Data'!G1493</f>
        <v>2437.33</v>
      </c>
      <c r="I1493" s="4">
        <f t="shared" si="116"/>
        <v>2422.5699999999997</v>
      </c>
      <c r="J1493" s="8">
        <f t="shared" si="117"/>
        <v>0.49848145023560153</v>
      </c>
      <c r="K1493" s="6">
        <f>'Raw Data'!I1493</f>
        <v>3.96</v>
      </c>
      <c r="L1493" s="5">
        <f>'Raw Data'!J1493</f>
        <v>30</v>
      </c>
      <c r="M1493" s="5">
        <f>IF(COUNTIFS($A$2:A1493,A1493,$D$2:D1493,D1493)=1,L1493,0)</f>
        <v>0</v>
      </c>
      <c r="N1493" s="4">
        <f t="shared" si="118"/>
        <v>161.99666666666664</v>
      </c>
      <c r="O1493" t="str">
        <f t="shared" si="119"/>
        <v>OK</v>
      </c>
    </row>
    <row r="1494" spans="1:15">
      <c r="A1494" t="str">
        <f>'Raw Data'!A1494</f>
        <v>Miami RM-21</v>
      </c>
      <c r="B1494" t="str">
        <f>'Raw Data'!B1494</f>
        <v>Southeast</v>
      </c>
      <c r="C1494" t="str">
        <f>'Raw Data'!C1494</f>
        <v>Grocery</v>
      </c>
      <c r="D1494" s="3">
        <f>'Raw Data'!D1494</f>
        <v>45901</v>
      </c>
      <c r="E1494" t="str">
        <f t="shared" si="115"/>
        <v>Sep</v>
      </c>
      <c r="F1494" s="5">
        <f>'Raw Data'!E1494</f>
        <v>229</v>
      </c>
      <c r="G1494" s="4">
        <f>'Raw Data'!F1494</f>
        <v>4005.03</v>
      </c>
      <c r="H1494" s="4">
        <f>'Raw Data'!G1494</f>
        <v>3770.84</v>
      </c>
      <c r="I1494" s="4">
        <f t="shared" si="116"/>
        <v>234.19000000000005</v>
      </c>
      <c r="J1494" s="8">
        <f t="shared" si="117"/>
        <v>5.8473968984002631E-2</v>
      </c>
      <c r="K1494" s="6">
        <f>'Raw Data'!I1494</f>
        <v>3.95</v>
      </c>
      <c r="L1494" s="5">
        <f>'Raw Data'!J1494</f>
        <v>30</v>
      </c>
      <c r="M1494" s="5">
        <f>IF(COUNTIFS($A$2:A1494,A1494,$D$2:D1494,D1494)=1,L1494,0)</f>
        <v>0</v>
      </c>
      <c r="N1494" s="4">
        <f t="shared" si="118"/>
        <v>133.501</v>
      </c>
      <c r="O1494" t="str">
        <f t="shared" si="119"/>
        <v>OK</v>
      </c>
    </row>
    <row r="1495" spans="1:15">
      <c r="A1495" t="str">
        <f>'Raw Data'!A1495</f>
        <v>Miami RM-21</v>
      </c>
      <c r="B1495" t="str">
        <f>'Raw Data'!B1495</f>
        <v>Southeast</v>
      </c>
      <c r="C1495" t="str">
        <f>'Raw Data'!C1495</f>
        <v>Sports</v>
      </c>
      <c r="D1495" s="3">
        <f>'Raw Data'!D1495</f>
        <v>45901</v>
      </c>
      <c r="E1495" t="str">
        <f t="shared" si="115"/>
        <v>Sep</v>
      </c>
      <c r="F1495" s="5">
        <f>'Raw Data'!E1495</f>
        <v>96</v>
      </c>
      <c r="G1495" s="4">
        <f>'Raw Data'!F1495</f>
        <v>6298.32</v>
      </c>
      <c r="H1495" s="4">
        <f>'Raw Data'!G1495</f>
        <v>4104.9799999999996</v>
      </c>
      <c r="I1495" s="4">
        <f t="shared" si="116"/>
        <v>2193.34</v>
      </c>
      <c r="J1495" s="8">
        <f t="shared" si="117"/>
        <v>0.34824207090144677</v>
      </c>
      <c r="K1495" s="6">
        <f>'Raw Data'!I1495</f>
        <v>4.07</v>
      </c>
      <c r="L1495" s="5">
        <f>'Raw Data'!J1495</f>
        <v>30</v>
      </c>
      <c r="M1495" s="5">
        <f>IF(COUNTIFS($A$2:A1495,A1495,$D$2:D1495,D1495)=1,L1495,0)</f>
        <v>0</v>
      </c>
      <c r="N1495" s="4">
        <f t="shared" si="118"/>
        <v>209.94399999999999</v>
      </c>
      <c r="O1495" t="str">
        <f t="shared" si="119"/>
        <v>OK</v>
      </c>
    </row>
    <row r="1496" spans="1:15">
      <c r="A1496" t="str">
        <f>'Raw Data'!A1496</f>
        <v>Miami RM-21</v>
      </c>
      <c r="B1496" t="str">
        <f>'Raw Data'!B1496</f>
        <v>Southeast</v>
      </c>
      <c r="C1496" t="str">
        <f>'Raw Data'!C1496</f>
        <v>Electronics</v>
      </c>
      <c r="D1496" s="3">
        <f>'Raw Data'!D1496</f>
        <v>45931</v>
      </c>
      <c r="E1496" t="str">
        <f t="shared" si="115"/>
        <v>Oct</v>
      </c>
      <c r="F1496" s="5">
        <f>'Raw Data'!E1496</f>
        <v>130</v>
      </c>
      <c r="G1496" s="4">
        <f>'Raw Data'!F1496</f>
        <v>18846.13</v>
      </c>
      <c r="H1496" s="4">
        <f>'Raw Data'!G1496</f>
        <v>15013.48</v>
      </c>
      <c r="I1496" s="4">
        <f t="shared" si="116"/>
        <v>3832.6500000000015</v>
      </c>
      <c r="J1496" s="8">
        <f t="shared" si="117"/>
        <v>0.20336535936025069</v>
      </c>
      <c r="K1496" s="6">
        <f>'Raw Data'!I1496</f>
        <v>3.97</v>
      </c>
      <c r="L1496" s="5">
        <f>'Raw Data'!J1496</f>
        <v>28</v>
      </c>
      <c r="M1496" s="5">
        <f>IF(COUNTIFS($A$2:A1496,A1496,$D$2:D1496,D1496)=1,L1496,0)</f>
        <v>28</v>
      </c>
      <c r="N1496" s="4">
        <f t="shared" si="118"/>
        <v>673.07607142857148</v>
      </c>
      <c r="O1496" t="str">
        <f t="shared" si="119"/>
        <v>OK</v>
      </c>
    </row>
    <row r="1497" spans="1:15">
      <c r="A1497" t="str">
        <f>'Raw Data'!A1497</f>
        <v>Miami RM-21</v>
      </c>
      <c r="B1497" t="str">
        <f>'Raw Data'!B1497</f>
        <v>Southeast</v>
      </c>
      <c r="C1497" t="str">
        <f>'Raw Data'!C1497</f>
        <v>Home Goods</v>
      </c>
      <c r="D1497" s="3">
        <f>'Raw Data'!D1497</f>
        <v>45931</v>
      </c>
      <c r="E1497" t="str">
        <f t="shared" si="115"/>
        <v>Oct</v>
      </c>
      <c r="F1497" s="5">
        <f>'Raw Data'!E1497</f>
        <v>124</v>
      </c>
      <c r="G1497" s="4">
        <f>'Raw Data'!F1497</f>
        <v>9945.3700000000008</v>
      </c>
      <c r="H1497" s="4">
        <f>'Raw Data'!G1497</f>
        <v>6904.01</v>
      </c>
      <c r="I1497" s="4">
        <f t="shared" si="116"/>
        <v>3041.3600000000006</v>
      </c>
      <c r="J1497" s="8">
        <f t="shared" si="117"/>
        <v>0.3058066215736569</v>
      </c>
      <c r="K1497" s="6">
        <f>'Raw Data'!I1497</f>
        <v>4.05</v>
      </c>
      <c r="L1497" s="5">
        <f>'Raw Data'!J1497</f>
        <v>28</v>
      </c>
      <c r="M1497" s="5">
        <f>IF(COUNTIFS($A$2:A1497,A1497,$D$2:D1497,D1497)=1,L1497,0)</f>
        <v>0</v>
      </c>
      <c r="N1497" s="4">
        <f t="shared" si="118"/>
        <v>355.19178571428574</v>
      </c>
      <c r="O1497" t="str">
        <f t="shared" si="119"/>
        <v>OK</v>
      </c>
    </row>
    <row r="1498" spans="1:15">
      <c r="A1498" t="str">
        <f>'Raw Data'!A1498</f>
        <v>Miami RM-21</v>
      </c>
      <c r="B1498" t="str">
        <f>'Raw Data'!B1498</f>
        <v>Southeast</v>
      </c>
      <c r="C1498" t="str">
        <f>'Raw Data'!C1498</f>
        <v>Apparel</v>
      </c>
      <c r="D1498" s="3">
        <f>'Raw Data'!D1498</f>
        <v>45931</v>
      </c>
      <c r="E1498" t="str">
        <f t="shared" si="115"/>
        <v>Oct</v>
      </c>
      <c r="F1498" s="5">
        <f>'Raw Data'!E1498</f>
        <v>157</v>
      </c>
      <c r="G1498" s="4">
        <f>'Raw Data'!F1498</f>
        <v>7520.96</v>
      </c>
      <c r="H1498" s="4">
        <f>'Raw Data'!G1498</f>
        <v>4697.12</v>
      </c>
      <c r="I1498" s="4">
        <f t="shared" si="116"/>
        <v>2823.84</v>
      </c>
      <c r="J1498" s="8">
        <f t="shared" si="117"/>
        <v>0.37546270688848232</v>
      </c>
      <c r="K1498" s="6">
        <f>'Raw Data'!I1498</f>
        <v>4.13</v>
      </c>
      <c r="L1498" s="5">
        <f>'Raw Data'!J1498</f>
        <v>28</v>
      </c>
      <c r="M1498" s="5">
        <f>IF(COUNTIFS($A$2:A1498,A1498,$D$2:D1498,D1498)=1,L1498,0)</f>
        <v>0</v>
      </c>
      <c r="N1498" s="4">
        <f t="shared" si="118"/>
        <v>268.60571428571427</v>
      </c>
      <c r="O1498" t="str">
        <f t="shared" si="119"/>
        <v>OK</v>
      </c>
    </row>
    <row r="1499" spans="1:15">
      <c r="A1499" t="str">
        <f>'Raw Data'!A1499</f>
        <v>Miami RM-21</v>
      </c>
      <c r="B1499" t="str">
        <f>'Raw Data'!B1499</f>
        <v>Southeast</v>
      </c>
      <c r="C1499" t="str">
        <f>'Raw Data'!C1499</f>
        <v>Beauty</v>
      </c>
      <c r="D1499" s="3">
        <f>'Raw Data'!D1499</f>
        <v>45931</v>
      </c>
      <c r="E1499" t="str">
        <f t="shared" si="115"/>
        <v>Oct</v>
      </c>
      <c r="F1499" s="5">
        <f>'Raw Data'!E1499</f>
        <v>128</v>
      </c>
      <c r="G1499" s="4">
        <f>'Raw Data'!F1499</f>
        <v>4764.76</v>
      </c>
      <c r="H1499" s="4">
        <f>'Raw Data'!G1499</f>
        <v>2456.0700000000002</v>
      </c>
      <c r="I1499" s="4">
        <f t="shared" si="116"/>
        <v>2308.69</v>
      </c>
      <c r="J1499" s="8">
        <f t="shared" si="117"/>
        <v>0.48453437318983539</v>
      </c>
      <c r="K1499" s="6">
        <f>'Raw Data'!I1499</f>
        <v>4.26</v>
      </c>
      <c r="L1499" s="5">
        <f>'Raw Data'!J1499</f>
        <v>28</v>
      </c>
      <c r="M1499" s="5">
        <f>IF(COUNTIFS($A$2:A1499,A1499,$D$2:D1499,D1499)=1,L1499,0)</f>
        <v>0</v>
      </c>
      <c r="N1499" s="4">
        <f t="shared" si="118"/>
        <v>170.17000000000002</v>
      </c>
      <c r="O1499" t="str">
        <f t="shared" si="119"/>
        <v>OK</v>
      </c>
    </row>
    <row r="1500" spans="1:15">
      <c r="A1500" t="str">
        <f>'Raw Data'!A1500</f>
        <v>Miami RM-21</v>
      </c>
      <c r="B1500" t="str">
        <f>'Raw Data'!B1500</f>
        <v>Southeast</v>
      </c>
      <c r="C1500" t="str">
        <f>'Raw Data'!C1500</f>
        <v>Grocery</v>
      </c>
      <c r="D1500" s="3">
        <f>'Raw Data'!D1500</f>
        <v>45931</v>
      </c>
      <c r="E1500" t="str">
        <f t="shared" si="115"/>
        <v>Oct</v>
      </c>
      <c r="F1500" s="5">
        <f>'Raw Data'!E1500</f>
        <v>210</v>
      </c>
      <c r="G1500" s="4">
        <f>'Raw Data'!F1500</f>
        <v>3651.92</v>
      </c>
      <c r="H1500" s="4">
        <f>'Raw Data'!G1500</f>
        <v>3410.73</v>
      </c>
      <c r="I1500" s="4">
        <f t="shared" si="116"/>
        <v>241.19000000000005</v>
      </c>
      <c r="J1500" s="8">
        <f t="shared" si="117"/>
        <v>6.6044710727507741E-2</v>
      </c>
      <c r="K1500" s="6">
        <f>'Raw Data'!I1500</f>
        <v>4.1500000000000004</v>
      </c>
      <c r="L1500" s="5">
        <f>'Raw Data'!J1500</f>
        <v>28</v>
      </c>
      <c r="M1500" s="5">
        <f>IF(COUNTIFS($A$2:A1500,A1500,$D$2:D1500,D1500)=1,L1500,0)</f>
        <v>0</v>
      </c>
      <c r="N1500" s="4">
        <f t="shared" si="118"/>
        <v>130.42571428571429</v>
      </c>
      <c r="O1500" t="str">
        <f t="shared" si="119"/>
        <v>OK</v>
      </c>
    </row>
    <row r="1501" spans="1:15">
      <c r="A1501" t="str">
        <f>'Raw Data'!A1501</f>
        <v>Miami RM-21</v>
      </c>
      <c r="B1501" t="str">
        <f>'Raw Data'!B1501</f>
        <v>Southeast</v>
      </c>
      <c r="C1501" t="str">
        <f>'Raw Data'!C1501</f>
        <v>Sports</v>
      </c>
      <c r="D1501" s="3">
        <f>'Raw Data'!D1501</f>
        <v>45931</v>
      </c>
      <c r="E1501" t="str">
        <f t="shared" si="115"/>
        <v>Oct</v>
      </c>
      <c r="F1501" s="5">
        <f>'Raw Data'!E1501</f>
        <v>95</v>
      </c>
      <c r="G1501" s="4">
        <f>'Raw Data'!F1501</f>
        <v>6215.99</v>
      </c>
      <c r="H1501" s="4">
        <f>'Raw Data'!G1501</f>
        <v>4299.71</v>
      </c>
      <c r="I1501" s="4">
        <f t="shared" si="116"/>
        <v>1916.2799999999997</v>
      </c>
      <c r="J1501" s="8">
        <f t="shared" si="117"/>
        <v>0.30828234923157855</v>
      </c>
      <c r="K1501" s="6">
        <f>'Raw Data'!I1501</f>
        <v>4.04</v>
      </c>
      <c r="L1501" s="5">
        <f>'Raw Data'!J1501</f>
        <v>28</v>
      </c>
      <c r="M1501" s="5">
        <f>IF(COUNTIFS($A$2:A1501,A1501,$D$2:D1501,D1501)=1,L1501,0)</f>
        <v>0</v>
      </c>
      <c r="N1501" s="4">
        <f t="shared" si="118"/>
        <v>221.99964285714285</v>
      </c>
      <c r="O1501" t="str">
        <f t="shared" si="119"/>
        <v>OK</v>
      </c>
    </row>
    <row r="1502" spans="1:15">
      <c r="A1502" t="str">
        <f>'Raw Data'!A1502</f>
        <v>Miami RM-21</v>
      </c>
      <c r="B1502" t="str">
        <f>'Raw Data'!B1502</f>
        <v>Southeast</v>
      </c>
      <c r="C1502" t="str">
        <f>'Raw Data'!C1502</f>
        <v>Electronics</v>
      </c>
      <c r="D1502" s="3">
        <f>'Raw Data'!D1502</f>
        <v>45962</v>
      </c>
      <c r="E1502" t="str">
        <f t="shared" si="115"/>
        <v>Nov</v>
      </c>
      <c r="F1502" s="5">
        <f>'Raw Data'!E1502</f>
        <v>256</v>
      </c>
      <c r="G1502" s="4">
        <f>'Raw Data'!F1502</f>
        <v>35203.99</v>
      </c>
      <c r="H1502" s="4">
        <f>'Raw Data'!G1502</f>
        <v>28003.07</v>
      </c>
      <c r="I1502" s="4">
        <f t="shared" si="116"/>
        <v>7200.9199999999983</v>
      </c>
      <c r="J1502" s="8">
        <f t="shared" si="117"/>
        <v>0.20454840488251469</v>
      </c>
      <c r="K1502" s="6">
        <f>'Raw Data'!I1502</f>
        <v>4.1100000000000003</v>
      </c>
      <c r="L1502" s="5">
        <f>'Raw Data'!J1502</f>
        <v>32</v>
      </c>
      <c r="M1502" s="5">
        <f>IF(COUNTIFS($A$2:A1502,A1502,$D$2:D1502,D1502)=1,L1502,0)</f>
        <v>32</v>
      </c>
      <c r="N1502" s="4">
        <f t="shared" si="118"/>
        <v>1100.1246874999999</v>
      </c>
      <c r="O1502" t="str">
        <f t="shared" si="119"/>
        <v>OK</v>
      </c>
    </row>
    <row r="1503" spans="1:15">
      <c r="A1503" t="str">
        <f>'Raw Data'!A1503</f>
        <v>Miami RM-21</v>
      </c>
      <c r="B1503" t="str">
        <f>'Raw Data'!B1503</f>
        <v>Southeast</v>
      </c>
      <c r="C1503" t="str">
        <f>'Raw Data'!C1503</f>
        <v>Home Goods</v>
      </c>
      <c r="D1503" s="3">
        <f>'Raw Data'!D1503</f>
        <v>45962</v>
      </c>
      <c r="E1503" t="str">
        <f t="shared" si="115"/>
        <v>Nov</v>
      </c>
      <c r="F1503" s="5">
        <f>'Raw Data'!E1503</f>
        <v>147</v>
      </c>
      <c r="G1503" s="4">
        <f>'Raw Data'!F1503</f>
        <v>10877.64</v>
      </c>
      <c r="H1503" s="4">
        <f>'Raw Data'!G1503</f>
        <v>7726.94</v>
      </c>
      <c r="I1503" s="4">
        <f t="shared" si="116"/>
        <v>3150.7</v>
      </c>
      <c r="J1503" s="8">
        <f t="shared" si="117"/>
        <v>0.28964922538344712</v>
      </c>
      <c r="K1503" s="6">
        <f>'Raw Data'!I1503</f>
        <v>4.22</v>
      </c>
      <c r="L1503" s="5">
        <f>'Raw Data'!J1503</f>
        <v>32</v>
      </c>
      <c r="M1503" s="5">
        <f>IF(COUNTIFS($A$2:A1503,A1503,$D$2:D1503,D1503)=1,L1503,0)</f>
        <v>0</v>
      </c>
      <c r="N1503" s="4">
        <f t="shared" si="118"/>
        <v>339.92624999999998</v>
      </c>
      <c r="O1503" t="str">
        <f t="shared" si="119"/>
        <v>OK</v>
      </c>
    </row>
    <row r="1504" spans="1:15">
      <c r="A1504" t="str">
        <f>'Raw Data'!A1504</f>
        <v>Miami RM-21</v>
      </c>
      <c r="B1504" t="str">
        <f>'Raw Data'!B1504</f>
        <v>Southeast</v>
      </c>
      <c r="C1504" t="str">
        <f>'Raw Data'!C1504</f>
        <v>Apparel</v>
      </c>
      <c r="D1504" s="3">
        <f>'Raw Data'!D1504</f>
        <v>45962</v>
      </c>
      <c r="E1504" t="str">
        <f t="shared" si="115"/>
        <v>Nov</v>
      </c>
      <c r="F1504" s="5">
        <f>'Raw Data'!E1504</f>
        <v>240</v>
      </c>
      <c r="G1504" s="4">
        <f>'Raw Data'!F1504</f>
        <v>12216.11</v>
      </c>
      <c r="H1504" s="4">
        <f>'Raw Data'!G1504</f>
        <v>8011.17</v>
      </c>
      <c r="I1504" s="4">
        <f t="shared" si="116"/>
        <v>4204.9400000000005</v>
      </c>
      <c r="J1504" s="8">
        <f t="shared" si="117"/>
        <v>0.34421268308815167</v>
      </c>
      <c r="K1504" s="6">
        <f>'Raw Data'!I1504</f>
        <v>4.17</v>
      </c>
      <c r="L1504" s="5">
        <f>'Raw Data'!J1504</f>
        <v>32</v>
      </c>
      <c r="M1504" s="5">
        <f>IF(COUNTIFS($A$2:A1504,A1504,$D$2:D1504,D1504)=1,L1504,0)</f>
        <v>0</v>
      </c>
      <c r="N1504" s="4">
        <f t="shared" si="118"/>
        <v>381.75343750000002</v>
      </c>
      <c r="O1504" t="str">
        <f t="shared" si="119"/>
        <v>OK</v>
      </c>
    </row>
    <row r="1505" spans="1:15">
      <c r="A1505" t="str">
        <f>'Raw Data'!A1505</f>
        <v>Miami RM-21</v>
      </c>
      <c r="B1505" t="str">
        <f>'Raw Data'!B1505</f>
        <v>Southeast</v>
      </c>
      <c r="C1505" t="str">
        <f>'Raw Data'!C1505</f>
        <v>Beauty</v>
      </c>
      <c r="D1505" s="3">
        <f>'Raw Data'!D1505</f>
        <v>45962</v>
      </c>
      <c r="E1505" t="str">
        <f t="shared" si="115"/>
        <v>Nov</v>
      </c>
      <c r="F1505" s="5">
        <f>'Raw Data'!E1505</f>
        <v>152</v>
      </c>
      <c r="G1505" s="4">
        <f>'Raw Data'!F1505</f>
        <v>5791.76</v>
      </c>
      <c r="H1505" s="4">
        <f>'Raw Data'!G1505</f>
        <v>2969.6</v>
      </c>
      <c r="I1505" s="4">
        <f t="shared" si="116"/>
        <v>2822.1600000000003</v>
      </c>
      <c r="J1505" s="8">
        <f t="shared" si="117"/>
        <v>0.48727157202646521</v>
      </c>
      <c r="K1505" s="6">
        <f>'Raw Data'!I1505</f>
        <v>4.05</v>
      </c>
      <c r="L1505" s="5">
        <f>'Raw Data'!J1505</f>
        <v>32</v>
      </c>
      <c r="M1505" s="5">
        <f>IF(COUNTIFS($A$2:A1505,A1505,$D$2:D1505,D1505)=1,L1505,0)</f>
        <v>0</v>
      </c>
      <c r="N1505" s="4">
        <f t="shared" si="118"/>
        <v>180.99250000000001</v>
      </c>
      <c r="O1505" t="str">
        <f t="shared" si="119"/>
        <v>OK</v>
      </c>
    </row>
    <row r="1506" spans="1:15">
      <c r="A1506" t="str">
        <f>'Raw Data'!A1506</f>
        <v>Miami RM-21</v>
      </c>
      <c r="B1506" t="str">
        <f>'Raw Data'!B1506</f>
        <v>Southeast</v>
      </c>
      <c r="C1506" t="str">
        <f>'Raw Data'!C1506</f>
        <v>Grocery</v>
      </c>
      <c r="D1506" s="3">
        <f>'Raw Data'!D1506</f>
        <v>45962</v>
      </c>
      <c r="E1506" t="str">
        <f t="shared" si="115"/>
        <v>Nov</v>
      </c>
      <c r="F1506" s="5">
        <f>'Raw Data'!E1506</f>
        <v>296</v>
      </c>
      <c r="G1506" s="4">
        <f>'Raw Data'!F1506</f>
        <v>5184.45</v>
      </c>
      <c r="H1506" s="4">
        <f>'Raw Data'!G1506</f>
        <v>4796.92</v>
      </c>
      <c r="I1506" s="4">
        <f t="shared" si="116"/>
        <v>387.52999999999975</v>
      </c>
      <c r="J1506" s="8">
        <f t="shared" si="117"/>
        <v>7.4748526844699001E-2</v>
      </c>
      <c r="K1506" s="6">
        <f>'Raw Data'!I1506</f>
        <v>3.97</v>
      </c>
      <c r="L1506" s="5">
        <f>'Raw Data'!J1506</f>
        <v>32</v>
      </c>
      <c r="M1506" s="5">
        <f>IF(COUNTIFS($A$2:A1506,A1506,$D$2:D1506,D1506)=1,L1506,0)</f>
        <v>0</v>
      </c>
      <c r="N1506" s="4">
        <f t="shared" si="118"/>
        <v>162.01406249999999</v>
      </c>
      <c r="O1506" t="str">
        <f t="shared" si="119"/>
        <v>OK</v>
      </c>
    </row>
    <row r="1507" spans="1:15">
      <c r="A1507" t="str">
        <f>'Raw Data'!A1507</f>
        <v>Miami RM-21</v>
      </c>
      <c r="B1507" t="str">
        <f>'Raw Data'!B1507</f>
        <v>Southeast</v>
      </c>
      <c r="C1507" t="str">
        <f>'Raw Data'!C1507</f>
        <v>Sports</v>
      </c>
      <c r="D1507" s="3">
        <f>'Raw Data'!D1507</f>
        <v>45962</v>
      </c>
      <c r="E1507" t="str">
        <f t="shared" si="115"/>
        <v>Nov</v>
      </c>
      <c r="F1507" s="5">
        <f>'Raw Data'!E1507</f>
        <v>134</v>
      </c>
      <c r="G1507" s="4">
        <f>'Raw Data'!F1507</f>
        <v>7841.74</v>
      </c>
      <c r="H1507" s="4">
        <f>'Raw Data'!G1507</f>
        <v>5427.42</v>
      </c>
      <c r="I1507" s="4">
        <f t="shared" si="116"/>
        <v>2414.3199999999997</v>
      </c>
      <c r="J1507" s="8">
        <f t="shared" si="117"/>
        <v>0.30788064893760819</v>
      </c>
      <c r="K1507" s="6">
        <f>'Raw Data'!I1507</f>
        <v>4.0599999999999996</v>
      </c>
      <c r="L1507" s="5">
        <f>'Raw Data'!J1507</f>
        <v>32</v>
      </c>
      <c r="M1507" s="5">
        <f>IF(COUNTIFS($A$2:A1507,A1507,$D$2:D1507,D1507)=1,L1507,0)</f>
        <v>0</v>
      </c>
      <c r="N1507" s="4">
        <f t="shared" si="118"/>
        <v>245.05437499999999</v>
      </c>
      <c r="O1507" t="str">
        <f t="shared" si="119"/>
        <v>OK</v>
      </c>
    </row>
    <row r="1508" spans="1:15">
      <c r="A1508" t="str">
        <f>'Raw Data'!A1508</f>
        <v>Miami RM-21</v>
      </c>
      <c r="B1508" t="str">
        <f>'Raw Data'!B1508</f>
        <v>Southeast</v>
      </c>
      <c r="C1508" t="str">
        <f>'Raw Data'!C1508</f>
        <v>Electronics</v>
      </c>
      <c r="D1508" s="3">
        <f>'Raw Data'!D1508</f>
        <v>45992</v>
      </c>
      <c r="E1508" t="str">
        <f t="shared" si="115"/>
        <v>Dec</v>
      </c>
      <c r="F1508" s="5">
        <f>'Raw Data'!E1508</f>
        <v>238</v>
      </c>
      <c r="G1508" s="4">
        <f>'Raw Data'!F1508</f>
        <v>35564.94</v>
      </c>
      <c r="H1508" s="4">
        <f>'Raw Data'!G1508</f>
        <v>28906.33</v>
      </c>
      <c r="I1508" s="4">
        <f t="shared" si="116"/>
        <v>6658.6100000000006</v>
      </c>
      <c r="J1508" s="8">
        <f t="shared" si="117"/>
        <v>0.18722399081792349</v>
      </c>
      <c r="K1508" s="6">
        <f>'Raw Data'!I1508</f>
        <v>4</v>
      </c>
      <c r="L1508" s="5">
        <f>'Raw Data'!J1508</f>
        <v>32</v>
      </c>
      <c r="M1508" s="5">
        <f>IF(COUNTIFS($A$2:A1508,A1508,$D$2:D1508,D1508)=1,L1508,0)</f>
        <v>32</v>
      </c>
      <c r="N1508" s="4">
        <f t="shared" si="118"/>
        <v>1111.4043750000001</v>
      </c>
      <c r="O1508" t="str">
        <f t="shared" si="119"/>
        <v>OK</v>
      </c>
    </row>
    <row r="1509" spans="1:15">
      <c r="A1509" t="str">
        <f>'Raw Data'!A1509</f>
        <v>Miami RM-21</v>
      </c>
      <c r="B1509" t="str">
        <f>'Raw Data'!B1509</f>
        <v>Southeast</v>
      </c>
      <c r="C1509" t="str">
        <f>'Raw Data'!C1509</f>
        <v>Home Goods</v>
      </c>
      <c r="D1509" s="3">
        <f>'Raw Data'!D1509</f>
        <v>45992</v>
      </c>
      <c r="E1509" t="str">
        <f t="shared" si="115"/>
        <v>Dec</v>
      </c>
      <c r="F1509" s="5">
        <f>'Raw Data'!E1509</f>
        <v>167</v>
      </c>
      <c r="G1509" s="4">
        <f>'Raw Data'!F1509</f>
        <v>12172.9</v>
      </c>
      <c r="H1509" s="4">
        <f>'Raw Data'!G1509</f>
        <v>8709.42</v>
      </c>
      <c r="I1509" s="4">
        <f t="shared" si="116"/>
        <v>3463.4799999999996</v>
      </c>
      <c r="J1509" s="8">
        <f t="shared" si="117"/>
        <v>0.28452381930353488</v>
      </c>
      <c r="K1509" s="6">
        <f>'Raw Data'!I1509</f>
        <v>4.2300000000000004</v>
      </c>
      <c r="L1509" s="5">
        <f>'Raw Data'!J1509</f>
        <v>32</v>
      </c>
      <c r="M1509" s="5">
        <f>IF(COUNTIFS($A$2:A1509,A1509,$D$2:D1509,D1509)=1,L1509,0)</f>
        <v>0</v>
      </c>
      <c r="N1509" s="4">
        <f t="shared" si="118"/>
        <v>380.40312499999999</v>
      </c>
      <c r="O1509" t="str">
        <f t="shared" si="119"/>
        <v>OK</v>
      </c>
    </row>
    <row r="1510" spans="1:15">
      <c r="A1510" t="str">
        <f>'Raw Data'!A1510</f>
        <v>Miami RM-21</v>
      </c>
      <c r="B1510" t="str">
        <f>'Raw Data'!B1510</f>
        <v>Southeast</v>
      </c>
      <c r="C1510" t="str">
        <f>'Raw Data'!C1510</f>
        <v>Apparel</v>
      </c>
      <c r="D1510" s="3">
        <f>'Raw Data'!D1510</f>
        <v>45992</v>
      </c>
      <c r="E1510" t="str">
        <f t="shared" si="115"/>
        <v>Dec</v>
      </c>
      <c r="F1510" s="5">
        <f>'Raw Data'!E1510</f>
        <v>250</v>
      </c>
      <c r="G1510" s="4">
        <f>'Raw Data'!F1510</f>
        <v>12712.24</v>
      </c>
      <c r="H1510" s="4">
        <f>'Raw Data'!G1510</f>
        <v>8701.94</v>
      </c>
      <c r="I1510" s="4">
        <f t="shared" si="116"/>
        <v>4010.2999999999993</v>
      </c>
      <c r="J1510" s="8">
        <f t="shared" si="117"/>
        <v>0.31546761231694803</v>
      </c>
      <c r="K1510" s="6">
        <f>'Raw Data'!I1510</f>
        <v>4.12</v>
      </c>
      <c r="L1510" s="5">
        <f>'Raw Data'!J1510</f>
        <v>32</v>
      </c>
      <c r="M1510" s="5">
        <f>IF(COUNTIFS($A$2:A1510,A1510,$D$2:D1510,D1510)=1,L1510,0)</f>
        <v>0</v>
      </c>
      <c r="N1510" s="4">
        <f t="shared" si="118"/>
        <v>397.25749999999999</v>
      </c>
      <c r="O1510" t="str">
        <f t="shared" si="119"/>
        <v>OK</v>
      </c>
    </row>
    <row r="1511" spans="1:15">
      <c r="A1511" t="str">
        <f>'Raw Data'!A1511</f>
        <v>Miami RM-21</v>
      </c>
      <c r="B1511" t="str">
        <f>'Raw Data'!B1511</f>
        <v>Southeast</v>
      </c>
      <c r="C1511" t="str">
        <f>'Raw Data'!C1511</f>
        <v>Beauty</v>
      </c>
      <c r="D1511" s="3">
        <f>'Raw Data'!D1511</f>
        <v>45992</v>
      </c>
      <c r="E1511" t="str">
        <f t="shared" si="115"/>
        <v>Dec</v>
      </c>
      <c r="F1511" s="5">
        <f>'Raw Data'!E1511</f>
        <v>174</v>
      </c>
      <c r="G1511" s="4">
        <f>'Raw Data'!F1511</f>
        <v>5905.62</v>
      </c>
      <c r="H1511" s="4">
        <f>'Raw Data'!G1511</f>
        <v>3294.04</v>
      </c>
      <c r="I1511" s="4">
        <f t="shared" si="116"/>
        <v>2611.58</v>
      </c>
      <c r="J1511" s="8">
        <f t="shared" si="117"/>
        <v>0.44221944520643047</v>
      </c>
      <c r="K1511" s="6">
        <f>'Raw Data'!I1511</f>
        <v>3.97</v>
      </c>
      <c r="L1511" s="5">
        <f>'Raw Data'!J1511</f>
        <v>32</v>
      </c>
      <c r="M1511" s="5">
        <f>IF(COUNTIFS($A$2:A1511,A1511,$D$2:D1511,D1511)=1,L1511,0)</f>
        <v>0</v>
      </c>
      <c r="N1511" s="4">
        <f t="shared" si="118"/>
        <v>184.550625</v>
      </c>
      <c r="O1511" t="str">
        <f t="shared" si="119"/>
        <v>OK</v>
      </c>
    </row>
    <row r="1512" spans="1:15">
      <c r="A1512" t="str">
        <f>'Raw Data'!A1512</f>
        <v>Miami RM-21</v>
      </c>
      <c r="B1512" t="str">
        <f>'Raw Data'!B1512</f>
        <v>Southeast</v>
      </c>
      <c r="C1512" t="str">
        <f>'Raw Data'!C1512</f>
        <v>Grocery</v>
      </c>
      <c r="D1512" s="3">
        <f>'Raw Data'!D1512</f>
        <v>45992</v>
      </c>
      <c r="E1512" t="str">
        <f t="shared" si="115"/>
        <v>Dec</v>
      </c>
      <c r="F1512" s="5">
        <f>'Raw Data'!E1512</f>
        <v>274</v>
      </c>
      <c r="G1512" s="4">
        <f>'Raw Data'!F1512</f>
        <v>5257.91</v>
      </c>
      <c r="H1512" s="4">
        <f>'Raw Data'!G1512</f>
        <v>5019.43</v>
      </c>
      <c r="I1512" s="4">
        <f t="shared" si="116"/>
        <v>238.47999999999956</v>
      </c>
      <c r="J1512" s="8">
        <f t="shared" si="117"/>
        <v>4.535642489125899E-2</v>
      </c>
      <c r="K1512" s="6">
        <f>'Raw Data'!I1512</f>
        <v>4.05</v>
      </c>
      <c r="L1512" s="5">
        <f>'Raw Data'!J1512</f>
        <v>32</v>
      </c>
      <c r="M1512" s="5">
        <f>IF(COUNTIFS($A$2:A1512,A1512,$D$2:D1512,D1512)=1,L1512,0)</f>
        <v>0</v>
      </c>
      <c r="N1512" s="4">
        <f t="shared" si="118"/>
        <v>164.3096875</v>
      </c>
      <c r="O1512" t="str">
        <f t="shared" si="119"/>
        <v>OK</v>
      </c>
    </row>
    <row r="1513" spans="1:15">
      <c r="A1513" t="str">
        <f>'Raw Data'!A1513</f>
        <v>Miami RM-21</v>
      </c>
      <c r="B1513" t="str">
        <f>'Raw Data'!B1513</f>
        <v>Southeast</v>
      </c>
      <c r="C1513" t="str">
        <f>'Raw Data'!C1513</f>
        <v>Sports</v>
      </c>
      <c r="D1513" s="3">
        <f>'Raw Data'!D1513</f>
        <v>45992</v>
      </c>
      <c r="E1513" t="str">
        <f t="shared" si="115"/>
        <v>Dec</v>
      </c>
      <c r="F1513" s="5">
        <f>'Raw Data'!E1513</f>
        <v>124</v>
      </c>
      <c r="G1513" s="4">
        <f>'Raw Data'!F1513</f>
        <v>7934.33</v>
      </c>
      <c r="H1513" s="4">
        <f>'Raw Data'!G1513</f>
        <v>5463.94</v>
      </c>
      <c r="I1513" s="4">
        <f t="shared" si="116"/>
        <v>2470.3900000000003</v>
      </c>
      <c r="J1513" s="8">
        <f t="shared" si="117"/>
        <v>0.31135458192437171</v>
      </c>
      <c r="K1513" s="6">
        <f>'Raw Data'!I1513</f>
        <v>4.28</v>
      </c>
      <c r="L1513" s="5">
        <f>'Raw Data'!J1513</f>
        <v>32</v>
      </c>
      <c r="M1513" s="5">
        <f>IF(COUNTIFS($A$2:A1513,A1513,$D$2:D1513,D1513)=1,L1513,0)</f>
        <v>0</v>
      </c>
      <c r="N1513" s="4">
        <f t="shared" si="118"/>
        <v>247.9478125</v>
      </c>
      <c r="O1513" t="str">
        <f t="shared" si="119"/>
        <v>OK</v>
      </c>
    </row>
    <row r="1514" spans="1:15">
      <c r="A1514" t="str">
        <f>'Raw Data'!A1514</f>
        <v>Orlando RM-22</v>
      </c>
      <c r="B1514" t="str">
        <f>'Raw Data'!B1514</f>
        <v>Southeast</v>
      </c>
      <c r="C1514" t="str">
        <f>'Raw Data'!C1514</f>
        <v>Electronics</v>
      </c>
      <c r="D1514" s="3">
        <f>'Raw Data'!D1514</f>
        <v>45658</v>
      </c>
      <c r="E1514" t="str">
        <f t="shared" si="115"/>
        <v>Jan</v>
      </c>
      <c r="F1514" s="5">
        <f>'Raw Data'!E1514</f>
        <v>100</v>
      </c>
      <c r="G1514" s="4">
        <f>'Raw Data'!F1514</f>
        <v>14645.5</v>
      </c>
      <c r="H1514" s="4">
        <f>'Raw Data'!G1514</f>
        <v>10734.11</v>
      </c>
      <c r="I1514" s="4">
        <f t="shared" si="116"/>
        <v>3911.3899999999994</v>
      </c>
      <c r="J1514" s="8">
        <f t="shared" si="117"/>
        <v>0.26707111399405958</v>
      </c>
      <c r="K1514" s="6">
        <f>'Raw Data'!I1514</f>
        <v>4.0599999999999996</v>
      </c>
      <c r="L1514" s="5">
        <f>'Raw Data'!J1514</f>
        <v>25</v>
      </c>
      <c r="M1514" s="5">
        <f>IF(COUNTIFS($A$2:A1514,A1514,$D$2:D1514,D1514)=1,L1514,0)</f>
        <v>25</v>
      </c>
      <c r="N1514" s="4">
        <f t="shared" si="118"/>
        <v>585.82000000000005</v>
      </c>
      <c r="O1514" t="str">
        <f t="shared" si="119"/>
        <v>OK</v>
      </c>
    </row>
    <row r="1515" spans="1:15">
      <c r="A1515" t="str">
        <f>'Raw Data'!A1515</f>
        <v>Orlando RM-22</v>
      </c>
      <c r="B1515" t="str">
        <f>'Raw Data'!B1515</f>
        <v>Southeast</v>
      </c>
      <c r="C1515" t="str">
        <f>'Raw Data'!C1515</f>
        <v>Home Goods</v>
      </c>
      <c r="D1515" s="3">
        <f>'Raw Data'!D1515</f>
        <v>45658</v>
      </c>
      <c r="E1515" t="str">
        <f t="shared" si="115"/>
        <v>Jan</v>
      </c>
      <c r="F1515" s="5">
        <f>'Raw Data'!E1515</f>
        <v>100</v>
      </c>
      <c r="G1515" s="4">
        <f>'Raw Data'!F1515</f>
        <v>7761.57</v>
      </c>
      <c r="H1515" s="4">
        <f>'Raw Data'!G1515</f>
        <v>5049.3999999999996</v>
      </c>
      <c r="I1515" s="4">
        <f t="shared" si="116"/>
        <v>2712.17</v>
      </c>
      <c r="J1515" s="8">
        <f t="shared" si="117"/>
        <v>0.34943574560301593</v>
      </c>
      <c r="K1515" s="6">
        <f>'Raw Data'!I1515</f>
        <v>4.01</v>
      </c>
      <c r="L1515" s="5">
        <f>'Raw Data'!J1515</f>
        <v>25</v>
      </c>
      <c r="M1515" s="5">
        <f>IF(COUNTIFS($A$2:A1515,A1515,$D$2:D1515,D1515)=1,L1515,0)</f>
        <v>0</v>
      </c>
      <c r="N1515" s="4">
        <f t="shared" si="118"/>
        <v>310.46280000000002</v>
      </c>
      <c r="O1515" t="str">
        <f t="shared" si="119"/>
        <v>OK</v>
      </c>
    </row>
    <row r="1516" spans="1:15">
      <c r="A1516" t="str">
        <f>'Raw Data'!A1516</f>
        <v>Orlando RM-22</v>
      </c>
      <c r="B1516" t="str">
        <f>'Raw Data'!B1516</f>
        <v>Southeast</v>
      </c>
      <c r="C1516" t="str">
        <f>'Raw Data'!C1516</f>
        <v>Apparel</v>
      </c>
      <c r="D1516" s="3">
        <f>'Raw Data'!D1516</f>
        <v>45658</v>
      </c>
      <c r="E1516" t="str">
        <f t="shared" si="115"/>
        <v>Jan</v>
      </c>
      <c r="F1516" s="5">
        <f>'Raw Data'!E1516</f>
        <v>109</v>
      </c>
      <c r="G1516" s="4">
        <f>'Raw Data'!F1516</f>
        <v>5357.44</v>
      </c>
      <c r="H1516" s="4">
        <f>'Raw Data'!G1516</f>
        <v>3158.25</v>
      </c>
      <c r="I1516" s="4">
        <f t="shared" si="116"/>
        <v>2199.1899999999996</v>
      </c>
      <c r="J1516" s="8">
        <f t="shared" si="117"/>
        <v>0.41049269800501725</v>
      </c>
      <c r="K1516" s="6">
        <f>'Raw Data'!I1516</f>
        <v>3.94</v>
      </c>
      <c r="L1516" s="5">
        <f>'Raw Data'!J1516</f>
        <v>25</v>
      </c>
      <c r="M1516" s="5">
        <f>IF(COUNTIFS($A$2:A1516,A1516,$D$2:D1516,D1516)=1,L1516,0)</f>
        <v>0</v>
      </c>
      <c r="N1516" s="4">
        <f t="shared" si="118"/>
        <v>214.29759999999999</v>
      </c>
      <c r="O1516" t="str">
        <f t="shared" si="119"/>
        <v>OK</v>
      </c>
    </row>
    <row r="1517" spans="1:15">
      <c r="A1517" t="str">
        <f>'Raw Data'!A1517</f>
        <v>Orlando RM-22</v>
      </c>
      <c r="B1517" t="str">
        <f>'Raw Data'!B1517</f>
        <v>Southeast</v>
      </c>
      <c r="C1517" t="str">
        <f>'Raw Data'!C1517</f>
        <v>Beauty</v>
      </c>
      <c r="D1517" s="3">
        <f>'Raw Data'!D1517</f>
        <v>45658</v>
      </c>
      <c r="E1517" t="str">
        <f t="shared" si="115"/>
        <v>Jan</v>
      </c>
      <c r="F1517" s="5">
        <f>'Raw Data'!E1517</f>
        <v>95</v>
      </c>
      <c r="G1517" s="4">
        <f>'Raw Data'!F1517</f>
        <v>3613.32</v>
      </c>
      <c r="H1517" s="4">
        <f>'Raw Data'!G1517</f>
        <v>1685.79</v>
      </c>
      <c r="I1517" s="4">
        <f t="shared" si="116"/>
        <v>1927.5300000000002</v>
      </c>
      <c r="J1517" s="8">
        <f t="shared" si="117"/>
        <v>0.53345123044734488</v>
      </c>
      <c r="K1517" s="6">
        <f>'Raw Data'!I1517</f>
        <v>4.1100000000000003</v>
      </c>
      <c r="L1517" s="5">
        <f>'Raw Data'!J1517</f>
        <v>25</v>
      </c>
      <c r="M1517" s="5">
        <f>IF(COUNTIFS($A$2:A1517,A1517,$D$2:D1517,D1517)=1,L1517,0)</f>
        <v>0</v>
      </c>
      <c r="N1517" s="4">
        <f t="shared" si="118"/>
        <v>144.53280000000001</v>
      </c>
      <c r="O1517" t="str">
        <f t="shared" si="119"/>
        <v>OK</v>
      </c>
    </row>
    <row r="1518" spans="1:15">
      <c r="A1518" t="str">
        <f>'Raw Data'!A1518</f>
        <v>Orlando RM-22</v>
      </c>
      <c r="B1518" t="str">
        <f>'Raw Data'!B1518</f>
        <v>Southeast</v>
      </c>
      <c r="C1518" t="str">
        <f>'Raw Data'!C1518</f>
        <v>Grocery</v>
      </c>
      <c r="D1518" s="3">
        <f>'Raw Data'!D1518</f>
        <v>45658</v>
      </c>
      <c r="E1518" t="str">
        <f t="shared" si="115"/>
        <v>Jan</v>
      </c>
      <c r="F1518" s="5">
        <f>'Raw Data'!E1518</f>
        <v>155</v>
      </c>
      <c r="G1518" s="4">
        <f>'Raw Data'!F1518</f>
        <v>2707.75</v>
      </c>
      <c r="H1518" s="4">
        <f>'Raw Data'!G1518</f>
        <v>2326.61</v>
      </c>
      <c r="I1518" s="4">
        <f t="shared" si="116"/>
        <v>381.13999999999987</v>
      </c>
      <c r="J1518" s="8">
        <f t="shared" si="117"/>
        <v>0.14075893269319542</v>
      </c>
      <c r="K1518" s="6">
        <f>'Raw Data'!I1518</f>
        <v>3.87</v>
      </c>
      <c r="L1518" s="5">
        <f>'Raw Data'!J1518</f>
        <v>25</v>
      </c>
      <c r="M1518" s="5">
        <f>IF(COUNTIFS($A$2:A1518,A1518,$D$2:D1518,D1518)=1,L1518,0)</f>
        <v>0</v>
      </c>
      <c r="N1518" s="4">
        <f t="shared" si="118"/>
        <v>108.31</v>
      </c>
      <c r="O1518" t="str">
        <f t="shared" si="119"/>
        <v>OK</v>
      </c>
    </row>
    <row r="1519" spans="1:15">
      <c r="A1519" t="str">
        <f>'Raw Data'!A1519</f>
        <v>Orlando RM-22</v>
      </c>
      <c r="B1519" t="str">
        <f>'Raw Data'!B1519</f>
        <v>Southeast</v>
      </c>
      <c r="C1519" t="str">
        <f>'Raw Data'!C1519</f>
        <v>Sports</v>
      </c>
      <c r="D1519" s="3">
        <f>'Raw Data'!D1519</f>
        <v>45658</v>
      </c>
      <c r="E1519" t="str">
        <f t="shared" si="115"/>
        <v>Jan</v>
      </c>
      <c r="F1519" s="5">
        <f>'Raw Data'!E1519</f>
        <v>56</v>
      </c>
      <c r="G1519" s="4">
        <f>'Raw Data'!F1519</f>
        <v>3397.13</v>
      </c>
      <c r="H1519" s="4">
        <f>'Raw Data'!G1519</f>
        <v>2094.64</v>
      </c>
      <c r="I1519" s="4">
        <f t="shared" si="116"/>
        <v>1302.4900000000002</v>
      </c>
      <c r="J1519" s="8">
        <f t="shared" si="117"/>
        <v>0.38340893636687445</v>
      </c>
      <c r="K1519" s="6">
        <f>'Raw Data'!I1519</f>
        <v>4.13</v>
      </c>
      <c r="L1519" s="5">
        <f>'Raw Data'!J1519</f>
        <v>25</v>
      </c>
      <c r="M1519" s="5">
        <f>IF(COUNTIFS($A$2:A1519,A1519,$D$2:D1519,D1519)=1,L1519,0)</f>
        <v>0</v>
      </c>
      <c r="N1519" s="4">
        <f t="shared" si="118"/>
        <v>135.8852</v>
      </c>
      <c r="O1519" t="str">
        <f t="shared" si="119"/>
        <v>OK</v>
      </c>
    </row>
    <row r="1520" spans="1:15">
      <c r="A1520" t="str">
        <f>'Raw Data'!A1520</f>
        <v>Orlando RM-22</v>
      </c>
      <c r="B1520" t="str">
        <f>'Raw Data'!B1520</f>
        <v>Southeast</v>
      </c>
      <c r="C1520" t="str">
        <f>'Raw Data'!C1520</f>
        <v>Electronics</v>
      </c>
      <c r="D1520" s="3">
        <f>'Raw Data'!D1520</f>
        <v>45689</v>
      </c>
      <c r="E1520" t="str">
        <f t="shared" si="115"/>
        <v>Feb</v>
      </c>
      <c r="F1520" s="5">
        <f>'Raw Data'!E1520</f>
        <v>90</v>
      </c>
      <c r="G1520" s="4">
        <f>'Raw Data'!F1520</f>
        <v>14000.29</v>
      </c>
      <c r="H1520" s="4">
        <f>'Raw Data'!G1520</f>
        <v>10467.68</v>
      </c>
      <c r="I1520" s="4">
        <f t="shared" si="116"/>
        <v>3532.6100000000006</v>
      </c>
      <c r="J1520" s="8">
        <f t="shared" si="117"/>
        <v>0.25232405900163501</v>
      </c>
      <c r="K1520" s="6">
        <f>'Raw Data'!I1520</f>
        <v>3.98</v>
      </c>
      <c r="L1520" s="5">
        <f>'Raw Data'!J1520</f>
        <v>24</v>
      </c>
      <c r="M1520" s="5">
        <f>IF(COUNTIFS($A$2:A1520,A1520,$D$2:D1520,D1520)=1,L1520,0)</f>
        <v>24</v>
      </c>
      <c r="N1520" s="4">
        <f t="shared" si="118"/>
        <v>583.34541666666667</v>
      </c>
      <c r="O1520" t="str">
        <f t="shared" si="119"/>
        <v>OK</v>
      </c>
    </row>
    <row r="1521" spans="1:15">
      <c r="A1521" t="str">
        <f>'Raw Data'!A1521</f>
        <v>Orlando RM-22</v>
      </c>
      <c r="B1521" t="str">
        <f>'Raw Data'!B1521</f>
        <v>Southeast</v>
      </c>
      <c r="C1521" t="str">
        <f>'Raw Data'!C1521</f>
        <v>Home Goods</v>
      </c>
      <c r="D1521" s="3">
        <f>'Raw Data'!D1521</f>
        <v>45689</v>
      </c>
      <c r="E1521" t="str">
        <f t="shared" si="115"/>
        <v>Feb</v>
      </c>
      <c r="F1521" s="5">
        <f>'Raw Data'!E1521</f>
        <v>90</v>
      </c>
      <c r="G1521" s="4">
        <f>'Raw Data'!F1521</f>
        <v>7083.39</v>
      </c>
      <c r="H1521" s="4">
        <f>'Raw Data'!G1521</f>
        <v>4703.07</v>
      </c>
      <c r="I1521" s="4">
        <f t="shared" si="116"/>
        <v>2380.3200000000006</v>
      </c>
      <c r="J1521" s="8">
        <f t="shared" si="117"/>
        <v>0.33604248813068327</v>
      </c>
      <c r="K1521" s="6">
        <f>'Raw Data'!I1521</f>
        <v>4.1399999999999997</v>
      </c>
      <c r="L1521" s="5">
        <f>'Raw Data'!J1521</f>
        <v>24</v>
      </c>
      <c r="M1521" s="5">
        <f>IF(COUNTIFS($A$2:A1521,A1521,$D$2:D1521,D1521)=1,L1521,0)</f>
        <v>0</v>
      </c>
      <c r="N1521" s="4">
        <f t="shared" si="118"/>
        <v>295.14125000000001</v>
      </c>
      <c r="O1521" t="str">
        <f t="shared" si="119"/>
        <v>OK</v>
      </c>
    </row>
    <row r="1522" spans="1:15">
      <c r="A1522" t="str">
        <f>'Raw Data'!A1522</f>
        <v>Orlando RM-22</v>
      </c>
      <c r="B1522" t="str">
        <f>'Raw Data'!B1522</f>
        <v>Southeast</v>
      </c>
      <c r="C1522" t="str">
        <f>'Raw Data'!C1522</f>
        <v>Apparel</v>
      </c>
      <c r="D1522" s="3">
        <f>'Raw Data'!D1522</f>
        <v>45689</v>
      </c>
      <c r="E1522" t="str">
        <f t="shared" si="115"/>
        <v>Feb</v>
      </c>
      <c r="F1522" s="5">
        <f>'Raw Data'!E1522</f>
        <v>122</v>
      </c>
      <c r="G1522" s="4">
        <f>'Raw Data'!F1522</f>
        <v>6091.38</v>
      </c>
      <c r="H1522" s="4">
        <f>'Raw Data'!G1522</f>
        <v>3638.37</v>
      </c>
      <c r="I1522" s="4">
        <f t="shared" si="116"/>
        <v>2453.0100000000002</v>
      </c>
      <c r="J1522" s="8">
        <f t="shared" si="117"/>
        <v>0.40270185081213128</v>
      </c>
      <c r="K1522" s="6">
        <f>'Raw Data'!I1522</f>
        <v>3.83</v>
      </c>
      <c r="L1522" s="5">
        <f>'Raw Data'!J1522</f>
        <v>24</v>
      </c>
      <c r="M1522" s="5">
        <f>IF(COUNTIFS($A$2:A1522,A1522,$D$2:D1522,D1522)=1,L1522,0)</f>
        <v>0</v>
      </c>
      <c r="N1522" s="4">
        <f t="shared" si="118"/>
        <v>253.8075</v>
      </c>
      <c r="O1522" t="str">
        <f t="shared" si="119"/>
        <v>OK</v>
      </c>
    </row>
    <row r="1523" spans="1:15">
      <c r="A1523" t="str">
        <f>'Raw Data'!A1523</f>
        <v>Orlando RM-22</v>
      </c>
      <c r="B1523" t="str">
        <f>'Raw Data'!B1523</f>
        <v>Southeast</v>
      </c>
      <c r="C1523" t="str">
        <f>'Raw Data'!C1523</f>
        <v>Beauty</v>
      </c>
      <c r="D1523" s="3">
        <f>'Raw Data'!D1523</f>
        <v>45689</v>
      </c>
      <c r="E1523" t="str">
        <f t="shared" si="115"/>
        <v>Feb</v>
      </c>
      <c r="F1523" s="5">
        <f>'Raw Data'!E1523</f>
        <v>91</v>
      </c>
      <c r="G1523" s="4">
        <f>'Raw Data'!F1523</f>
        <v>3522.86</v>
      </c>
      <c r="H1523" s="4">
        <f>'Raw Data'!G1523</f>
        <v>1652.07</v>
      </c>
      <c r="I1523" s="4">
        <f t="shared" si="116"/>
        <v>1870.7900000000002</v>
      </c>
      <c r="J1523" s="8">
        <f t="shared" si="117"/>
        <v>0.53104295941365831</v>
      </c>
      <c r="K1523" s="6">
        <f>'Raw Data'!I1523</f>
        <v>4.13</v>
      </c>
      <c r="L1523" s="5">
        <f>'Raw Data'!J1523</f>
        <v>24</v>
      </c>
      <c r="M1523" s="5">
        <f>IF(COUNTIFS($A$2:A1523,A1523,$D$2:D1523,D1523)=1,L1523,0)</f>
        <v>0</v>
      </c>
      <c r="N1523" s="4">
        <f t="shared" si="118"/>
        <v>146.78583333333333</v>
      </c>
      <c r="O1523" t="str">
        <f t="shared" si="119"/>
        <v>OK</v>
      </c>
    </row>
    <row r="1524" spans="1:15">
      <c r="A1524" t="str">
        <f>'Raw Data'!A1524</f>
        <v>Orlando RM-22</v>
      </c>
      <c r="B1524" t="str">
        <f>'Raw Data'!B1524</f>
        <v>Southeast</v>
      </c>
      <c r="C1524" t="str">
        <f>'Raw Data'!C1524</f>
        <v>Grocery</v>
      </c>
      <c r="D1524" s="3">
        <f>'Raw Data'!D1524</f>
        <v>45689</v>
      </c>
      <c r="E1524" t="str">
        <f t="shared" si="115"/>
        <v>Feb</v>
      </c>
      <c r="F1524" s="5">
        <f>'Raw Data'!E1524</f>
        <v>138</v>
      </c>
      <c r="G1524" s="4">
        <f>'Raw Data'!F1524</f>
        <v>2575.15</v>
      </c>
      <c r="H1524" s="4">
        <f>'Raw Data'!G1524</f>
        <v>2321.12</v>
      </c>
      <c r="I1524" s="4">
        <f t="shared" si="116"/>
        <v>254.0300000000002</v>
      </c>
      <c r="J1524" s="8">
        <f t="shared" si="117"/>
        <v>9.864668077587721E-2</v>
      </c>
      <c r="K1524" s="6">
        <f>'Raw Data'!I1524</f>
        <v>3.88</v>
      </c>
      <c r="L1524" s="5">
        <f>'Raw Data'!J1524</f>
        <v>24</v>
      </c>
      <c r="M1524" s="5">
        <f>IF(COUNTIFS($A$2:A1524,A1524,$D$2:D1524,D1524)=1,L1524,0)</f>
        <v>0</v>
      </c>
      <c r="N1524" s="4">
        <f t="shared" si="118"/>
        <v>107.29791666666667</v>
      </c>
      <c r="O1524" t="str">
        <f t="shared" si="119"/>
        <v>OK</v>
      </c>
    </row>
    <row r="1525" spans="1:15">
      <c r="A1525" t="str">
        <f>'Raw Data'!A1525</f>
        <v>Orlando RM-22</v>
      </c>
      <c r="B1525" t="str">
        <f>'Raw Data'!B1525</f>
        <v>Southeast</v>
      </c>
      <c r="C1525" t="str">
        <f>'Raw Data'!C1525</f>
        <v>Sports</v>
      </c>
      <c r="D1525" s="3">
        <f>'Raw Data'!D1525</f>
        <v>45689</v>
      </c>
      <c r="E1525" t="str">
        <f t="shared" si="115"/>
        <v>Feb</v>
      </c>
      <c r="F1525" s="5">
        <f>'Raw Data'!E1525</f>
        <v>58</v>
      </c>
      <c r="G1525" s="4">
        <f>'Raw Data'!F1525</f>
        <v>3658.51</v>
      </c>
      <c r="H1525" s="4">
        <f>'Raw Data'!G1525</f>
        <v>2264.02</v>
      </c>
      <c r="I1525" s="4">
        <f t="shared" si="116"/>
        <v>1394.4900000000002</v>
      </c>
      <c r="J1525" s="8">
        <f t="shared" si="117"/>
        <v>0.38116336978715382</v>
      </c>
      <c r="K1525" s="6">
        <f>'Raw Data'!I1525</f>
        <v>4.17</v>
      </c>
      <c r="L1525" s="5">
        <f>'Raw Data'!J1525</f>
        <v>24</v>
      </c>
      <c r="M1525" s="5">
        <f>IF(COUNTIFS($A$2:A1525,A1525,$D$2:D1525,D1525)=1,L1525,0)</f>
        <v>0</v>
      </c>
      <c r="N1525" s="4">
        <f t="shared" si="118"/>
        <v>152.43791666666667</v>
      </c>
      <c r="O1525" t="str">
        <f t="shared" si="119"/>
        <v>OK</v>
      </c>
    </row>
    <row r="1526" spans="1:15">
      <c r="A1526" t="str">
        <f>'Raw Data'!A1526</f>
        <v>Orlando RM-22</v>
      </c>
      <c r="B1526" t="str">
        <f>'Raw Data'!B1526</f>
        <v>Southeast</v>
      </c>
      <c r="C1526" t="str">
        <f>'Raw Data'!C1526</f>
        <v>Electronics</v>
      </c>
      <c r="D1526" s="3">
        <f>'Raw Data'!D1526</f>
        <v>45717</v>
      </c>
      <c r="E1526" t="str">
        <f t="shared" si="115"/>
        <v>Mar</v>
      </c>
      <c r="F1526" s="5">
        <f>'Raw Data'!E1526</f>
        <v>122</v>
      </c>
      <c r="G1526" s="4">
        <f>'Raw Data'!F1526</f>
        <v>17953.36</v>
      </c>
      <c r="H1526" s="4">
        <f>'Raw Data'!G1526</f>
        <v>13464.08</v>
      </c>
      <c r="I1526" s="4">
        <f t="shared" si="116"/>
        <v>4489.2800000000007</v>
      </c>
      <c r="J1526" s="8">
        <f t="shared" si="117"/>
        <v>0.25005235788732588</v>
      </c>
      <c r="K1526" s="6">
        <f>'Raw Data'!I1526</f>
        <v>3.98</v>
      </c>
      <c r="L1526" s="5">
        <f>'Raw Data'!J1526</f>
        <v>25</v>
      </c>
      <c r="M1526" s="5">
        <f>IF(COUNTIFS($A$2:A1526,A1526,$D$2:D1526,D1526)=1,L1526,0)</f>
        <v>25</v>
      </c>
      <c r="N1526" s="4">
        <f t="shared" si="118"/>
        <v>718.13440000000003</v>
      </c>
      <c r="O1526" t="str">
        <f t="shared" si="119"/>
        <v>OK</v>
      </c>
    </row>
    <row r="1527" spans="1:15">
      <c r="A1527" t="str">
        <f>'Raw Data'!A1527</f>
        <v>Orlando RM-22</v>
      </c>
      <c r="B1527" t="str">
        <f>'Raw Data'!B1527</f>
        <v>Southeast</v>
      </c>
      <c r="C1527" t="str">
        <f>'Raw Data'!C1527</f>
        <v>Home Goods</v>
      </c>
      <c r="D1527" s="3">
        <f>'Raw Data'!D1527</f>
        <v>45717</v>
      </c>
      <c r="E1527" t="str">
        <f t="shared" si="115"/>
        <v>Mar</v>
      </c>
      <c r="F1527" s="5">
        <f>'Raw Data'!E1527</f>
        <v>92</v>
      </c>
      <c r="G1527" s="4">
        <f>'Raw Data'!F1527</f>
        <v>6580.18</v>
      </c>
      <c r="H1527" s="4">
        <f>'Raw Data'!G1527</f>
        <v>4408.88</v>
      </c>
      <c r="I1527" s="4">
        <f t="shared" si="116"/>
        <v>2171.3000000000002</v>
      </c>
      <c r="J1527" s="8">
        <f t="shared" si="117"/>
        <v>0.32997577573865761</v>
      </c>
      <c r="K1527" s="6">
        <f>'Raw Data'!I1527</f>
        <v>4.16</v>
      </c>
      <c r="L1527" s="5">
        <f>'Raw Data'!J1527</f>
        <v>25</v>
      </c>
      <c r="M1527" s="5">
        <f>IF(COUNTIFS($A$2:A1527,A1527,$D$2:D1527,D1527)=1,L1527,0)</f>
        <v>0</v>
      </c>
      <c r="N1527" s="4">
        <f t="shared" si="118"/>
        <v>263.2072</v>
      </c>
      <c r="O1527" t="str">
        <f t="shared" si="119"/>
        <v>OK</v>
      </c>
    </row>
    <row r="1528" spans="1:15">
      <c r="A1528" t="str">
        <f>'Raw Data'!A1528</f>
        <v>Orlando RM-22</v>
      </c>
      <c r="B1528" t="str">
        <f>'Raw Data'!B1528</f>
        <v>Southeast</v>
      </c>
      <c r="C1528" t="str">
        <f>'Raw Data'!C1528</f>
        <v>Apparel</v>
      </c>
      <c r="D1528" s="3">
        <f>'Raw Data'!D1528</f>
        <v>45717</v>
      </c>
      <c r="E1528" t="str">
        <f t="shared" si="115"/>
        <v>Mar</v>
      </c>
      <c r="F1528" s="5">
        <f>'Raw Data'!E1528</f>
        <v>158</v>
      </c>
      <c r="G1528" s="4">
        <f>'Raw Data'!F1528</f>
        <v>8123.11</v>
      </c>
      <c r="H1528" s="4">
        <f>'Raw Data'!G1528</f>
        <v>4882.9399999999996</v>
      </c>
      <c r="I1528" s="4">
        <f t="shared" si="116"/>
        <v>3240.17</v>
      </c>
      <c r="J1528" s="8">
        <f t="shared" si="117"/>
        <v>0.3988829401546945</v>
      </c>
      <c r="K1528" s="6">
        <f>'Raw Data'!I1528</f>
        <v>3.93</v>
      </c>
      <c r="L1528" s="5">
        <f>'Raw Data'!J1528</f>
        <v>25</v>
      </c>
      <c r="M1528" s="5">
        <f>IF(COUNTIFS($A$2:A1528,A1528,$D$2:D1528,D1528)=1,L1528,0)</f>
        <v>0</v>
      </c>
      <c r="N1528" s="4">
        <f t="shared" si="118"/>
        <v>324.92439999999999</v>
      </c>
      <c r="O1528" t="str">
        <f t="shared" si="119"/>
        <v>OK</v>
      </c>
    </row>
    <row r="1529" spans="1:15">
      <c r="A1529" t="str">
        <f>'Raw Data'!A1529</f>
        <v>Orlando RM-22</v>
      </c>
      <c r="B1529" t="str">
        <f>'Raw Data'!B1529</f>
        <v>Southeast</v>
      </c>
      <c r="C1529" t="str">
        <f>'Raw Data'!C1529</f>
        <v>Beauty</v>
      </c>
      <c r="D1529" s="3">
        <f>'Raw Data'!D1529</f>
        <v>45717</v>
      </c>
      <c r="E1529" t="str">
        <f t="shared" si="115"/>
        <v>Mar</v>
      </c>
      <c r="F1529" s="5">
        <f>'Raw Data'!E1529</f>
        <v>101</v>
      </c>
      <c r="G1529" s="4">
        <f>'Raw Data'!F1529</f>
        <v>3855.32</v>
      </c>
      <c r="H1529" s="4">
        <f>'Raw Data'!G1529</f>
        <v>1782.61</v>
      </c>
      <c r="I1529" s="4">
        <f t="shared" si="116"/>
        <v>2072.71</v>
      </c>
      <c r="J1529" s="8">
        <f t="shared" si="117"/>
        <v>0.53762333606548873</v>
      </c>
      <c r="K1529" s="6">
        <f>'Raw Data'!I1529</f>
        <v>3.98</v>
      </c>
      <c r="L1529" s="5">
        <f>'Raw Data'!J1529</f>
        <v>25</v>
      </c>
      <c r="M1529" s="5">
        <f>IF(COUNTIFS($A$2:A1529,A1529,$D$2:D1529,D1529)=1,L1529,0)</f>
        <v>0</v>
      </c>
      <c r="N1529" s="4">
        <f t="shared" si="118"/>
        <v>154.21280000000002</v>
      </c>
      <c r="O1529" t="str">
        <f t="shared" si="119"/>
        <v>OK</v>
      </c>
    </row>
    <row r="1530" spans="1:15">
      <c r="A1530" t="str">
        <f>'Raw Data'!A1530</f>
        <v>Orlando RM-22</v>
      </c>
      <c r="B1530" t="str">
        <f>'Raw Data'!B1530</f>
        <v>Southeast</v>
      </c>
      <c r="C1530" t="str">
        <f>'Raw Data'!C1530</f>
        <v>Grocery</v>
      </c>
      <c r="D1530" s="3">
        <f>'Raw Data'!D1530</f>
        <v>45717</v>
      </c>
      <c r="E1530" t="str">
        <f t="shared" si="115"/>
        <v>Mar</v>
      </c>
      <c r="F1530" s="5">
        <f>'Raw Data'!E1530</f>
        <v>162</v>
      </c>
      <c r="G1530" s="4">
        <f>'Raw Data'!F1530</f>
        <v>3004.12</v>
      </c>
      <c r="H1530" s="4">
        <f>'Raw Data'!G1530</f>
        <v>2726.19</v>
      </c>
      <c r="I1530" s="4">
        <f t="shared" si="116"/>
        <v>277.92999999999984</v>
      </c>
      <c r="J1530" s="8">
        <f t="shared" si="117"/>
        <v>9.2516277645366976E-2</v>
      </c>
      <c r="K1530" s="6">
        <f>'Raw Data'!I1530</f>
        <v>3.89</v>
      </c>
      <c r="L1530" s="5">
        <f>'Raw Data'!J1530</f>
        <v>25</v>
      </c>
      <c r="M1530" s="5">
        <f>IF(COUNTIFS($A$2:A1530,A1530,$D$2:D1530,D1530)=1,L1530,0)</f>
        <v>0</v>
      </c>
      <c r="N1530" s="4">
        <f t="shared" si="118"/>
        <v>120.1648</v>
      </c>
      <c r="O1530" t="str">
        <f t="shared" si="119"/>
        <v>OK</v>
      </c>
    </row>
    <row r="1531" spans="1:15">
      <c r="A1531" t="str">
        <f>'Raw Data'!A1531</f>
        <v>Orlando RM-22</v>
      </c>
      <c r="B1531" t="str">
        <f>'Raw Data'!B1531</f>
        <v>Southeast</v>
      </c>
      <c r="C1531" t="str">
        <f>'Raw Data'!C1531</f>
        <v>Sports</v>
      </c>
      <c r="D1531" s="3">
        <f>'Raw Data'!D1531</f>
        <v>45717</v>
      </c>
      <c r="E1531" t="str">
        <f t="shared" si="115"/>
        <v>Mar</v>
      </c>
      <c r="F1531" s="5">
        <f>'Raw Data'!E1531</f>
        <v>90</v>
      </c>
      <c r="G1531" s="4">
        <f>'Raw Data'!F1531</f>
        <v>5307.77</v>
      </c>
      <c r="H1531" s="4">
        <f>'Raw Data'!G1531</f>
        <v>3410.76</v>
      </c>
      <c r="I1531" s="4">
        <f t="shared" si="116"/>
        <v>1897.0100000000002</v>
      </c>
      <c r="J1531" s="8">
        <f t="shared" si="117"/>
        <v>0.35740244961631723</v>
      </c>
      <c r="K1531" s="6">
        <f>'Raw Data'!I1531</f>
        <v>4</v>
      </c>
      <c r="L1531" s="5">
        <f>'Raw Data'!J1531</f>
        <v>25</v>
      </c>
      <c r="M1531" s="5">
        <f>IF(COUNTIFS($A$2:A1531,A1531,$D$2:D1531,D1531)=1,L1531,0)</f>
        <v>0</v>
      </c>
      <c r="N1531" s="4">
        <f t="shared" si="118"/>
        <v>212.31080000000003</v>
      </c>
      <c r="O1531" t="str">
        <f t="shared" si="119"/>
        <v>OK</v>
      </c>
    </row>
    <row r="1532" spans="1:15">
      <c r="A1532" t="str">
        <f>'Raw Data'!A1532</f>
        <v>Orlando RM-22</v>
      </c>
      <c r="B1532" t="str">
        <f>'Raw Data'!B1532</f>
        <v>Southeast</v>
      </c>
      <c r="C1532" t="str">
        <f>'Raw Data'!C1532</f>
        <v>Electronics</v>
      </c>
      <c r="D1532" s="3">
        <f>'Raw Data'!D1532</f>
        <v>45748</v>
      </c>
      <c r="E1532" t="str">
        <f t="shared" si="115"/>
        <v>Apr</v>
      </c>
      <c r="F1532" s="5">
        <f>'Raw Data'!E1532</f>
        <v>127</v>
      </c>
      <c r="G1532" s="4">
        <f>'Raw Data'!F1532</f>
        <v>18399</v>
      </c>
      <c r="H1532" s="4">
        <f>'Raw Data'!G1532</f>
        <v>14485.29</v>
      </c>
      <c r="I1532" s="4">
        <f t="shared" si="116"/>
        <v>3913.7099999999991</v>
      </c>
      <c r="J1532" s="8">
        <f t="shared" si="117"/>
        <v>0.21271319093428986</v>
      </c>
      <c r="K1532" s="6">
        <f>'Raw Data'!I1532</f>
        <v>3.86</v>
      </c>
      <c r="L1532" s="5">
        <f>'Raw Data'!J1532</f>
        <v>26</v>
      </c>
      <c r="M1532" s="5">
        <f>IF(COUNTIFS($A$2:A1532,A1532,$D$2:D1532,D1532)=1,L1532,0)</f>
        <v>26</v>
      </c>
      <c r="N1532" s="4">
        <f t="shared" si="118"/>
        <v>707.65384615384619</v>
      </c>
      <c r="O1532" t="str">
        <f t="shared" si="119"/>
        <v>OK</v>
      </c>
    </row>
    <row r="1533" spans="1:15">
      <c r="A1533" t="str">
        <f>'Raw Data'!A1533</f>
        <v>Orlando RM-22</v>
      </c>
      <c r="B1533" t="str">
        <f>'Raw Data'!B1533</f>
        <v>Southeast</v>
      </c>
      <c r="C1533" t="str">
        <f>'Raw Data'!C1533</f>
        <v>Home Goods</v>
      </c>
      <c r="D1533" s="3">
        <f>'Raw Data'!D1533</f>
        <v>45748</v>
      </c>
      <c r="E1533" t="str">
        <f t="shared" si="115"/>
        <v>Apr</v>
      </c>
      <c r="F1533" s="5">
        <f>'Raw Data'!E1533</f>
        <v>104</v>
      </c>
      <c r="G1533" s="4">
        <f>'Raw Data'!F1533</f>
        <v>7607.19</v>
      </c>
      <c r="H1533" s="4">
        <f>'Raw Data'!G1533</f>
        <v>4933.74</v>
      </c>
      <c r="I1533" s="4">
        <f t="shared" si="116"/>
        <v>2673.45</v>
      </c>
      <c r="J1533" s="8">
        <f t="shared" si="117"/>
        <v>0.35143725869867848</v>
      </c>
      <c r="K1533" s="6">
        <f>'Raw Data'!I1533</f>
        <v>3.85</v>
      </c>
      <c r="L1533" s="5">
        <f>'Raw Data'!J1533</f>
        <v>26</v>
      </c>
      <c r="M1533" s="5">
        <f>IF(COUNTIFS($A$2:A1533,A1533,$D$2:D1533,D1533)=1,L1533,0)</f>
        <v>0</v>
      </c>
      <c r="N1533" s="4">
        <f t="shared" si="118"/>
        <v>292.58423076923077</v>
      </c>
      <c r="O1533" t="str">
        <f t="shared" si="119"/>
        <v>OK</v>
      </c>
    </row>
    <row r="1534" spans="1:15">
      <c r="A1534" t="str">
        <f>'Raw Data'!A1534</f>
        <v>Orlando RM-22</v>
      </c>
      <c r="B1534" t="str">
        <f>'Raw Data'!B1534</f>
        <v>Southeast</v>
      </c>
      <c r="C1534" t="str">
        <f>'Raw Data'!C1534</f>
        <v>Apparel</v>
      </c>
      <c r="D1534" s="3">
        <f>'Raw Data'!D1534</f>
        <v>45748</v>
      </c>
      <c r="E1534" t="str">
        <f t="shared" si="115"/>
        <v>Apr</v>
      </c>
      <c r="F1534" s="5">
        <f>'Raw Data'!E1534</f>
        <v>141</v>
      </c>
      <c r="G1534" s="4">
        <f>'Raw Data'!F1534</f>
        <v>6880.9</v>
      </c>
      <c r="H1534" s="4">
        <f>'Raw Data'!G1534</f>
        <v>4072.01</v>
      </c>
      <c r="I1534" s="4">
        <f t="shared" si="116"/>
        <v>2808.8899999999994</v>
      </c>
      <c r="J1534" s="8">
        <f t="shared" si="117"/>
        <v>0.40821549506605237</v>
      </c>
      <c r="K1534" s="6">
        <f>'Raw Data'!I1534</f>
        <v>4.07</v>
      </c>
      <c r="L1534" s="5">
        <f>'Raw Data'!J1534</f>
        <v>26</v>
      </c>
      <c r="M1534" s="5">
        <f>IF(COUNTIFS($A$2:A1534,A1534,$D$2:D1534,D1534)=1,L1534,0)</f>
        <v>0</v>
      </c>
      <c r="N1534" s="4">
        <f t="shared" si="118"/>
        <v>264.64999999999998</v>
      </c>
      <c r="O1534" t="str">
        <f t="shared" si="119"/>
        <v>OK</v>
      </c>
    </row>
    <row r="1535" spans="1:15">
      <c r="A1535" t="str">
        <f>'Raw Data'!A1535</f>
        <v>Orlando RM-22</v>
      </c>
      <c r="B1535" t="str">
        <f>'Raw Data'!B1535</f>
        <v>Southeast</v>
      </c>
      <c r="C1535" t="str">
        <f>'Raw Data'!C1535</f>
        <v>Beauty</v>
      </c>
      <c r="D1535" s="3">
        <f>'Raw Data'!D1535</f>
        <v>45748</v>
      </c>
      <c r="E1535" t="str">
        <f t="shared" si="115"/>
        <v>Apr</v>
      </c>
      <c r="F1535" s="5">
        <f>'Raw Data'!E1535</f>
        <v>121</v>
      </c>
      <c r="G1535" s="4">
        <f>'Raw Data'!F1535</f>
        <v>4559.32</v>
      </c>
      <c r="H1535" s="4">
        <f>'Raw Data'!G1535</f>
        <v>2197.84</v>
      </c>
      <c r="I1535" s="4">
        <f t="shared" si="116"/>
        <v>2361.4799999999996</v>
      </c>
      <c r="J1535" s="8">
        <f t="shared" si="117"/>
        <v>0.51794565856311903</v>
      </c>
      <c r="K1535" s="6">
        <f>'Raw Data'!I1535</f>
        <v>3.89</v>
      </c>
      <c r="L1535" s="5">
        <f>'Raw Data'!J1535</f>
        <v>26</v>
      </c>
      <c r="M1535" s="5">
        <f>IF(COUNTIFS($A$2:A1535,A1535,$D$2:D1535,D1535)=1,L1535,0)</f>
        <v>0</v>
      </c>
      <c r="N1535" s="4">
        <f t="shared" si="118"/>
        <v>175.35846153846154</v>
      </c>
      <c r="O1535" t="str">
        <f t="shared" si="119"/>
        <v>OK</v>
      </c>
    </row>
    <row r="1536" spans="1:15">
      <c r="A1536" t="str">
        <f>'Raw Data'!A1536</f>
        <v>Orlando RM-22</v>
      </c>
      <c r="B1536" t="str">
        <f>'Raw Data'!B1536</f>
        <v>Southeast</v>
      </c>
      <c r="C1536" t="str">
        <f>'Raw Data'!C1536</f>
        <v>Grocery</v>
      </c>
      <c r="D1536" s="3">
        <f>'Raw Data'!D1536</f>
        <v>45748</v>
      </c>
      <c r="E1536" t="str">
        <f t="shared" si="115"/>
        <v>Apr</v>
      </c>
      <c r="F1536" s="5">
        <f>'Raw Data'!E1536</f>
        <v>166</v>
      </c>
      <c r="G1536" s="4">
        <f>'Raw Data'!F1536</f>
        <v>2810.01</v>
      </c>
      <c r="H1536" s="4">
        <f>'Raw Data'!G1536</f>
        <v>2477.98</v>
      </c>
      <c r="I1536" s="4">
        <f t="shared" si="116"/>
        <v>332.0300000000002</v>
      </c>
      <c r="J1536" s="8">
        <f t="shared" si="117"/>
        <v>0.11815972185152372</v>
      </c>
      <c r="K1536" s="6">
        <f>'Raw Data'!I1536</f>
        <v>3.9</v>
      </c>
      <c r="L1536" s="5">
        <f>'Raw Data'!J1536</f>
        <v>26</v>
      </c>
      <c r="M1536" s="5">
        <f>IF(COUNTIFS($A$2:A1536,A1536,$D$2:D1536,D1536)=1,L1536,0)</f>
        <v>0</v>
      </c>
      <c r="N1536" s="4">
        <f t="shared" si="118"/>
        <v>108.0773076923077</v>
      </c>
      <c r="O1536" t="str">
        <f t="shared" si="119"/>
        <v>OK</v>
      </c>
    </row>
    <row r="1537" spans="1:15">
      <c r="A1537" t="str">
        <f>'Raw Data'!A1537</f>
        <v>Orlando RM-22</v>
      </c>
      <c r="B1537" t="str">
        <f>'Raw Data'!B1537</f>
        <v>Southeast</v>
      </c>
      <c r="C1537" t="str">
        <f>'Raw Data'!C1537</f>
        <v>Sports</v>
      </c>
      <c r="D1537" s="3">
        <f>'Raw Data'!D1537</f>
        <v>45748</v>
      </c>
      <c r="E1537" t="str">
        <f t="shared" si="115"/>
        <v>Apr</v>
      </c>
      <c r="F1537" s="5">
        <f>'Raw Data'!E1537</f>
        <v>88</v>
      </c>
      <c r="G1537" s="4">
        <f>'Raw Data'!F1537</f>
        <v>5568.47</v>
      </c>
      <c r="H1537" s="4">
        <f>'Raw Data'!G1537</f>
        <v>3469.73</v>
      </c>
      <c r="I1537" s="4">
        <f t="shared" si="116"/>
        <v>2098.7400000000002</v>
      </c>
      <c r="J1537" s="8">
        <f t="shared" si="117"/>
        <v>0.3768970650825092</v>
      </c>
      <c r="K1537" s="6">
        <f>'Raw Data'!I1537</f>
        <v>3.91</v>
      </c>
      <c r="L1537" s="5">
        <f>'Raw Data'!J1537</f>
        <v>26</v>
      </c>
      <c r="M1537" s="5">
        <f>IF(COUNTIFS($A$2:A1537,A1537,$D$2:D1537,D1537)=1,L1537,0)</f>
        <v>0</v>
      </c>
      <c r="N1537" s="4">
        <f t="shared" si="118"/>
        <v>214.17192307692309</v>
      </c>
      <c r="O1537" t="str">
        <f t="shared" si="119"/>
        <v>OK</v>
      </c>
    </row>
    <row r="1538" spans="1:15">
      <c r="A1538" t="str">
        <f>'Raw Data'!A1538</f>
        <v>Orlando RM-22</v>
      </c>
      <c r="B1538" t="str">
        <f>'Raw Data'!B1538</f>
        <v>Southeast</v>
      </c>
      <c r="C1538" t="str">
        <f>'Raw Data'!C1538</f>
        <v>Electronics</v>
      </c>
      <c r="D1538" s="3">
        <f>'Raw Data'!D1538</f>
        <v>45778</v>
      </c>
      <c r="E1538" t="str">
        <f t="shared" ref="E1538:E1601" si="120">TEXT(D1538,"mmm")</f>
        <v>May</v>
      </c>
      <c r="F1538" s="5">
        <f>'Raw Data'!E1538</f>
        <v>136</v>
      </c>
      <c r="G1538" s="4">
        <f>'Raw Data'!F1538</f>
        <v>20725.13</v>
      </c>
      <c r="H1538" s="4">
        <f>'Raw Data'!G1538</f>
        <v>15867.42</v>
      </c>
      <c r="I1538" s="4">
        <f t="shared" ref="I1538:I1601" si="121">G1538-H1538</f>
        <v>4857.7100000000009</v>
      </c>
      <c r="J1538" s="8">
        <f t="shared" ref="J1538:J1601" si="122">IFERROR(I1538/G1538,0)</f>
        <v>0.23438743206918367</v>
      </c>
      <c r="K1538" s="6">
        <f>'Raw Data'!I1538</f>
        <v>4</v>
      </c>
      <c r="L1538" s="5">
        <f>'Raw Data'!J1538</f>
        <v>25</v>
      </c>
      <c r="M1538" s="5">
        <f>IF(COUNTIFS($A$2:A1538,A1538,$D$2:D1538,D1538)=1,L1538,0)</f>
        <v>25</v>
      </c>
      <c r="N1538" s="4">
        <f t="shared" ref="N1538:N1601" si="123">IFERROR(G1538/L1538,0)</f>
        <v>829.00520000000006</v>
      </c>
      <c r="O1538" t="str">
        <f t="shared" ref="O1538:O1601" si="124">IF(OR(A1538="",B1538="",C1538="",F1538&lt;0,G1538&lt;0,H1538&lt;0,K1538&lt;1,K1538&gt;5),"Review","OK")</f>
        <v>OK</v>
      </c>
    </row>
    <row r="1539" spans="1:15">
      <c r="A1539" t="str">
        <f>'Raw Data'!A1539</f>
        <v>Orlando RM-22</v>
      </c>
      <c r="B1539" t="str">
        <f>'Raw Data'!B1539</f>
        <v>Southeast</v>
      </c>
      <c r="C1539" t="str">
        <f>'Raw Data'!C1539</f>
        <v>Home Goods</v>
      </c>
      <c r="D1539" s="3">
        <f>'Raw Data'!D1539</f>
        <v>45778</v>
      </c>
      <c r="E1539" t="str">
        <f t="shared" si="120"/>
        <v>May</v>
      </c>
      <c r="F1539" s="5">
        <f>'Raw Data'!E1539</f>
        <v>103</v>
      </c>
      <c r="G1539" s="4">
        <f>'Raw Data'!F1539</f>
        <v>8164.01</v>
      </c>
      <c r="H1539" s="4">
        <f>'Raw Data'!G1539</f>
        <v>5343.06</v>
      </c>
      <c r="I1539" s="4">
        <f t="shared" si="121"/>
        <v>2820.95</v>
      </c>
      <c r="J1539" s="8">
        <f t="shared" si="122"/>
        <v>0.34553485358298186</v>
      </c>
      <c r="K1539" s="6">
        <f>'Raw Data'!I1539</f>
        <v>4.07</v>
      </c>
      <c r="L1539" s="5">
        <f>'Raw Data'!J1539</f>
        <v>25</v>
      </c>
      <c r="M1539" s="5">
        <f>IF(COUNTIFS($A$2:A1539,A1539,$D$2:D1539,D1539)=1,L1539,0)</f>
        <v>0</v>
      </c>
      <c r="N1539" s="4">
        <f t="shared" si="123"/>
        <v>326.56040000000002</v>
      </c>
      <c r="O1539" t="str">
        <f t="shared" si="124"/>
        <v>OK</v>
      </c>
    </row>
    <row r="1540" spans="1:15">
      <c r="A1540" t="str">
        <f>'Raw Data'!A1540</f>
        <v>Orlando RM-22</v>
      </c>
      <c r="B1540" t="str">
        <f>'Raw Data'!B1540</f>
        <v>Southeast</v>
      </c>
      <c r="C1540" t="str">
        <f>'Raw Data'!C1540</f>
        <v>Apparel</v>
      </c>
      <c r="D1540" s="3">
        <f>'Raw Data'!D1540</f>
        <v>45778</v>
      </c>
      <c r="E1540" t="str">
        <f t="shared" si="120"/>
        <v>May</v>
      </c>
      <c r="F1540" s="5">
        <f>'Raw Data'!E1540</f>
        <v>155</v>
      </c>
      <c r="G1540" s="4">
        <f>'Raw Data'!F1540</f>
        <v>7200.53</v>
      </c>
      <c r="H1540" s="4">
        <f>'Raw Data'!G1540</f>
        <v>4326.8100000000004</v>
      </c>
      <c r="I1540" s="4">
        <f t="shared" si="121"/>
        <v>2873.7199999999993</v>
      </c>
      <c r="J1540" s="8">
        <f t="shared" si="122"/>
        <v>0.39909839970113303</v>
      </c>
      <c r="K1540" s="6">
        <f>'Raw Data'!I1540</f>
        <v>3.89</v>
      </c>
      <c r="L1540" s="5">
        <f>'Raw Data'!J1540</f>
        <v>25</v>
      </c>
      <c r="M1540" s="5">
        <f>IF(COUNTIFS($A$2:A1540,A1540,$D$2:D1540,D1540)=1,L1540,0)</f>
        <v>0</v>
      </c>
      <c r="N1540" s="4">
        <f t="shared" si="123"/>
        <v>288.02119999999996</v>
      </c>
      <c r="O1540" t="str">
        <f t="shared" si="124"/>
        <v>OK</v>
      </c>
    </row>
    <row r="1541" spans="1:15">
      <c r="A1541" t="str">
        <f>'Raw Data'!A1541</f>
        <v>Orlando RM-22</v>
      </c>
      <c r="B1541" t="str">
        <f>'Raw Data'!B1541</f>
        <v>Southeast</v>
      </c>
      <c r="C1541" t="str">
        <f>'Raw Data'!C1541</f>
        <v>Beauty</v>
      </c>
      <c r="D1541" s="3">
        <f>'Raw Data'!D1541</f>
        <v>45778</v>
      </c>
      <c r="E1541" t="str">
        <f t="shared" si="120"/>
        <v>May</v>
      </c>
      <c r="F1541" s="5">
        <f>'Raw Data'!E1541</f>
        <v>105</v>
      </c>
      <c r="G1541" s="4">
        <f>'Raw Data'!F1541</f>
        <v>4016.99</v>
      </c>
      <c r="H1541" s="4">
        <f>'Raw Data'!G1541</f>
        <v>1996.1</v>
      </c>
      <c r="I1541" s="4">
        <f t="shared" si="121"/>
        <v>2020.8899999999999</v>
      </c>
      <c r="J1541" s="8">
        <f t="shared" si="122"/>
        <v>0.50308564372826414</v>
      </c>
      <c r="K1541" s="6">
        <f>'Raw Data'!I1541</f>
        <v>4.1399999999999997</v>
      </c>
      <c r="L1541" s="5">
        <f>'Raw Data'!J1541</f>
        <v>25</v>
      </c>
      <c r="M1541" s="5">
        <f>IF(COUNTIFS($A$2:A1541,A1541,$D$2:D1541,D1541)=1,L1541,0)</f>
        <v>0</v>
      </c>
      <c r="N1541" s="4">
        <f t="shared" si="123"/>
        <v>160.67959999999999</v>
      </c>
      <c r="O1541" t="str">
        <f t="shared" si="124"/>
        <v>OK</v>
      </c>
    </row>
    <row r="1542" spans="1:15">
      <c r="A1542" t="str">
        <f>'Raw Data'!A1542</f>
        <v>Orlando RM-22</v>
      </c>
      <c r="B1542" t="str">
        <f>'Raw Data'!B1542</f>
        <v>Southeast</v>
      </c>
      <c r="C1542" t="str">
        <f>'Raw Data'!C1542</f>
        <v>Grocery</v>
      </c>
      <c r="D1542" s="3">
        <f>'Raw Data'!D1542</f>
        <v>45778</v>
      </c>
      <c r="E1542" t="str">
        <f t="shared" si="120"/>
        <v>May</v>
      </c>
      <c r="F1542" s="5">
        <f>'Raw Data'!E1542</f>
        <v>206</v>
      </c>
      <c r="G1542" s="4">
        <f>'Raw Data'!F1542</f>
        <v>3964.73</v>
      </c>
      <c r="H1542" s="4">
        <f>'Raw Data'!G1542</f>
        <v>3615.75</v>
      </c>
      <c r="I1542" s="4">
        <f t="shared" si="121"/>
        <v>348.98</v>
      </c>
      <c r="J1542" s="8">
        <f t="shared" si="122"/>
        <v>8.8021126280982562E-2</v>
      </c>
      <c r="K1542" s="6">
        <f>'Raw Data'!I1542</f>
        <v>4.0199999999999996</v>
      </c>
      <c r="L1542" s="5">
        <f>'Raw Data'!J1542</f>
        <v>25</v>
      </c>
      <c r="M1542" s="5">
        <f>IF(COUNTIFS($A$2:A1542,A1542,$D$2:D1542,D1542)=1,L1542,0)</f>
        <v>0</v>
      </c>
      <c r="N1542" s="4">
        <f t="shared" si="123"/>
        <v>158.58920000000001</v>
      </c>
      <c r="O1542" t="str">
        <f t="shared" si="124"/>
        <v>OK</v>
      </c>
    </row>
    <row r="1543" spans="1:15">
      <c r="A1543" t="str">
        <f>'Raw Data'!A1543</f>
        <v>Orlando RM-22</v>
      </c>
      <c r="B1543" t="str">
        <f>'Raw Data'!B1543</f>
        <v>Southeast</v>
      </c>
      <c r="C1543" t="str">
        <f>'Raw Data'!C1543</f>
        <v>Sports</v>
      </c>
      <c r="D1543" s="3">
        <f>'Raw Data'!D1543</f>
        <v>45778</v>
      </c>
      <c r="E1543" t="str">
        <f t="shared" si="120"/>
        <v>May</v>
      </c>
      <c r="F1543" s="5">
        <f>'Raw Data'!E1543</f>
        <v>140</v>
      </c>
      <c r="G1543" s="4">
        <f>'Raw Data'!F1543</f>
        <v>9261.2000000000007</v>
      </c>
      <c r="H1543" s="4">
        <f>'Raw Data'!G1543</f>
        <v>6133.88</v>
      </c>
      <c r="I1543" s="4">
        <f t="shared" si="121"/>
        <v>3127.3200000000006</v>
      </c>
      <c r="J1543" s="8">
        <f t="shared" si="122"/>
        <v>0.33767978231762624</v>
      </c>
      <c r="K1543" s="6">
        <f>'Raw Data'!I1543</f>
        <v>3.9</v>
      </c>
      <c r="L1543" s="5">
        <f>'Raw Data'!J1543</f>
        <v>25</v>
      </c>
      <c r="M1543" s="5">
        <f>IF(COUNTIFS($A$2:A1543,A1543,$D$2:D1543,D1543)=1,L1543,0)</f>
        <v>0</v>
      </c>
      <c r="N1543" s="4">
        <f t="shared" si="123"/>
        <v>370.44800000000004</v>
      </c>
      <c r="O1543" t="str">
        <f t="shared" si="124"/>
        <v>OK</v>
      </c>
    </row>
    <row r="1544" spans="1:15">
      <c r="A1544" t="str">
        <f>'Raw Data'!A1544</f>
        <v>Orlando RM-22</v>
      </c>
      <c r="B1544" t="str">
        <f>'Raw Data'!B1544</f>
        <v>Southeast</v>
      </c>
      <c r="C1544" t="str">
        <f>'Raw Data'!C1544</f>
        <v>Electronics</v>
      </c>
      <c r="D1544" s="3">
        <f>'Raw Data'!D1544</f>
        <v>45809</v>
      </c>
      <c r="E1544" t="str">
        <f t="shared" si="120"/>
        <v>Jun</v>
      </c>
      <c r="F1544" s="5">
        <f>'Raw Data'!E1544</f>
        <v>147</v>
      </c>
      <c r="G1544" s="4">
        <f>'Raw Data'!F1544</f>
        <v>21827.73</v>
      </c>
      <c r="H1544" s="4">
        <f>'Raw Data'!G1544</f>
        <v>16667.330000000002</v>
      </c>
      <c r="I1544" s="4">
        <f t="shared" si="121"/>
        <v>5160.3999999999978</v>
      </c>
      <c r="J1544" s="8">
        <f t="shared" si="122"/>
        <v>0.23641487227485394</v>
      </c>
      <c r="K1544" s="6">
        <f>'Raw Data'!I1544</f>
        <v>4.17</v>
      </c>
      <c r="L1544" s="5">
        <f>'Raw Data'!J1544</f>
        <v>26</v>
      </c>
      <c r="M1544" s="5">
        <f>IF(COUNTIFS($A$2:A1544,A1544,$D$2:D1544,D1544)=1,L1544,0)</f>
        <v>26</v>
      </c>
      <c r="N1544" s="4">
        <f t="shared" si="123"/>
        <v>839.52807692307692</v>
      </c>
      <c r="O1544" t="str">
        <f t="shared" si="124"/>
        <v>OK</v>
      </c>
    </row>
    <row r="1545" spans="1:15">
      <c r="A1545" t="str">
        <f>'Raw Data'!A1545</f>
        <v>Orlando RM-22</v>
      </c>
      <c r="B1545" t="str">
        <f>'Raw Data'!B1545</f>
        <v>Southeast</v>
      </c>
      <c r="C1545" t="str">
        <f>'Raw Data'!C1545</f>
        <v>Home Goods</v>
      </c>
      <c r="D1545" s="3">
        <f>'Raw Data'!D1545</f>
        <v>45809</v>
      </c>
      <c r="E1545" t="str">
        <f t="shared" si="120"/>
        <v>Jun</v>
      </c>
      <c r="F1545" s="5">
        <f>'Raw Data'!E1545</f>
        <v>124</v>
      </c>
      <c r="G1545" s="4">
        <f>'Raw Data'!F1545</f>
        <v>9083.01</v>
      </c>
      <c r="H1545" s="4">
        <f>'Raw Data'!G1545</f>
        <v>6110.17</v>
      </c>
      <c r="I1545" s="4">
        <f t="shared" si="121"/>
        <v>2972.84</v>
      </c>
      <c r="J1545" s="8">
        <f t="shared" si="122"/>
        <v>0.32729678817924895</v>
      </c>
      <c r="K1545" s="6">
        <f>'Raw Data'!I1545</f>
        <v>3.83</v>
      </c>
      <c r="L1545" s="5">
        <f>'Raw Data'!J1545</f>
        <v>26</v>
      </c>
      <c r="M1545" s="5">
        <f>IF(COUNTIFS($A$2:A1545,A1545,$D$2:D1545,D1545)=1,L1545,0)</f>
        <v>0</v>
      </c>
      <c r="N1545" s="4">
        <f t="shared" si="123"/>
        <v>349.34653846153844</v>
      </c>
      <c r="O1545" t="str">
        <f t="shared" si="124"/>
        <v>OK</v>
      </c>
    </row>
    <row r="1546" spans="1:15">
      <c r="A1546" t="str">
        <f>'Raw Data'!A1546</f>
        <v>Orlando RM-22</v>
      </c>
      <c r="B1546" t="str">
        <f>'Raw Data'!B1546</f>
        <v>Southeast</v>
      </c>
      <c r="C1546" t="str">
        <f>'Raw Data'!C1546</f>
        <v>Apparel</v>
      </c>
      <c r="D1546" s="3">
        <f>'Raw Data'!D1546</f>
        <v>45809</v>
      </c>
      <c r="E1546" t="str">
        <f t="shared" si="120"/>
        <v>Jun</v>
      </c>
      <c r="F1546" s="5">
        <f>'Raw Data'!E1546</f>
        <v>130</v>
      </c>
      <c r="G1546" s="4">
        <f>'Raw Data'!F1546</f>
        <v>6676.55</v>
      </c>
      <c r="H1546" s="4">
        <f>'Raw Data'!G1546</f>
        <v>4152.66</v>
      </c>
      <c r="I1546" s="4">
        <f t="shared" si="121"/>
        <v>2523.8900000000003</v>
      </c>
      <c r="J1546" s="8">
        <f t="shared" si="122"/>
        <v>0.37802308078273961</v>
      </c>
      <c r="K1546" s="6">
        <f>'Raw Data'!I1546</f>
        <v>4</v>
      </c>
      <c r="L1546" s="5">
        <f>'Raw Data'!J1546</f>
        <v>26</v>
      </c>
      <c r="M1546" s="5">
        <f>IF(COUNTIFS($A$2:A1546,A1546,$D$2:D1546,D1546)=1,L1546,0)</f>
        <v>0</v>
      </c>
      <c r="N1546" s="4">
        <f t="shared" si="123"/>
        <v>256.7903846153846</v>
      </c>
      <c r="O1546" t="str">
        <f t="shared" si="124"/>
        <v>OK</v>
      </c>
    </row>
    <row r="1547" spans="1:15">
      <c r="A1547" t="str">
        <f>'Raw Data'!A1547</f>
        <v>Orlando RM-22</v>
      </c>
      <c r="B1547" t="str">
        <f>'Raw Data'!B1547</f>
        <v>Southeast</v>
      </c>
      <c r="C1547" t="str">
        <f>'Raw Data'!C1547</f>
        <v>Beauty</v>
      </c>
      <c r="D1547" s="3">
        <f>'Raw Data'!D1547</f>
        <v>45809</v>
      </c>
      <c r="E1547" t="str">
        <f t="shared" si="120"/>
        <v>Jun</v>
      </c>
      <c r="F1547" s="5">
        <f>'Raw Data'!E1547</f>
        <v>124</v>
      </c>
      <c r="G1547" s="4">
        <f>'Raw Data'!F1547</f>
        <v>4336.45</v>
      </c>
      <c r="H1547" s="4">
        <f>'Raw Data'!G1547</f>
        <v>2087.02</v>
      </c>
      <c r="I1547" s="4">
        <f t="shared" si="121"/>
        <v>2249.4299999999998</v>
      </c>
      <c r="J1547" s="8">
        <f t="shared" si="122"/>
        <v>0.51872614696353003</v>
      </c>
      <c r="K1547" s="6">
        <f>'Raw Data'!I1547</f>
        <v>4.16</v>
      </c>
      <c r="L1547" s="5">
        <f>'Raw Data'!J1547</f>
        <v>26</v>
      </c>
      <c r="M1547" s="5">
        <f>IF(COUNTIFS($A$2:A1547,A1547,$D$2:D1547,D1547)=1,L1547,0)</f>
        <v>0</v>
      </c>
      <c r="N1547" s="4">
        <f t="shared" si="123"/>
        <v>166.78653846153844</v>
      </c>
      <c r="O1547" t="str">
        <f t="shared" si="124"/>
        <v>OK</v>
      </c>
    </row>
    <row r="1548" spans="1:15">
      <c r="A1548" t="str">
        <f>'Raw Data'!A1548</f>
        <v>Orlando RM-22</v>
      </c>
      <c r="B1548" t="str">
        <f>'Raw Data'!B1548</f>
        <v>Southeast</v>
      </c>
      <c r="C1548" t="str">
        <f>'Raw Data'!C1548</f>
        <v>Grocery</v>
      </c>
      <c r="D1548" s="3">
        <f>'Raw Data'!D1548</f>
        <v>45809</v>
      </c>
      <c r="E1548" t="str">
        <f t="shared" si="120"/>
        <v>Jun</v>
      </c>
      <c r="F1548" s="5">
        <f>'Raw Data'!E1548</f>
        <v>214</v>
      </c>
      <c r="G1548" s="4">
        <f>'Raw Data'!F1548</f>
        <v>4023.42</v>
      </c>
      <c r="H1548" s="4">
        <f>'Raw Data'!G1548</f>
        <v>3635.41</v>
      </c>
      <c r="I1548" s="4">
        <f t="shared" si="121"/>
        <v>388.01000000000022</v>
      </c>
      <c r="J1548" s="8">
        <f t="shared" si="122"/>
        <v>9.6437856351064569E-2</v>
      </c>
      <c r="K1548" s="6">
        <f>'Raw Data'!I1548</f>
        <v>3.95</v>
      </c>
      <c r="L1548" s="5">
        <f>'Raw Data'!J1548</f>
        <v>26</v>
      </c>
      <c r="M1548" s="5">
        <f>IF(COUNTIFS($A$2:A1548,A1548,$D$2:D1548,D1548)=1,L1548,0)</f>
        <v>0</v>
      </c>
      <c r="N1548" s="4">
        <f t="shared" si="123"/>
        <v>154.74692307692308</v>
      </c>
      <c r="O1548" t="str">
        <f t="shared" si="124"/>
        <v>OK</v>
      </c>
    </row>
    <row r="1549" spans="1:15">
      <c r="A1549" t="str">
        <f>'Raw Data'!A1549</f>
        <v>Orlando RM-22</v>
      </c>
      <c r="B1549" t="str">
        <f>'Raw Data'!B1549</f>
        <v>Southeast</v>
      </c>
      <c r="C1549" t="str">
        <f>'Raw Data'!C1549</f>
        <v>Sports</v>
      </c>
      <c r="D1549" s="3">
        <f>'Raw Data'!D1549</f>
        <v>45809</v>
      </c>
      <c r="E1549" t="str">
        <f t="shared" si="120"/>
        <v>Jun</v>
      </c>
      <c r="F1549" s="5">
        <f>'Raw Data'!E1549</f>
        <v>114</v>
      </c>
      <c r="G1549" s="4">
        <f>'Raw Data'!F1549</f>
        <v>6848.36</v>
      </c>
      <c r="H1549" s="4">
        <f>'Raw Data'!G1549</f>
        <v>4375.47</v>
      </c>
      <c r="I1549" s="4">
        <f t="shared" si="121"/>
        <v>2472.8899999999994</v>
      </c>
      <c r="J1549" s="8">
        <f t="shared" si="122"/>
        <v>0.36109229070901638</v>
      </c>
      <c r="K1549" s="6">
        <f>'Raw Data'!I1549</f>
        <v>4.12</v>
      </c>
      <c r="L1549" s="5">
        <f>'Raw Data'!J1549</f>
        <v>26</v>
      </c>
      <c r="M1549" s="5">
        <f>IF(COUNTIFS($A$2:A1549,A1549,$D$2:D1549,D1549)=1,L1549,0)</f>
        <v>0</v>
      </c>
      <c r="N1549" s="4">
        <f t="shared" si="123"/>
        <v>263.3984615384615</v>
      </c>
      <c r="O1549" t="str">
        <f t="shared" si="124"/>
        <v>OK</v>
      </c>
    </row>
    <row r="1550" spans="1:15">
      <c r="A1550" t="str">
        <f>'Raw Data'!A1550</f>
        <v>Orlando RM-22</v>
      </c>
      <c r="B1550" t="str">
        <f>'Raw Data'!B1550</f>
        <v>Southeast</v>
      </c>
      <c r="C1550" t="str">
        <f>'Raw Data'!C1550</f>
        <v>Electronics</v>
      </c>
      <c r="D1550" s="3">
        <f>'Raw Data'!D1550</f>
        <v>45839</v>
      </c>
      <c r="E1550" t="str">
        <f t="shared" si="120"/>
        <v>Jul</v>
      </c>
      <c r="F1550" s="5">
        <f>'Raw Data'!E1550</f>
        <v>129</v>
      </c>
      <c r="G1550" s="4">
        <f>'Raw Data'!F1550</f>
        <v>17964.88</v>
      </c>
      <c r="H1550" s="4">
        <f>'Raw Data'!G1550</f>
        <v>13942.64</v>
      </c>
      <c r="I1550" s="4">
        <f t="shared" si="121"/>
        <v>4022.2400000000016</v>
      </c>
      <c r="J1550" s="8">
        <f t="shared" si="122"/>
        <v>0.22389462106064731</v>
      </c>
      <c r="K1550" s="6">
        <f>'Raw Data'!I1550</f>
        <v>3.92</v>
      </c>
      <c r="L1550" s="5">
        <f>'Raw Data'!J1550</f>
        <v>26</v>
      </c>
      <c r="M1550" s="5">
        <f>IF(COUNTIFS($A$2:A1550,A1550,$D$2:D1550,D1550)=1,L1550,0)</f>
        <v>26</v>
      </c>
      <c r="N1550" s="4">
        <f t="shared" si="123"/>
        <v>690.95692307692309</v>
      </c>
      <c r="O1550" t="str">
        <f t="shared" si="124"/>
        <v>OK</v>
      </c>
    </row>
    <row r="1551" spans="1:15">
      <c r="A1551" t="str">
        <f>'Raw Data'!A1551</f>
        <v>Orlando RM-22</v>
      </c>
      <c r="B1551" t="str">
        <f>'Raw Data'!B1551</f>
        <v>Southeast</v>
      </c>
      <c r="C1551" t="str">
        <f>'Raw Data'!C1551</f>
        <v>Home Goods</v>
      </c>
      <c r="D1551" s="3">
        <f>'Raw Data'!D1551</f>
        <v>45839</v>
      </c>
      <c r="E1551" t="str">
        <f t="shared" si="120"/>
        <v>Jul</v>
      </c>
      <c r="F1551" s="5">
        <f>'Raw Data'!E1551</f>
        <v>131</v>
      </c>
      <c r="G1551" s="4">
        <f>'Raw Data'!F1551</f>
        <v>10219.59</v>
      </c>
      <c r="H1551" s="4">
        <f>'Raw Data'!G1551</f>
        <v>7077.28</v>
      </c>
      <c r="I1551" s="4">
        <f t="shared" si="121"/>
        <v>3142.3100000000004</v>
      </c>
      <c r="J1551" s="8">
        <f t="shared" si="122"/>
        <v>0.30747906716414264</v>
      </c>
      <c r="K1551" s="6">
        <f>'Raw Data'!I1551</f>
        <v>3.96</v>
      </c>
      <c r="L1551" s="5">
        <f>'Raw Data'!J1551</f>
        <v>26</v>
      </c>
      <c r="M1551" s="5">
        <f>IF(COUNTIFS($A$2:A1551,A1551,$D$2:D1551,D1551)=1,L1551,0)</f>
        <v>0</v>
      </c>
      <c r="N1551" s="4">
        <f t="shared" si="123"/>
        <v>393.06115384615384</v>
      </c>
      <c r="O1551" t="str">
        <f t="shared" si="124"/>
        <v>OK</v>
      </c>
    </row>
    <row r="1552" spans="1:15">
      <c r="A1552" t="str">
        <f>'Raw Data'!A1552</f>
        <v>Orlando RM-22</v>
      </c>
      <c r="B1552" t="str">
        <f>'Raw Data'!B1552</f>
        <v>Southeast</v>
      </c>
      <c r="C1552" t="str">
        <f>'Raw Data'!C1552</f>
        <v>Apparel</v>
      </c>
      <c r="D1552" s="3">
        <f>'Raw Data'!D1552</f>
        <v>45839</v>
      </c>
      <c r="E1552" t="str">
        <f t="shared" si="120"/>
        <v>Jul</v>
      </c>
      <c r="F1552" s="5">
        <f>'Raw Data'!E1552</f>
        <v>153</v>
      </c>
      <c r="G1552" s="4">
        <f>'Raw Data'!F1552</f>
        <v>6913.97</v>
      </c>
      <c r="H1552" s="4">
        <f>'Raw Data'!G1552</f>
        <v>4165.28</v>
      </c>
      <c r="I1552" s="4">
        <f t="shared" si="121"/>
        <v>2748.6900000000005</v>
      </c>
      <c r="J1552" s="8">
        <f t="shared" si="122"/>
        <v>0.39755596278259819</v>
      </c>
      <c r="K1552" s="6">
        <f>'Raw Data'!I1552</f>
        <v>3.94</v>
      </c>
      <c r="L1552" s="5">
        <f>'Raw Data'!J1552</f>
        <v>26</v>
      </c>
      <c r="M1552" s="5">
        <f>IF(COUNTIFS($A$2:A1552,A1552,$D$2:D1552,D1552)=1,L1552,0)</f>
        <v>0</v>
      </c>
      <c r="N1552" s="4">
        <f t="shared" si="123"/>
        <v>265.92192307692306</v>
      </c>
      <c r="O1552" t="str">
        <f t="shared" si="124"/>
        <v>OK</v>
      </c>
    </row>
    <row r="1553" spans="1:15">
      <c r="A1553" t="str">
        <f>'Raw Data'!A1553</f>
        <v>Orlando RM-22</v>
      </c>
      <c r="B1553" t="str">
        <f>'Raw Data'!B1553</f>
        <v>Southeast</v>
      </c>
      <c r="C1553" t="str">
        <f>'Raw Data'!C1553</f>
        <v>Beauty</v>
      </c>
      <c r="D1553" s="3">
        <f>'Raw Data'!D1553</f>
        <v>45839</v>
      </c>
      <c r="E1553" t="str">
        <f t="shared" si="120"/>
        <v>Jul</v>
      </c>
      <c r="F1553" s="5">
        <f>'Raw Data'!E1553</f>
        <v>121</v>
      </c>
      <c r="G1553" s="4">
        <f>'Raw Data'!F1553</f>
        <v>4517.2700000000004</v>
      </c>
      <c r="H1553" s="4">
        <f>'Raw Data'!G1553</f>
        <v>2265.69</v>
      </c>
      <c r="I1553" s="4">
        <f t="shared" si="121"/>
        <v>2251.5800000000004</v>
      </c>
      <c r="J1553" s="8">
        <f t="shared" si="122"/>
        <v>0.49843821600214294</v>
      </c>
      <c r="K1553" s="6">
        <f>'Raw Data'!I1553</f>
        <v>4.08</v>
      </c>
      <c r="L1553" s="5">
        <f>'Raw Data'!J1553</f>
        <v>26</v>
      </c>
      <c r="M1553" s="5">
        <f>IF(COUNTIFS($A$2:A1553,A1553,$D$2:D1553,D1553)=1,L1553,0)</f>
        <v>0</v>
      </c>
      <c r="N1553" s="4">
        <f t="shared" si="123"/>
        <v>173.74115384615385</v>
      </c>
      <c r="O1553" t="str">
        <f t="shared" si="124"/>
        <v>OK</v>
      </c>
    </row>
    <row r="1554" spans="1:15">
      <c r="A1554" t="str">
        <f>'Raw Data'!A1554</f>
        <v>Orlando RM-22</v>
      </c>
      <c r="B1554" t="str">
        <f>'Raw Data'!B1554</f>
        <v>Southeast</v>
      </c>
      <c r="C1554" t="str">
        <f>'Raw Data'!C1554</f>
        <v>Grocery</v>
      </c>
      <c r="D1554" s="3">
        <f>'Raw Data'!D1554</f>
        <v>45839</v>
      </c>
      <c r="E1554" t="str">
        <f t="shared" si="120"/>
        <v>Jul</v>
      </c>
      <c r="F1554" s="5">
        <f>'Raw Data'!E1554</f>
        <v>211</v>
      </c>
      <c r="G1554" s="4">
        <f>'Raw Data'!F1554</f>
        <v>3706.36</v>
      </c>
      <c r="H1554" s="4">
        <f>'Raw Data'!G1554</f>
        <v>3312.58</v>
      </c>
      <c r="I1554" s="4">
        <f t="shared" si="121"/>
        <v>393.7800000000002</v>
      </c>
      <c r="J1554" s="8">
        <f t="shared" si="122"/>
        <v>0.10624440151523333</v>
      </c>
      <c r="K1554" s="6">
        <f>'Raw Data'!I1554</f>
        <v>3.82</v>
      </c>
      <c r="L1554" s="5">
        <f>'Raw Data'!J1554</f>
        <v>26</v>
      </c>
      <c r="M1554" s="5">
        <f>IF(COUNTIFS($A$2:A1554,A1554,$D$2:D1554,D1554)=1,L1554,0)</f>
        <v>0</v>
      </c>
      <c r="N1554" s="4">
        <f t="shared" si="123"/>
        <v>142.55230769230769</v>
      </c>
      <c r="O1554" t="str">
        <f t="shared" si="124"/>
        <v>OK</v>
      </c>
    </row>
    <row r="1555" spans="1:15">
      <c r="A1555" t="str">
        <f>'Raw Data'!A1555</f>
        <v>Orlando RM-22</v>
      </c>
      <c r="B1555" t="str">
        <f>'Raw Data'!B1555</f>
        <v>Southeast</v>
      </c>
      <c r="C1555" t="str">
        <f>'Raw Data'!C1555</f>
        <v>Sports</v>
      </c>
      <c r="D1555" s="3">
        <f>'Raw Data'!D1555</f>
        <v>45839</v>
      </c>
      <c r="E1555" t="str">
        <f t="shared" si="120"/>
        <v>Jul</v>
      </c>
      <c r="F1555" s="5">
        <f>'Raw Data'!E1555</f>
        <v>111</v>
      </c>
      <c r="G1555" s="4">
        <f>'Raw Data'!F1555</f>
        <v>6789.79</v>
      </c>
      <c r="H1555" s="4">
        <f>'Raw Data'!G1555</f>
        <v>4383.24</v>
      </c>
      <c r="I1555" s="4">
        <f t="shared" si="121"/>
        <v>2406.5500000000002</v>
      </c>
      <c r="J1555" s="8">
        <f t="shared" si="122"/>
        <v>0.35443658787679738</v>
      </c>
      <c r="K1555" s="6">
        <f>'Raw Data'!I1555</f>
        <v>4.1500000000000004</v>
      </c>
      <c r="L1555" s="5">
        <f>'Raw Data'!J1555</f>
        <v>26</v>
      </c>
      <c r="M1555" s="5">
        <f>IF(COUNTIFS($A$2:A1555,A1555,$D$2:D1555,D1555)=1,L1555,0)</f>
        <v>0</v>
      </c>
      <c r="N1555" s="4">
        <f t="shared" si="123"/>
        <v>261.14576923076925</v>
      </c>
      <c r="O1555" t="str">
        <f t="shared" si="124"/>
        <v>OK</v>
      </c>
    </row>
    <row r="1556" spans="1:15">
      <c r="A1556" t="str">
        <f>'Raw Data'!A1556</f>
        <v>Orlando RM-22</v>
      </c>
      <c r="B1556" t="str">
        <f>'Raw Data'!B1556</f>
        <v>Southeast</v>
      </c>
      <c r="C1556" t="str">
        <f>'Raw Data'!C1556</f>
        <v>Electronics</v>
      </c>
      <c r="D1556" s="3">
        <f>'Raw Data'!D1556</f>
        <v>45870</v>
      </c>
      <c r="E1556" t="str">
        <f t="shared" si="120"/>
        <v>Aug</v>
      </c>
      <c r="F1556" s="5">
        <f>'Raw Data'!E1556</f>
        <v>145</v>
      </c>
      <c r="G1556" s="4">
        <f>'Raw Data'!F1556</f>
        <v>20884.79</v>
      </c>
      <c r="H1556" s="4">
        <f>'Raw Data'!G1556</f>
        <v>17014.669999999998</v>
      </c>
      <c r="I1556" s="4">
        <f t="shared" si="121"/>
        <v>3870.1200000000026</v>
      </c>
      <c r="J1556" s="8">
        <f t="shared" si="122"/>
        <v>0.18530806390679544</v>
      </c>
      <c r="K1556" s="6">
        <f>'Raw Data'!I1556</f>
        <v>4.07</v>
      </c>
      <c r="L1556" s="5">
        <f>'Raw Data'!J1556</f>
        <v>25</v>
      </c>
      <c r="M1556" s="5">
        <f>IF(COUNTIFS($A$2:A1556,A1556,$D$2:D1556,D1556)=1,L1556,0)</f>
        <v>25</v>
      </c>
      <c r="N1556" s="4">
        <f t="shared" si="123"/>
        <v>835.39160000000004</v>
      </c>
      <c r="O1556" t="str">
        <f t="shared" si="124"/>
        <v>OK</v>
      </c>
    </row>
    <row r="1557" spans="1:15">
      <c r="A1557" t="str">
        <f>'Raw Data'!A1557</f>
        <v>Orlando RM-22</v>
      </c>
      <c r="B1557" t="str">
        <f>'Raw Data'!B1557</f>
        <v>Southeast</v>
      </c>
      <c r="C1557" t="str">
        <f>'Raw Data'!C1557</f>
        <v>Home Goods</v>
      </c>
      <c r="D1557" s="3">
        <f>'Raw Data'!D1557</f>
        <v>45870</v>
      </c>
      <c r="E1557" t="str">
        <f t="shared" si="120"/>
        <v>Aug</v>
      </c>
      <c r="F1557" s="5">
        <f>'Raw Data'!E1557</f>
        <v>120</v>
      </c>
      <c r="G1557" s="4">
        <f>'Raw Data'!F1557</f>
        <v>8741.64</v>
      </c>
      <c r="H1557" s="4">
        <f>'Raw Data'!G1557</f>
        <v>6102.1</v>
      </c>
      <c r="I1557" s="4">
        <f t="shared" si="121"/>
        <v>2639.5399999999991</v>
      </c>
      <c r="J1557" s="8">
        <f t="shared" si="122"/>
        <v>0.30195020613980894</v>
      </c>
      <c r="K1557" s="6">
        <f>'Raw Data'!I1557</f>
        <v>3.84</v>
      </c>
      <c r="L1557" s="5">
        <f>'Raw Data'!J1557</f>
        <v>25</v>
      </c>
      <c r="M1557" s="5">
        <f>IF(COUNTIFS($A$2:A1557,A1557,$D$2:D1557,D1557)=1,L1557,0)</f>
        <v>0</v>
      </c>
      <c r="N1557" s="4">
        <f t="shared" si="123"/>
        <v>349.66559999999998</v>
      </c>
      <c r="O1557" t="str">
        <f t="shared" si="124"/>
        <v>OK</v>
      </c>
    </row>
    <row r="1558" spans="1:15">
      <c r="A1558" t="str">
        <f>'Raw Data'!A1558</f>
        <v>Orlando RM-22</v>
      </c>
      <c r="B1558" t="str">
        <f>'Raw Data'!B1558</f>
        <v>Southeast</v>
      </c>
      <c r="C1558" t="str">
        <f>'Raw Data'!C1558</f>
        <v>Apparel</v>
      </c>
      <c r="D1558" s="3">
        <f>'Raw Data'!D1558</f>
        <v>45870</v>
      </c>
      <c r="E1558" t="str">
        <f t="shared" si="120"/>
        <v>Aug</v>
      </c>
      <c r="F1558" s="5">
        <f>'Raw Data'!E1558</f>
        <v>182</v>
      </c>
      <c r="G1558" s="4">
        <f>'Raw Data'!F1558</f>
        <v>8814.6</v>
      </c>
      <c r="H1558" s="4">
        <f>'Raw Data'!G1558</f>
        <v>5429.78</v>
      </c>
      <c r="I1558" s="4">
        <f t="shared" si="121"/>
        <v>3384.8200000000006</v>
      </c>
      <c r="J1558" s="8">
        <f t="shared" si="122"/>
        <v>0.38400154289474286</v>
      </c>
      <c r="K1558" s="6">
        <f>'Raw Data'!I1558</f>
        <v>3.99</v>
      </c>
      <c r="L1558" s="5">
        <f>'Raw Data'!J1558</f>
        <v>25</v>
      </c>
      <c r="M1558" s="5">
        <f>IF(COUNTIFS($A$2:A1558,A1558,$D$2:D1558,D1558)=1,L1558,0)</f>
        <v>0</v>
      </c>
      <c r="N1558" s="4">
        <f t="shared" si="123"/>
        <v>352.584</v>
      </c>
      <c r="O1558" t="str">
        <f t="shared" si="124"/>
        <v>OK</v>
      </c>
    </row>
    <row r="1559" spans="1:15">
      <c r="A1559" t="str">
        <f>'Raw Data'!A1559</f>
        <v>Orlando RM-22</v>
      </c>
      <c r="B1559" t="str">
        <f>'Raw Data'!B1559</f>
        <v>Southeast</v>
      </c>
      <c r="C1559" t="str">
        <f>'Raw Data'!C1559</f>
        <v>Beauty</v>
      </c>
      <c r="D1559" s="3">
        <f>'Raw Data'!D1559</f>
        <v>45870</v>
      </c>
      <c r="E1559" t="str">
        <f t="shared" si="120"/>
        <v>Aug</v>
      </c>
      <c r="F1559" s="5">
        <f>'Raw Data'!E1559</f>
        <v>131</v>
      </c>
      <c r="G1559" s="4">
        <f>'Raw Data'!F1559</f>
        <v>4492.2299999999996</v>
      </c>
      <c r="H1559" s="4">
        <f>'Raw Data'!G1559</f>
        <v>2283.5500000000002</v>
      </c>
      <c r="I1559" s="4">
        <f t="shared" si="121"/>
        <v>2208.6799999999994</v>
      </c>
      <c r="J1559" s="8">
        <f t="shared" si="122"/>
        <v>0.49166672231831399</v>
      </c>
      <c r="K1559" s="6">
        <f>'Raw Data'!I1559</f>
        <v>3.98</v>
      </c>
      <c r="L1559" s="5">
        <f>'Raw Data'!J1559</f>
        <v>25</v>
      </c>
      <c r="M1559" s="5">
        <f>IF(COUNTIFS($A$2:A1559,A1559,$D$2:D1559,D1559)=1,L1559,0)</f>
        <v>0</v>
      </c>
      <c r="N1559" s="4">
        <f t="shared" si="123"/>
        <v>179.68919999999997</v>
      </c>
      <c r="O1559" t="str">
        <f t="shared" si="124"/>
        <v>OK</v>
      </c>
    </row>
    <row r="1560" spans="1:15">
      <c r="A1560" t="str">
        <f>'Raw Data'!A1560</f>
        <v>Orlando RM-22</v>
      </c>
      <c r="B1560" t="str">
        <f>'Raw Data'!B1560</f>
        <v>Southeast</v>
      </c>
      <c r="C1560" t="str">
        <f>'Raw Data'!C1560</f>
        <v>Grocery</v>
      </c>
      <c r="D1560" s="3">
        <f>'Raw Data'!D1560</f>
        <v>45870</v>
      </c>
      <c r="E1560" t="str">
        <f t="shared" si="120"/>
        <v>Aug</v>
      </c>
      <c r="F1560" s="5">
        <f>'Raw Data'!E1560</f>
        <v>207</v>
      </c>
      <c r="G1560" s="4">
        <f>'Raw Data'!F1560</f>
        <v>4012.87</v>
      </c>
      <c r="H1560" s="4">
        <f>'Raw Data'!G1560</f>
        <v>3699.69</v>
      </c>
      <c r="I1560" s="4">
        <f t="shared" si="121"/>
        <v>313.17999999999984</v>
      </c>
      <c r="J1560" s="8">
        <f t="shared" si="122"/>
        <v>7.8043893771789233E-2</v>
      </c>
      <c r="K1560" s="6">
        <f>'Raw Data'!I1560</f>
        <v>4.1399999999999997</v>
      </c>
      <c r="L1560" s="5">
        <f>'Raw Data'!J1560</f>
        <v>25</v>
      </c>
      <c r="M1560" s="5">
        <f>IF(COUNTIFS($A$2:A1560,A1560,$D$2:D1560,D1560)=1,L1560,0)</f>
        <v>0</v>
      </c>
      <c r="N1560" s="4">
        <f t="shared" si="123"/>
        <v>160.51480000000001</v>
      </c>
      <c r="O1560" t="str">
        <f t="shared" si="124"/>
        <v>OK</v>
      </c>
    </row>
    <row r="1561" spans="1:15">
      <c r="A1561" t="str">
        <f>'Raw Data'!A1561</f>
        <v>Orlando RM-22</v>
      </c>
      <c r="B1561" t="str">
        <f>'Raw Data'!B1561</f>
        <v>Southeast</v>
      </c>
      <c r="C1561" t="str">
        <f>'Raw Data'!C1561</f>
        <v>Sports</v>
      </c>
      <c r="D1561" s="3">
        <f>'Raw Data'!D1561</f>
        <v>45870</v>
      </c>
      <c r="E1561" t="str">
        <f t="shared" si="120"/>
        <v>Aug</v>
      </c>
      <c r="F1561" s="5">
        <f>'Raw Data'!E1561</f>
        <v>129</v>
      </c>
      <c r="G1561" s="4">
        <f>'Raw Data'!F1561</f>
        <v>7832.76</v>
      </c>
      <c r="H1561" s="4">
        <f>'Raw Data'!G1561</f>
        <v>5141.92</v>
      </c>
      <c r="I1561" s="4">
        <f t="shared" si="121"/>
        <v>2690.84</v>
      </c>
      <c r="J1561" s="8">
        <f t="shared" si="122"/>
        <v>0.34353663331954509</v>
      </c>
      <c r="K1561" s="6">
        <f>'Raw Data'!I1561</f>
        <v>3.98</v>
      </c>
      <c r="L1561" s="5">
        <f>'Raw Data'!J1561</f>
        <v>25</v>
      </c>
      <c r="M1561" s="5">
        <f>IF(COUNTIFS($A$2:A1561,A1561,$D$2:D1561,D1561)=1,L1561,0)</f>
        <v>0</v>
      </c>
      <c r="N1561" s="4">
        <f t="shared" si="123"/>
        <v>313.31040000000002</v>
      </c>
      <c r="O1561" t="str">
        <f t="shared" si="124"/>
        <v>OK</v>
      </c>
    </row>
    <row r="1562" spans="1:15">
      <c r="A1562" t="str">
        <f>'Raw Data'!A1562</f>
        <v>Orlando RM-22</v>
      </c>
      <c r="B1562" t="str">
        <f>'Raw Data'!B1562</f>
        <v>Southeast</v>
      </c>
      <c r="C1562" t="str">
        <f>'Raw Data'!C1562</f>
        <v>Electronics</v>
      </c>
      <c r="D1562" s="3">
        <f>'Raw Data'!D1562</f>
        <v>45901</v>
      </c>
      <c r="E1562" t="str">
        <f t="shared" si="120"/>
        <v>Sep</v>
      </c>
      <c r="F1562" s="5">
        <f>'Raw Data'!E1562</f>
        <v>114</v>
      </c>
      <c r="G1562" s="4">
        <f>'Raw Data'!F1562</f>
        <v>16148.59</v>
      </c>
      <c r="H1562" s="4">
        <f>'Raw Data'!G1562</f>
        <v>12741.99</v>
      </c>
      <c r="I1562" s="4">
        <f t="shared" si="121"/>
        <v>3406.6000000000004</v>
      </c>
      <c r="J1562" s="8">
        <f t="shared" si="122"/>
        <v>0.21095340212365293</v>
      </c>
      <c r="K1562" s="6">
        <f>'Raw Data'!I1562</f>
        <v>4.1500000000000004</v>
      </c>
      <c r="L1562" s="5">
        <f>'Raw Data'!J1562</f>
        <v>25</v>
      </c>
      <c r="M1562" s="5">
        <f>IF(COUNTIFS($A$2:A1562,A1562,$D$2:D1562,D1562)=1,L1562,0)</f>
        <v>25</v>
      </c>
      <c r="N1562" s="4">
        <f t="shared" si="123"/>
        <v>645.94360000000006</v>
      </c>
      <c r="O1562" t="str">
        <f t="shared" si="124"/>
        <v>OK</v>
      </c>
    </row>
    <row r="1563" spans="1:15">
      <c r="A1563" t="str">
        <f>'Raw Data'!A1563</f>
        <v>Orlando RM-22</v>
      </c>
      <c r="B1563" t="str">
        <f>'Raw Data'!B1563</f>
        <v>Southeast</v>
      </c>
      <c r="C1563" t="str">
        <f>'Raw Data'!C1563</f>
        <v>Home Goods</v>
      </c>
      <c r="D1563" s="3">
        <f>'Raw Data'!D1563</f>
        <v>45901</v>
      </c>
      <c r="E1563" t="str">
        <f t="shared" si="120"/>
        <v>Sep</v>
      </c>
      <c r="F1563" s="5">
        <f>'Raw Data'!E1563</f>
        <v>104</v>
      </c>
      <c r="G1563" s="4">
        <f>'Raw Data'!F1563</f>
        <v>7778.93</v>
      </c>
      <c r="H1563" s="4">
        <f>'Raw Data'!G1563</f>
        <v>5510.71</v>
      </c>
      <c r="I1563" s="4">
        <f t="shared" si="121"/>
        <v>2268.2200000000003</v>
      </c>
      <c r="J1563" s="8">
        <f t="shared" si="122"/>
        <v>0.29158508946603195</v>
      </c>
      <c r="K1563" s="6">
        <f>'Raw Data'!I1563</f>
        <v>4.0999999999999996</v>
      </c>
      <c r="L1563" s="5">
        <f>'Raw Data'!J1563</f>
        <v>25</v>
      </c>
      <c r="M1563" s="5">
        <f>IF(COUNTIFS($A$2:A1563,A1563,$D$2:D1563,D1563)=1,L1563,0)</f>
        <v>0</v>
      </c>
      <c r="N1563" s="4">
        <f t="shared" si="123"/>
        <v>311.15719999999999</v>
      </c>
      <c r="O1563" t="str">
        <f t="shared" si="124"/>
        <v>OK</v>
      </c>
    </row>
    <row r="1564" spans="1:15">
      <c r="A1564" t="str">
        <f>'Raw Data'!A1564</f>
        <v>Orlando RM-22</v>
      </c>
      <c r="B1564" t="str">
        <f>'Raw Data'!B1564</f>
        <v>Southeast</v>
      </c>
      <c r="C1564" t="str">
        <f>'Raw Data'!C1564</f>
        <v>Apparel</v>
      </c>
      <c r="D1564" s="3">
        <f>'Raw Data'!D1564</f>
        <v>45901</v>
      </c>
      <c r="E1564" t="str">
        <f t="shared" si="120"/>
        <v>Sep</v>
      </c>
      <c r="F1564" s="5">
        <f>'Raw Data'!E1564</f>
        <v>158</v>
      </c>
      <c r="G1564" s="4">
        <f>'Raw Data'!F1564</f>
        <v>7826.98</v>
      </c>
      <c r="H1564" s="4">
        <f>'Raw Data'!G1564</f>
        <v>5003.3</v>
      </c>
      <c r="I1564" s="4">
        <f t="shared" si="121"/>
        <v>2823.6799999999994</v>
      </c>
      <c r="J1564" s="8">
        <f t="shared" si="122"/>
        <v>0.36076238855854997</v>
      </c>
      <c r="K1564" s="6">
        <f>'Raw Data'!I1564</f>
        <v>3.84</v>
      </c>
      <c r="L1564" s="5">
        <f>'Raw Data'!J1564</f>
        <v>25</v>
      </c>
      <c r="M1564" s="5">
        <f>IF(COUNTIFS($A$2:A1564,A1564,$D$2:D1564,D1564)=1,L1564,0)</f>
        <v>0</v>
      </c>
      <c r="N1564" s="4">
        <f t="shared" si="123"/>
        <v>313.07919999999996</v>
      </c>
      <c r="O1564" t="str">
        <f t="shared" si="124"/>
        <v>OK</v>
      </c>
    </row>
    <row r="1565" spans="1:15">
      <c r="A1565" t="str">
        <f>'Raw Data'!A1565</f>
        <v>Orlando RM-22</v>
      </c>
      <c r="B1565" t="str">
        <f>'Raw Data'!B1565</f>
        <v>Southeast</v>
      </c>
      <c r="C1565" t="str">
        <f>'Raw Data'!C1565</f>
        <v>Beauty</v>
      </c>
      <c r="D1565" s="3">
        <f>'Raw Data'!D1565</f>
        <v>45901</v>
      </c>
      <c r="E1565" t="str">
        <f t="shared" si="120"/>
        <v>Sep</v>
      </c>
      <c r="F1565" s="5">
        <f>'Raw Data'!E1565</f>
        <v>136</v>
      </c>
      <c r="G1565" s="4">
        <f>'Raw Data'!F1565</f>
        <v>4704.1099999999997</v>
      </c>
      <c r="H1565" s="4">
        <f>'Raw Data'!G1565</f>
        <v>2350.96</v>
      </c>
      <c r="I1565" s="4">
        <f t="shared" si="121"/>
        <v>2353.1499999999996</v>
      </c>
      <c r="J1565" s="8">
        <f t="shared" si="122"/>
        <v>0.50023277516894793</v>
      </c>
      <c r="K1565" s="6">
        <f>'Raw Data'!I1565</f>
        <v>3.84</v>
      </c>
      <c r="L1565" s="5">
        <f>'Raw Data'!J1565</f>
        <v>25</v>
      </c>
      <c r="M1565" s="5">
        <f>IF(COUNTIFS($A$2:A1565,A1565,$D$2:D1565,D1565)=1,L1565,0)</f>
        <v>0</v>
      </c>
      <c r="N1565" s="4">
        <f t="shared" si="123"/>
        <v>188.1644</v>
      </c>
      <c r="O1565" t="str">
        <f t="shared" si="124"/>
        <v>OK</v>
      </c>
    </row>
    <row r="1566" spans="1:15">
      <c r="A1566" t="str">
        <f>'Raw Data'!A1566</f>
        <v>Orlando RM-22</v>
      </c>
      <c r="B1566" t="str">
        <f>'Raw Data'!B1566</f>
        <v>Southeast</v>
      </c>
      <c r="C1566" t="str">
        <f>'Raw Data'!C1566</f>
        <v>Grocery</v>
      </c>
      <c r="D1566" s="3">
        <f>'Raw Data'!D1566</f>
        <v>45901</v>
      </c>
      <c r="E1566" t="str">
        <f t="shared" si="120"/>
        <v>Sep</v>
      </c>
      <c r="F1566" s="5">
        <f>'Raw Data'!E1566</f>
        <v>197</v>
      </c>
      <c r="G1566" s="4">
        <f>'Raw Data'!F1566</f>
        <v>3549.9</v>
      </c>
      <c r="H1566" s="4">
        <f>'Raw Data'!G1566</f>
        <v>3392.19</v>
      </c>
      <c r="I1566" s="4">
        <f t="shared" si="121"/>
        <v>157.71000000000004</v>
      </c>
      <c r="J1566" s="8">
        <f t="shared" si="122"/>
        <v>4.442660356629765E-2</v>
      </c>
      <c r="K1566" s="6">
        <f>'Raw Data'!I1566</f>
        <v>4.13</v>
      </c>
      <c r="L1566" s="5">
        <f>'Raw Data'!J1566</f>
        <v>25</v>
      </c>
      <c r="M1566" s="5">
        <f>IF(COUNTIFS($A$2:A1566,A1566,$D$2:D1566,D1566)=1,L1566,0)</f>
        <v>0</v>
      </c>
      <c r="N1566" s="4">
        <f t="shared" si="123"/>
        <v>141.99600000000001</v>
      </c>
      <c r="O1566" t="str">
        <f t="shared" si="124"/>
        <v>OK</v>
      </c>
    </row>
    <row r="1567" spans="1:15">
      <c r="A1567" t="str">
        <f>'Raw Data'!A1567</f>
        <v>Orlando RM-22</v>
      </c>
      <c r="B1567" t="str">
        <f>'Raw Data'!B1567</f>
        <v>Southeast</v>
      </c>
      <c r="C1567" t="str">
        <f>'Raw Data'!C1567</f>
        <v>Sports</v>
      </c>
      <c r="D1567" s="3">
        <f>'Raw Data'!D1567</f>
        <v>45901</v>
      </c>
      <c r="E1567" t="str">
        <f t="shared" si="120"/>
        <v>Sep</v>
      </c>
      <c r="F1567" s="5">
        <f>'Raw Data'!E1567</f>
        <v>101</v>
      </c>
      <c r="G1567" s="4">
        <f>'Raw Data'!F1567</f>
        <v>5922.04</v>
      </c>
      <c r="H1567" s="4">
        <f>'Raw Data'!G1567</f>
        <v>3921.87</v>
      </c>
      <c r="I1567" s="4">
        <f t="shared" si="121"/>
        <v>2000.17</v>
      </c>
      <c r="J1567" s="8">
        <f t="shared" si="122"/>
        <v>0.33775016717212314</v>
      </c>
      <c r="K1567" s="6">
        <f>'Raw Data'!I1567</f>
        <v>4.08</v>
      </c>
      <c r="L1567" s="5">
        <f>'Raw Data'!J1567</f>
        <v>25</v>
      </c>
      <c r="M1567" s="5">
        <f>IF(COUNTIFS($A$2:A1567,A1567,$D$2:D1567,D1567)=1,L1567,0)</f>
        <v>0</v>
      </c>
      <c r="N1567" s="4">
        <f t="shared" si="123"/>
        <v>236.88159999999999</v>
      </c>
      <c r="O1567" t="str">
        <f t="shared" si="124"/>
        <v>OK</v>
      </c>
    </row>
    <row r="1568" spans="1:15">
      <c r="A1568" t="str">
        <f>'Raw Data'!A1568</f>
        <v>Orlando RM-22</v>
      </c>
      <c r="B1568" t="str">
        <f>'Raw Data'!B1568</f>
        <v>Southeast</v>
      </c>
      <c r="C1568" t="str">
        <f>'Raw Data'!C1568</f>
        <v>Electronics</v>
      </c>
      <c r="D1568" s="3">
        <f>'Raw Data'!D1568</f>
        <v>45931</v>
      </c>
      <c r="E1568" t="str">
        <f t="shared" si="120"/>
        <v>Oct</v>
      </c>
      <c r="F1568" s="5">
        <f>'Raw Data'!E1568</f>
        <v>129</v>
      </c>
      <c r="G1568" s="4">
        <f>'Raw Data'!F1568</f>
        <v>19467.55</v>
      </c>
      <c r="H1568" s="4">
        <f>'Raw Data'!G1568</f>
        <v>15321.39</v>
      </c>
      <c r="I1568" s="4">
        <f t="shared" si="121"/>
        <v>4146.16</v>
      </c>
      <c r="J1568" s="8">
        <f t="shared" si="122"/>
        <v>0.21297800699112113</v>
      </c>
      <c r="K1568" s="6">
        <f>'Raw Data'!I1568</f>
        <v>3.95</v>
      </c>
      <c r="L1568" s="5">
        <f>'Raw Data'!J1568</f>
        <v>26</v>
      </c>
      <c r="M1568" s="5">
        <f>IF(COUNTIFS($A$2:A1568,A1568,$D$2:D1568,D1568)=1,L1568,0)</f>
        <v>26</v>
      </c>
      <c r="N1568" s="4">
        <f t="shared" si="123"/>
        <v>748.75192307692305</v>
      </c>
      <c r="O1568" t="str">
        <f t="shared" si="124"/>
        <v>OK</v>
      </c>
    </row>
    <row r="1569" spans="1:15">
      <c r="A1569" t="str">
        <f>'Raw Data'!A1569</f>
        <v>Orlando RM-22</v>
      </c>
      <c r="B1569" t="str">
        <f>'Raw Data'!B1569</f>
        <v>Southeast</v>
      </c>
      <c r="C1569" t="str">
        <f>'Raw Data'!C1569</f>
        <v>Home Goods</v>
      </c>
      <c r="D1569" s="3">
        <f>'Raw Data'!D1569</f>
        <v>45931</v>
      </c>
      <c r="E1569" t="str">
        <f t="shared" si="120"/>
        <v>Oct</v>
      </c>
      <c r="F1569" s="5">
        <f>'Raw Data'!E1569</f>
        <v>122</v>
      </c>
      <c r="G1569" s="4">
        <f>'Raw Data'!F1569</f>
        <v>8980.14</v>
      </c>
      <c r="H1569" s="4">
        <f>'Raw Data'!G1569</f>
        <v>6151.49</v>
      </c>
      <c r="I1569" s="4">
        <f t="shared" si="121"/>
        <v>2828.6499999999996</v>
      </c>
      <c r="J1569" s="8">
        <f t="shared" si="122"/>
        <v>0.31498952132149388</v>
      </c>
      <c r="K1569" s="6">
        <f>'Raw Data'!I1569</f>
        <v>4.12</v>
      </c>
      <c r="L1569" s="5">
        <f>'Raw Data'!J1569</f>
        <v>26</v>
      </c>
      <c r="M1569" s="5">
        <f>IF(COUNTIFS($A$2:A1569,A1569,$D$2:D1569,D1569)=1,L1569,0)</f>
        <v>0</v>
      </c>
      <c r="N1569" s="4">
        <f t="shared" si="123"/>
        <v>345.39</v>
      </c>
      <c r="O1569" t="str">
        <f t="shared" si="124"/>
        <v>OK</v>
      </c>
    </row>
    <row r="1570" spans="1:15">
      <c r="A1570" t="str">
        <f>'Raw Data'!A1570</f>
        <v>Orlando RM-22</v>
      </c>
      <c r="B1570" t="str">
        <f>'Raw Data'!B1570</f>
        <v>Southeast</v>
      </c>
      <c r="C1570" t="str">
        <f>'Raw Data'!C1570</f>
        <v>Apparel</v>
      </c>
      <c r="D1570" s="3">
        <f>'Raw Data'!D1570</f>
        <v>45931</v>
      </c>
      <c r="E1570" t="str">
        <f t="shared" si="120"/>
        <v>Oct</v>
      </c>
      <c r="F1570" s="5">
        <f>'Raw Data'!E1570</f>
        <v>153</v>
      </c>
      <c r="G1570" s="4">
        <f>'Raw Data'!F1570</f>
        <v>7482.47</v>
      </c>
      <c r="H1570" s="4">
        <f>'Raw Data'!G1570</f>
        <v>4790.32</v>
      </c>
      <c r="I1570" s="4">
        <f t="shared" si="121"/>
        <v>2692.1500000000005</v>
      </c>
      <c r="J1570" s="8">
        <f t="shared" si="122"/>
        <v>0.35979429252639844</v>
      </c>
      <c r="K1570" s="6">
        <f>'Raw Data'!I1570</f>
        <v>3.9</v>
      </c>
      <c r="L1570" s="5">
        <f>'Raw Data'!J1570</f>
        <v>26</v>
      </c>
      <c r="M1570" s="5">
        <f>IF(COUNTIFS($A$2:A1570,A1570,$D$2:D1570,D1570)=1,L1570,0)</f>
        <v>0</v>
      </c>
      <c r="N1570" s="4">
        <f t="shared" si="123"/>
        <v>287.78730769230771</v>
      </c>
      <c r="O1570" t="str">
        <f t="shared" si="124"/>
        <v>OK</v>
      </c>
    </row>
    <row r="1571" spans="1:15">
      <c r="A1571" t="str">
        <f>'Raw Data'!A1571</f>
        <v>Orlando RM-22</v>
      </c>
      <c r="B1571" t="str">
        <f>'Raw Data'!B1571</f>
        <v>Southeast</v>
      </c>
      <c r="C1571" t="str">
        <f>'Raw Data'!C1571</f>
        <v>Beauty</v>
      </c>
      <c r="D1571" s="3">
        <f>'Raw Data'!D1571</f>
        <v>45931</v>
      </c>
      <c r="E1571" t="str">
        <f t="shared" si="120"/>
        <v>Oct</v>
      </c>
      <c r="F1571" s="5">
        <f>'Raw Data'!E1571</f>
        <v>109</v>
      </c>
      <c r="G1571" s="4">
        <f>'Raw Data'!F1571</f>
        <v>4236.82</v>
      </c>
      <c r="H1571" s="4">
        <f>'Raw Data'!G1571</f>
        <v>2112.9299999999998</v>
      </c>
      <c r="I1571" s="4">
        <f t="shared" si="121"/>
        <v>2123.89</v>
      </c>
      <c r="J1571" s="8">
        <f t="shared" si="122"/>
        <v>0.50129342289736167</v>
      </c>
      <c r="K1571" s="6">
        <f>'Raw Data'!I1571</f>
        <v>4.0999999999999996</v>
      </c>
      <c r="L1571" s="5">
        <f>'Raw Data'!J1571</f>
        <v>26</v>
      </c>
      <c r="M1571" s="5">
        <f>IF(COUNTIFS($A$2:A1571,A1571,$D$2:D1571,D1571)=1,L1571,0)</f>
        <v>0</v>
      </c>
      <c r="N1571" s="4">
        <f t="shared" si="123"/>
        <v>162.95461538461538</v>
      </c>
      <c r="O1571" t="str">
        <f t="shared" si="124"/>
        <v>OK</v>
      </c>
    </row>
    <row r="1572" spans="1:15">
      <c r="A1572" t="str">
        <f>'Raw Data'!A1572</f>
        <v>Orlando RM-22</v>
      </c>
      <c r="B1572" t="str">
        <f>'Raw Data'!B1572</f>
        <v>Southeast</v>
      </c>
      <c r="C1572" t="str">
        <f>'Raw Data'!C1572</f>
        <v>Grocery</v>
      </c>
      <c r="D1572" s="3">
        <f>'Raw Data'!D1572</f>
        <v>45931</v>
      </c>
      <c r="E1572" t="str">
        <f t="shared" si="120"/>
        <v>Oct</v>
      </c>
      <c r="F1572" s="5">
        <f>'Raw Data'!E1572</f>
        <v>226</v>
      </c>
      <c r="G1572" s="4">
        <f>'Raw Data'!F1572</f>
        <v>3964.11</v>
      </c>
      <c r="H1572" s="4">
        <f>'Raw Data'!G1572</f>
        <v>3702.06</v>
      </c>
      <c r="I1572" s="4">
        <f t="shared" si="121"/>
        <v>262.05000000000018</v>
      </c>
      <c r="J1572" s="8">
        <f t="shared" si="122"/>
        <v>6.61056327902102E-2</v>
      </c>
      <c r="K1572" s="6">
        <f>'Raw Data'!I1572</f>
        <v>3.83</v>
      </c>
      <c r="L1572" s="5">
        <f>'Raw Data'!J1572</f>
        <v>26</v>
      </c>
      <c r="M1572" s="5">
        <f>IF(COUNTIFS($A$2:A1572,A1572,$D$2:D1572,D1572)=1,L1572,0)</f>
        <v>0</v>
      </c>
      <c r="N1572" s="4">
        <f t="shared" si="123"/>
        <v>152.46576923076924</v>
      </c>
      <c r="O1572" t="str">
        <f t="shared" si="124"/>
        <v>OK</v>
      </c>
    </row>
    <row r="1573" spans="1:15">
      <c r="A1573" t="str">
        <f>'Raw Data'!A1573</f>
        <v>Orlando RM-22</v>
      </c>
      <c r="B1573" t="str">
        <f>'Raw Data'!B1573</f>
        <v>Southeast</v>
      </c>
      <c r="C1573" t="str">
        <f>'Raw Data'!C1573</f>
        <v>Sports</v>
      </c>
      <c r="D1573" s="3">
        <f>'Raw Data'!D1573</f>
        <v>45931</v>
      </c>
      <c r="E1573" t="str">
        <f t="shared" si="120"/>
        <v>Oct</v>
      </c>
      <c r="F1573" s="5">
        <f>'Raw Data'!E1573</f>
        <v>111</v>
      </c>
      <c r="G1573" s="4">
        <f>'Raw Data'!F1573</f>
        <v>6785.74</v>
      </c>
      <c r="H1573" s="4">
        <f>'Raw Data'!G1573</f>
        <v>4514.3900000000003</v>
      </c>
      <c r="I1573" s="4">
        <f t="shared" si="121"/>
        <v>2271.3499999999995</v>
      </c>
      <c r="J1573" s="8">
        <f t="shared" si="122"/>
        <v>0.33472399473012515</v>
      </c>
      <c r="K1573" s="6">
        <f>'Raw Data'!I1573</f>
        <v>4.18</v>
      </c>
      <c r="L1573" s="5">
        <f>'Raw Data'!J1573</f>
        <v>26</v>
      </c>
      <c r="M1573" s="5">
        <f>IF(COUNTIFS($A$2:A1573,A1573,$D$2:D1573,D1573)=1,L1573,0)</f>
        <v>0</v>
      </c>
      <c r="N1573" s="4">
        <f t="shared" si="123"/>
        <v>260.99</v>
      </c>
      <c r="O1573" t="str">
        <f t="shared" si="124"/>
        <v>OK</v>
      </c>
    </row>
    <row r="1574" spans="1:15">
      <c r="A1574" t="str">
        <f>'Raw Data'!A1574</f>
        <v>Orlando RM-22</v>
      </c>
      <c r="B1574" t="str">
        <f>'Raw Data'!B1574</f>
        <v>Southeast</v>
      </c>
      <c r="C1574" t="str">
        <f>'Raw Data'!C1574</f>
        <v>Electronics</v>
      </c>
      <c r="D1574" s="3">
        <f>'Raw Data'!D1574</f>
        <v>45962</v>
      </c>
      <c r="E1574" t="str">
        <f t="shared" si="120"/>
        <v>Nov</v>
      </c>
      <c r="F1574" s="5">
        <f>'Raw Data'!E1574</f>
        <v>199</v>
      </c>
      <c r="G1574" s="4">
        <f>'Raw Data'!F1574</f>
        <v>30966.34</v>
      </c>
      <c r="H1574" s="4">
        <f>'Raw Data'!G1574</f>
        <v>25589.88</v>
      </c>
      <c r="I1574" s="4">
        <f t="shared" si="121"/>
        <v>5376.4599999999991</v>
      </c>
      <c r="J1574" s="8">
        <f t="shared" si="122"/>
        <v>0.17362271421162459</v>
      </c>
      <c r="K1574" s="6">
        <f>'Raw Data'!I1574</f>
        <v>3.88</v>
      </c>
      <c r="L1574" s="5">
        <f>'Raw Data'!J1574</f>
        <v>26</v>
      </c>
      <c r="M1574" s="5">
        <f>IF(COUNTIFS($A$2:A1574,A1574,$D$2:D1574,D1574)=1,L1574,0)</f>
        <v>26</v>
      </c>
      <c r="N1574" s="4">
        <f t="shared" si="123"/>
        <v>1191.0130769230768</v>
      </c>
      <c r="O1574" t="str">
        <f t="shared" si="124"/>
        <v>OK</v>
      </c>
    </row>
    <row r="1575" spans="1:15">
      <c r="A1575" t="str">
        <f>'Raw Data'!A1575</f>
        <v>Orlando RM-22</v>
      </c>
      <c r="B1575" t="str">
        <f>'Raw Data'!B1575</f>
        <v>Southeast</v>
      </c>
      <c r="C1575" t="str">
        <f>'Raw Data'!C1575</f>
        <v>Home Goods</v>
      </c>
      <c r="D1575" s="3">
        <f>'Raw Data'!D1575</f>
        <v>45962</v>
      </c>
      <c r="E1575" t="str">
        <f t="shared" si="120"/>
        <v>Nov</v>
      </c>
      <c r="F1575" s="5">
        <f>'Raw Data'!E1575</f>
        <v>154</v>
      </c>
      <c r="G1575" s="4">
        <f>'Raw Data'!F1575</f>
        <v>11134.59</v>
      </c>
      <c r="H1575" s="4">
        <f>'Raw Data'!G1575</f>
        <v>7948.86</v>
      </c>
      <c r="I1575" s="4">
        <f t="shared" si="121"/>
        <v>3185.7300000000005</v>
      </c>
      <c r="J1575" s="8">
        <f t="shared" si="122"/>
        <v>0.28611111859529631</v>
      </c>
      <c r="K1575" s="6">
        <f>'Raw Data'!I1575</f>
        <v>4.0599999999999996</v>
      </c>
      <c r="L1575" s="5">
        <f>'Raw Data'!J1575</f>
        <v>26</v>
      </c>
      <c r="M1575" s="5">
        <f>IF(COUNTIFS($A$2:A1575,A1575,$D$2:D1575,D1575)=1,L1575,0)</f>
        <v>0</v>
      </c>
      <c r="N1575" s="4">
        <f t="shared" si="123"/>
        <v>428.25346153846152</v>
      </c>
      <c r="O1575" t="str">
        <f t="shared" si="124"/>
        <v>OK</v>
      </c>
    </row>
    <row r="1576" spans="1:15">
      <c r="A1576" t="str">
        <f>'Raw Data'!A1576</f>
        <v>Orlando RM-22</v>
      </c>
      <c r="B1576" t="str">
        <f>'Raw Data'!B1576</f>
        <v>Southeast</v>
      </c>
      <c r="C1576" t="str">
        <f>'Raw Data'!C1576</f>
        <v>Apparel</v>
      </c>
      <c r="D1576" s="3">
        <f>'Raw Data'!D1576</f>
        <v>45962</v>
      </c>
      <c r="E1576" t="str">
        <f t="shared" si="120"/>
        <v>Nov</v>
      </c>
      <c r="F1576" s="5">
        <f>'Raw Data'!E1576</f>
        <v>176</v>
      </c>
      <c r="G1576" s="4">
        <f>'Raw Data'!F1576</f>
        <v>8643.9</v>
      </c>
      <c r="H1576" s="4">
        <f>'Raw Data'!G1576</f>
        <v>5368.06</v>
      </c>
      <c r="I1576" s="4">
        <f t="shared" si="121"/>
        <v>3275.8399999999992</v>
      </c>
      <c r="J1576" s="8">
        <f t="shared" si="122"/>
        <v>0.37897708210414272</v>
      </c>
      <c r="K1576" s="6">
        <f>'Raw Data'!I1576</f>
        <v>4.17</v>
      </c>
      <c r="L1576" s="5">
        <f>'Raw Data'!J1576</f>
        <v>26</v>
      </c>
      <c r="M1576" s="5">
        <f>IF(COUNTIFS($A$2:A1576,A1576,$D$2:D1576,D1576)=1,L1576,0)</f>
        <v>0</v>
      </c>
      <c r="N1576" s="4">
        <f t="shared" si="123"/>
        <v>332.4576923076923</v>
      </c>
      <c r="O1576" t="str">
        <f t="shared" si="124"/>
        <v>OK</v>
      </c>
    </row>
    <row r="1577" spans="1:15">
      <c r="A1577" t="str">
        <f>'Raw Data'!A1577</f>
        <v>Orlando RM-22</v>
      </c>
      <c r="B1577" t="str">
        <f>'Raw Data'!B1577</f>
        <v>Southeast</v>
      </c>
      <c r="C1577" t="str">
        <f>'Raw Data'!C1577</f>
        <v>Beauty</v>
      </c>
      <c r="D1577" s="3">
        <f>'Raw Data'!D1577</f>
        <v>45962</v>
      </c>
      <c r="E1577" t="str">
        <f t="shared" si="120"/>
        <v>Nov</v>
      </c>
      <c r="F1577" s="5">
        <f>'Raw Data'!E1577</f>
        <v>161</v>
      </c>
      <c r="G1577" s="4">
        <f>'Raw Data'!F1577</f>
        <v>5980.68</v>
      </c>
      <c r="H1577" s="4">
        <f>'Raw Data'!G1577</f>
        <v>3194.09</v>
      </c>
      <c r="I1577" s="4">
        <f t="shared" si="121"/>
        <v>2786.59</v>
      </c>
      <c r="J1577" s="8">
        <f t="shared" si="122"/>
        <v>0.46593196760234623</v>
      </c>
      <c r="K1577" s="6">
        <f>'Raw Data'!I1577</f>
        <v>3.94</v>
      </c>
      <c r="L1577" s="5">
        <f>'Raw Data'!J1577</f>
        <v>26</v>
      </c>
      <c r="M1577" s="5">
        <f>IF(COUNTIFS($A$2:A1577,A1577,$D$2:D1577,D1577)=1,L1577,0)</f>
        <v>0</v>
      </c>
      <c r="N1577" s="4">
        <f t="shared" si="123"/>
        <v>230.02615384615385</v>
      </c>
      <c r="O1577" t="str">
        <f t="shared" si="124"/>
        <v>OK</v>
      </c>
    </row>
    <row r="1578" spans="1:15">
      <c r="A1578" t="str">
        <f>'Raw Data'!A1578</f>
        <v>Orlando RM-22</v>
      </c>
      <c r="B1578" t="str">
        <f>'Raw Data'!B1578</f>
        <v>Southeast</v>
      </c>
      <c r="C1578" t="str">
        <f>'Raw Data'!C1578</f>
        <v>Grocery</v>
      </c>
      <c r="D1578" s="3">
        <f>'Raw Data'!D1578</f>
        <v>45962</v>
      </c>
      <c r="E1578" t="str">
        <f t="shared" si="120"/>
        <v>Nov</v>
      </c>
      <c r="F1578" s="5">
        <f>'Raw Data'!E1578</f>
        <v>258</v>
      </c>
      <c r="G1578" s="4">
        <f>'Raw Data'!F1578</f>
        <v>4987.82</v>
      </c>
      <c r="H1578" s="4">
        <f>'Raw Data'!G1578</f>
        <v>4708.01</v>
      </c>
      <c r="I1578" s="4">
        <f t="shared" si="121"/>
        <v>279.80999999999949</v>
      </c>
      <c r="J1578" s="8">
        <f t="shared" si="122"/>
        <v>5.6098656326812019E-2</v>
      </c>
      <c r="K1578" s="6">
        <f>'Raw Data'!I1578</f>
        <v>3.87</v>
      </c>
      <c r="L1578" s="5">
        <f>'Raw Data'!J1578</f>
        <v>26</v>
      </c>
      <c r="M1578" s="5">
        <f>IF(COUNTIFS($A$2:A1578,A1578,$D$2:D1578,D1578)=1,L1578,0)</f>
        <v>0</v>
      </c>
      <c r="N1578" s="4">
        <f t="shared" si="123"/>
        <v>191.83923076923077</v>
      </c>
      <c r="O1578" t="str">
        <f t="shared" si="124"/>
        <v>OK</v>
      </c>
    </row>
    <row r="1579" spans="1:15">
      <c r="A1579" t="str">
        <f>'Raw Data'!A1579</f>
        <v>Orlando RM-22</v>
      </c>
      <c r="B1579" t="str">
        <f>'Raw Data'!B1579</f>
        <v>Southeast</v>
      </c>
      <c r="C1579" t="str">
        <f>'Raw Data'!C1579</f>
        <v>Sports</v>
      </c>
      <c r="D1579" s="3">
        <f>'Raw Data'!D1579</f>
        <v>45962</v>
      </c>
      <c r="E1579" t="str">
        <f t="shared" si="120"/>
        <v>Nov</v>
      </c>
      <c r="F1579" s="5">
        <f>'Raw Data'!E1579</f>
        <v>100</v>
      </c>
      <c r="G1579" s="4">
        <f>'Raw Data'!F1579</f>
        <v>5870.26</v>
      </c>
      <c r="H1579" s="4">
        <f>'Raw Data'!G1579</f>
        <v>4026.18</v>
      </c>
      <c r="I1579" s="4">
        <f t="shared" si="121"/>
        <v>1844.0800000000004</v>
      </c>
      <c r="J1579" s="8">
        <f t="shared" si="122"/>
        <v>0.31413940779454408</v>
      </c>
      <c r="K1579" s="6">
        <f>'Raw Data'!I1579</f>
        <v>3.94</v>
      </c>
      <c r="L1579" s="5">
        <f>'Raw Data'!J1579</f>
        <v>26</v>
      </c>
      <c r="M1579" s="5">
        <f>IF(COUNTIFS($A$2:A1579,A1579,$D$2:D1579,D1579)=1,L1579,0)</f>
        <v>0</v>
      </c>
      <c r="N1579" s="4">
        <f t="shared" si="123"/>
        <v>225.77923076923076</v>
      </c>
      <c r="O1579" t="str">
        <f t="shared" si="124"/>
        <v>OK</v>
      </c>
    </row>
    <row r="1580" spans="1:15">
      <c r="A1580" t="str">
        <f>'Raw Data'!A1580</f>
        <v>Orlando RM-22</v>
      </c>
      <c r="B1580" t="str">
        <f>'Raw Data'!B1580</f>
        <v>Southeast</v>
      </c>
      <c r="C1580" t="str">
        <f>'Raw Data'!C1580</f>
        <v>Electronics</v>
      </c>
      <c r="D1580" s="3">
        <f>'Raw Data'!D1580</f>
        <v>45992</v>
      </c>
      <c r="E1580" t="str">
        <f t="shared" si="120"/>
        <v>Dec</v>
      </c>
      <c r="F1580" s="5">
        <f>'Raw Data'!E1580</f>
        <v>240</v>
      </c>
      <c r="G1580" s="4">
        <f>'Raw Data'!F1580</f>
        <v>35646.36</v>
      </c>
      <c r="H1580" s="4">
        <f>'Raw Data'!G1580</f>
        <v>29071.83</v>
      </c>
      <c r="I1580" s="4">
        <f t="shared" si="121"/>
        <v>6574.5299999999988</v>
      </c>
      <c r="J1580" s="8">
        <f t="shared" si="122"/>
        <v>0.18443762560889804</v>
      </c>
      <c r="K1580" s="6">
        <f>'Raw Data'!I1580</f>
        <v>3.92</v>
      </c>
      <c r="L1580" s="5">
        <f>'Raw Data'!J1580</f>
        <v>26</v>
      </c>
      <c r="M1580" s="5">
        <f>IF(COUNTIFS($A$2:A1580,A1580,$D$2:D1580,D1580)=1,L1580,0)</f>
        <v>26</v>
      </c>
      <c r="N1580" s="4">
        <f t="shared" si="123"/>
        <v>1371.0138461538461</v>
      </c>
      <c r="O1580" t="str">
        <f t="shared" si="124"/>
        <v>OK</v>
      </c>
    </row>
    <row r="1581" spans="1:15">
      <c r="A1581" t="str">
        <f>'Raw Data'!A1581</f>
        <v>Orlando RM-22</v>
      </c>
      <c r="B1581" t="str">
        <f>'Raw Data'!B1581</f>
        <v>Southeast</v>
      </c>
      <c r="C1581" t="str">
        <f>'Raw Data'!C1581</f>
        <v>Home Goods</v>
      </c>
      <c r="D1581" s="3">
        <f>'Raw Data'!D1581</f>
        <v>45992</v>
      </c>
      <c r="E1581" t="str">
        <f t="shared" si="120"/>
        <v>Dec</v>
      </c>
      <c r="F1581" s="5">
        <f>'Raw Data'!E1581</f>
        <v>146</v>
      </c>
      <c r="G1581" s="4">
        <f>'Raw Data'!F1581</f>
        <v>10803.19</v>
      </c>
      <c r="H1581" s="4">
        <f>'Raw Data'!G1581</f>
        <v>7970.59</v>
      </c>
      <c r="I1581" s="4">
        <f t="shared" si="121"/>
        <v>2832.6000000000004</v>
      </c>
      <c r="J1581" s="8">
        <f t="shared" si="122"/>
        <v>0.26220033156873113</v>
      </c>
      <c r="K1581" s="6">
        <f>'Raw Data'!I1581</f>
        <v>3.97</v>
      </c>
      <c r="L1581" s="5">
        <f>'Raw Data'!J1581</f>
        <v>26</v>
      </c>
      <c r="M1581" s="5">
        <f>IF(COUNTIFS($A$2:A1581,A1581,$D$2:D1581,D1581)=1,L1581,0)</f>
        <v>0</v>
      </c>
      <c r="N1581" s="4">
        <f t="shared" si="123"/>
        <v>415.50730769230773</v>
      </c>
      <c r="O1581" t="str">
        <f t="shared" si="124"/>
        <v>OK</v>
      </c>
    </row>
    <row r="1582" spans="1:15">
      <c r="A1582" t="str">
        <f>'Raw Data'!A1582</f>
        <v>Orlando RM-22</v>
      </c>
      <c r="B1582" t="str">
        <f>'Raw Data'!B1582</f>
        <v>Southeast</v>
      </c>
      <c r="C1582" t="str">
        <f>'Raw Data'!C1582</f>
        <v>Apparel</v>
      </c>
      <c r="D1582" s="3">
        <f>'Raw Data'!D1582</f>
        <v>45992</v>
      </c>
      <c r="E1582" t="str">
        <f t="shared" si="120"/>
        <v>Dec</v>
      </c>
      <c r="F1582" s="5">
        <f>'Raw Data'!E1582</f>
        <v>253</v>
      </c>
      <c r="G1582" s="4">
        <f>'Raw Data'!F1582</f>
        <v>12075.88</v>
      </c>
      <c r="H1582" s="4">
        <f>'Raw Data'!G1582</f>
        <v>7995.44</v>
      </c>
      <c r="I1582" s="4">
        <f t="shared" si="121"/>
        <v>4080.4399999999996</v>
      </c>
      <c r="J1582" s="8">
        <f t="shared" si="122"/>
        <v>0.3379000122558356</v>
      </c>
      <c r="K1582" s="6">
        <f>'Raw Data'!I1582</f>
        <v>4.0599999999999996</v>
      </c>
      <c r="L1582" s="5">
        <f>'Raw Data'!J1582</f>
        <v>26</v>
      </c>
      <c r="M1582" s="5">
        <f>IF(COUNTIFS($A$2:A1582,A1582,$D$2:D1582,D1582)=1,L1582,0)</f>
        <v>0</v>
      </c>
      <c r="N1582" s="4">
        <f t="shared" si="123"/>
        <v>464.45692307692303</v>
      </c>
      <c r="O1582" t="str">
        <f t="shared" si="124"/>
        <v>OK</v>
      </c>
    </row>
    <row r="1583" spans="1:15">
      <c r="A1583" t="str">
        <f>'Raw Data'!A1583</f>
        <v>Orlando RM-22</v>
      </c>
      <c r="B1583" t="str">
        <f>'Raw Data'!B1583</f>
        <v>Southeast</v>
      </c>
      <c r="C1583" t="str">
        <f>'Raw Data'!C1583</f>
        <v>Beauty</v>
      </c>
      <c r="D1583" s="3">
        <f>'Raw Data'!D1583</f>
        <v>45992</v>
      </c>
      <c r="E1583" t="str">
        <f t="shared" si="120"/>
        <v>Dec</v>
      </c>
      <c r="F1583" s="5">
        <f>'Raw Data'!E1583</f>
        <v>171</v>
      </c>
      <c r="G1583" s="4">
        <f>'Raw Data'!F1583</f>
        <v>6609.21</v>
      </c>
      <c r="H1583" s="4">
        <f>'Raw Data'!G1583</f>
        <v>3533.74</v>
      </c>
      <c r="I1583" s="4">
        <f t="shared" si="121"/>
        <v>3075.4700000000003</v>
      </c>
      <c r="J1583" s="8">
        <f t="shared" si="122"/>
        <v>0.46533095483423892</v>
      </c>
      <c r="K1583" s="6">
        <f>'Raw Data'!I1583</f>
        <v>3.93</v>
      </c>
      <c r="L1583" s="5">
        <f>'Raw Data'!J1583</f>
        <v>26</v>
      </c>
      <c r="M1583" s="5">
        <f>IF(COUNTIFS($A$2:A1583,A1583,$D$2:D1583,D1583)=1,L1583,0)</f>
        <v>0</v>
      </c>
      <c r="N1583" s="4">
        <f t="shared" si="123"/>
        <v>254.20038461538462</v>
      </c>
      <c r="O1583" t="str">
        <f t="shared" si="124"/>
        <v>OK</v>
      </c>
    </row>
    <row r="1584" spans="1:15">
      <c r="A1584" t="str">
        <f>'Raw Data'!A1584</f>
        <v>Orlando RM-22</v>
      </c>
      <c r="B1584" t="str">
        <f>'Raw Data'!B1584</f>
        <v>Southeast</v>
      </c>
      <c r="C1584" t="str">
        <f>'Raw Data'!C1584</f>
        <v>Grocery</v>
      </c>
      <c r="D1584" s="3">
        <f>'Raw Data'!D1584</f>
        <v>45992</v>
      </c>
      <c r="E1584" t="str">
        <f t="shared" si="120"/>
        <v>Dec</v>
      </c>
      <c r="F1584" s="5">
        <f>'Raw Data'!E1584</f>
        <v>304</v>
      </c>
      <c r="G1584" s="4">
        <f>'Raw Data'!F1584</f>
        <v>5849.78</v>
      </c>
      <c r="H1584" s="4">
        <f>'Raw Data'!G1584</f>
        <v>5751.82</v>
      </c>
      <c r="I1584" s="4">
        <f t="shared" si="121"/>
        <v>97.960000000000036</v>
      </c>
      <c r="J1584" s="8">
        <f t="shared" si="122"/>
        <v>1.6745928906728123E-2</v>
      </c>
      <c r="K1584" s="6">
        <f>'Raw Data'!I1584</f>
        <v>4.01</v>
      </c>
      <c r="L1584" s="5">
        <f>'Raw Data'!J1584</f>
        <v>26</v>
      </c>
      <c r="M1584" s="5">
        <f>IF(COUNTIFS($A$2:A1584,A1584,$D$2:D1584,D1584)=1,L1584,0)</f>
        <v>0</v>
      </c>
      <c r="N1584" s="4">
        <f t="shared" si="123"/>
        <v>224.99153846153845</v>
      </c>
      <c r="O1584" t="str">
        <f t="shared" si="124"/>
        <v>OK</v>
      </c>
    </row>
    <row r="1585" spans="1:15">
      <c r="A1585" t="str">
        <f>'Raw Data'!A1585</f>
        <v>Orlando RM-22</v>
      </c>
      <c r="B1585" t="str">
        <f>'Raw Data'!B1585</f>
        <v>Southeast</v>
      </c>
      <c r="C1585" t="str">
        <f>'Raw Data'!C1585</f>
        <v>Sports</v>
      </c>
      <c r="D1585" s="3">
        <f>'Raw Data'!D1585</f>
        <v>45992</v>
      </c>
      <c r="E1585" t="str">
        <f t="shared" si="120"/>
        <v>Dec</v>
      </c>
      <c r="F1585" s="5">
        <f>'Raw Data'!E1585</f>
        <v>113</v>
      </c>
      <c r="G1585" s="4">
        <f>'Raw Data'!F1585</f>
        <v>6937.8</v>
      </c>
      <c r="H1585" s="4">
        <f>'Raw Data'!G1585</f>
        <v>4779.3900000000003</v>
      </c>
      <c r="I1585" s="4">
        <f t="shared" si="121"/>
        <v>2158.41</v>
      </c>
      <c r="J1585" s="8">
        <f t="shared" si="122"/>
        <v>0.31110870881259184</v>
      </c>
      <c r="K1585" s="6">
        <f>'Raw Data'!I1585</f>
        <v>3.96</v>
      </c>
      <c r="L1585" s="5">
        <f>'Raw Data'!J1585</f>
        <v>26</v>
      </c>
      <c r="M1585" s="5">
        <f>IF(COUNTIFS($A$2:A1585,A1585,$D$2:D1585,D1585)=1,L1585,0)</f>
        <v>0</v>
      </c>
      <c r="N1585" s="4">
        <f t="shared" si="123"/>
        <v>266.83846153846156</v>
      </c>
      <c r="O1585" t="str">
        <f t="shared" si="124"/>
        <v>OK</v>
      </c>
    </row>
    <row r="1586" spans="1:15">
      <c r="A1586" t="str">
        <f>'Raw Data'!A1586</f>
        <v>Tampa RM-23</v>
      </c>
      <c r="B1586" t="str">
        <f>'Raw Data'!B1586</f>
        <v>Southeast</v>
      </c>
      <c r="C1586" t="str">
        <f>'Raw Data'!C1586</f>
        <v>Electronics</v>
      </c>
      <c r="D1586" s="3">
        <f>'Raw Data'!D1586</f>
        <v>45658</v>
      </c>
      <c r="E1586" t="str">
        <f t="shared" si="120"/>
        <v>Jan</v>
      </c>
      <c r="F1586" s="5">
        <f>'Raw Data'!E1586</f>
        <v>69</v>
      </c>
      <c r="G1586" s="4">
        <f>'Raw Data'!F1586</f>
        <v>10072.049999999999</v>
      </c>
      <c r="H1586" s="4">
        <f>'Raw Data'!G1586</f>
        <v>7582.62</v>
      </c>
      <c r="I1586" s="4">
        <f t="shared" si="121"/>
        <v>2489.4299999999994</v>
      </c>
      <c r="J1586" s="8">
        <f t="shared" si="122"/>
        <v>0.24716219637511724</v>
      </c>
      <c r="K1586" s="6">
        <f>'Raw Data'!I1586</f>
        <v>3.62</v>
      </c>
      <c r="L1586" s="5">
        <f>'Raw Data'!J1586</f>
        <v>27</v>
      </c>
      <c r="M1586" s="5">
        <f>IF(COUNTIFS($A$2:A1586,A1586,$D$2:D1586,D1586)=1,L1586,0)</f>
        <v>27</v>
      </c>
      <c r="N1586" s="4">
        <f t="shared" si="123"/>
        <v>373.03888888888883</v>
      </c>
      <c r="O1586" t="str">
        <f t="shared" si="124"/>
        <v>OK</v>
      </c>
    </row>
    <row r="1587" spans="1:15">
      <c r="A1587" t="str">
        <f>'Raw Data'!A1587</f>
        <v>Tampa RM-23</v>
      </c>
      <c r="B1587" t="str">
        <f>'Raw Data'!B1587</f>
        <v>Southeast</v>
      </c>
      <c r="C1587" t="str">
        <f>'Raw Data'!C1587</f>
        <v>Home Goods</v>
      </c>
      <c r="D1587" s="3">
        <f>'Raw Data'!D1587</f>
        <v>45658</v>
      </c>
      <c r="E1587" t="str">
        <f t="shared" si="120"/>
        <v>Jan</v>
      </c>
      <c r="F1587" s="5">
        <f>'Raw Data'!E1587</f>
        <v>78</v>
      </c>
      <c r="G1587" s="4">
        <f>'Raw Data'!F1587</f>
        <v>6200.15</v>
      </c>
      <c r="H1587" s="4">
        <f>'Raw Data'!G1587</f>
        <v>4042.14</v>
      </c>
      <c r="I1587" s="4">
        <f t="shared" si="121"/>
        <v>2158.0099999999998</v>
      </c>
      <c r="J1587" s="8">
        <f t="shared" si="122"/>
        <v>0.34805770828125127</v>
      </c>
      <c r="K1587" s="6">
        <f>'Raw Data'!I1587</f>
        <v>3.68</v>
      </c>
      <c r="L1587" s="5">
        <f>'Raw Data'!J1587</f>
        <v>27</v>
      </c>
      <c r="M1587" s="5">
        <f>IF(COUNTIFS($A$2:A1587,A1587,$D$2:D1587,D1587)=1,L1587,0)</f>
        <v>0</v>
      </c>
      <c r="N1587" s="4">
        <f t="shared" si="123"/>
        <v>229.63518518518518</v>
      </c>
      <c r="O1587" t="str">
        <f t="shared" si="124"/>
        <v>OK</v>
      </c>
    </row>
    <row r="1588" spans="1:15">
      <c r="A1588" t="str">
        <f>'Raw Data'!A1588</f>
        <v>Tampa RM-23</v>
      </c>
      <c r="B1588" t="str">
        <f>'Raw Data'!B1588</f>
        <v>Southeast</v>
      </c>
      <c r="C1588" t="str">
        <f>'Raw Data'!C1588</f>
        <v>Apparel</v>
      </c>
      <c r="D1588" s="3">
        <f>'Raw Data'!D1588</f>
        <v>45658</v>
      </c>
      <c r="E1588" t="str">
        <f t="shared" si="120"/>
        <v>Jan</v>
      </c>
      <c r="F1588" s="5">
        <f>'Raw Data'!E1588</f>
        <v>89</v>
      </c>
      <c r="G1588" s="4">
        <f>'Raw Data'!F1588</f>
        <v>4039.87</v>
      </c>
      <c r="H1588" s="4">
        <f>'Raw Data'!G1588</f>
        <v>2320.87</v>
      </c>
      <c r="I1588" s="4">
        <f t="shared" si="121"/>
        <v>1719</v>
      </c>
      <c r="J1588" s="8">
        <f t="shared" si="122"/>
        <v>0.42550874161792335</v>
      </c>
      <c r="K1588" s="6">
        <f>'Raw Data'!I1588</f>
        <v>3.63</v>
      </c>
      <c r="L1588" s="5">
        <f>'Raw Data'!J1588</f>
        <v>27</v>
      </c>
      <c r="M1588" s="5">
        <f>IF(COUNTIFS($A$2:A1588,A1588,$D$2:D1588,D1588)=1,L1588,0)</f>
        <v>0</v>
      </c>
      <c r="N1588" s="4">
        <f t="shared" si="123"/>
        <v>149.62481481481481</v>
      </c>
      <c r="O1588" t="str">
        <f t="shared" si="124"/>
        <v>OK</v>
      </c>
    </row>
    <row r="1589" spans="1:15">
      <c r="A1589" t="str">
        <f>'Raw Data'!A1589</f>
        <v>Tampa RM-23</v>
      </c>
      <c r="B1589" t="str">
        <f>'Raw Data'!B1589</f>
        <v>Southeast</v>
      </c>
      <c r="C1589" t="str">
        <f>'Raw Data'!C1589</f>
        <v>Beauty</v>
      </c>
      <c r="D1589" s="3">
        <f>'Raw Data'!D1589</f>
        <v>45658</v>
      </c>
      <c r="E1589" t="str">
        <f t="shared" si="120"/>
        <v>Jan</v>
      </c>
      <c r="F1589" s="5">
        <f>'Raw Data'!E1589</f>
        <v>85</v>
      </c>
      <c r="G1589" s="4">
        <f>'Raw Data'!F1589</f>
        <v>2972.46</v>
      </c>
      <c r="H1589" s="4">
        <f>'Raw Data'!G1589</f>
        <v>1382.61</v>
      </c>
      <c r="I1589" s="4">
        <f t="shared" si="121"/>
        <v>1589.8500000000001</v>
      </c>
      <c r="J1589" s="8">
        <f t="shared" si="122"/>
        <v>0.53486001493712287</v>
      </c>
      <c r="K1589" s="6">
        <f>'Raw Data'!I1589</f>
        <v>3.52</v>
      </c>
      <c r="L1589" s="5">
        <f>'Raw Data'!J1589</f>
        <v>27</v>
      </c>
      <c r="M1589" s="5">
        <f>IF(COUNTIFS($A$2:A1589,A1589,$D$2:D1589,D1589)=1,L1589,0)</f>
        <v>0</v>
      </c>
      <c r="N1589" s="4">
        <f t="shared" si="123"/>
        <v>110.09111111111112</v>
      </c>
      <c r="O1589" t="str">
        <f t="shared" si="124"/>
        <v>OK</v>
      </c>
    </row>
    <row r="1590" spans="1:15">
      <c r="A1590" t="str">
        <f>'Raw Data'!A1590</f>
        <v>Tampa RM-23</v>
      </c>
      <c r="B1590" t="str">
        <f>'Raw Data'!B1590</f>
        <v>Southeast</v>
      </c>
      <c r="C1590" t="str">
        <f>'Raw Data'!C1590</f>
        <v>Grocery</v>
      </c>
      <c r="D1590" s="3">
        <f>'Raw Data'!D1590</f>
        <v>45658</v>
      </c>
      <c r="E1590" t="str">
        <f t="shared" si="120"/>
        <v>Jan</v>
      </c>
      <c r="F1590" s="5">
        <f>'Raw Data'!E1590</f>
        <v>118</v>
      </c>
      <c r="G1590" s="4">
        <f>'Raw Data'!F1590</f>
        <v>2152.58</v>
      </c>
      <c r="H1590" s="4">
        <f>'Raw Data'!G1590</f>
        <v>1870.48</v>
      </c>
      <c r="I1590" s="4">
        <f t="shared" si="121"/>
        <v>282.09999999999991</v>
      </c>
      <c r="J1590" s="8">
        <f t="shared" si="122"/>
        <v>0.13105203987772809</v>
      </c>
      <c r="K1590" s="6">
        <f>'Raw Data'!I1590</f>
        <v>3.59</v>
      </c>
      <c r="L1590" s="5">
        <f>'Raw Data'!J1590</f>
        <v>27</v>
      </c>
      <c r="M1590" s="5">
        <f>IF(COUNTIFS($A$2:A1590,A1590,$D$2:D1590,D1590)=1,L1590,0)</f>
        <v>0</v>
      </c>
      <c r="N1590" s="4">
        <f t="shared" si="123"/>
        <v>79.725185185185182</v>
      </c>
      <c r="O1590" t="str">
        <f t="shared" si="124"/>
        <v>OK</v>
      </c>
    </row>
    <row r="1591" spans="1:15">
      <c r="A1591" t="str">
        <f>'Raw Data'!A1591</f>
        <v>Tampa RM-23</v>
      </c>
      <c r="B1591" t="str">
        <f>'Raw Data'!B1591</f>
        <v>Southeast</v>
      </c>
      <c r="C1591" t="str">
        <f>'Raw Data'!C1591</f>
        <v>Sports</v>
      </c>
      <c r="D1591" s="3">
        <f>'Raw Data'!D1591</f>
        <v>45658</v>
      </c>
      <c r="E1591" t="str">
        <f t="shared" si="120"/>
        <v>Jan</v>
      </c>
      <c r="F1591" s="5">
        <f>'Raw Data'!E1591</f>
        <v>61</v>
      </c>
      <c r="G1591" s="4">
        <f>'Raw Data'!F1591</f>
        <v>4035.43</v>
      </c>
      <c r="H1591" s="4">
        <f>'Raw Data'!G1591</f>
        <v>2498.6</v>
      </c>
      <c r="I1591" s="4">
        <f t="shared" si="121"/>
        <v>1536.83</v>
      </c>
      <c r="J1591" s="8">
        <f t="shared" si="122"/>
        <v>0.38083426053729097</v>
      </c>
      <c r="K1591" s="6">
        <f>'Raw Data'!I1591</f>
        <v>3.52</v>
      </c>
      <c r="L1591" s="5">
        <f>'Raw Data'!J1591</f>
        <v>27</v>
      </c>
      <c r="M1591" s="5">
        <f>IF(COUNTIFS($A$2:A1591,A1591,$D$2:D1591,D1591)=1,L1591,0)</f>
        <v>0</v>
      </c>
      <c r="N1591" s="4">
        <f t="shared" si="123"/>
        <v>149.46037037037036</v>
      </c>
      <c r="O1591" t="str">
        <f t="shared" si="124"/>
        <v>OK</v>
      </c>
    </row>
    <row r="1592" spans="1:15">
      <c r="A1592" t="str">
        <f>'Raw Data'!A1592</f>
        <v>Tampa RM-23</v>
      </c>
      <c r="B1592" t="str">
        <f>'Raw Data'!B1592</f>
        <v>Southeast</v>
      </c>
      <c r="C1592" t="str">
        <f>'Raw Data'!C1592</f>
        <v>Electronics</v>
      </c>
      <c r="D1592" s="3">
        <f>'Raw Data'!D1592</f>
        <v>45689</v>
      </c>
      <c r="E1592" t="str">
        <f t="shared" si="120"/>
        <v>Feb</v>
      </c>
      <c r="F1592" s="5">
        <f>'Raw Data'!E1592</f>
        <v>83</v>
      </c>
      <c r="G1592" s="4">
        <f>'Raw Data'!F1592</f>
        <v>11731.86</v>
      </c>
      <c r="H1592" s="4">
        <f>'Raw Data'!G1592</f>
        <v>8830.83</v>
      </c>
      <c r="I1592" s="4">
        <f t="shared" si="121"/>
        <v>2901.0300000000007</v>
      </c>
      <c r="J1592" s="8">
        <f t="shared" si="122"/>
        <v>0.24727792523947614</v>
      </c>
      <c r="K1592" s="6">
        <f>'Raw Data'!I1592</f>
        <v>3.67</v>
      </c>
      <c r="L1592" s="5">
        <f>'Raw Data'!J1592</f>
        <v>27</v>
      </c>
      <c r="M1592" s="5">
        <f>IF(COUNTIFS($A$2:A1592,A1592,$D$2:D1592,D1592)=1,L1592,0)</f>
        <v>27</v>
      </c>
      <c r="N1592" s="4">
        <f t="shared" si="123"/>
        <v>434.51333333333338</v>
      </c>
      <c r="O1592" t="str">
        <f t="shared" si="124"/>
        <v>OK</v>
      </c>
    </row>
    <row r="1593" spans="1:15">
      <c r="A1593" t="str">
        <f>'Raw Data'!A1593</f>
        <v>Tampa RM-23</v>
      </c>
      <c r="B1593" t="str">
        <f>'Raw Data'!B1593</f>
        <v>Southeast</v>
      </c>
      <c r="C1593" t="str">
        <f>'Raw Data'!C1593</f>
        <v>Home Goods</v>
      </c>
      <c r="D1593" s="3">
        <f>'Raw Data'!D1593</f>
        <v>45689</v>
      </c>
      <c r="E1593" t="str">
        <f t="shared" si="120"/>
        <v>Feb</v>
      </c>
      <c r="F1593" s="5">
        <f>'Raw Data'!E1593</f>
        <v>72</v>
      </c>
      <c r="G1593" s="4">
        <f>'Raw Data'!F1593</f>
        <v>5565.79</v>
      </c>
      <c r="H1593" s="4">
        <f>'Raw Data'!G1593</f>
        <v>3685.52</v>
      </c>
      <c r="I1593" s="4">
        <f t="shared" si="121"/>
        <v>1880.27</v>
      </c>
      <c r="J1593" s="8">
        <f t="shared" si="122"/>
        <v>0.33782625647033038</v>
      </c>
      <c r="K1593" s="6">
        <f>'Raw Data'!I1593</f>
        <v>3.65</v>
      </c>
      <c r="L1593" s="5">
        <f>'Raw Data'!J1593</f>
        <v>27</v>
      </c>
      <c r="M1593" s="5">
        <f>IF(COUNTIFS($A$2:A1593,A1593,$D$2:D1593,D1593)=1,L1593,0)</f>
        <v>0</v>
      </c>
      <c r="N1593" s="4">
        <f t="shared" si="123"/>
        <v>206.14037037037036</v>
      </c>
      <c r="O1593" t="str">
        <f t="shared" si="124"/>
        <v>OK</v>
      </c>
    </row>
    <row r="1594" spans="1:15">
      <c r="A1594" t="str">
        <f>'Raw Data'!A1594</f>
        <v>Tampa RM-23</v>
      </c>
      <c r="B1594" t="str">
        <f>'Raw Data'!B1594</f>
        <v>Southeast</v>
      </c>
      <c r="C1594" t="str">
        <f>'Raw Data'!C1594</f>
        <v>Apparel</v>
      </c>
      <c r="D1594" s="3">
        <f>'Raw Data'!D1594</f>
        <v>45689</v>
      </c>
      <c r="E1594" t="str">
        <f t="shared" si="120"/>
        <v>Feb</v>
      </c>
      <c r="F1594" s="5">
        <f>'Raw Data'!E1594</f>
        <v>88</v>
      </c>
      <c r="G1594" s="4">
        <f>'Raw Data'!F1594</f>
        <v>4245.34</v>
      </c>
      <c r="H1594" s="4">
        <f>'Raw Data'!G1594</f>
        <v>2520.65</v>
      </c>
      <c r="I1594" s="4">
        <f t="shared" si="121"/>
        <v>1724.69</v>
      </c>
      <c r="J1594" s="8">
        <f t="shared" si="122"/>
        <v>0.40625485826812457</v>
      </c>
      <c r="K1594" s="6">
        <f>'Raw Data'!I1594</f>
        <v>3.76</v>
      </c>
      <c r="L1594" s="5">
        <f>'Raw Data'!J1594</f>
        <v>27</v>
      </c>
      <c r="M1594" s="5">
        <f>IF(COUNTIFS($A$2:A1594,A1594,$D$2:D1594,D1594)=1,L1594,0)</f>
        <v>0</v>
      </c>
      <c r="N1594" s="4">
        <f t="shared" si="123"/>
        <v>157.23481481481483</v>
      </c>
      <c r="O1594" t="str">
        <f t="shared" si="124"/>
        <v>OK</v>
      </c>
    </row>
    <row r="1595" spans="1:15">
      <c r="A1595" t="str">
        <f>'Raw Data'!A1595</f>
        <v>Tampa RM-23</v>
      </c>
      <c r="B1595" t="str">
        <f>'Raw Data'!B1595</f>
        <v>Southeast</v>
      </c>
      <c r="C1595" t="str">
        <f>'Raw Data'!C1595</f>
        <v>Beauty</v>
      </c>
      <c r="D1595" s="3">
        <f>'Raw Data'!D1595</f>
        <v>45689</v>
      </c>
      <c r="E1595" t="str">
        <f t="shared" si="120"/>
        <v>Feb</v>
      </c>
      <c r="F1595" s="5">
        <f>'Raw Data'!E1595</f>
        <v>81</v>
      </c>
      <c r="G1595" s="4">
        <f>'Raw Data'!F1595</f>
        <v>2886.15</v>
      </c>
      <c r="H1595" s="4">
        <f>'Raw Data'!G1595</f>
        <v>1351.85</v>
      </c>
      <c r="I1595" s="4">
        <f t="shared" si="121"/>
        <v>1534.3000000000002</v>
      </c>
      <c r="J1595" s="8">
        <f t="shared" si="122"/>
        <v>0.5316078512897805</v>
      </c>
      <c r="K1595" s="6">
        <f>'Raw Data'!I1595</f>
        <v>3.74</v>
      </c>
      <c r="L1595" s="5">
        <f>'Raw Data'!J1595</f>
        <v>27</v>
      </c>
      <c r="M1595" s="5">
        <f>IF(COUNTIFS($A$2:A1595,A1595,$D$2:D1595,D1595)=1,L1595,0)</f>
        <v>0</v>
      </c>
      <c r="N1595" s="4">
        <f t="shared" si="123"/>
        <v>106.89444444444445</v>
      </c>
      <c r="O1595" t="str">
        <f t="shared" si="124"/>
        <v>OK</v>
      </c>
    </row>
    <row r="1596" spans="1:15">
      <c r="A1596" t="str">
        <f>'Raw Data'!A1596</f>
        <v>Tampa RM-23</v>
      </c>
      <c r="B1596" t="str">
        <f>'Raw Data'!B1596</f>
        <v>Southeast</v>
      </c>
      <c r="C1596" t="str">
        <f>'Raw Data'!C1596</f>
        <v>Grocery</v>
      </c>
      <c r="D1596" s="3">
        <f>'Raw Data'!D1596</f>
        <v>45689</v>
      </c>
      <c r="E1596" t="str">
        <f t="shared" si="120"/>
        <v>Feb</v>
      </c>
      <c r="F1596" s="5">
        <f>'Raw Data'!E1596</f>
        <v>154</v>
      </c>
      <c r="G1596" s="4">
        <f>'Raw Data'!F1596</f>
        <v>2785.31</v>
      </c>
      <c r="H1596" s="4">
        <f>'Raw Data'!G1596</f>
        <v>2510.16</v>
      </c>
      <c r="I1596" s="4">
        <f t="shared" si="121"/>
        <v>275.15000000000009</v>
      </c>
      <c r="J1596" s="8">
        <f t="shared" si="122"/>
        <v>9.87861315257548E-2</v>
      </c>
      <c r="K1596" s="6">
        <f>'Raw Data'!I1596</f>
        <v>3.74</v>
      </c>
      <c r="L1596" s="5">
        <f>'Raw Data'!J1596</f>
        <v>27</v>
      </c>
      <c r="M1596" s="5">
        <f>IF(COUNTIFS($A$2:A1596,A1596,$D$2:D1596,D1596)=1,L1596,0)</f>
        <v>0</v>
      </c>
      <c r="N1596" s="4">
        <f t="shared" si="123"/>
        <v>103.15962962962963</v>
      </c>
      <c r="O1596" t="str">
        <f t="shared" si="124"/>
        <v>OK</v>
      </c>
    </row>
    <row r="1597" spans="1:15">
      <c r="A1597" t="str">
        <f>'Raw Data'!A1597</f>
        <v>Tampa RM-23</v>
      </c>
      <c r="B1597" t="str">
        <f>'Raw Data'!B1597</f>
        <v>Southeast</v>
      </c>
      <c r="C1597" t="str">
        <f>'Raw Data'!C1597</f>
        <v>Sports</v>
      </c>
      <c r="D1597" s="3">
        <f>'Raw Data'!D1597</f>
        <v>45689</v>
      </c>
      <c r="E1597" t="str">
        <f t="shared" si="120"/>
        <v>Feb</v>
      </c>
      <c r="F1597" s="5">
        <f>'Raw Data'!E1597</f>
        <v>62</v>
      </c>
      <c r="G1597" s="4">
        <f>'Raw Data'!F1597</f>
        <v>3637.72</v>
      </c>
      <c r="H1597" s="4">
        <f>'Raw Data'!G1597</f>
        <v>2265.77</v>
      </c>
      <c r="I1597" s="4">
        <f t="shared" si="121"/>
        <v>1371.9499999999998</v>
      </c>
      <c r="J1597" s="8">
        <f t="shared" si="122"/>
        <v>0.37714557470063664</v>
      </c>
      <c r="K1597" s="6">
        <f>'Raw Data'!I1597</f>
        <v>3.72</v>
      </c>
      <c r="L1597" s="5">
        <f>'Raw Data'!J1597</f>
        <v>27</v>
      </c>
      <c r="M1597" s="5">
        <f>IF(COUNTIFS($A$2:A1597,A1597,$D$2:D1597,D1597)=1,L1597,0)</f>
        <v>0</v>
      </c>
      <c r="N1597" s="4">
        <f t="shared" si="123"/>
        <v>134.73037037037037</v>
      </c>
      <c r="O1597" t="str">
        <f t="shared" si="124"/>
        <v>OK</v>
      </c>
    </row>
    <row r="1598" spans="1:15">
      <c r="A1598" t="str">
        <f>'Raw Data'!A1598</f>
        <v>Tampa RM-23</v>
      </c>
      <c r="B1598" t="str">
        <f>'Raw Data'!B1598</f>
        <v>Southeast</v>
      </c>
      <c r="C1598" t="str">
        <f>'Raw Data'!C1598</f>
        <v>Electronics</v>
      </c>
      <c r="D1598" s="3">
        <f>'Raw Data'!D1598</f>
        <v>45717</v>
      </c>
      <c r="E1598" t="str">
        <f t="shared" si="120"/>
        <v>Mar</v>
      </c>
      <c r="F1598" s="5">
        <f>'Raw Data'!E1598</f>
        <v>87</v>
      </c>
      <c r="G1598" s="4">
        <f>'Raw Data'!F1598</f>
        <v>13041.85</v>
      </c>
      <c r="H1598" s="4">
        <f>'Raw Data'!G1598</f>
        <v>10011.709999999999</v>
      </c>
      <c r="I1598" s="4">
        <f t="shared" si="121"/>
        <v>3030.1400000000012</v>
      </c>
      <c r="J1598" s="8">
        <f t="shared" si="122"/>
        <v>0.23233973707717856</v>
      </c>
      <c r="K1598" s="6">
        <f>'Raw Data'!I1598</f>
        <v>3.56</v>
      </c>
      <c r="L1598" s="5">
        <f>'Raw Data'!J1598</f>
        <v>27</v>
      </c>
      <c r="M1598" s="5">
        <f>IF(COUNTIFS($A$2:A1598,A1598,$D$2:D1598,D1598)=1,L1598,0)</f>
        <v>27</v>
      </c>
      <c r="N1598" s="4">
        <f t="shared" si="123"/>
        <v>483.03148148148148</v>
      </c>
      <c r="O1598" t="str">
        <f t="shared" si="124"/>
        <v>OK</v>
      </c>
    </row>
    <row r="1599" spans="1:15">
      <c r="A1599" t="str">
        <f>'Raw Data'!A1599</f>
        <v>Tampa RM-23</v>
      </c>
      <c r="B1599" t="str">
        <f>'Raw Data'!B1599</f>
        <v>Southeast</v>
      </c>
      <c r="C1599" t="str">
        <f>'Raw Data'!C1599</f>
        <v>Home Goods</v>
      </c>
      <c r="D1599" s="3">
        <f>'Raw Data'!D1599</f>
        <v>45717</v>
      </c>
      <c r="E1599" t="str">
        <f t="shared" si="120"/>
        <v>Mar</v>
      </c>
      <c r="F1599" s="5">
        <f>'Raw Data'!E1599</f>
        <v>81</v>
      </c>
      <c r="G1599" s="4">
        <f>'Raw Data'!F1599</f>
        <v>6619.8</v>
      </c>
      <c r="H1599" s="4">
        <f>'Raw Data'!G1599</f>
        <v>4412.2700000000004</v>
      </c>
      <c r="I1599" s="4">
        <f t="shared" si="121"/>
        <v>2207.5299999999997</v>
      </c>
      <c r="J1599" s="8">
        <f t="shared" si="122"/>
        <v>0.3334738209613583</v>
      </c>
      <c r="K1599" s="6">
        <f>'Raw Data'!I1599</f>
        <v>3.53</v>
      </c>
      <c r="L1599" s="5">
        <f>'Raw Data'!J1599</f>
        <v>27</v>
      </c>
      <c r="M1599" s="5">
        <f>IF(COUNTIFS($A$2:A1599,A1599,$D$2:D1599,D1599)=1,L1599,0)</f>
        <v>0</v>
      </c>
      <c r="N1599" s="4">
        <f t="shared" si="123"/>
        <v>245.17777777777778</v>
      </c>
      <c r="O1599" t="str">
        <f t="shared" si="124"/>
        <v>OK</v>
      </c>
    </row>
    <row r="1600" spans="1:15">
      <c r="A1600" t="str">
        <f>'Raw Data'!A1600</f>
        <v>Tampa RM-23</v>
      </c>
      <c r="B1600" t="str">
        <f>'Raw Data'!B1600</f>
        <v>Southeast</v>
      </c>
      <c r="C1600" t="str">
        <f>'Raw Data'!C1600</f>
        <v>Apparel</v>
      </c>
      <c r="D1600" s="3">
        <f>'Raw Data'!D1600</f>
        <v>45717</v>
      </c>
      <c r="E1600" t="str">
        <f t="shared" si="120"/>
        <v>Mar</v>
      </c>
      <c r="F1600" s="5">
        <f>'Raw Data'!E1600</f>
        <v>135</v>
      </c>
      <c r="G1600" s="4">
        <f>'Raw Data'!F1600</f>
        <v>6639.2</v>
      </c>
      <c r="H1600" s="4">
        <f>'Raw Data'!G1600</f>
        <v>4018.04</v>
      </c>
      <c r="I1600" s="4">
        <f t="shared" si="121"/>
        <v>2621.16</v>
      </c>
      <c r="J1600" s="8">
        <f t="shared" si="122"/>
        <v>0.39480057838293769</v>
      </c>
      <c r="K1600" s="6">
        <f>'Raw Data'!I1600</f>
        <v>3.5</v>
      </c>
      <c r="L1600" s="5">
        <f>'Raw Data'!J1600</f>
        <v>27</v>
      </c>
      <c r="M1600" s="5">
        <f>IF(COUNTIFS($A$2:A1600,A1600,$D$2:D1600,D1600)=1,L1600,0)</f>
        <v>0</v>
      </c>
      <c r="N1600" s="4">
        <f t="shared" si="123"/>
        <v>245.8962962962963</v>
      </c>
      <c r="O1600" t="str">
        <f t="shared" si="124"/>
        <v>OK</v>
      </c>
    </row>
    <row r="1601" spans="1:15">
      <c r="A1601" t="str">
        <f>'Raw Data'!A1601</f>
        <v>Tampa RM-23</v>
      </c>
      <c r="B1601" t="str">
        <f>'Raw Data'!B1601</f>
        <v>Southeast</v>
      </c>
      <c r="C1601" t="str">
        <f>'Raw Data'!C1601</f>
        <v>Beauty</v>
      </c>
      <c r="D1601" s="3">
        <f>'Raw Data'!D1601</f>
        <v>45717</v>
      </c>
      <c r="E1601" t="str">
        <f t="shared" si="120"/>
        <v>Mar</v>
      </c>
      <c r="F1601" s="5">
        <f>'Raw Data'!E1601</f>
        <v>102</v>
      </c>
      <c r="G1601" s="4">
        <f>'Raw Data'!F1601</f>
        <v>3726.39</v>
      </c>
      <c r="H1601" s="4">
        <f>'Raw Data'!G1601</f>
        <v>1706.71</v>
      </c>
      <c r="I1601" s="4">
        <f t="shared" si="121"/>
        <v>2019.6799999999998</v>
      </c>
      <c r="J1601" s="8">
        <f t="shared" si="122"/>
        <v>0.54199372583116634</v>
      </c>
      <c r="K1601" s="6">
        <f>'Raw Data'!I1601</f>
        <v>3.51</v>
      </c>
      <c r="L1601" s="5">
        <f>'Raw Data'!J1601</f>
        <v>27</v>
      </c>
      <c r="M1601" s="5">
        <f>IF(COUNTIFS($A$2:A1601,A1601,$D$2:D1601,D1601)=1,L1601,0)</f>
        <v>0</v>
      </c>
      <c r="N1601" s="4">
        <f t="shared" si="123"/>
        <v>138.01444444444445</v>
      </c>
      <c r="O1601" t="str">
        <f t="shared" si="124"/>
        <v>OK</v>
      </c>
    </row>
    <row r="1602" spans="1:15">
      <c r="A1602" t="str">
        <f>'Raw Data'!A1602</f>
        <v>Tampa RM-23</v>
      </c>
      <c r="B1602" t="str">
        <f>'Raw Data'!B1602</f>
        <v>Southeast</v>
      </c>
      <c r="C1602" t="str">
        <f>'Raw Data'!C1602</f>
        <v>Grocery</v>
      </c>
      <c r="D1602" s="3">
        <f>'Raw Data'!D1602</f>
        <v>45717</v>
      </c>
      <c r="E1602" t="str">
        <f t="shared" ref="E1602:E1665" si="125">TEXT(D1602,"mmm")</f>
        <v>Mar</v>
      </c>
      <c r="F1602" s="5">
        <f>'Raw Data'!E1602</f>
        <v>156</v>
      </c>
      <c r="G1602" s="4">
        <f>'Raw Data'!F1602</f>
        <v>2911.48</v>
      </c>
      <c r="H1602" s="4">
        <f>'Raw Data'!G1602</f>
        <v>2654.51</v>
      </c>
      <c r="I1602" s="4">
        <f t="shared" ref="I1602:I1665" si="126">G1602-H1602</f>
        <v>256.9699999999998</v>
      </c>
      <c r="J1602" s="8">
        <f t="shared" ref="J1602:J1665" si="127">IFERROR(I1602/G1602,0)</f>
        <v>8.826095319219085E-2</v>
      </c>
      <c r="K1602" s="6">
        <f>'Raw Data'!I1602</f>
        <v>3.78</v>
      </c>
      <c r="L1602" s="5">
        <f>'Raw Data'!J1602</f>
        <v>27</v>
      </c>
      <c r="M1602" s="5">
        <f>IF(COUNTIFS($A$2:A1602,A1602,$D$2:D1602,D1602)=1,L1602,0)</f>
        <v>0</v>
      </c>
      <c r="N1602" s="4">
        <f t="shared" ref="N1602:N1665" si="128">IFERROR(G1602/L1602,0)</f>
        <v>107.83259259259259</v>
      </c>
      <c r="O1602" t="str">
        <f t="shared" ref="O1602:O1665" si="129">IF(OR(A1602="",B1602="",C1602="",F1602&lt;0,G1602&lt;0,H1602&lt;0,K1602&lt;1,K1602&gt;5),"Review","OK")</f>
        <v>OK</v>
      </c>
    </row>
    <row r="1603" spans="1:15">
      <c r="A1603" t="str">
        <f>'Raw Data'!A1603</f>
        <v>Tampa RM-23</v>
      </c>
      <c r="B1603" t="str">
        <f>'Raw Data'!B1603</f>
        <v>Southeast</v>
      </c>
      <c r="C1603" t="str">
        <f>'Raw Data'!C1603</f>
        <v>Sports</v>
      </c>
      <c r="D1603" s="3">
        <f>'Raw Data'!D1603</f>
        <v>45717</v>
      </c>
      <c r="E1603" t="str">
        <f t="shared" si="125"/>
        <v>Mar</v>
      </c>
      <c r="F1603" s="5">
        <f>'Raw Data'!E1603</f>
        <v>73</v>
      </c>
      <c r="G1603" s="4">
        <f>'Raw Data'!F1603</f>
        <v>4635.82</v>
      </c>
      <c r="H1603" s="4">
        <f>'Raw Data'!G1603</f>
        <v>2927.5</v>
      </c>
      <c r="I1603" s="4">
        <f t="shared" si="126"/>
        <v>1708.3199999999997</v>
      </c>
      <c r="J1603" s="8">
        <f t="shared" si="127"/>
        <v>0.36850438541617231</v>
      </c>
      <c r="K1603" s="6">
        <f>'Raw Data'!I1603</f>
        <v>3.69</v>
      </c>
      <c r="L1603" s="5">
        <f>'Raw Data'!J1603</f>
        <v>27</v>
      </c>
      <c r="M1603" s="5">
        <f>IF(COUNTIFS($A$2:A1603,A1603,$D$2:D1603,D1603)=1,L1603,0)</f>
        <v>0</v>
      </c>
      <c r="N1603" s="4">
        <f t="shared" si="128"/>
        <v>171.69703703703703</v>
      </c>
      <c r="O1603" t="str">
        <f t="shared" si="129"/>
        <v>OK</v>
      </c>
    </row>
    <row r="1604" spans="1:15">
      <c r="A1604" t="str">
        <f>'Raw Data'!A1604</f>
        <v>Tampa RM-23</v>
      </c>
      <c r="B1604" t="str">
        <f>'Raw Data'!B1604</f>
        <v>Southeast</v>
      </c>
      <c r="C1604" t="str">
        <f>'Raw Data'!C1604</f>
        <v>Electronics</v>
      </c>
      <c r="D1604" s="3">
        <f>'Raw Data'!D1604</f>
        <v>45748</v>
      </c>
      <c r="E1604" t="str">
        <f t="shared" si="125"/>
        <v>Apr</v>
      </c>
      <c r="F1604" s="5">
        <f>'Raw Data'!E1604</f>
        <v>94</v>
      </c>
      <c r="G1604" s="4">
        <f>'Raw Data'!F1604</f>
        <v>14100.43</v>
      </c>
      <c r="H1604" s="4">
        <f>'Raw Data'!G1604</f>
        <v>11027.07</v>
      </c>
      <c r="I1604" s="4">
        <f t="shared" si="126"/>
        <v>3073.3600000000006</v>
      </c>
      <c r="J1604" s="8">
        <f t="shared" si="127"/>
        <v>0.21796214725366536</v>
      </c>
      <c r="K1604" s="6">
        <f>'Raw Data'!I1604</f>
        <v>3.5</v>
      </c>
      <c r="L1604" s="5">
        <f>'Raw Data'!J1604</f>
        <v>27</v>
      </c>
      <c r="M1604" s="5">
        <f>IF(COUNTIFS($A$2:A1604,A1604,$D$2:D1604,D1604)=1,L1604,0)</f>
        <v>27</v>
      </c>
      <c r="N1604" s="4">
        <f t="shared" si="128"/>
        <v>522.23814814814818</v>
      </c>
      <c r="O1604" t="str">
        <f t="shared" si="129"/>
        <v>OK</v>
      </c>
    </row>
    <row r="1605" spans="1:15">
      <c r="A1605" t="str">
        <f>'Raw Data'!A1605</f>
        <v>Tampa RM-23</v>
      </c>
      <c r="B1605" t="str">
        <f>'Raw Data'!B1605</f>
        <v>Southeast</v>
      </c>
      <c r="C1605" t="str">
        <f>'Raw Data'!C1605</f>
        <v>Home Goods</v>
      </c>
      <c r="D1605" s="3">
        <f>'Raw Data'!D1605</f>
        <v>45748</v>
      </c>
      <c r="E1605" t="str">
        <f t="shared" si="125"/>
        <v>Apr</v>
      </c>
      <c r="F1605" s="5">
        <f>'Raw Data'!E1605</f>
        <v>74</v>
      </c>
      <c r="G1605" s="4">
        <f>'Raw Data'!F1605</f>
        <v>5392.94</v>
      </c>
      <c r="H1605" s="4">
        <f>'Raw Data'!G1605</f>
        <v>3482.72</v>
      </c>
      <c r="I1605" s="4">
        <f t="shared" si="126"/>
        <v>1910.2199999999998</v>
      </c>
      <c r="J1605" s="8">
        <f t="shared" si="127"/>
        <v>0.35420753800338961</v>
      </c>
      <c r="K1605" s="6">
        <f>'Raw Data'!I1605</f>
        <v>3.76</v>
      </c>
      <c r="L1605" s="5">
        <f>'Raw Data'!J1605</f>
        <v>27</v>
      </c>
      <c r="M1605" s="5">
        <f>IF(COUNTIFS($A$2:A1605,A1605,$D$2:D1605,D1605)=1,L1605,0)</f>
        <v>0</v>
      </c>
      <c r="N1605" s="4">
        <f t="shared" si="128"/>
        <v>199.7385185185185</v>
      </c>
      <c r="O1605" t="str">
        <f t="shared" si="129"/>
        <v>OK</v>
      </c>
    </row>
    <row r="1606" spans="1:15">
      <c r="A1606" t="str">
        <f>'Raw Data'!A1606</f>
        <v>Tampa RM-23</v>
      </c>
      <c r="B1606" t="str">
        <f>'Raw Data'!B1606</f>
        <v>Southeast</v>
      </c>
      <c r="C1606" t="str">
        <f>'Raw Data'!C1606</f>
        <v>Apparel</v>
      </c>
      <c r="D1606" s="3">
        <f>'Raw Data'!D1606</f>
        <v>45748</v>
      </c>
      <c r="E1606" t="str">
        <f t="shared" si="125"/>
        <v>Apr</v>
      </c>
      <c r="F1606" s="5">
        <f>'Raw Data'!E1606</f>
        <v>136</v>
      </c>
      <c r="G1606" s="4">
        <f>'Raw Data'!F1606</f>
        <v>6160.83</v>
      </c>
      <c r="H1606" s="4">
        <f>'Raw Data'!G1606</f>
        <v>3680</v>
      </c>
      <c r="I1606" s="4">
        <f t="shared" si="126"/>
        <v>2480.83</v>
      </c>
      <c r="J1606" s="8">
        <f t="shared" si="127"/>
        <v>0.4026778859342004</v>
      </c>
      <c r="K1606" s="6">
        <f>'Raw Data'!I1606</f>
        <v>3.52</v>
      </c>
      <c r="L1606" s="5">
        <f>'Raw Data'!J1606</f>
        <v>27</v>
      </c>
      <c r="M1606" s="5">
        <f>IF(COUNTIFS($A$2:A1606,A1606,$D$2:D1606,D1606)=1,L1606,0)</f>
        <v>0</v>
      </c>
      <c r="N1606" s="4">
        <f t="shared" si="128"/>
        <v>228.17888888888888</v>
      </c>
      <c r="O1606" t="str">
        <f t="shared" si="129"/>
        <v>OK</v>
      </c>
    </row>
    <row r="1607" spans="1:15">
      <c r="A1607" t="str">
        <f>'Raw Data'!A1607</f>
        <v>Tampa RM-23</v>
      </c>
      <c r="B1607" t="str">
        <f>'Raw Data'!B1607</f>
        <v>Southeast</v>
      </c>
      <c r="C1607" t="str">
        <f>'Raw Data'!C1607</f>
        <v>Beauty</v>
      </c>
      <c r="D1607" s="3">
        <f>'Raw Data'!D1607</f>
        <v>45748</v>
      </c>
      <c r="E1607" t="str">
        <f t="shared" si="125"/>
        <v>Apr</v>
      </c>
      <c r="F1607" s="5">
        <f>'Raw Data'!E1607</f>
        <v>93</v>
      </c>
      <c r="G1607" s="4">
        <f>'Raw Data'!F1607</f>
        <v>3260.45</v>
      </c>
      <c r="H1607" s="4">
        <f>'Raw Data'!G1607</f>
        <v>1590.48</v>
      </c>
      <c r="I1607" s="4">
        <f t="shared" si="126"/>
        <v>1669.9699999999998</v>
      </c>
      <c r="J1607" s="8">
        <f t="shared" si="127"/>
        <v>0.51219003511785177</v>
      </c>
      <c r="K1607" s="6">
        <f>'Raw Data'!I1607</f>
        <v>3.77</v>
      </c>
      <c r="L1607" s="5">
        <f>'Raw Data'!J1607</f>
        <v>27</v>
      </c>
      <c r="M1607" s="5">
        <f>IF(COUNTIFS($A$2:A1607,A1607,$D$2:D1607,D1607)=1,L1607,0)</f>
        <v>0</v>
      </c>
      <c r="N1607" s="4">
        <f t="shared" si="128"/>
        <v>120.7574074074074</v>
      </c>
      <c r="O1607" t="str">
        <f t="shared" si="129"/>
        <v>OK</v>
      </c>
    </row>
    <row r="1608" spans="1:15">
      <c r="A1608" t="str">
        <f>'Raw Data'!A1608</f>
        <v>Tampa RM-23</v>
      </c>
      <c r="B1608" t="str">
        <f>'Raw Data'!B1608</f>
        <v>Southeast</v>
      </c>
      <c r="C1608" t="str">
        <f>'Raw Data'!C1608</f>
        <v>Grocery</v>
      </c>
      <c r="D1608" s="3">
        <f>'Raw Data'!D1608</f>
        <v>45748</v>
      </c>
      <c r="E1608" t="str">
        <f t="shared" si="125"/>
        <v>Apr</v>
      </c>
      <c r="F1608" s="5">
        <f>'Raw Data'!E1608</f>
        <v>156</v>
      </c>
      <c r="G1608" s="4">
        <f>'Raw Data'!F1608</f>
        <v>2942.11</v>
      </c>
      <c r="H1608" s="4">
        <f>'Raw Data'!G1608</f>
        <v>2586.2399999999998</v>
      </c>
      <c r="I1608" s="4">
        <f t="shared" si="126"/>
        <v>355.87000000000035</v>
      </c>
      <c r="J1608" s="8">
        <f t="shared" si="127"/>
        <v>0.12095740811866325</v>
      </c>
      <c r="K1608" s="6">
        <f>'Raw Data'!I1608</f>
        <v>3.59</v>
      </c>
      <c r="L1608" s="5">
        <f>'Raw Data'!J1608</f>
        <v>27</v>
      </c>
      <c r="M1608" s="5">
        <f>IF(COUNTIFS($A$2:A1608,A1608,$D$2:D1608,D1608)=1,L1608,0)</f>
        <v>0</v>
      </c>
      <c r="N1608" s="4">
        <f t="shared" si="128"/>
        <v>108.96703703703704</v>
      </c>
      <c r="O1608" t="str">
        <f t="shared" si="129"/>
        <v>OK</v>
      </c>
    </row>
    <row r="1609" spans="1:15">
      <c r="A1609" t="str">
        <f>'Raw Data'!A1609</f>
        <v>Tampa RM-23</v>
      </c>
      <c r="B1609" t="str">
        <f>'Raw Data'!B1609</f>
        <v>Southeast</v>
      </c>
      <c r="C1609" t="str">
        <f>'Raw Data'!C1609</f>
        <v>Sports</v>
      </c>
      <c r="D1609" s="3">
        <f>'Raw Data'!D1609</f>
        <v>45748</v>
      </c>
      <c r="E1609" t="str">
        <f t="shared" si="125"/>
        <v>Apr</v>
      </c>
      <c r="F1609" s="5">
        <f>'Raw Data'!E1609</f>
        <v>72</v>
      </c>
      <c r="G1609" s="4">
        <f>'Raw Data'!F1609</f>
        <v>4268.9399999999996</v>
      </c>
      <c r="H1609" s="4">
        <f>'Raw Data'!G1609</f>
        <v>2789.35</v>
      </c>
      <c r="I1609" s="4">
        <f t="shared" si="126"/>
        <v>1479.5899999999997</v>
      </c>
      <c r="J1609" s="8">
        <f t="shared" si="127"/>
        <v>0.34659423650836035</v>
      </c>
      <c r="K1609" s="6">
        <f>'Raw Data'!I1609</f>
        <v>3.73</v>
      </c>
      <c r="L1609" s="5">
        <f>'Raw Data'!J1609</f>
        <v>27</v>
      </c>
      <c r="M1609" s="5">
        <f>IF(COUNTIFS($A$2:A1609,A1609,$D$2:D1609,D1609)=1,L1609,0)</f>
        <v>0</v>
      </c>
      <c r="N1609" s="4">
        <f t="shared" si="128"/>
        <v>158.10888888888888</v>
      </c>
      <c r="O1609" t="str">
        <f t="shared" si="129"/>
        <v>OK</v>
      </c>
    </row>
    <row r="1610" spans="1:15">
      <c r="A1610" t="str">
        <f>'Raw Data'!A1610</f>
        <v>Tampa RM-23</v>
      </c>
      <c r="B1610" t="str">
        <f>'Raw Data'!B1610</f>
        <v>Southeast</v>
      </c>
      <c r="C1610" t="str">
        <f>'Raw Data'!C1610</f>
        <v>Electronics</v>
      </c>
      <c r="D1610" s="3">
        <f>'Raw Data'!D1610</f>
        <v>45778</v>
      </c>
      <c r="E1610" t="str">
        <f t="shared" si="125"/>
        <v>May</v>
      </c>
      <c r="F1610" s="5">
        <f>'Raw Data'!E1610</f>
        <v>120</v>
      </c>
      <c r="G1610" s="4">
        <f>'Raw Data'!F1610</f>
        <v>18450.46</v>
      </c>
      <c r="H1610" s="4">
        <f>'Raw Data'!G1610</f>
        <v>14353.68</v>
      </c>
      <c r="I1610" s="4">
        <f t="shared" si="126"/>
        <v>4096.7799999999988</v>
      </c>
      <c r="J1610" s="8">
        <f t="shared" si="127"/>
        <v>0.22204216046645986</v>
      </c>
      <c r="K1610" s="6">
        <f>'Raw Data'!I1610</f>
        <v>3.54</v>
      </c>
      <c r="L1610" s="5">
        <f>'Raw Data'!J1610</f>
        <v>28</v>
      </c>
      <c r="M1610" s="5">
        <f>IF(COUNTIFS($A$2:A1610,A1610,$D$2:D1610,D1610)=1,L1610,0)</f>
        <v>28</v>
      </c>
      <c r="N1610" s="4">
        <f t="shared" si="128"/>
        <v>658.94499999999994</v>
      </c>
      <c r="O1610" t="str">
        <f t="shared" si="129"/>
        <v>OK</v>
      </c>
    </row>
    <row r="1611" spans="1:15">
      <c r="A1611" t="str">
        <f>'Raw Data'!A1611</f>
        <v>Tampa RM-23</v>
      </c>
      <c r="B1611" t="str">
        <f>'Raw Data'!B1611</f>
        <v>Southeast</v>
      </c>
      <c r="C1611" t="str">
        <f>'Raw Data'!C1611</f>
        <v>Home Goods</v>
      </c>
      <c r="D1611" s="3">
        <f>'Raw Data'!D1611</f>
        <v>45778</v>
      </c>
      <c r="E1611" t="str">
        <f t="shared" si="125"/>
        <v>May</v>
      </c>
      <c r="F1611" s="5">
        <f>'Raw Data'!E1611</f>
        <v>97</v>
      </c>
      <c r="G1611" s="4">
        <f>'Raw Data'!F1611</f>
        <v>7517.38</v>
      </c>
      <c r="H1611" s="4">
        <f>'Raw Data'!G1611</f>
        <v>5091.5200000000004</v>
      </c>
      <c r="I1611" s="4">
        <f t="shared" si="126"/>
        <v>2425.8599999999997</v>
      </c>
      <c r="J1611" s="8">
        <f t="shared" si="127"/>
        <v>0.32270019607895301</v>
      </c>
      <c r="K1611" s="6">
        <f>'Raw Data'!I1611</f>
        <v>3.48</v>
      </c>
      <c r="L1611" s="5">
        <f>'Raw Data'!J1611</f>
        <v>28</v>
      </c>
      <c r="M1611" s="5">
        <f>IF(COUNTIFS($A$2:A1611,A1611,$D$2:D1611,D1611)=1,L1611,0)</f>
        <v>0</v>
      </c>
      <c r="N1611" s="4">
        <f t="shared" si="128"/>
        <v>268.47785714285715</v>
      </c>
      <c r="O1611" t="str">
        <f t="shared" si="129"/>
        <v>OK</v>
      </c>
    </row>
    <row r="1612" spans="1:15">
      <c r="A1612" t="str">
        <f>'Raw Data'!A1612</f>
        <v>Tampa RM-23</v>
      </c>
      <c r="B1612" t="str">
        <f>'Raw Data'!B1612</f>
        <v>Southeast</v>
      </c>
      <c r="C1612" t="str">
        <f>'Raw Data'!C1612</f>
        <v>Apparel</v>
      </c>
      <c r="D1612" s="3">
        <f>'Raw Data'!D1612</f>
        <v>45778</v>
      </c>
      <c r="E1612" t="str">
        <f t="shared" si="125"/>
        <v>May</v>
      </c>
      <c r="F1612" s="5">
        <f>'Raw Data'!E1612</f>
        <v>140</v>
      </c>
      <c r="G1612" s="4">
        <f>'Raw Data'!F1612</f>
        <v>6987.68</v>
      </c>
      <c r="H1612" s="4">
        <f>'Raw Data'!G1612</f>
        <v>4341.9799999999996</v>
      </c>
      <c r="I1612" s="4">
        <f t="shared" si="126"/>
        <v>2645.7000000000007</v>
      </c>
      <c r="J1612" s="8">
        <f t="shared" si="127"/>
        <v>0.37862352025278784</v>
      </c>
      <c r="K1612" s="6">
        <f>'Raw Data'!I1612</f>
        <v>3.77</v>
      </c>
      <c r="L1612" s="5">
        <f>'Raw Data'!J1612</f>
        <v>28</v>
      </c>
      <c r="M1612" s="5">
        <f>IF(COUNTIFS($A$2:A1612,A1612,$D$2:D1612,D1612)=1,L1612,0)</f>
        <v>0</v>
      </c>
      <c r="N1612" s="4">
        <f t="shared" si="128"/>
        <v>249.56</v>
      </c>
      <c r="O1612" t="str">
        <f t="shared" si="129"/>
        <v>OK</v>
      </c>
    </row>
    <row r="1613" spans="1:15">
      <c r="A1613" t="str">
        <f>'Raw Data'!A1613</f>
        <v>Tampa RM-23</v>
      </c>
      <c r="B1613" t="str">
        <f>'Raw Data'!B1613</f>
        <v>Southeast</v>
      </c>
      <c r="C1613" t="str">
        <f>'Raw Data'!C1613</f>
        <v>Beauty</v>
      </c>
      <c r="D1613" s="3">
        <f>'Raw Data'!D1613</f>
        <v>45778</v>
      </c>
      <c r="E1613" t="str">
        <f t="shared" si="125"/>
        <v>May</v>
      </c>
      <c r="F1613" s="5">
        <f>'Raw Data'!E1613</f>
        <v>105</v>
      </c>
      <c r="G1613" s="4">
        <f>'Raw Data'!F1613</f>
        <v>3943.26</v>
      </c>
      <c r="H1613" s="4">
        <f>'Raw Data'!G1613</f>
        <v>1919.51</v>
      </c>
      <c r="I1613" s="4">
        <f t="shared" si="126"/>
        <v>2023.7500000000002</v>
      </c>
      <c r="J1613" s="8">
        <f t="shared" si="127"/>
        <v>0.51321749009702633</v>
      </c>
      <c r="K1613" s="6">
        <f>'Raw Data'!I1613</f>
        <v>3.66</v>
      </c>
      <c r="L1613" s="5">
        <f>'Raw Data'!J1613</f>
        <v>28</v>
      </c>
      <c r="M1613" s="5">
        <f>IF(COUNTIFS($A$2:A1613,A1613,$D$2:D1613,D1613)=1,L1613,0)</f>
        <v>0</v>
      </c>
      <c r="N1613" s="4">
        <f t="shared" si="128"/>
        <v>140.83071428571429</v>
      </c>
      <c r="O1613" t="str">
        <f t="shared" si="129"/>
        <v>OK</v>
      </c>
    </row>
    <row r="1614" spans="1:15">
      <c r="A1614" t="str">
        <f>'Raw Data'!A1614</f>
        <v>Tampa RM-23</v>
      </c>
      <c r="B1614" t="str">
        <f>'Raw Data'!B1614</f>
        <v>Southeast</v>
      </c>
      <c r="C1614" t="str">
        <f>'Raw Data'!C1614</f>
        <v>Grocery</v>
      </c>
      <c r="D1614" s="3">
        <f>'Raw Data'!D1614</f>
        <v>45778</v>
      </c>
      <c r="E1614" t="str">
        <f t="shared" si="125"/>
        <v>May</v>
      </c>
      <c r="F1614" s="5">
        <f>'Raw Data'!E1614</f>
        <v>168</v>
      </c>
      <c r="G1614" s="4">
        <f>'Raw Data'!F1614</f>
        <v>3048.36</v>
      </c>
      <c r="H1614" s="4">
        <f>'Raw Data'!G1614</f>
        <v>2770.77</v>
      </c>
      <c r="I1614" s="4">
        <f t="shared" si="126"/>
        <v>277.59000000000015</v>
      </c>
      <c r="J1614" s="8">
        <f t="shared" si="127"/>
        <v>9.1062079281974614E-2</v>
      </c>
      <c r="K1614" s="6">
        <f>'Raw Data'!I1614</f>
        <v>3.65</v>
      </c>
      <c r="L1614" s="5">
        <f>'Raw Data'!J1614</f>
        <v>28</v>
      </c>
      <c r="M1614" s="5">
        <f>IF(COUNTIFS($A$2:A1614,A1614,$D$2:D1614,D1614)=1,L1614,0)</f>
        <v>0</v>
      </c>
      <c r="N1614" s="4">
        <f t="shared" si="128"/>
        <v>108.87</v>
      </c>
      <c r="O1614" t="str">
        <f t="shared" si="129"/>
        <v>OK</v>
      </c>
    </row>
    <row r="1615" spans="1:15">
      <c r="A1615" t="str">
        <f>'Raw Data'!A1615</f>
        <v>Tampa RM-23</v>
      </c>
      <c r="B1615" t="str">
        <f>'Raw Data'!B1615</f>
        <v>Southeast</v>
      </c>
      <c r="C1615" t="str">
        <f>'Raw Data'!C1615</f>
        <v>Sports</v>
      </c>
      <c r="D1615" s="3">
        <f>'Raw Data'!D1615</f>
        <v>45778</v>
      </c>
      <c r="E1615" t="str">
        <f t="shared" si="125"/>
        <v>May</v>
      </c>
      <c r="F1615" s="5">
        <f>'Raw Data'!E1615</f>
        <v>110</v>
      </c>
      <c r="G1615" s="4">
        <f>'Raw Data'!F1615</f>
        <v>7058.79</v>
      </c>
      <c r="H1615" s="4">
        <f>'Raw Data'!G1615</f>
        <v>4632.24</v>
      </c>
      <c r="I1615" s="4">
        <f t="shared" si="126"/>
        <v>2426.5500000000002</v>
      </c>
      <c r="J1615" s="8">
        <f t="shared" si="127"/>
        <v>0.34376288287369366</v>
      </c>
      <c r="K1615" s="6">
        <f>'Raw Data'!I1615</f>
        <v>3.64</v>
      </c>
      <c r="L1615" s="5">
        <f>'Raw Data'!J1615</f>
        <v>28</v>
      </c>
      <c r="M1615" s="5">
        <f>IF(COUNTIFS($A$2:A1615,A1615,$D$2:D1615,D1615)=1,L1615,0)</f>
        <v>0</v>
      </c>
      <c r="N1615" s="4">
        <f t="shared" si="128"/>
        <v>252.09964285714287</v>
      </c>
      <c r="O1615" t="str">
        <f t="shared" si="129"/>
        <v>OK</v>
      </c>
    </row>
    <row r="1616" spans="1:15">
      <c r="A1616" t="str">
        <f>'Raw Data'!A1616</f>
        <v>Tampa RM-23</v>
      </c>
      <c r="B1616" t="str">
        <f>'Raw Data'!B1616</f>
        <v>Southeast</v>
      </c>
      <c r="C1616" t="str">
        <f>'Raw Data'!C1616</f>
        <v>Electronics</v>
      </c>
      <c r="D1616" s="3">
        <f>'Raw Data'!D1616</f>
        <v>45809</v>
      </c>
      <c r="E1616" t="str">
        <f t="shared" si="125"/>
        <v>Jun</v>
      </c>
      <c r="F1616" s="5">
        <f>'Raw Data'!E1616</f>
        <v>105</v>
      </c>
      <c r="G1616" s="4">
        <f>'Raw Data'!F1616</f>
        <v>14984.73</v>
      </c>
      <c r="H1616" s="4">
        <f>'Raw Data'!G1616</f>
        <v>11381.99</v>
      </c>
      <c r="I1616" s="4">
        <f t="shared" si="126"/>
        <v>3602.74</v>
      </c>
      <c r="J1616" s="8">
        <f t="shared" si="127"/>
        <v>0.24042742178204077</v>
      </c>
      <c r="K1616" s="6">
        <f>'Raw Data'!I1616</f>
        <v>3.79</v>
      </c>
      <c r="L1616" s="5">
        <f>'Raw Data'!J1616</f>
        <v>27</v>
      </c>
      <c r="M1616" s="5">
        <f>IF(COUNTIFS($A$2:A1616,A1616,$D$2:D1616,D1616)=1,L1616,0)</f>
        <v>27</v>
      </c>
      <c r="N1616" s="4">
        <f t="shared" si="128"/>
        <v>554.99</v>
      </c>
      <c r="O1616" t="str">
        <f t="shared" si="129"/>
        <v>OK</v>
      </c>
    </row>
    <row r="1617" spans="1:15">
      <c r="A1617" t="str">
        <f>'Raw Data'!A1617</f>
        <v>Tampa RM-23</v>
      </c>
      <c r="B1617" t="str">
        <f>'Raw Data'!B1617</f>
        <v>Southeast</v>
      </c>
      <c r="C1617" t="str">
        <f>'Raw Data'!C1617</f>
        <v>Home Goods</v>
      </c>
      <c r="D1617" s="3">
        <f>'Raw Data'!D1617</f>
        <v>45809</v>
      </c>
      <c r="E1617" t="str">
        <f t="shared" si="125"/>
        <v>Jun</v>
      </c>
      <c r="F1617" s="5">
        <f>'Raw Data'!E1617</f>
        <v>102</v>
      </c>
      <c r="G1617" s="4">
        <f>'Raw Data'!F1617</f>
        <v>7739.59</v>
      </c>
      <c r="H1617" s="4">
        <f>'Raw Data'!G1617</f>
        <v>5177.2299999999996</v>
      </c>
      <c r="I1617" s="4">
        <f t="shared" si="126"/>
        <v>2562.3600000000006</v>
      </c>
      <c r="J1617" s="8">
        <f t="shared" si="127"/>
        <v>0.33107180096103289</v>
      </c>
      <c r="K1617" s="6">
        <f>'Raw Data'!I1617</f>
        <v>3.64</v>
      </c>
      <c r="L1617" s="5">
        <f>'Raw Data'!J1617</f>
        <v>27</v>
      </c>
      <c r="M1617" s="5">
        <f>IF(COUNTIFS($A$2:A1617,A1617,$D$2:D1617,D1617)=1,L1617,0)</f>
        <v>0</v>
      </c>
      <c r="N1617" s="4">
        <f t="shared" si="128"/>
        <v>286.65148148148148</v>
      </c>
      <c r="O1617" t="str">
        <f t="shared" si="129"/>
        <v>OK</v>
      </c>
    </row>
    <row r="1618" spans="1:15">
      <c r="A1618" t="str">
        <f>'Raw Data'!A1618</f>
        <v>Tampa RM-23</v>
      </c>
      <c r="B1618" t="str">
        <f>'Raw Data'!B1618</f>
        <v>Southeast</v>
      </c>
      <c r="C1618" t="str">
        <f>'Raw Data'!C1618</f>
        <v>Apparel</v>
      </c>
      <c r="D1618" s="3">
        <f>'Raw Data'!D1618</f>
        <v>45809</v>
      </c>
      <c r="E1618" t="str">
        <f t="shared" si="125"/>
        <v>Jun</v>
      </c>
      <c r="F1618" s="5">
        <f>'Raw Data'!E1618</f>
        <v>140</v>
      </c>
      <c r="G1618" s="4">
        <f>'Raw Data'!F1618</f>
        <v>6973.02</v>
      </c>
      <c r="H1618" s="4">
        <f>'Raw Data'!G1618</f>
        <v>4131.25</v>
      </c>
      <c r="I1618" s="4">
        <f t="shared" si="126"/>
        <v>2841.7700000000004</v>
      </c>
      <c r="J1618" s="8">
        <f t="shared" si="127"/>
        <v>0.40753791040323994</v>
      </c>
      <c r="K1618" s="6">
        <f>'Raw Data'!I1618</f>
        <v>3.57</v>
      </c>
      <c r="L1618" s="5">
        <f>'Raw Data'!J1618</f>
        <v>27</v>
      </c>
      <c r="M1618" s="5">
        <f>IF(COUNTIFS($A$2:A1618,A1618,$D$2:D1618,D1618)=1,L1618,0)</f>
        <v>0</v>
      </c>
      <c r="N1618" s="4">
        <f t="shared" si="128"/>
        <v>258.26</v>
      </c>
      <c r="O1618" t="str">
        <f t="shared" si="129"/>
        <v>OK</v>
      </c>
    </row>
    <row r="1619" spans="1:15">
      <c r="A1619" t="str">
        <f>'Raw Data'!A1619</f>
        <v>Tampa RM-23</v>
      </c>
      <c r="B1619" t="str">
        <f>'Raw Data'!B1619</f>
        <v>Southeast</v>
      </c>
      <c r="C1619" t="str">
        <f>'Raw Data'!C1619</f>
        <v>Beauty</v>
      </c>
      <c r="D1619" s="3">
        <f>'Raw Data'!D1619</f>
        <v>45809</v>
      </c>
      <c r="E1619" t="str">
        <f t="shared" si="125"/>
        <v>Jun</v>
      </c>
      <c r="F1619" s="5">
        <f>'Raw Data'!E1619</f>
        <v>106</v>
      </c>
      <c r="G1619" s="4">
        <f>'Raw Data'!F1619</f>
        <v>3689.72</v>
      </c>
      <c r="H1619" s="4">
        <f>'Raw Data'!G1619</f>
        <v>1791.02</v>
      </c>
      <c r="I1619" s="4">
        <f t="shared" si="126"/>
        <v>1898.6999999999998</v>
      </c>
      <c r="J1619" s="8">
        <f t="shared" si="127"/>
        <v>0.51459189315178389</v>
      </c>
      <c r="K1619" s="6">
        <f>'Raw Data'!I1619</f>
        <v>3.55</v>
      </c>
      <c r="L1619" s="5">
        <f>'Raw Data'!J1619</f>
        <v>27</v>
      </c>
      <c r="M1619" s="5">
        <f>IF(COUNTIFS($A$2:A1619,A1619,$D$2:D1619,D1619)=1,L1619,0)</f>
        <v>0</v>
      </c>
      <c r="N1619" s="4">
        <f t="shared" si="128"/>
        <v>136.65629629629629</v>
      </c>
      <c r="O1619" t="str">
        <f t="shared" si="129"/>
        <v>OK</v>
      </c>
    </row>
    <row r="1620" spans="1:15">
      <c r="A1620" t="str">
        <f>'Raw Data'!A1620</f>
        <v>Tampa RM-23</v>
      </c>
      <c r="B1620" t="str">
        <f>'Raw Data'!B1620</f>
        <v>Southeast</v>
      </c>
      <c r="C1620" t="str">
        <f>'Raw Data'!C1620</f>
        <v>Grocery</v>
      </c>
      <c r="D1620" s="3">
        <f>'Raw Data'!D1620</f>
        <v>45809</v>
      </c>
      <c r="E1620" t="str">
        <f t="shared" si="125"/>
        <v>Jun</v>
      </c>
      <c r="F1620" s="5">
        <f>'Raw Data'!E1620</f>
        <v>187</v>
      </c>
      <c r="G1620" s="4">
        <f>'Raw Data'!F1620</f>
        <v>3323.86</v>
      </c>
      <c r="H1620" s="4">
        <f>'Raw Data'!G1620</f>
        <v>3043.24</v>
      </c>
      <c r="I1620" s="4">
        <f t="shared" si="126"/>
        <v>280.62000000000035</v>
      </c>
      <c r="J1620" s="8">
        <f t="shared" si="127"/>
        <v>8.4425938517266166E-2</v>
      </c>
      <c r="K1620" s="6">
        <f>'Raw Data'!I1620</f>
        <v>3.74</v>
      </c>
      <c r="L1620" s="5">
        <f>'Raw Data'!J1620</f>
        <v>27</v>
      </c>
      <c r="M1620" s="5">
        <f>IF(COUNTIFS($A$2:A1620,A1620,$D$2:D1620,D1620)=1,L1620,0)</f>
        <v>0</v>
      </c>
      <c r="N1620" s="4">
        <f t="shared" si="128"/>
        <v>123.10592592592593</v>
      </c>
      <c r="O1620" t="str">
        <f t="shared" si="129"/>
        <v>OK</v>
      </c>
    </row>
    <row r="1621" spans="1:15">
      <c r="A1621" t="str">
        <f>'Raw Data'!A1621</f>
        <v>Tampa RM-23</v>
      </c>
      <c r="B1621" t="str">
        <f>'Raw Data'!B1621</f>
        <v>Southeast</v>
      </c>
      <c r="C1621" t="str">
        <f>'Raw Data'!C1621</f>
        <v>Sports</v>
      </c>
      <c r="D1621" s="3">
        <f>'Raw Data'!D1621</f>
        <v>45809</v>
      </c>
      <c r="E1621" t="str">
        <f t="shared" si="125"/>
        <v>Jun</v>
      </c>
      <c r="F1621" s="5">
        <f>'Raw Data'!E1621</f>
        <v>123</v>
      </c>
      <c r="G1621" s="4">
        <f>'Raw Data'!F1621</f>
        <v>7869.83</v>
      </c>
      <c r="H1621" s="4">
        <f>'Raw Data'!G1621</f>
        <v>5002.1899999999996</v>
      </c>
      <c r="I1621" s="4">
        <f t="shared" si="126"/>
        <v>2867.6400000000003</v>
      </c>
      <c r="J1621" s="8">
        <f t="shared" si="127"/>
        <v>0.36438398288146001</v>
      </c>
      <c r="K1621" s="6">
        <f>'Raw Data'!I1621</f>
        <v>3.57</v>
      </c>
      <c r="L1621" s="5">
        <f>'Raw Data'!J1621</f>
        <v>27</v>
      </c>
      <c r="M1621" s="5">
        <f>IF(COUNTIFS($A$2:A1621,A1621,$D$2:D1621,D1621)=1,L1621,0)</f>
        <v>0</v>
      </c>
      <c r="N1621" s="4">
        <f t="shared" si="128"/>
        <v>291.47518518518518</v>
      </c>
      <c r="O1621" t="str">
        <f t="shared" si="129"/>
        <v>OK</v>
      </c>
    </row>
    <row r="1622" spans="1:15">
      <c r="A1622" t="str">
        <f>'Raw Data'!A1622</f>
        <v>Tampa RM-23</v>
      </c>
      <c r="B1622" t="str">
        <f>'Raw Data'!B1622</f>
        <v>Southeast</v>
      </c>
      <c r="C1622" t="str">
        <f>'Raw Data'!C1622</f>
        <v>Electronics</v>
      </c>
      <c r="D1622" s="3">
        <f>'Raw Data'!D1622</f>
        <v>45839</v>
      </c>
      <c r="E1622" t="str">
        <f t="shared" si="125"/>
        <v>Jul</v>
      </c>
      <c r="F1622" s="5">
        <f>'Raw Data'!E1622</f>
        <v>138</v>
      </c>
      <c r="G1622" s="4">
        <f>'Raw Data'!F1622</f>
        <v>20695.04</v>
      </c>
      <c r="H1622" s="4">
        <f>'Raw Data'!G1622</f>
        <v>16495.25</v>
      </c>
      <c r="I1622" s="4">
        <f t="shared" si="126"/>
        <v>4199.7900000000009</v>
      </c>
      <c r="J1622" s="8">
        <f t="shared" si="127"/>
        <v>0.20293703225507179</v>
      </c>
      <c r="K1622" s="6">
        <f>'Raw Data'!I1622</f>
        <v>3.75</v>
      </c>
      <c r="L1622" s="5">
        <f>'Raw Data'!J1622</f>
        <v>29</v>
      </c>
      <c r="M1622" s="5">
        <f>IF(COUNTIFS($A$2:A1622,A1622,$D$2:D1622,D1622)=1,L1622,0)</f>
        <v>29</v>
      </c>
      <c r="N1622" s="4">
        <f t="shared" si="128"/>
        <v>713.62206896551731</v>
      </c>
      <c r="O1622" t="str">
        <f t="shared" si="129"/>
        <v>OK</v>
      </c>
    </row>
    <row r="1623" spans="1:15">
      <c r="A1623" t="str">
        <f>'Raw Data'!A1623</f>
        <v>Tampa RM-23</v>
      </c>
      <c r="B1623" t="str">
        <f>'Raw Data'!B1623</f>
        <v>Southeast</v>
      </c>
      <c r="C1623" t="str">
        <f>'Raw Data'!C1623</f>
        <v>Home Goods</v>
      </c>
      <c r="D1623" s="3">
        <f>'Raw Data'!D1623</f>
        <v>45839</v>
      </c>
      <c r="E1623" t="str">
        <f t="shared" si="125"/>
        <v>Jul</v>
      </c>
      <c r="F1623" s="5">
        <f>'Raw Data'!E1623</f>
        <v>104</v>
      </c>
      <c r="G1623" s="4">
        <f>'Raw Data'!F1623</f>
        <v>8314.74</v>
      </c>
      <c r="H1623" s="4">
        <f>'Raw Data'!G1623</f>
        <v>5736.95</v>
      </c>
      <c r="I1623" s="4">
        <f t="shared" si="126"/>
        <v>2577.79</v>
      </c>
      <c r="J1623" s="8">
        <f t="shared" si="127"/>
        <v>0.31002653119640544</v>
      </c>
      <c r="K1623" s="6">
        <f>'Raw Data'!I1623</f>
        <v>3.69</v>
      </c>
      <c r="L1623" s="5">
        <f>'Raw Data'!J1623</f>
        <v>29</v>
      </c>
      <c r="M1623" s="5">
        <f>IF(COUNTIFS($A$2:A1623,A1623,$D$2:D1623,D1623)=1,L1623,0)</f>
        <v>0</v>
      </c>
      <c r="N1623" s="4">
        <f t="shared" si="128"/>
        <v>286.71517241379308</v>
      </c>
      <c r="O1623" t="str">
        <f t="shared" si="129"/>
        <v>OK</v>
      </c>
    </row>
    <row r="1624" spans="1:15">
      <c r="A1624" t="str">
        <f>'Raw Data'!A1624</f>
        <v>Tampa RM-23</v>
      </c>
      <c r="B1624" t="str">
        <f>'Raw Data'!B1624</f>
        <v>Southeast</v>
      </c>
      <c r="C1624" t="str">
        <f>'Raw Data'!C1624</f>
        <v>Apparel</v>
      </c>
      <c r="D1624" s="3">
        <f>'Raw Data'!D1624</f>
        <v>45839</v>
      </c>
      <c r="E1624" t="str">
        <f t="shared" si="125"/>
        <v>Jul</v>
      </c>
      <c r="F1624" s="5">
        <f>'Raw Data'!E1624</f>
        <v>133</v>
      </c>
      <c r="G1624" s="4">
        <f>'Raw Data'!F1624</f>
        <v>6597.15</v>
      </c>
      <c r="H1624" s="4">
        <f>'Raw Data'!G1624</f>
        <v>3973.41</v>
      </c>
      <c r="I1624" s="4">
        <f t="shared" si="126"/>
        <v>2623.74</v>
      </c>
      <c r="J1624" s="8">
        <f t="shared" si="127"/>
        <v>0.39770810122552919</v>
      </c>
      <c r="K1624" s="6">
        <f>'Raw Data'!I1624</f>
        <v>3.54</v>
      </c>
      <c r="L1624" s="5">
        <f>'Raw Data'!J1624</f>
        <v>29</v>
      </c>
      <c r="M1624" s="5">
        <f>IF(COUNTIFS($A$2:A1624,A1624,$D$2:D1624,D1624)=1,L1624,0)</f>
        <v>0</v>
      </c>
      <c r="N1624" s="4">
        <f t="shared" si="128"/>
        <v>227.48793103448276</v>
      </c>
      <c r="O1624" t="str">
        <f t="shared" si="129"/>
        <v>OK</v>
      </c>
    </row>
    <row r="1625" spans="1:15">
      <c r="A1625" t="str">
        <f>'Raw Data'!A1625</f>
        <v>Tampa RM-23</v>
      </c>
      <c r="B1625" t="str">
        <f>'Raw Data'!B1625</f>
        <v>Southeast</v>
      </c>
      <c r="C1625" t="str">
        <f>'Raw Data'!C1625</f>
        <v>Beauty</v>
      </c>
      <c r="D1625" s="3">
        <f>'Raw Data'!D1625</f>
        <v>45839</v>
      </c>
      <c r="E1625" t="str">
        <f t="shared" si="125"/>
        <v>Jul</v>
      </c>
      <c r="F1625" s="5">
        <f>'Raw Data'!E1625</f>
        <v>129</v>
      </c>
      <c r="G1625" s="4">
        <f>'Raw Data'!F1625</f>
        <v>4759.1899999999996</v>
      </c>
      <c r="H1625" s="4">
        <f>'Raw Data'!G1625</f>
        <v>2304.0300000000002</v>
      </c>
      <c r="I1625" s="4">
        <f t="shared" si="126"/>
        <v>2455.1599999999994</v>
      </c>
      <c r="J1625" s="8">
        <f t="shared" si="127"/>
        <v>0.51587770187784043</v>
      </c>
      <c r="K1625" s="6">
        <f>'Raw Data'!I1625</f>
        <v>3.61</v>
      </c>
      <c r="L1625" s="5">
        <f>'Raw Data'!J1625</f>
        <v>29</v>
      </c>
      <c r="M1625" s="5">
        <f>IF(COUNTIFS($A$2:A1625,A1625,$D$2:D1625,D1625)=1,L1625,0)</f>
        <v>0</v>
      </c>
      <c r="N1625" s="4">
        <f t="shared" si="128"/>
        <v>164.10999999999999</v>
      </c>
      <c r="O1625" t="str">
        <f t="shared" si="129"/>
        <v>OK</v>
      </c>
    </row>
    <row r="1626" spans="1:15">
      <c r="A1626" t="str">
        <f>'Raw Data'!A1626</f>
        <v>Tampa RM-23</v>
      </c>
      <c r="B1626" t="str">
        <f>'Raw Data'!B1626</f>
        <v>Southeast</v>
      </c>
      <c r="C1626" t="str">
        <f>'Raw Data'!C1626</f>
        <v>Grocery</v>
      </c>
      <c r="D1626" s="3">
        <f>'Raw Data'!D1626</f>
        <v>45839</v>
      </c>
      <c r="E1626" t="str">
        <f t="shared" si="125"/>
        <v>Jul</v>
      </c>
      <c r="F1626" s="5">
        <f>'Raw Data'!E1626</f>
        <v>202</v>
      </c>
      <c r="G1626" s="4">
        <f>'Raw Data'!F1626</f>
        <v>3524.45</v>
      </c>
      <c r="H1626" s="4">
        <f>'Raw Data'!G1626</f>
        <v>3140.66</v>
      </c>
      <c r="I1626" s="4">
        <f t="shared" si="126"/>
        <v>383.78999999999996</v>
      </c>
      <c r="J1626" s="8">
        <f t="shared" si="127"/>
        <v>0.10889358623331299</v>
      </c>
      <c r="K1626" s="6">
        <f>'Raw Data'!I1626</f>
        <v>3.44</v>
      </c>
      <c r="L1626" s="5">
        <f>'Raw Data'!J1626</f>
        <v>29</v>
      </c>
      <c r="M1626" s="5">
        <f>IF(COUNTIFS($A$2:A1626,A1626,$D$2:D1626,D1626)=1,L1626,0)</f>
        <v>0</v>
      </c>
      <c r="N1626" s="4">
        <f t="shared" si="128"/>
        <v>121.53275862068965</v>
      </c>
      <c r="O1626" t="str">
        <f t="shared" si="129"/>
        <v>OK</v>
      </c>
    </row>
    <row r="1627" spans="1:15">
      <c r="A1627" t="str">
        <f>'Raw Data'!A1627</f>
        <v>Tampa RM-23</v>
      </c>
      <c r="B1627" t="str">
        <f>'Raw Data'!B1627</f>
        <v>Southeast</v>
      </c>
      <c r="C1627" t="str">
        <f>'Raw Data'!C1627</f>
        <v>Sports</v>
      </c>
      <c r="D1627" s="3">
        <f>'Raw Data'!D1627</f>
        <v>45839</v>
      </c>
      <c r="E1627" t="str">
        <f t="shared" si="125"/>
        <v>Jul</v>
      </c>
      <c r="F1627" s="5">
        <f>'Raw Data'!E1627</f>
        <v>109</v>
      </c>
      <c r="G1627" s="4">
        <f>'Raw Data'!F1627</f>
        <v>7185.96</v>
      </c>
      <c r="H1627" s="4">
        <f>'Raw Data'!G1627</f>
        <v>4673.5600000000004</v>
      </c>
      <c r="I1627" s="4">
        <f t="shared" si="126"/>
        <v>2512.3999999999996</v>
      </c>
      <c r="J1627" s="8">
        <f t="shared" si="127"/>
        <v>0.34962621556479573</v>
      </c>
      <c r="K1627" s="6">
        <f>'Raw Data'!I1627</f>
        <v>3.52</v>
      </c>
      <c r="L1627" s="5">
        <f>'Raw Data'!J1627</f>
        <v>29</v>
      </c>
      <c r="M1627" s="5">
        <f>IF(COUNTIFS($A$2:A1627,A1627,$D$2:D1627,D1627)=1,L1627,0)</f>
        <v>0</v>
      </c>
      <c r="N1627" s="4">
        <f t="shared" si="128"/>
        <v>247.79172413793103</v>
      </c>
      <c r="O1627" t="str">
        <f t="shared" si="129"/>
        <v>OK</v>
      </c>
    </row>
    <row r="1628" spans="1:15">
      <c r="A1628" t="str">
        <f>'Raw Data'!A1628</f>
        <v>Tampa RM-23</v>
      </c>
      <c r="B1628" t="str">
        <f>'Raw Data'!B1628</f>
        <v>Southeast</v>
      </c>
      <c r="C1628" t="str">
        <f>'Raw Data'!C1628</f>
        <v>Electronics</v>
      </c>
      <c r="D1628" s="3">
        <f>'Raw Data'!D1628</f>
        <v>45870</v>
      </c>
      <c r="E1628" t="str">
        <f t="shared" si="125"/>
        <v>Aug</v>
      </c>
      <c r="F1628" s="5">
        <f>'Raw Data'!E1628</f>
        <v>117</v>
      </c>
      <c r="G1628" s="4">
        <f>'Raw Data'!F1628</f>
        <v>16217.79</v>
      </c>
      <c r="H1628" s="4">
        <f>'Raw Data'!G1628</f>
        <v>12633.86</v>
      </c>
      <c r="I1628" s="4">
        <f t="shared" si="126"/>
        <v>3583.9300000000003</v>
      </c>
      <c r="J1628" s="8">
        <f t="shared" si="127"/>
        <v>0.22098756982301535</v>
      </c>
      <c r="K1628" s="6">
        <f>'Raw Data'!I1628</f>
        <v>3.67</v>
      </c>
      <c r="L1628" s="5">
        <f>'Raw Data'!J1628</f>
        <v>27</v>
      </c>
      <c r="M1628" s="5">
        <f>IF(COUNTIFS($A$2:A1628,A1628,$D$2:D1628,D1628)=1,L1628,0)</f>
        <v>27</v>
      </c>
      <c r="N1628" s="4">
        <f t="shared" si="128"/>
        <v>600.6588888888889</v>
      </c>
      <c r="O1628" t="str">
        <f t="shared" si="129"/>
        <v>OK</v>
      </c>
    </row>
    <row r="1629" spans="1:15">
      <c r="A1629" t="str">
        <f>'Raw Data'!A1629</f>
        <v>Tampa RM-23</v>
      </c>
      <c r="B1629" t="str">
        <f>'Raw Data'!B1629</f>
        <v>Southeast</v>
      </c>
      <c r="C1629" t="str">
        <f>'Raw Data'!C1629</f>
        <v>Home Goods</v>
      </c>
      <c r="D1629" s="3">
        <f>'Raw Data'!D1629</f>
        <v>45870</v>
      </c>
      <c r="E1629" t="str">
        <f t="shared" si="125"/>
        <v>Aug</v>
      </c>
      <c r="F1629" s="5">
        <f>'Raw Data'!E1629</f>
        <v>96</v>
      </c>
      <c r="G1629" s="4">
        <f>'Raw Data'!F1629</f>
        <v>7355.03</v>
      </c>
      <c r="H1629" s="4">
        <f>'Raw Data'!G1629</f>
        <v>5164.71</v>
      </c>
      <c r="I1629" s="4">
        <f t="shared" si="126"/>
        <v>2190.3199999999997</v>
      </c>
      <c r="J1629" s="8">
        <f t="shared" si="127"/>
        <v>0.29779892128244206</v>
      </c>
      <c r="K1629" s="6">
        <f>'Raw Data'!I1629</f>
        <v>3.75</v>
      </c>
      <c r="L1629" s="5">
        <f>'Raw Data'!J1629</f>
        <v>27</v>
      </c>
      <c r="M1629" s="5">
        <f>IF(COUNTIFS($A$2:A1629,A1629,$D$2:D1629,D1629)=1,L1629,0)</f>
        <v>0</v>
      </c>
      <c r="N1629" s="4">
        <f t="shared" si="128"/>
        <v>272.40851851851852</v>
      </c>
      <c r="O1629" t="str">
        <f t="shared" si="129"/>
        <v>OK</v>
      </c>
    </row>
    <row r="1630" spans="1:15">
      <c r="A1630" t="str">
        <f>'Raw Data'!A1630</f>
        <v>Tampa RM-23</v>
      </c>
      <c r="B1630" t="str">
        <f>'Raw Data'!B1630</f>
        <v>Southeast</v>
      </c>
      <c r="C1630" t="str">
        <f>'Raw Data'!C1630</f>
        <v>Apparel</v>
      </c>
      <c r="D1630" s="3">
        <f>'Raw Data'!D1630</f>
        <v>45870</v>
      </c>
      <c r="E1630" t="str">
        <f t="shared" si="125"/>
        <v>Aug</v>
      </c>
      <c r="F1630" s="5">
        <f>'Raw Data'!E1630</f>
        <v>157</v>
      </c>
      <c r="G1630" s="4">
        <f>'Raw Data'!F1630</f>
        <v>7671.52</v>
      </c>
      <c r="H1630" s="4">
        <f>'Raw Data'!G1630</f>
        <v>4885.1499999999996</v>
      </c>
      <c r="I1630" s="4">
        <f t="shared" si="126"/>
        <v>2786.3700000000008</v>
      </c>
      <c r="J1630" s="8">
        <f t="shared" si="127"/>
        <v>0.3632096377249881</v>
      </c>
      <c r="K1630" s="6">
        <f>'Raw Data'!I1630</f>
        <v>3.77</v>
      </c>
      <c r="L1630" s="5">
        <f>'Raw Data'!J1630</f>
        <v>27</v>
      </c>
      <c r="M1630" s="5">
        <f>IF(COUNTIFS($A$2:A1630,A1630,$D$2:D1630,D1630)=1,L1630,0)</f>
        <v>0</v>
      </c>
      <c r="N1630" s="4">
        <f t="shared" si="128"/>
        <v>284.13037037037037</v>
      </c>
      <c r="O1630" t="str">
        <f t="shared" si="129"/>
        <v>OK</v>
      </c>
    </row>
    <row r="1631" spans="1:15">
      <c r="A1631" t="str">
        <f>'Raw Data'!A1631</f>
        <v>Tampa RM-23</v>
      </c>
      <c r="B1631" t="str">
        <f>'Raw Data'!B1631</f>
        <v>Southeast</v>
      </c>
      <c r="C1631" t="str">
        <f>'Raw Data'!C1631</f>
        <v>Beauty</v>
      </c>
      <c r="D1631" s="3">
        <f>'Raw Data'!D1631</f>
        <v>45870</v>
      </c>
      <c r="E1631" t="str">
        <f t="shared" si="125"/>
        <v>Aug</v>
      </c>
      <c r="F1631" s="5">
        <f>'Raw Data'!E1631</f>
        <v>94</v>
      </c>
      <c r="G1631" s="4">
        <f>'Raw Data'!F1631</f>
        <v>3594.88</v>
      </c>
      <c r="H1631" s="4">
        <f>'Raw Data'!G1631</f>
        <v>1815.92</v>
      </c>
      <c r="I1631" s="4">
        <f t="shared" si="126"/>
        <v>1778.96</v>
      </c>
      <c r="J1631" s="8">
        <f t="shared" si="127"/>
        <v>0.49485935552786187</v>
      </c>
      <c r="K1631" s="6">
        <f>'Raw Data'!I1631</f>
        <v>3.5</v>
      </c>
      <c r="L1631" s="5">
        <f>'Raw Data'!J1631</f>
        <v>27</v>
      </c>
      <c r="M1631" s="5">
        <f>IF(COUNTIFS($A$2:A1631,A1631,$D$2:D1631,D1631)=1,L1631,0)</f>
        <v>0</v>
      </c>
      <c r="N1631" s="4">
        <f t="shared" si="128"/>
        <v>133.14370370370372</v>
      </c>
      <c r="O1631" t="str">
        <f t="shared" si="129"/>
        <v>OK</v>
      </c>
    </row>
    <row r="1632" spans="1:15">
      <c r="A1632" t="str">
        <f>'Raw Data'!A1632</f>
        <v>Tampa RM-23</v>
      </c>
      <c r="B1632" t="str">
        <f>'Raw Data'!B1632</f>
        <v>Southeast</v>
      </c>
      <c r="C1632" t="str">
        <f>'Raw Data'!C1632</f>
        <v>Grocery</v>
      </c>
      <c r="D1632" s="3">
        <f>'Raw Data'!D1632</f>
        <v>45870</v>
      </c>
      <c r="E1632" t="str">
        <f t="shared" si="125"/>
        <v>Aug</v>
      </c>
      <c r="F1632" s="5">
        <f>'Raw Data'!E1632</f>
        <v>213</v>
      </c>
      <c r="G1632" s="4">
        <f>'Raw Data'!F1632</f>
        <v>4032.82</v>
      </c>
      <c r="H1632" s="4">
        <f>'Raw Data'!G1632</f>
        <v>3821.48</v>
      </c>
      <c r="I1632" s="4">
        <f t="shared" si="126"/>
        <v>211.34000000000015</v>
      </c>
      <c r="J1632" s="8">
        <f t="shared" si="127"/>
        <v>5.2405016836853648E-2</v>
      </c>
      <c r="K1632" s="6">
        <f>'Raw Data'!I1632</f>
        <v>3.71</v>
      </c>
      <c r="L1632" s="5">
        <f>'Raw Data'!J1632</f>
        <v>27</v>
      </c>
      <c r="M1632" s="5">
        <f>IF(COUNTIFS($A$2:A1632,A1632,$D$2:D1632,D1632)=1,L1632,0)</f>
        <v>0</v>
      </c>
      <c r="N1632" s="4">
        <f t="shared" si="128"/>
        <v>149.36370370370372</v>
      </c>
      <c r="O1632" t="str">
        <f t="shared" si="129"/>
        <v>OK</v>
      </c>
    </row>
    <row r="1633" spans="1:15">
      <c r="A1633" t="str">
        <f>'Raw Data'!A1633</f>
        <v>Tampa RM-23</v>
      </c>
      <c r="B1633" t="str">
        <f>'Raw Data'!B1633</f>
        <v>Southeast</v>
      </c>
      <c r="C1633" t="str">
        <f>'Raw Data'!C1633</f>
        <v>Sports</v>
      </c>
      <c r="D1633" s="3">
        <f>'Raw Data'!D1633</f>
        <v>45870</v>
      </c>
      <c r="E1633" t="str">
        <f t="shared" si="125"/>
        <v>Aug</v>
      </c>
      <c r="F1633" s="5">
        <f>'Raw Data'!E1633</f>
        <v>111</v>
      </c>
      <c r="G1633" s="4">
        <f>'Raw Data'!F1633</f>
        <v>7408.15</v>
      </c>
      <c r="H1633" s="4">
        <f>'Raw Data'!G1633</f>
        <v>4987.07</v>
      </c>
      <c r="I1633" s="4">
        <f t="shared" si="126"/>
        <v>2421.08</v>
      </c>
      <c r="J1633" s="8">
        <f t="shared" si="127"/>
        <v>0.32681303699304143</v>
      </c>
      <c r="K1633" s="6">
        <f>'Raw Data'!I1633</f>
        <v>3.68</v>
      </c>
      <c r="L1633" s="5">
        <f>'Raw Data'!J1633</f>
        <v>27</v>
      </c>
      <c r="M1633" s="5">
        <f>IF(COUNTIFS($A$2:A1633,A1633,$D$2:D1633,D1633)=1,L1633,0)</f>
        <v>0</v>
      </c>
      <c r="N1633" s="4">
        <f t="shared" si="128"/>
        <v>274.37592592592591</v>
      </c>
      <c r="O1633" t="str">
        <f t="shared" si="129"/>
        <v>OK</v>
      </c>
    </row>
    <row r="1634" spans="1:15">
      <c r="A1634" t="str">
        <f>'Raw Data'!A1634</f>
        <v>Tampa RM-23</v>
      </c>
      <c r="B1634" t="str">
        <f>'Raw Data'!B1634</f>
        <v>Southeast</v>
      </c>
      <c r="C1634" t="str">
        <f>'Raw Data'!C1634</f>
        <v>Electronics</v>
      </c>
      <c r="D1634" s="3">
        <f>'Raw Data'!D1634</f>
        <v>45901</v>
      </c>
      <c r="E1634" t="str">
        <f t="shared" si="125"/>
        <v>Sep</v>
      </c>
      <c r="F1634" s="5">
        <f>'Raw Data'!E1634</f>
        <v>110</v>
      </c>
      <c r="G1634" s="4">
        <f>'Raw Data'!F1634</f>
        <v>15228.38</v>
      </c>
      <c r="H1634" s="4">
        <f>'Raw Data'!G1634</f>
        <v>12246.98</v>
      </c>
      <c r="I1634" s="4">
        <f t="shared" si="126"/>
        <v>2981.3999999999996</v>
      </c>
      <c r="J1634" s="8">
        <f t="shared" si="127"/>
        <v>0.19577919647395192</v>
      </c>
      <c r="K1634" s="6">
        <f>'Raw Data'!I1634</f>
        <v>3.78</v>
      </c>
      <c r="L1634" s="5">
        <f>'Raw Data'!J1634</f>
        <v>26</v>
      </c>
      <c r="M1634" s="5">
        <f>IF(COUNTIFS($A$2:A1634,A1634,$D$2:D1634,D1634)=1,L1634,0)</f>
        <v>26</v>
      </c>
      <c r="N1634" s="4">
        <f t="shared" si="128"/>
        <v>585.70692307692309</v>
      </c>
      <c r="O1634" t="str">
        <f t="shared" si="129"/>
        <v>OK</v>
      </c>
    </row>
    <row r="1635" spans="1:15">
      <c r="A1635" t="str">
        <f>'Raw Data'!A1635</f>
        <v>Tampa RM-23</v>
      </c>
      <c r="B1635" t="str">
        <f>'Raw Data'!B1635</f>
        <v>Southeast</v>
      </c>
      <c r="C1635" t="str">
        <f>'Raw Data'!C1635</f>
        <v>Home Goods</v>
      </c>
      <c r="D1635" s="3">
        <f>'Raw Data'!D1635</f>
        <v>45901</v>
      </c>
      <c r="E1635" t="str">
        <f t="shared" si="125"/>
        <v>Sep</v>
      </c>
      <c r="F1635" s="5">
        <f>'Raw Data'!E1635</f>
        <v>97</v>
      </c>
      <c r="G1635" s="4">
        <f>'Raw Data'!F1635</f>
        <v>7869.89</v>
      </c>
      <c r="H1635" s="4">
        <f>'Raw Data'!G1635</f>
        <v>5303.06</v>
      </c>
      <c r="I1635" s="4">
        <f t="shared" si="126"/>
        <v>2566.83</v>
      </c>
      <c r="J1635" s="8">
        <f t="shared" si="127"/>
        <v>0.32615830716820693</v>
      </c>
      <c r="K1635" s="6">
        <f>'Raw Data'!I1635</f>
        <v>3.57</v>
      </c>
      <c r="L1635" s="5">
        <f>'Raw Data'!J1635</f>
        <v>26</v>
      </c>
      <c r="M1635" s="5">
        <f>IF(COUNTIFS($A$2:A1635,A1635,$D$2:D1635,D1635)=1,L1635,0)</f>
        <v>0</v>
      </c>
      <c r="N1635" s="4">
        <f t="shared" si="128"/>
        <v>302.68807692307695</v>
      </c>
      <c r="O1635" t="str">
        <f t="shared" si="129"/>
        <v>OK</v>
      </c>
    </row>
    <row r="1636" spans="1:15">
      <c r="A1636" t="str">
        <f>'Raw Data'!A1636</f>
        <v>Tampa RM-23</v>
      </c>
      <c r="B1636" t="str">
        <f>'Raw Data'!B1636</f>
        <v>Southeast</v>
      </c>
      <c r="C1636" t="str">
        <f>'Raw Data'!C1636</f>
        <v>Apparel</v>
      </c>
      <c r="D1636" s="3">
        <f>'Raw Data'!D1636</f>
        <v>45901</v>
      </c>
      <c r="E1636" t="str">
        <f t="shared" si="125"/>
        <v>Sep</v>
      </c>
      <c r="F1636" s="5">
        <f>'Raw Data'!E1636</f>
        <v>114</v>
      </c>
      <c r="G1636" s="4">
        <f>'Raw Data'!F1636</f>
        <v>5704.87</v>
      </c>
      <c r="H1636" s="4">
        <f>'Raw Data'!G1636</f>
        <v>3496.52</v>
      </c>
      <c r="I1636" s="4">
        <f t="shared" si="126"/>
        <v>2208.35</v>
      </c>
      <c r="J1636" s="8">
        <f t="shared" si="127"/>
        <v>0.3870990925297158</v>
      </c>
      <c r="K1636" s="6">
        <f>'Raw Data'!I1636</f>
        <v>3.7</v>
      </c>
      <c r="L1636" s="5">
        <f>'Raw Data'!J1636</f>
        <v>26</v>
      </c>
      <c r="M1636" s="5">
        <f>IF(COUNTIFS($A$2:A1636,A1636,$D$2:D1636,D1636)=1,L1636,0)</f>
        <v>0</v>
      </c>
      <c r="N1636" s="4">
        <f t="shared" si="128"/>
        <v>219.41807692307691</v>
      </c>
      <c r="O1636" t="str">
        <f t="shared" si="129"/>
        <v>OK</v>
      </c>
    </row>
    <row r="1637" spans="1:15">
      <c r="A1637" t="str">
        <f>'Raw Data'!A1637</f>
        <v>Tampa RM-23</v>
      </c>
      <c r="B1637" t="str">
        <f>'Raw Data'!B1637</f>
        <v>Southeast</v>
      </c>
      <c r="C1637" t="str">
        <f>'Raw Data'!C1637</f>
        <v>Beauty</v>
      </c>
      <c r="D1637" s="3">
        <f>'Raw Data'!D1637</f>
        <v>45901</v>
      </c>
      <c r="E1637" t="str">
        <f t="shared" si="125"/>
        <v>Sep</v>
      </c>
      <c r="F1637" s="5">
        <f>'Raw Data'!E1637</f>
        <v>107</v>
      </c>
      <c r="G1637" s="4">
        <f>'Raw Data'!F1637</f>
        <v>3801.33</v>
      </c>
      <c r="H1637" s="4">
        <f>'Raw Data'!G1637</f>
        <v>1889.1</v>
      </c>
      <c r="I1637" s="4">
        <f t="shared" si="126"/>
        <v>1912.23</v>
      </c>
      <c r="J1637" s="8">
        <f t="shared" si="127"/>
        <v>0.50304235622795179</v>
      </c>
      <c r="K1637" s="6">
        <f>'Raw Data'!I1637</f>
        <v>3.77</v>
      </c>
      <c r="L1637" s="5">
        <f>'Raw Data'!J1637</f>
        <v>26</v>
      </c>
      <c r="M1637" s="5">
        <f>IF(COUNTIFS($A$2:A1637,A1637,$D$2:D1637,D1637)=1,L1637,0)</f>
        <v>0</v>
      </c>
      <c r="N1637" s="4">
        <f t="shared" si="128"/>
        <v>146.20499999999998</v>
      </c>
      <c r="O1637" t="str">
        <f t="shared" si="129"/>
        <v>OK</v>
      </c>
    </row>
    <row r="1638" spans="1:15">
      <c r="A1638" t="str">
        <f>'Raw Data'!A1638</f>
        <v>Tampa RM-23</v>
      </c>
      <c r="B1638" t="str">
        <f>'Raw Data'!B1638</f>
        <v>Southeast</v>
      </c>
      <c r="C1638" t="str">
        <f>'Raw Data'!C1638</f>
        <v>Grocery</v>
      </c>
      <c r="D1638" s="3">
        <f>'Raw Data'!D1638</f>
        <v>45901</v>
      </c>
      <c r="E1638" t="str">
        <f t="shared" si="125"/>
        <v>Sep</v>
      </c>
      <c r="F1638" s="5">
        <f>'Raw Data'!E1638</f>
        <v>159</v>
      </c>
      <c r="G1638" s="4">
        <f>'Raw Data'!F1638</f>
        <v>2998.42</v>
      </c>
      <c r="H1638" s="4">
        <f>'Raw Data'!G1638</f>
        <v>2740.01</v>
      </c>
      <c r="I1638" s="4">
        <f t="shared" si="126"/>
        <v>258.40999999999985</v>
      </c>
      <c r="J1638" s="8">
        <f t="shared" si="127"/>
        <v>8.6182055882764869E-2</v>
      </c>
      <c r="K1638" s="6">
        <f>'Raw Data'!I1638</f>
        <v>3.72</v>
      </c>
      <c r="L1638" s="5">
        <f>'Raw Data'!J1638</f>
        <v>26</v>
      </c>
      <c r="M1638" s="5">
        <f>IF(COUNTIFS($A$2:A1638,A1638,$D$2:D1638,D1638)=1,L1638,0)</f>
        <v>0</v>
      </c>
      <c r="N1638" s="4">
        <f t="shared" si="128"/>
        <v>115.32384615384616</v>
      </c>
      <c r="O1638" t="str">
        <f t="shared" si="129"/>
        <v>OK</v>
      </c>
    </row>
    <row r="1639" spans="1:15">
      <c r="A1639" t="str">
        <f>'Raw Data'!A1639</f>
        <v>Tampa RM-23</v>
      </c>
      <c r="B1639" t="str">
        <f>'Raw Data'!B1639</f>
        <v>Southeast</v>
      </c>
      <c r="C1639" t="str">
        <f>'Raw Data'!C1639</f>
        <v>Sports</v>
      </c>
      <c r="D1639" s="3">
        <f>'Raw Data'!D1639</f>
        <v>45901</v>
      </c>
      <c r="E1639" t="str">
        <f t="shared" si="125"/>
        <v>Sep</v>
      </c>
      <c r="F1639" s="5">
        <f>'Raw Data'!E1639</f>
        <v>80</v>
      </c>
      <c r="G1639" s="4">
        <f>'Raw Data'!F1639</f>
        <v>4899.41</v>
      </c>
      <c r="H1639" s="4">
        <f>'Raw Data'!G1639</f>
        <v>3273.79</v>
      </c>
      <c r="I1639" s="4">
        <f t="shared" si="126"/>
        <v>1625.62</v>
      </c>
      <c r="J1639" s="8">
        <f t="shared" si="127"/>
        <v>0.33179913499788749</v>
      </c>
      <c r="K1639" s="6">
        <f>'Raw Data'!I1639</f>
        <v>3.49</v>
      </c>
      <c r="L1639" s="5">
        <f>'Raw Data'!J1639</f>
        <v>26</v>
      </c>
      <c r="M1639" s="5">
        <f>IF(COUNTIFS($A$2:A1639,A1639,$D$2:D1639,D1639)=1,L1639,0)</f>
        <v>0</v>
      </c>
      <c r="N1639" s="4">
        <f t="shared" si="128"/>
        <v>188.43884615384616</v>
      </c>
      <c r="O1639" t="str">
        <f t="shared" si="129"/>
        <v>OK</v>
      </c>
    </row>
    <row r="1640" spans="1:15">
      <c r="A1640" t="str">
        <f>'Raw Data'!A1640</f>
        <v>Tampa RM-23</v>
      </c>
      <c r="B1640" t="str">
        <f>'Raw Data'!B1640</f>
        <v>Southeast</v>
      </c>
      <c r="C1640" t="str">
        <f>'Raw Data'!C1640</f>
        <v>Electronics</v>
      </c>
      <c r="D1640" s="3">
        <f>'Raw Data'!D1640</f>
        <v>45931</v>
      </c>
      <c r="E1640" t="str">
        <f t="shared" si="125"/>
        <v>Oct</v>
      </c>
      <c r="F1640" s="5">
        <f>'Raw Data'!E1640</f>
        <v>113</v>
      </c>
      <c r="G1640" s="4">
        <f>'Raw Data'!F1640</f>
        <v>16845.77</v>
      </c>
      <c r="H1640" s="4">
        <f>'Raw Data'!G1640</f>
        <v>13337.15</v>
      </c>
      <c r="I1640" s="4">
        <f t="shared" si="126"/>
        <v>3508.6200000000008</v>
      </c>
      <c r="J1640" s="8">
        <f t="shared" si="127"/>
        <v>0.20827899229302077</v>
      </c>
      <c r="K1640" s="6">
        <f>'Raw Data'!I1640</f>
        <v>3.73</v>
      </c>
      <c r="L1640" s="5">
        <f>'Raw Data'!J1640</f>
        <v>27</v>
      </c>
      <c r="M1640" s="5">
        <f>IF(COUNTIFS($A$2:A1640,A1640,$D$2:D1640,D1640)=1,L1640,0)</f>
        <v>27</v>
      </c>
      <c r="N1640" s="4">
        <f t="shared" si="128"/>
        <v>623.91740740740738</v>
      </c>
      <c r="O1640" t="str">
        <f t="shared" si="129"/>
        <v>OK</v>
      </c>
    </row>
    <row r="1641" spans="1:15">
      <c r="A1641" t="str">
        <f>'Raw Data'!A1641</f>
        <v>Tampa RM-23</v>
      </c>
      <c r="B1641" t="str">
        <f>'Raw Data'!B1641</f>
        <v>Southeast</v>
      </c>
      <c r="C1641" t="str">
        <f>'Raw Data'!C1641</f>
        <v>Home Goods</v>
      </c>
      <c r="D1641" s="3">
        <f>'Raw Data'!D1641</f>
        <v>45931</v>
      </c>
      <c r="E1641" t="str">
        <f t="shared" si="125"/>
        <v>Oct</v>
      </c>
      <c r="F1641" s="5">
        <f>'Raw Data'!E1641</f>
        <v>96</v>
      </c>
      <c r="G1641" s="4">
        <f>'Raw Data'!F1641</f>
        <v>7399.25</v>
      </c>
      <c r="H1641" s="4">
        <f>'Raw Data'!G1641</f>
        <v>5223.57</v>
      </c>
      <c r="I1641" s="4">
        <f t="shared" si="126"/>
        <v>2175.6800000000003</v>
      </c>
      <c r="J1641" s="8">
        <f t="shared" si="127"/>
        <v>0.29404061222421196</v>
      </c>
      <c r="K1641" s="6">
        <f>'Raw Data'!I1641</f>
        <v>3.51</v>
      </c>
      <c r="L1641" s="5">
        <f>'Raw Data'!J1641</f>
        <v>27</v>
      </c>
      <c r="M1641" s="5">
        <f>IF(COUNTIFS($A$2:A1641,A1641,$D$2:D1641,D1641)=1,L1641,0)</f>
        <v>0</v>
      </c>
      <c r="N1641" s="4">
        <f t="shared" si="128"/>
        <v>274.0462962962963</v>
      </c>
      <c r="O1641" t="str">
        <f t="shared" si="129"/>
        <v>OK</v>
      </c>
    </row>
    <row r="1642" spans="1:15">
      <c r="A1642" t="str">
        <f>'Raw Data'!A1642</f>
        <v>Tampa RM-23</v>
      </c>
      <c r="B1642" t="str">
        <f>'Raw Data'!B1642</f>
        <v>Southeast</v>
      </c>
      <c r="C1642" t="str">
        <f>'Raw Data'!C1642</f>
        <v>Apparel</v>
      </c>
      <c r="D1642" s="3">
        <f>'Raw Data'!D1642</f>
        <v>45931</v>
      </c>
      <c r="E1642" t="str">
        <f t="shared" si="125"/>
        <v>Oct</v>
      </c>
      <c r="F1642" s="5">
        <f>'Raw Data'!E1642</f>
        <v>111</v>
      </c>
      <c r="G1642" s="4">
        <f>'Raw Data'!F1642</f>
        <v>5678.2</v>
      </c>
      <c r="H1642" s="4">
        <f>'Raw Data'!G1642</f>
        <v>3697.58</v>
      </c>
      <c r="I1642" s="4">
        <f t="shared" si="126"/>
        <v>1980.62</v>
      </c>
      <c r="J1642" s="8">
        <f t="shared" si="127"/>
        <v>0.34881124299954208</v>
      </c>
      <c r="K1642" s="6">
        <f>'Raw Data'!I1642</f>
        <v>3.65</v>
      </c>
      <c r="L1642" s="5">
        <f>'Raw Data'!J1642</f>
        <v>27</v>
      </c>
      <c r="M1642" s="5">
        <f>IF(COUNTIFS($A$2:A1642,A1642,$D$2:D1642,D1642)=1,L1642,0)</f>
        <v>0</v>
      </c>
      <c r="N1642" s="4">
        <f t="shared" si="128"/>
        <v>210.30370370370369</v>
      </c>
      <c r="O1642" t="str">
        <f t="shared" si="129"/>
        <v>OK</v>
      </c>
    </row>
    <row r="1643" spans="1:15">
      <c r="A1643" t="str">
        <f>'Raw Data'!A1643</f>
        <v>Tampa RM-23</v>
      </c>
      <c r="B1643" t="str">
        <f>'Raw Data'!B1643</f>
        <v>Southeast</v>
      </c>
      <c r="C1643" t="str">
        <f>'Raw Data'!C1643</f>
        <v>Beauty</v>
      </c>
      <c r="D1643" s="3">
        <f>'Raw Data'!D1643</f>
        <v>45931</v>
      </c>
      <c r="E1643" t="str">
        <f t="shared" si="125"/>
        <v>Oct</v>
      </c>
      <c r="F1643" s="5">
        <f>'Raw Data'!E1643</f>
        <v>118</v>
      </c>
      <c r="G1643" s="4">
        <f>'Raw Data'!F1643</f>
        <v>4398.84</v>
      </c>
      <c r="H1643" s="4">
        <f>'Raw Data'!G1643</f>
        <v>2321.1999999999998</v>
      </c>
      <c r="I1643" s="4">
        <f t="shared" si="126"/>
        <v>2077.6400000000003</v>
      </c>
      <c r="J1643" s="8">
        <f t="shared" si="127"/>
        <v>0.47231542861299802</v>
      </c>
      <c r="K1643" s="6">
        <f>'Raw Data'!I1643</f>
        <v>3.62</v>
      </c>
      <c r="L1643" s="5">
        <f>'Raw Data'!J1643</f>
        <v>27</v>
      </c>
      <c r="M1643" s="5">
        <f>IF(COUNTIFS($A$2:A1643,A1643,$D$2:D1643,D1643)=1,L1643,0)</f>
        <v>0</v>
      </c>
      <c r="N1643" s="4">
        <f t="shared" si="128"/>
        <v>162.92000000000002</v>
      </c>
      <c r="O1643" t="str">
        <f t="shared" si="129"/>
        <v>OK</v>
      </c>
    </row>
    <row r="1644" spans="1:15">
      <c r="A1644" t="str">
        <f>'Raw Data'!A1644</f>
        <v>Tampa RM-23</v>
      </c>
      <c r="B1644" t="str">
        <f>'Raw Data'!B1644</f>
        <v>Southeast</v>
      </c>
      <c r="C1644" t="str">
        <f>'Raw Data'!C1644</f>
        <v>Grocery</v>
      </c>
      <c r="D1644" s="3">
        <f>'Raw Data'!D1644</f>
        <v>45931</v>
      </c>
      <c r="E1644" t="str">
        <f t="shared" si="125"/>
        <v>Oct</v>
      </c>
      <c r="F1644" s="5">
        <f>'Raw Data'!E1644</f>
        <v>185</v>
      </c>
      <c r="G1644" s="4">
        <f>'Raw Data'!F1644</f>
        <v>3371.39</v>
      </c>
      <c r="H1644" s="4">
        <f>'Raw Data'!G1644</f>
        <v>3067.56</v>
      </c>
      <c r="I1644" s="4">
        <f t="shared" si="126"/>
        <v>303.82999999999993</v>
      </c>
      <c r="J1644" s="8">
        <f t="shared" si="127"/>
        <v>9.0120098831639156E-2</v>
      </c>
      <c r="K1644" s="6">
        <f>'Raw Data'!I1644</f>
        <v>3.56</v>
      </c>
      <c r="L1644" s="5">
        <f>'Raw Data'!J1644</f>
        <v>27</v>
      </c>
      <c r="M1644" s="5">
        <f>IF(COUNTIFS($A$2:A1644,A1644,$D$2:D1644,D1644)=1,L1644,0)</f>
        <v>0</v>
      </c>
      <c r="N1644" s="4">
        <f t="shared" si="128"/>
        <v>124.8662962962963</v>
      </c>
      <c r="O1644" t="str">
        <f t="shared" si="129"/>
        <v>OK</v>
      </c>
    </row>
    <row r="1645" spans="1:15">
      <c r="A1645" t="str">
        <f>'Raw Data'!A1645</f>
        <v>Tampa RM-23</v>
      </c>
      <c r="B1645" t="str">
        <f>'Raw Data'!B1645</f>
        <v>Southeast</v>
      </c>
      <c r="C1645" t="str">
        <f>'Raw Data'!C1645</f>
        <v>Sports</v>
      </c>
      <c r="D1645" s="3">
        <f>'Raw Data'!D1645</f>
        <v>45931</v>
      </c>
      <c r="E1645" t="str">
        <f t="shared" si="125"/>
        <v>Oct</v>
      </c>
      <c r="F1645" s="5">
        <f>'Raw Data'!E1645</f>
        <v>72</v>
      </c>
      <c r="G1645" s="4">
        <f>'Raw Data'!F1645</f>
        <v>4447.18</v>
      </c>
      <c r="H1645" s="4">
        <f>'Raw Data'!G1645</f>
        <v>3046.38</v>
      </c>
      <c r="I1645" s="4">
        <f t="shared" si="126"/>
        <v>1400.8000000000002</v>
      </c>
      <c r="J1645" s="8">
        <f t="shared" si="127"/>
        <v>0.31498612603942278</v>
      </c>
      <c r="K1645" s="6">
        <f>'Raw Data'!I1645</f>
        <v>3.62</v>
      </c>
      <c r="L1645" s="5">
        <f>'Raw Data'!J1645</f>
        <v>27</v>
      </c>
      <c r="M1645" s="5">
        <f>IF(COUNTIFS($A$2:A1645,A1645,$D$2:D1645,D1645)=1,L1645,0)</f>
        <v>0</v>
      </c>
      <c r="N1645" s="4">
        <f t="shared" si="128"/>
        <v>164.71037037037038</v>
      </c>
      <c r="O1645" t="str">
        <f t="shared" si="129"/>
        <v>OK</v>
      </c>
    </row>
    <row r="1646" spans="1:15">
      <c r="A1646" t="str">
        <f>'Raw Data'!A1646</f>
        <v>Tampa RM-23</v>
      </c>
      <c r="B1646" t="str">
        <f>'Raw Data'!B1646</f>
        <v>Southeast</v>
      </c>
      <c r="C1646" t="str">
        <f>'Raw Data'!C1646</f>
        <v>Electronics</v>
      </c>
      <c r="D1646" s="3">
        <f>'Raw Data'!D1646</f>
        <v>45962</v>
      </c>
      <c r="E1646" t="str">
        <f t="shared" si="125"/>
        <v>Nov</v>
      </c>
      <c r="F1646" s="5">
        <f>'Raw Data'!E1646</f>
        <v>188</v>
      </c>
      <c r="G1646" s="4">
        <f>'Raw Data'!F1646</f>
        <v>28072.49</v>
      </c>
      <c r="H1646" s="4">
        <f>'Raw Data'!G1646</f>
        <v>23287.87</v>
      </c>
      <c r="I1646" s="4">
        <f t="shared" si="126"/>
        <v>4784.6200000000026</v>
      </c>
      <c r="J1646" s="8">
        <f t="shared" si="127"/>
        <v>0.17043803381887401</v>
      </c>
      <c r="K1646" s="6">
        <f>'Raw Data'!I1646</f>
        <v>3.48</v>
      </c>
      <c r="L1646" s="5">
        <f>'Raw Data'!J1646</f>
        <v>30</v>
      </c>
      <c r="M1646" s="5">
        <f>IF(COUNTIFS($A$2:A1646,A1646,$D$2:D1646,D1646)=1,L1646,0)</f>
        <v>30</v>
      </c>
      <c r="N1646" s="4">
        <f t="shared" si="128"/>
        <v>935.74966666666671</v>
      </c>
      <c r="O1646" t="str">
        <f t="shared" si="129"/>
        <v>OK</v>
      </c>
    </row>
    <row r="1647" spans="1:15">
      <c r="A1647" t="str">
        <f>'Raw Data'!A1647</f>
        <v>Tampa RM-23</v>
      </c>
      <c r="B1647" t="str">
        <f>'Raw Data'!B1647</f>
        <v>Southeast</v>
      </c>
      <c r="C1647" t="str">
        <f>'Raw Data'!C1647</f>
        <v>Home Goods</v>
      </c>
      <c r="D1647" s="3">
        <f>'Raw Data'!D1647</f>
        <v>45962</v>
      </c>
      <c r="E1647" t="str">
        <f t="shared" si="125"/>
        <v>Nov</v>
      </c>
      <c r="F1647" s="5">
        <f>'Raw Data'!E1647</f>
        <v>111</v>
      </c>
      <c r="G1647" s="4">
        <f>'Raw Data'!F1647</f>
        <v>8675.7900000000009</v>
      </c>
      <c r="H1647" s="4">
        <f>'Raw Data'!G1647</f>
        <v>6150.8</v>
      </c>
      <c r="I1647" s="4">
        <f t="shared" si="126"/>
        <v>2524.9900000000007</v>
      </c>
      <c r="J1647" s="8">
        <f t="shared" si="127"/>
        <v>0.29103862587729767</v>
      </c>
      <c r="K1647" s="6">
        <f>'Raw Data'!I1647</f>
        <v>3.7</v>
      </c>
      <c r="L1647" s="5">
        <f>'Raw Data'!J1647</f>
        <v>30</v>
      </c>
      <c r="M1647" s="5">
        <f>IF(COUNTIFS($A$2:A1647,A1647,$D$2:D1647,D1647)=1,L1647,0)</f>
        <v>0</v>
      </c>
      <c r="N1647" s="4">
        <f t="shared" si="128"/>
        <v>289.19300000000004</v>
      </c>
      <c r="O1647" t="str">
        <f t="shared" si="129"/>
        <v>OK</v>
      </c>
    </row>
    <row r="1648" spans="1:15">
      <c r="A1648" t="str">
        <f>'Raw Data'!A1648</f>
        <v>Tampa RM-23</v>
      </c>
      <c r="B1648" t="str">
        <f>'Raw Data'!B1648</f>
        <v>Southeast</v>
      </c>
      <c r="C1648" t="str">
        <f>'Raw Data'!C1648</f>
        <v>Apparel</v>
      </c>
      <c r="D1648" s="3">
        <f>'Raw Data'!D1648</f>
        <v>45962</v>
      </c>
      <c r="E1648" t="str">
        <f t="shared" si="125"/>
        <v>Nov</v>
      </c>
      <c r="F1648" s="5">
        <f>'Raw Data'!E1648</f>
        <v>174</v>
      </c>
      <c r="G1648" s="4">
        <f>'Raw Data'!F1648</f>
        <v>8320.93</v>
      </c>
      <c r="H1648" s="4">
        <f>'Raw Data'!G1648</f>
        <v>5383.19</v>
      </c>
      <c r="I1648" s="4">
        <f t="shared" si="126"/>
        <v>2937.7400000000007</v>
      </c>
      <c r="J1648" s="8">
        <f t="shared" si="127"/>
        <v>0.3530542859992814</v>
      </c>
      <c r="K1648" s="6">
        <f>'Raw Data'!I1648</f>
        <v>3.66</v>
      </c>
      <c r="L1648" s="5">
        <f>'Raw Data'!J1648</f>
        <v>30</v>
      </c>
      <c r="M1648" s="5">
        <f>IF(COUNTIFS($A$2:A1648,A1648,$D$2:D1648,D1648)=1,L1648,0)</f>
        <v>0</v>
      </c>
      <c r="N1648" s="4">
        <f t="shared" si="128"/>
        <v>277.36433333333332</v>
      </c>
      <c r="O1648" t="str">
        <f t="shared" si="129"/>
        <v>OK</v>
      </c>
    </row>
    <row r="1649" spans="1:15">
      <c r="A1649" t="str">
        <f>'Raw Data'!A1649</f>
        <v>Tampa RM-23</v>
      </c>
      <c r="B1649" t="str">
        <f>'Raw Data'!B1649</f>
        <v>Southeast</v>
      </c>
      <c r="C1649" t="str">
        <f>'Raw Data'!C1649</f>
        <v>Beauty</v>
      </c>
      <c r="D1649" s="3">
        <f>'Raw Data'!D1649</f>
        <v>45962</v>
      </c>
      <c r="E1649" t="str">
        <f t="shared" si="125"/>
        <v>Nov</v>
      </c>
      <c r="F1649" s="5">
        <f>'Raw Data'!E1649</f>
        <v>130</v>
      </c>
      <c r="G1649" s="4">
        <f>'Raw Data'!F1649</f>
        <v>4598.59</v>
      </c>
      <c r="H1649" s="4">
        <f>'Raw Data'!G1649</f>
        <v>2426.09</v>
      </c>
      <c r="I1649" s="4">
        <f t="shared" si="126"/>
        <v>2172.5</v>
      </c>
      <c r="J1649" s="8">
        <f t="shared" si="127"/>
        <v>0.47242741796942106</v>
      </c>
      <c r="K1649" s="6">
        <f>'Raw Data'!I1649</f>
        <v>3.79</v>
      </c>
      <c r="L1649" s="5">
        <f>'Raw Data'!J1649</f>
        <v>30</v>
      </c>
      <c r="M1649" s="5">
        <f>IF(COUNTIFS($A$2:A1649,A1649,$D$2:D1649,D1649)=1,L1649,0)</f>
        <v>0</v>
      </c>
      <c r="N1649" s="4">
        <f t="shared" si="128"/>
        <v>153.28633333333335</v>
      </c>
      <c r="O1649" t="str">
        <f t="shared" si="129"/>
        <v>OK</v>
      </c>
    </row>
    <row r="1650" spans="1:15">
      <c r="A1650" t="str">
        <f>'Raw Data'!A1650</f>
        <v>Tampa RM-23</v>
      </c>
      <c r="B1650" t="str">
        <f>'Raw Data'!B1650</f>
        <v>Southeast</v>
      </c>
      <c r="C1650" t="str">
        <f>'Raw Data'!C1650</f>
        <v>Grocery</v>
      </c>
      <c r="D1650" s="3">
        <f>'Raw Data'!D1650</f>
        <v>45962</v>
      </c>
      <c r="E1650" t="str">
        <f t="shared" si="125"/>
        <v>Nov</v>
      </c>
      <c r="F1650" s="5">
        <f>'Raw Data'!E1650</f>
        <v>240</v>
      </c>
      <c r="G1650" s="4">
        <f>'Raw Data'!F1650</f>
        <v>4380.01</v>
      </c>
      <c r="H1650" s="4">
        <f>'Raw Data'!G1650</f>
        <v>4221.07</v>
      </c>
      <c r="I1650" s="4">
        <f t="shared" si="126"/>
        <v>158.94000000000051</v>
      </c>
      <c r="J1650" s="8">
        <f t="shared" si="127"/>
        <v>3.6287588384501517E-2</v>
      </c>
      <c r="K1650" s="6">
        <f>'Raw Data'!I1650</f>
        <v>3.69</v>
      </c>
      <c r="L1650" s="5">
        <f>'Raw Data'!J1650</f>
        <v>30</v>
      </c>
      <c r="M1650" s="5">
        <f>IF(COUNTIFS($A$2:A1650,A1650,$D$2:D1650,D1650)=1,L1650,0)</f>
        <v>0</v>
      </c>
      <c r="N1650" s="4">
        <f t="shared" si="128"/>
        <v>146.00033333333334</v>
      </c>
      <c r="O1650" t="str">
        <f t="shared" si="129"/>
        <v>OK</v>
      </c>
    </row>
    <row r="1651" spans="1:15">
      <c r="A1651" t="str">
        <f>'Raw Data'!A1651</f>
        <v>Tampa RM-23</v>
      </c>
      <c r="B1651" t="str">
        <f>'Raw Data'!B1651</f>
        <v>Southeast</v>
      </c>
      <c r="C1651" t="str">
        <f>'Raw Data'!C1651</f>
        <v>Sports</v>
      </c>
      <c r="D1651" s="3">
        <f>'Raw Data'!D1651</f>
        <v>45962</v>
      </c>
      <c r="E1651" t="str">
        <f t="shared" si="125"/>
        <v>Nov</v>
      </c>
      <c r="F1651" s="5">
        <f>'Raw Data'!E1651</f>
        <v>99</v>
      </c>
      <c r="G1651" s="4">
        <f>'Raw Data'!F1651</f>
        <v>6153.14</v>
      </c>
      <c r="H1651" s="4">
        <f>'Raw Data'!G1651</f>
        <v>4110.1099999999997</v>
      </c>
      <c r="I1651" s="4">
        <f t="shared" si="126"/>
        <v>2043.0300000000007</v>
      </c>
      <c r="J1651" s="8">
        <f t="shared" si="127"/>
        <v>0.33203047549706338</v>
      </c>
      <c r="K1651" s="6">
        <f>'Raw Data'!I1651</f>
        <v>3.66</v>
      </c>
      <c r="L1651" s="5">
        <f>'Raw Data'!J1651</f>
        <v>30</v>
      </c>
      <c r="M1651" s="5">
        <f>IF(COUNTIFS($A$2:A1651,A1651,$D$2:D1651,D1651)=1,L1651,0)</f>
        <v>0</v>
      </c>
      <c r="N1651" s="4">
        <f t="shared" si="128"/>
        <v>205.10466666666667</v>
      </c>
      <c r="O1651" t="str">
        <f t="shared" si="129"/>
        <v>OK</v>
      </c>
    </row>
    <row r="1652" spans="1:15">
      <c r="A1652" t="str">
        <f>'Raw Data'!A1652</f>
        <v>Tampa RM-23</v>
      </c>
      <c r="B1652" t="str">
        <f>'Raw Data'!B1652</f>
        <v>Southeast</v>
      </c>
      <c r="C1652" t="str">
        <f>'Raw Data'!C1652</f>
        <v>Electronics</v>
      </c>
      <c r="D1652" s="3">
        <f>'Raw Data'!D1652</f>
        <v>45992</v>
      </c>
      <c r="E1652" t="str">
        <f t="shared" si="125"/>
        <v>Dec</v>
      </c>
      <c r="F1652" s="5">
        <f>'Raw Data'!E1652</f>
        <v>198</v>
      </c>
      <c r="G1652" s="4">
        <f>'Raw Data'!F1652</f>
        <v>30128.81</v>
      </c>
      <c r="H1652" s="4">
        <f>'Raw Data'!G1652</f>
        <v>25043.37</v>
      </c>
      <c r="I1652" s="4">
        <f t="shared" si="126"/>
        <v>5085.4400000000023</v>
      </c>
      <c r="J1652" s="8">
        <f t="shared" si="127"/>
        <v>0.16878993893220481</v>
      </c>
      <c r="K1652" s="6">
        <f>'Raw Data'!I1652</f>
        <v>3.53</v>
      </c>
      <c r="L1652" s="5">
        <f>'Raw Data'!J1652</f>
        <v>30</v>
      </c>
      <c r="M1652" s="5">
        <f>IF(COUNTIFS($A$2:A1652,A1652,$D$2:D1652,D1652)=1,L1652,0)</f>
        <v>30</v>
      </c>
      <c r="N1652" s="4">
        <f t="shared" si="128"/>
        <v>1004.2936666666667</v>
      </c>
      <c r="O1652" t="str">
        <f t="shared" si="129"/>
        <v>OK</v>
      </c>
    </row>
    <row r="1653" spans="1:15">
      <c r="A1653" t="str">
        <f>'Raw Data'!A1653</f>
        <v>Tampa RM-23</v>
      </c>
      <c r="B1653" t="str">
        <f>'Raw Data'!B1653</f>
        <v>Southeast</v>
      </c>
      <c r="C1653" t="str">
        <f>'Raw Data'!C1653</f>
        <v>Home Goods</v>
      </c>
      <c r="D1653" s="3">
        <f>'Raw Data'!D1653</f>
        <v>45992</v>
      </c>
      <c r="E1653" t="str">
        <f t="shared" si="125"/>
        <v>Dec</v>
      </c>
      <c r="F1653" s="5">
        <f>'Raw Data'!E1653</f>
        <v>119</v>
      </c>
      <c r="G1653" s="4">
        <f>'Raw Data'!F1653</f>
        <v>8883.15</v>
      </c>
      <c r="H1653" s="4">
        <f>'Raw Data'!G1653</f>
        <v>6270</v>
      </c>
      <c r="I1653" s="4">
        <f t="shared" si="126"/>
        <v>2613.1499999999996</v>
      </c>
      <c r="J1653" s="8">
        <f t="shared" si="127"/>
        <v>0.29416929805305547</v>
      </c>
      <c r="K1653" s="6">
        <f>'Raw Data'!I1653</f>
        <v>3.58</v>
      </c>
      <c r="L1653" s="5">
        <f>'Raw Data'!J1653</f>
        <v>30</v>
      </c>
      <c r="M1653" s="5">
        <f>IF(COUNTIFS($A$2:A1653,A1653,$D$2:D1653,D1653)=1,L1653,0)</f>
        <v>0</v>
      </c>
      <c r="N1653" s="4">
        <f t="shared" si="128"/>
        <v>296.10499999999996</v>
      </c>
      <c r="O1653" t="str">
        <f t="shared" si="129"/>
        <v>OK</v>
      </c>
    </row>
    <row r="1654" spans="1:15">
      <c r="A1654" t="str">
        <f>'Raw Data'!A1654</f>
        <v>Tampa RM-23</v>
      </c>
      <c r="B1654" t="str">
        <f>'Raw Data'!B1654</f>
        <v>Southeast</v>
      </c>
      <c r="C1654" t="str">
        <f>'Raw Data'!C1654</f>
        <v>Apparel</v>
      </c>
      <c r="D1654" s="3">
        <f>'Raw Data'!D1654</f>
        <v>45992</v>
      </c>
      <c r="E1654" t="str">
        <f t="shared" si="125"/>
        <v>Dec</v>
      </c>
      <c r="F1654" s="5">
        <f>'Raw Data'!E1654</f>
        <v>204</v>
      </c>
      <c r="G1654" s="4">
        <f>'Raw Data'!F1654</f>
        <v>9377.2199999999993</v>
      </c>
      <c r="H1654" s="4">
        <f>'Raw Data'!G1654</f>
        <v>6429.56</v>
      </c>
      <c r="I1654" s="4">
        <f t="shared" si="126"/>
        <v>2947.6599999999989</v>
      </c>
      <c r="J1654" s="8">
        <f t="shared" si="127"/>
        <v>0.31434263033180398</v>
      </c>
      <c r="K1654" s="6">
        <f>'Raw Data'!I1654</f>
        <v>3.57</v>
      </c>
      <c r="L1654" s="5">
        <f>'Raw Data'!J1654</f>
        <v>30</v>
      </c>
      <c r="M1654" s="5">
        <f>IF(COUNTIFS($A$2:A1654,A1654,$D$2:D1654,D1654)=1,L1654,0)</f>
        <v>0</v>
      </c>
      <c r="N1654" s="4">
        <f t="shared" si="128"/>
        <v>312.57399999999996</v>
      </c>
      <c r="O1654" t="str">
        <f t="shared" si="129"/>
        <v>OK</v>
      </c>
    </row>
    <row r="1655" spans="1:15">
      <c r="A1655" t="str">
        <f>'Raw Data'!A1655</f>
        <v>Tampa RM-23</v>
      </c>
      <c r="B1655" t="str">
        <f>'Raw Data'!B1655</f>
        <v>Southeast</v>
      </c>
      <c r="C1655" t="str">
        <f>'Raw Data'!C1655</f>
        <v>Beauty</v>
      </c>
      <c r="D1655" s="3">
        <f>'Raw Data'!D1655</f>
        <v>45992</v>
      </c>
      <c r="E1655" t="str">
        <f t="shared" si="125"/>
        <v>Dec</v>
      </c>
      <c r="F1655" s="5">
        <f>'Raw Data'!E1655</f>
        <v>129</v>
      </c>
      <c r="G1655" s="4">
        <f>'Raw Data'!F1655</f>
        <v>4425.71</v>
      </c>
      <c r="H1655" s="4">
        <f>'Raw Data'!G1655</f>
        <v>2423.94</v>
      </c>
      <c r="I1655" s="4">
        <f t="shared" si="126"/>
        <v>2001.77</v>
      </c>
      <c r="J1655" s="8">
        <f t="shared" si="127"/>
        <v>0.4523048279259147</v>
      </c>
      <c r="K1655" s="6">
        <f>'Raw Data'!I1655</f>
        <v>3.65</v>
      </c>
      <c r="L1655" s="5">
        <f>'Raw Data'!J1655</f>
        <v>30</v>
      </c>
      <c r="M1655" s="5">
        <f>IF(COUNTIFS($A$2:A1655,A1655,$D$2:D1655,D1655)=1,L1655,0)</f>
        <v>0</v>
      </c>
      <c r="N1655" s="4">
        <f t="shared" si="128"/>
        <v>147.52366666666666</v>
      </c>
      <c r="O1655" t="str">
        <f t="shared" si="129"/>
        <v>OK</v>
      </c>
    </row>
    <row r="1656" spans="1:15">
      <c r="A1656" t="str">
        <f>'Raw Data'!A1656</f>
        <v>Tampa RM-23</v>
      </c>
      <c r="B1656" t="str">
        <f>'Raw Data'!B1656</f>
        <v>Southeast</v>
      </c>
      <c r="C1656" t="str">
        <f>'Raw Data'!C1656</f>
        <v>Grocery</v>
      </c>
      <c r="D1656" s="3">
        <f>'Raw Data'!D1656</f>
        <v>45992</v>
      </c>
      <c r="E1656" t="str">
        <f t="shared" si="125"/>
        <v>Dec</v>
      </c>
      <c r="F1656" s="5">
        <f>'Raw Data'!E1656</f>
        <v>253</v>
      </c>
      <c r="G1656" s="4">
        <f>'Raw Data'!F1656</f>
        <v>4298.54</v>
      </c>
      <c r="H1656" s="4">
        <f>'Raw Data'!G1656</f>
        <v>4200.04</v>
      </c>
      <c r="I1656" s="4">
        <f t="shared" si="126"/>
        <v>98.5</v>
      </c>
      <c r="J1656" s="8">
        <f t="shared" si="127"/>
        <v>2.2914757103574702E-2</v>
      </c>
      <c r="K1656" s="6">
        <f>'Raw Data'!I1656</f>
        <v>3.65</v>
      </c>
      <c r="L1656" s="5">
        <f>'Raw Data'!J1656</f>
        <v>30</v>
      </c>
      <c r="M1656" s="5">
        <f>IF(COUNTIFS($A$2:A1656,A1656,$D$2:D1656,D1656)=1,L1656,0)</f>
        <v>0</v>
      </c>
      <c r="N1656" s="4">
        <f t="shared" si="128"/>
        <v>143.28466666666665</v>
      </c>
      <c r="O1656" t="str">
        <f t="shared" si="129"/>
        <v>OK</v>
      </c>
    </row>
    <row r="1657" spans="1:15">
      <c r="A1657" t="str">
        <f>'Raw Data'!A1657</f>
        <v>Tampa RM-23</v>
      </c>
      <c r="B1657" t="str">
        <f>'Raw Data'!B1657</f>
        <v>Southeast</v>
      </c>
      <c r="C1657" t="str">
        <f>'Raw Data'!C1657</f>
        <v>Sports</v>
      </c>
      <c r="D1657" s="3">
        <f>'Raw Data'!D1657</f>
        <v>45992</v>
      </c>
      <c r="E1657" t="str">
        <f t="shared" si="125"/>
        <v>Dec</v>
      </c>
      <c r="F1657" s="5">
        <f>'Raw Data'!E1657</f>
        <v>105</v>
      </c>
      <c r="G1657" s="4">
        <f>'Raw Data'!F1657</f>
        <v>6339.36</v>
      </c>
      <c r="H1657" s="4">
        <f>'Raw Data'!G1657</f>
        <v>4549.21</v>
      </c>
      <c r="I1657" s="4">
        <f t="shared" si="126"/>
        <v>1790.1499999999996</v>
      </c>
      <c r="J1657" s="8">
        <f t="shared" si="127"/>
        <v>0.28238655006183583</v>
      </c>
      <c r="K1657" s="6">
        <f>'Raw Data'!I1657</f>
        <v>3.73</v>
      </c>
      <c r="L1657" s="5">
        <f>'Raw Data'!J1657</f>
        <v>30</v>
      </c>
      <c r="M1657" s="5">
        <f>IF(COUNTIFS($A$2:A1657,A1657,$D$2:D1657,D1657)=1,L1657,0)</f>
        <v>0</v>
      </c>
      <c r="N1657" s="4">
        <f t="shared" si="128"/>
        <v>211.31199999999998</v>
      </c>
      <c r="O1657" t="str">
        <f t="shared" si="129"/>
        <v>OK</v>
      </c>
    </row>
    <row r="1658" spans="1:15">
      <c r="A1658" t="str">
        <f>'Raw Data'!A1658</f>
        <v>Nashville RM-24</v>
      </c>
      <c r="B1658" t="str">
        <f>'Raw Data'!B1658</f>
        <v>Southeast</v>
      </c>
      <c r="C1658" t="str">
        <f>'Raw Data'!C1658</f>
        <v>Electronics</v>
      </c>
      <c r="D1658" s="3">
        <f>'Raw Data'!D1658</f>
        <v>45658</v>
      </c>
      <c r="E1658" t="str">
        <f t="shared" si="125"/>
        <v>Jan</v>
      </c>
      <c r="F1658" s="5">
        <f>'Raw Data'!E1658</f>
        <v>91</v>
      </c>
      <c r="G1658" s="4">
        <f>'Raw Data'!F1658</f>
        <v>12883.15</v>
      </c>
      <c r="H1658" s="4">
        <f>'Raw Data'!G1658</f>
        <v>9666.7099999999991</v>
      </c>
      <c r="I1658" s="4">
        <f t="shared" si="126"/>
        <v>3216.4400000000005</v>
      </c>
      <c r="J1658" s="8">
        <f t="shared" si="127"/>
        <v>0.24966254371019514</v>
      </c>
      <c r="K1658" s="6">
        <f>'Raw Data'!I1658</f>
        <v>4.0599999999999996</v>
      </c>
      <c r="L1658" s="5">
        <f>'Raw Data'!J1658</f>
        <v>25</v>
      </c>
      <c r="M1658" s="5">
        <f>IF(COUNTIFS($A$2:A1658,A1658,$D$2:D1658,D1658)=1,L1658,0)</f>
        <v>25</v>
      </c>
      <c r="N1658" s="4">
        <f t="shared" si="128"/>
        <v>515.32600000000002</v>
      </c>
      <c r="O1658" t="str">
        <f t="shared" si="129"/>
        <v>OK</v>
      </c>
    </row>
    <row r="1659" spans="1:15">
      <c r="A1659" t="str">
        <f>'Raw Data'!A1659</f>
        <v>Nashville RM-24</v>
      </c>
      <c r="B1659" t="str">
        <f>'Raw Data'!B1659</f>
        <v>Southeast</v>
      </c>
      <c r="C1659" t="str">
        <f>'Raw Data'!C1659</f>
        <v>Home Goods</v>
      </c>
      <c r="D1659" s="3">
        <f>'Raw Data'!D1659</f>
        <v>45658</v>
      </c>
      <c r="E1659" t="str">
        <f t="shared" si="125"/>
        <v>Jan</v>
      </c>
      <c r="F1659" s="5">
        <f>'Raw Data'!E1659</f>
        <v>70</v>
      </c>
      <c r="G1659" s="4">
        <f>'Raw Data'!F1659</f>
        <v>5564.29</v>
      </c>
      <c r="H1659" s="4">
        <f>'Raw Data'!G1659</f>
        <v>3655.44</v>
      </c>
      <c r="I1659" s="4">
        <f t="shared" si="126"/>
        <v>1908.85</v>
      </c>
      <c r="J1659" s="8">
        <f t="shared" si="127"/>
        <v>0.34305365104981944</v>
      </c>
      <c r="K1659" s="6">
        <f>'Raw Data'!I1659</f>
        <v>4.18</v>
      </c>
      <c r="L1659" s="5">
        <f>'Raw Data'!J1659</f>
        <v>25</v>
      </c>
      <c r="M1659" s="5">
        <f>IF(COUNTIFS($A$2:A1659,A1659,$D$2:D1659,D1659)=1,L1659,0)</f>
        <v>0</v>
      </c>
      <c r="N1659" s="4">
        <f t="shared" si="128"/>
        <v>222.57159999999999</v>
      </c>
      <c r="O1659" t="str">
        <f t="shared" si="129"/>
        <v>OK</v>
      </c>
    </row>
    <row r="1660" spans="1:15">
      <c r="A1660" t="str">
        <f>'Raw Data'!A1660</f>
        <v>Nashville RM-24</v>
      </c>
      <c r="B1660" t="str">
        <f>'Raw Data'!B1660</f>
        <v>Southeast</v>
      </c>
      <c r="C1660" t="str">
        <f>'Raw Data'!C1660</f>
        <v>Apparel</v>
      </c>
      <c r="D1660" s="3">
        <f>'Raw Data'!D1660</f>
        <v>45658</v>
      </c>
      <c r="E1660" t="str">
        <f t="shared" si="125"/>
        <v>Jan</v>
      </c>
      <c r="F1660" s="5">
        <f>'Raw Data'!E1660</f>
        <v>106</v>
      </c>
      <c r="G1660" s="4">
        <f>'Raw Data'!F1660</f>
        <v>5024.18</v>
      </c>
      <c r="H1660" s="4">
        <f>'Raw Data'!G1660</f>
        <v>2867.88</v>
      </c>
      <c r="I1660" s="4">
        <f t="shared" si="126"/>
        <v>2156.3000000000002</v>
      </c>
      <c r="J1660" s="8">
        <f t="shared" si="127"/>
        <v>0.42918446393242282</v>
      </c>
      <c r="K1660" s="6">
        <f>'Raw Data'!I1660</f>
        <v>4.29</v>
      </c>
      <c r="L1660" s="5">
        <f>'Raw Data'!J1660</f>
        <v>25</v>
      </c>
      <c r="M1660" s="5">
        <f>IF(COUNTIFS($A$2:A1660,A1660,$D$2:D1660,D1660)=1,L1660,0)</f>
        <v>0</v>
      </c>
      <c r="N1660" s="4">
        <f t="shared" si="128"/>
        <v>200.96720000000002</v>
      </c>
      <c r="O1660" t="str">
        <f t="shared" si="129"/>
        <v>OK</v>
      </c>
    </row>
    <row r="1661" spans="1:15">
      <c r="A1661" t="str">
        <f>'Raw Data'!A1661</f>
        <v>Nashville RM-24</v>
      </c>
      <c r="B1661" t="str">
        <f>'Raw Data'!B1661</f>
        <v>Southeast</v>
      </c>
      <c r="C1661" t="str">
        <f>'Raw Data'!C1661</f>
        <v>Beauty</v>
      </c>
      <c r="D1661" s="3">
        <f>'Raw Data'!D1661</f>
        <v>45658</v>
      </c>
      <c r="E1661" t="str">
        <f t="shared" si="125"/>
        <v>Jan</v>
      </c>
      <c r="F1661" s="5">
        <f>'Raw Data'!E1661</f>
        <v>88</v>
      </c>
      <c r="G1661" s="4">
        <f>'Raw Data'!F1661</f>
        <v>3235.87</v>
      </c>
      <c r="H1661" s="4">
        <f>'Raw Data'!G1661</f>
        <v>1507.67</v>
      </c>
      <c r="I1661" s="4">
        <f t="shared" si="126"/>
        <v>1728.1999999999998</v>
      </c>
      <c r="J1661" s="8">
        <f t="shared" si="127"/>
        <v>0.53407584359074989</v>
      </c>
      <c r="K1661" s="6">
        <f>'Raw Data'!I1661</f>
        <v>4.3600000000000003</v>
      </c>
      <c r="L1661" s="5">
        <f>'Raw Data'!J1661</f>
        <v>25</v>
      </c>
      <c r="M1661" s="5">
        <f>IF(COUNTIFS($A$2:A1661,A1661,$D$2:D1661,D1661)=1,L1661,0)</f>
        <v>0</v>
      </c>
      <c r="N1661" s="4">
        <f t="shared" si="128"/>
        <v>129.4348</v>
      </c>
      <c r="O1661" t="str">
        <f t="shared" si="129"/>
        <v>OK</v>
      </c>
    </row>
    <row r="1662" spans="1:15">
      <c r="A1662" t="str">
        <f>'Raw Data'!A1662</f>
        <v>Nashville RM-24</v>
      </c>
      <c r="B1662" t="str">
        <f>'Raw Data'!B1662</f>
        <v>Southeast</v>
      </c>
      <c r="C1662" t="str">
        <f>'Raw Data'!C1662</f>
        <v>Grocery</v>
      </c>
      <c r="D1662" s="3">
        <f>'Raw Data'!D1662</f>
        <v>45658</v>
      </c>
      <c r="E1662" t="str">
        <f t="shared" si="125"/>
        <v>Jan</v>
      </c>
      <c r="F1662" s="5">
        <f>'Raw Data'!E1662</f>
        <v>134</v>
      </c>
      <c r="G1662" s="4">
        <f>'Raw Data'!F1662</f>
        <v>2346.2399999999998</v>
      </c>
      <c r="H1662" s="4">
        <f>'Raw Data'!G1662</f>
        <v>2039.82</v>
      </c>
      <c r="I1662" s="4">
        <f t="shared" si="126"/>
        <v>306.41999999999985</v>
      </c>
      <c r="J1662" s="8">
        <f t="shared" si="127"/>
        <v>0.13060045008183302</v>
      </c>
      <c r="K1662" s="6">
        <f>'Raw Data'!I1662</f>
        <v>4.2300000000000004</v>
      </c>
      <c r="L1662" s="5">
        <f>'Raw Data'!J1662</f>
        <v>25</v>
      </c>
      <c r="M1662" s="5">
        <f>IF(COUNTIFS($A$2:A1662,A1662,$D$2:D1662,D1662)=1,L1662,0)</f>
        <v>0</v>
      </c>
      <c r="N1662" s="4">
        <f t="shared" si="128"/>
        <v>93.849599999999995</v>
      </c>
      <c r="O1662" t="str">
        <f t="shared" si="129"/>
        <v>OK</v>
      </c>
    </row>
    <row r="1663" spans="1:15">
      <c r="A1663" t="str">
        <f>'Raw Data'!A1663</f>
        <v>Nashville RM-24</v>
      </c>
      <c r="B1663" t="str">
        <f>'Raw Data'!B1663</f>
        <v>Southeast</v>
      </c>
      <c r="C1663" t="str">
        <f>'Raw Data'!C1663</f>
        <v>Sports</v>
      </c>
      <c r="D1663" s="3">
        <f>'Raw Data'!D1663</f>
        <v>45658</v>
      </c>
      <c r="E1663" t="str">
        <f t="shared" si="125"/>
        <v>Jan</v>
      </c>
      <c r="F1663" s="5">
        <f>'Raw Data'!E1663</f>
        <v>56</v>
      </c>
      <c r="G1663" s="4">
        <f>'Raw Data'!F1663</f>
        <v>3659.87</v>
      </c>
      <c r="H1663" s="4">
        <f>'Raw Data'!G1663</f>
        <v>2279.0300000000002</v>
      </c>
      <c r="I1663" s="4">
        <f t="shared" si="126"/>
        <v>1380.8399999999997</v>
      </c>
      <c r="J1663" s="8">
        <f t="shared" si="127"/>
        <v>0.37729208960974014</v>
      </c>
      <c r="K1663" s="6">
        <f>'Raw Data'!I1663</f>
        <v>4.07</v>
      </c>
      <c r="L1663" s="5">
        <f>'Raw Data'!J1663</f>
        <v>25</v>
      </c>
      <c r="M1663" s="5">
        <f>IF(COUNTIFS($A$2:A1663,A1663,$D$2:D1663,D1663)=1,L1663,0)</f>
        <v>0</v>
      </c>
      <c r="N1663" s="4">
        <f t="shared" si="128"/>
        <v>146.3948</v>
      </c>
      <c r="O1663" t="str">
        <f t="shared" si="129"/>
        <v>OK</v>
      </c>
    </row>
    <row r="1664" spans="1:15">
      <c r="A1664" t="str">
        <f>'Raw Data'!A1664</f>
        <v>Nashville RM-24</v>
      </c>
      <c r="B1664" t="str">
        <f>'Raw Data'!B1664</f>
        <v>Southeast</v>
      </c>
      <c r="C1664" t="str">
        <f>'Raw Data'!C1664</f>
        <v>Electronics</v>
      </c>
      <c r="D1664" s="3">
        <f>'Raw Data'!D1664</f>
        <v>45689</v>
      </c>
      <c r="E1664" t="str">
        <f t="shared" si="125"/>
        <v>Feb</v>
      </c>
      <c r="F1664" s="5">
        <f>'Raw Data'!E1664</f>
        <v>87</v>
      </c>
      <c r="G1664" s="4">
        <f>'Raw Data'!F1664</f>
        <v>12437.11</v>
      </c>
      <c r="H1664" s="4">
        <f>'Raw Data'!G1664</f>
        <v>9448.92</v>
      </c>
      <c r="I1664" s="4">
        <f t="shared" si="126"/>
        <v>2988.1900000000005</v>
      </c>
      <c r="J1664" s="8">
        <f t="shared" si="127"/>
        <v>0.24026401631890371</v>
      </c>
      <c r="K1664" s="6">
        <f>'Raw Data'!I1664</f>
        <v>4.3099999999999996</v>
      </c>
      <c r="L1664" s="5">
        <f>'Raw Data'!J1664</f>
        <v>27</v>
      </c>
      <c r="M1664" s="5">
        <f>IF(COUNTIFS($A$2:A1664,A1664,$D$2:D1664,D1664)=1,L1664,0)</f>
        <v>27</v>
      </c>
      <c r="N1664" s="4">
        <f t="shared" si="128"/>
        <v>460.6337037037037</v>
      </c>
      <c r="O1664" t="str">
        <f t="shared" si="129"/>
        <v>OK</v>
      </c>
    </row>
    <row r="1665" spans="1:15">
      <c r="A1665" t="str">
        <f>'Raw Data'!A1665</f>
        <v>Nashville RM-24</v>
      </c>
      <c r="B1665" t="str">
        <f>'Raw Data'!B1665</f>
        <v>Southeast</v>
      </c>
      <c r="C1665" t="str">
        <f>'Raw Data'!C1665</f>
        <v>Home Goods</v>
      </c>
      <c r="D1665" s="3">
        <f>'Raw Data'!D1665</f>
        <v>45689</v>
      </c>
      <c r="E1665" t="str">
        <f t="shared" si="125"/>
        <v>Feb</v>
      </c>
      <c r="F1665" s="5">
        <f>'Raw Data'!E1665</f>
        <v>83</v>
      </c>
      <c r="G1665" s="4">
        <f>'Raw Data'!F1665</f>
        <v>6248.56</v>
      </c>
      <c r="H1665" s="4">
        <f>'Raw Data'!G1665</f>
        <v>3939.21</v>
      </c>
      <c r="I1665" s="4">
        <f t="shared" si="126"/>
        <v>2309.3500000000004</v>
      </c>
      <c r="J1665" s="8">
        <f t="shared" si="127"/>
        <v>0.36958115149730503</v>
      </c>
      <c r="K1665" s="6">
        <f>'Raw Data'!I1665</f>
        <v>4.2699999999999996</v>
      </c>
      <c r="L1665" s="5">
        <f>'Raw Data'!J1665</f>
        <v>27</v>
      </c>
      <c r="M1665" s="5">
        <f>IF(COUNTIFS($A$2:A1665,A1665,$D$2:D1665,D1665)=1,L1665,0)</f>
        <v>0</v>
      </c>
      <c r="N1665" s="4">
        <f t="shared" si="128"/>
        <v>231.42814814814815</v>
      </c>
      <c r="O1665" t="str">
        <f t="shared" si="129"/>
        <v>OK</v>
      </c>
    </row>
    <row r="1666" spans="1:15">
      <c r="A1666" t="str">
        <f>'Raw Data'!A1666</f>
        <v>Nashville RM-24</v>
      </c>
      <c r="B1666" t="str">
        <f>'Raw Data'!B1666</f>
        <v>Southeast</v>
      </c>
      <c r="C1666" t="str">
        <f>'Raw Data'!C1666</f>
        <v>Apparel</v>
      </c>
      <c r="D1666" s="3">
        <f>'Raw Data'!D1666</f>
        <v>45689</v>
      </c>
      <c r="E1666" t="str">
        <f t="shared" ref="E1666:E1729" si="130">TEXT(D1666,"mmm")</f>
        <v>Feb</v>
      </c>
      <c r="F1666" s="5">
        <f>'Raw Data'!E1666</f>
        <v>108</v>
      </c>
      <c r="G1666" s="4">
        <f>'Raw Data'!F1666</f>
        <v>4918.1000000000004</v>
      </c>
      <c r="H1666" s="4">
        <f>'Raw Data'!G1666</f>
        <v>2949.19</v>
      </c>
      <c r="I1666" s="4">
        <f t="shared" ref="I1666:I1729" si="131">G1666-H1666</f>
        <v>1968.9100000000003</v>
      </c>
      <c r="J1666" s="8">
        <f t="shared" ref="J1666:J1729" si="132">IFERROR(I1666/G1666,0)</f>
        <v>0.4003395620259857</v>
      </c>
      <c r="K1666" s="6">
        <f>'Raw Data'!I1666</f>
        <v>4.1900000000000004</v>
      </c>
      <c r="L1666" s="5">
        <f>'Raw Data'!J1666</f>
        <v>27</v>
      </c>
      <c r="M1666" s="5">
        <f>IF(COUNTIFS($A$2:A1666,A1666,$D$2:D1666,D1666)=1,L1666,0)</f>
        <v>0</v>
      </c>
      <c r="N1666" s="4">
        <f t="shared" ref="N1666:N1729" si="133">IFERROR(G1666/L1666,0)</f>
        <v>182.15185185185186</v>
      </c>
      <c r="O1666" t="str">
        <f t="shared" ref="O1666:O1729" si="134">IF(OR(A1666="",B1666="",C1666="",F1666&lt;0,G1666&lt;0,H1666&lt;0,K1666&lt;1,K1666&gt;5),"Review","OK")</f>
        <v>OK</v>
      </c>
    </row>
    <row r="1667" spans="1:15">
      <c r="A1667" t="str">
        <f>'Raw Data'!A1667</f>
        <v>Nashville RM-24</v>
      </c>
      <c r="B1667" t="str">
        <f>'Raw Data'!B1667</f>
        <v>Southeast</v>
      </c>
      <c r="C1667" t="str">
        <f>'Raw Data'!C1667</f>
        <v>Beauty</v>
      </c>
      <c r="D1667" s="3">
        <f>'Raw Data'!D1667</f>
        <v>45689</v>
      </c>
      <c r="E1667" t="str">
        <f t="shared" si="130"/>
        <v>Feb</v>
      </c>
      <c r="F1667" s="5">
        <f>'Raw Data'!E1667</f>
        <v>86</v>
      </c>
      <c r="G1667" s="4">
        <f>'Raw Data'!F1667</f>
        <v>3103.63</v>
      </c>
      <c r="H1667" s="4">
        <f>'Raw Data'!G1667</f>
        <v>1434.95</v>
      </c>
      <c r="I1667" s="4">
        <f t="shared" si="131"/>
        <v>1668.68</v>
      </c>
      <c r="J1667" s="8">
        <f t="shared" si="132"/>
        <v>0.5376542951318295</v>
      </c>
      <c r="K1667" s="6">
        <f>'Raw Data'!I1667</f>
        <v>4.21</v>
      </c>
      <c r="L1667" s="5">
        <f>'Raw Data'!J1667</f>
        <v>27</v>
      </c>
      <c r="M1667" s="5">
        <f>IF(COUNTIFS($A$2:A1667,A1667,$D$2:D1667,D1667)=1,L1667,0)</f>
        <v>0</v>
      </c>
      <c r="N1667" s="4">
        <f t="shared" si="133"/>
        <v>114.94925925925926</v>
      </c>
      <c r="O1667" t="str">
        <f t="shared" si="134"/>
        <v>OK</v>
      </c>
    </row>
    <row r="1668" spans="1:15">
      <c r="A1668" t="str">
        <f>'Raw Data'!A1668</f>
        <v>Nashville RM-24</v>
      </c>
      <c r="B1668" t="str">
        <f>'Raw Data'!B1668</f>
        <v>Southeast</v>
      </c>
      <c r="C1668" t="str">
        <f>'Raw Data'!C1668</f>
        <v>Grocery</v>
      </c>
      <c r="D1668" s="3">
        <f>'Raw Data'!D1668</f>
        <v>45689</v>
      </c>
      <c r="E1668" t="str">
        <f t="shared" si="130"/>
        <v>Feb</v>
      </c>
      <c r="F1668" s="5">
        <f>'Raw Data'!E1668</f>
        <v>133</v>
      </c>
      <c r="G1668" s="4">
        <f>'Raw Data'!F1668</f>
        <v>2382.6799999999998</v>
      </c>
      <c r="H1668" s="4">
        <f>'Raw Data'!G1668</f>
        <v>2081.12</v>
      </c>
      <c r="I1668" s="4">
        <f t="shared" si="131"/>
        <v>301.55999999999995</v>
      </c>
      <c r="J1668" s="8">
        <f t="shared" si="132"/>
        <v>0.12656336562190473</v>
      </c>
      <c r="K1668" s="6">
        <f>'Raw Data'!I1668</f>
        <v>4.17</v>
      </c>
      <c r="L1668" s="5">
        <f>'Raw Data'!J1668</f>
        <v>27</v>
      </c>
      <c r="M1668" s="5">
        <f>IF(COUNTIFS($A$2:A1668,A1668,$D$2:D1668,D1668)=1,L1668,0)</f>
        <v>0</v>
      </c>
      <c r="N1668" s="4">
        <f t="shared" si="133"/>
        <v>88.247407407407408</v>
      </c>
      <c r="O1668" t="str">
        <f t="shared" si="134"/>
        <v>OK</v>
      </c>
    </row>
    <row r="1669" spans="1:15">
      <c r="A1669" t="str">
        <f>'Raw Data'!A1669</f>
        <v>Nashville RM-24</v>
      </c>
      <c r="B1669" t="str">
        <f>'Raw Data'!B1669</f>
        <v>Southeast</v>
      </c>
      <c r="C1669" t="str">
        <f>'Raw Data'!C1669</f>
        <v>Sports</v>
      </c>
      <c r="D1669" s="3">
        <f>'Raw Data'!D1669</f>
        <v>45689</v>
      </c>
      <c r="E1669" t="str">
        <f t="shared" si="130"/>
        <v>Feb</v>
      </c>
      <c r="F1669" s="5">
        <f>'Raw Data'!E1669</f>
        <v>62</v>
      </c>
      <c r="G1669" s="4">
        <f>'Raw Data'!F1669</f>
        <v>3841.23</v>
      </c>
      <c r="H1669" s="4">
        <f>'Raw Data'!G1669</f>
        <v>2395.96</v>
      </c>
      <c r="I1669" s="4">
        <f t="shared" si="131"/>
        <v>1445.27</v>
      </c>
      <c r="J1669" s="8">
        <f t="shared" si="132"/>
        <v>0.37625187765377233</v>
      </c>
      <c r="K1669" s="6">
        <f>'Raw Data'!I1669</f>
        <v>4.3499999999999996</v>
      </c>
      <c r="L1669" s="5">
        <f>'Raw Data'!J1669</f>
        <v>27</v>
      </c>
      <c r="M1669" s="5">
        <f>IF(COUNTIFS($A$2:A1669,A1669,$D$2:D1669,D1669)=1,L1669,0)</f>
        <v>0</v>
      </c>
      <c r="N1669" s="4">
        <f t="shared" si="133"/>
        <v>142.26777777777778</v>
      </c>
      <c r="O1669" t="str">
        <f t="shared" si="134"/>
        <v>OK</v>
      </c>
    </row>
    <row r="1670" spans="1:15">
      <c r="A1670" t="str">
        <f>'Raw Data'!A1670</f>
        <v>Nashville RM-24</v>
      </c>
      <c r="B1670" t="str">
        <f>'Raw Data'!B1670</f>
        <v>Southeast</v>
      </c>
      <c r="C1670" t="str">
        <f>'Raw Data'!C1670</f>
        <v>Electronics</v>
      </c>
      <c r="D1670" s="3">
        <f>'Raw Data'!D1670</f>
        <v>45717</v>
      </c>
      <c r="E1670" t="str">
        <f t="shared" si="130"/>
        <v>Mar</v>
      </c>
      <c r="F1670" s="5">
        <f>'Raw Data'!E1670</f>
        <v>102</v>
      </c>
      <c r="G1670" s="4">
        <f>'Raw Data'!F1670</f>
        <v>14239.78</v>
      </c>
      <c r="H1670" s="4">
        <f>'Raw Data'!G1670</f>
        <v>10854.48</v>
      </c>
      <c r="I1670" s="4">
        <f t="shared" si="131"/>
        <v>3385.3000000000011</v>
      </c>
      <c r="J1670" s="8">
        <f t="shared" si="132"/>
        <v>0.23773541445162782</v>
      </c>
      <c r="K1670" s="6">
        <f>'Raw Data'!I1670</f>
        <v>4.1900000000000004</v>
      </c>
      <c r="L1670" s="5">
        <f>'Raw Data'!J1670</f>
        <v>27</v>
      </c>
      <c r="M1670" s="5">
        <f>IF(COUNTIFS($A$2:A1670,A1670,$D$2:D1670,D1670)=1,L1670,0)</f>
        <v>27</v>
      </c>
      <c r="N1670" s="4">
        <f t="shared" si="133"/>
        <v>527.39925925925934</v>
      </c>
      <c r="O1670" t="str">
        <f t="shared" si="134"/>
        <v>OK</v>
      </c>
    </row>
    <row r="1671" spans="1:15">
      <c r="A1671" t="str">
        <f>'Raw Data'!A1671</f>
        <v>Nashville RM-24</v>
      </c>
      <c r="B1671" t="str">
        <f>'Raw Data'!B1671</f>
        <v>Southeast</v>
      </c>
      <c r="C1671" t="str">
        <f>'Raw Data'!C1671</f>
        <v>Home Goods</v>
      </c>
      <c r="D1671" s="3">
        <f>'Raw Data'!D1671</f>
        <v>45717</v>
      </c>
      <c r="E1671" t="str">
        <f t="shared" si="130"/>
        <v>Mar</v>
      </c>
      <c r="F1671" s="5">
        <f>'Raw Data'!E1671</f>
        <v>85</v>
      </c>
      <c r="G1671" s="4">
        <f>'Raw Data'!F1671</f>
        <v>6486.36</v>
      </c>
      <c r="H1671" s="4">
        <f>'Raw Data'!G1671</f>
        <v>4347.87</v>
      </c>
      <c r="I1671" s="4">
        <f t="shared" si="131"/>
        <v>2138.4899999999998</v>
      </c>
      <c r="J1671" s="8">
        <f t="shared" si="132"/>
        <v>0.32969030396092724</v>
      </c>
      <c r="K1671" s="6">
        <f>'Raw Data'!I1671</f>
        <v>4.2</v>
      </c>
      <c r="L1671" s="5">
        <f>'Raw Data'!J1671</f>
        <v>27</v>
      </c>
      <c r="M1671" s="5">
        <f>IF(COUNTIFS($A$2:A1671,A1671,$D$2:D1671,D1671)=1,L1671,0)</f>
        <v>0</v>
      </c>
      <c r="N1671" s="4">
        <f t="shared" si="133"/>
        <v>240.23555555555555</v>
      </c>
      <c r="O1671" t="str">
        <f t="shared" si="134"/>
        <v>OK</v>
      </c>
    </row>
    <row r="1672" spans="1:15">
      <c r="A1672" t="str">
        <f>'Raw Data'!A1672</f>
        <v>Nashville RM-24</v>
      </c>
      <c r="B1672" t="str">
        <f>'Raw Data'!B1672</f>
        <v>Southeast</v>
      </c>
      <c r="C1672" t="str">
        <f>'Raw Data'!C1672</f>
        <v>Apparel</v>
      </c>
      <c r="D1672" s="3">
        <f>'Raw Data'!D1672</f>
        <v>45717</v>
      </c>
      <c r="E1672" t="str">
        <f t="shared" si="130"/>
        <v>Mar</v>
      </c>
      <c r="F1672" s="5">
        <f>'Raw Data'!E1672</f>
        <v>121</v>
      </c>
      <c r="G1672" s="4">
        <f>'Raw Data'!F1672</f>
        <v>5829.84</v>
      </c>
      <c r="H1672" s="4">
        <f>'Raw Data'!G1672</f>
        <v>3354.48</v>
      </c>
      <c r="I1672" s="4">
        <f t="shared" si="131"/>
        <v>2475.36</v>
      </c>
      <c r="J1672" s="8">
        <f t="shared" si="132"/>
        <v>0.42460170433493888</v>
      </c>
      <c r="K1672" s="6">
        <f>'Raw Data'!I1672</f>
        <v>4.07</v>
      </c>
      <c r="L1672" s="5">
        <f>'Raw Data'!J1672</f>
        <v>27</v>
      </c>
      <c r="M1672" s="5">
        <f>IF(COUNTIFS($A$2:A1672,A1672,$D$2:D1672,D1672)=1,L1672,0)</f>
        <v>0</v>
      </c>
      <c r="N1672" s="4">
        <f t="shared" si="133"/>
        <v>215.92000000000002</v>
      </c>
      <c r="O1672" t="str">
        <f t="shared" si="134"/>
        <v>OK</v>
      </c>
    </row>
    <row r="1673" spans="1:15">
      <c r="A1673" t="str">
        <f>'Raw Data'!A1673</f>
        <v>Nashville RM-24</v>
      </c>
      <c r="B1673" t="str">
        <f>'Raw Data'!B1673</f>
        <v>Southeast</v>
      </c>
      <c r="C1673" t="str">
        <f>'Raw Data'!C1673</f>
        <v>Beauty</v>
      </c>
      <c r="D1673" s="3">
        <f>'Raw Data'!D1673</f>
        <v>45717</v>
      </c>
      <c r="E1673" t="str">
        <f t="shared" si="130"/>
        <v>Mar</v>
      </c>
      <c r="F1673" s="5">
        <f>'Raw Data'!E1673</f>
        <v>96</v>
      </c>
      <c r="G1673" s="4">
        <f>'Raw Data'!F1673</f>
        <v>3519.12</v>
      </c>
      <c r="H1673" s="4">
        <f>'Raw Data'!G1673</f>
        <v>1703.05</v>
      </c>
      <c r="I1673" s="4">
        <f t="shared" si="131"/>
        <v>1816.07</v>
      </c>
      <c r="J1673" s="8">
        <f t="shared" si="132"/>
        <v>0.51605799177066991</v>
      </c>
      <c r="K1673" s="6">
        <f>'Raw Data'!I1673</f>
        <v>4.0599999999999996</v>
      </c>
      <c r="L1673" s="5">
        <f>'Raw Data'!J1673</f>
        <v>27</v>
      </c>
      <c r="M1673" s="5">
        <f>IF(COUNTIFS($A$2:A1673,A1673,$D$2:D1673,D1673)=1,L1673,0)</f>
        <v>0</v>
      </c>
      <c r="N1673" s="4">
        <f t="shared" si="133"/>
        <v>130.33777777777777</v>
      </c>
      <c r="O1673" t="str">
        <f t="shared" si="134"/>
        <v>OK</v>
      </c>
    </row>
    <row r="1674" spans="1:15">
      <c r="A1674" t="str">
        <f>'Raw Data'!A1674</f>
        <v>Nashville RM-24</v>
      </c>
      <c r="B1674" t="str">
        <f>'Raw Data'!B1674</f>
        <v>Southeast</v>
      </c>
      <c r="C1674" t="str">
        <f>'Raw Data'!C1674</f>
        <v>Grocery</v>
      </c>
      <c r="D1674" s="3">
        <f>'Raw Data'!D1674</f>
        <v>45717</v>
      </c>
      <c r="E1674" t="str">
        <f t="shared" si="130"/>
        <v>Mar</v>
      </c>
      <c r="F1674" s="5">
        <f>'Raw Data'!E1674</f>
        <v>167</v>
      </c>
      <c r="G1674" s="4">
        <f>'Raw Data'!F1674</f>
        <v>2981.18</v>
      </c>
      <c r="H1674" s="4">
        <f>'Raw Data'!G1674</f>
        <v>2625.64</v>
      </c>
      <c r="I1674" s="4">
        <f t="shared" si="131"/>
        <v>355.53999999999996</v>
      </c>
      <c r="J1674" s="8">
        <f t="shared" si="132"/>
        <v>0.11926150047967583</v>
      </c>
      <c r="K1674" s="6">
        <f>'Raw Data'!I1674</f>
        <v>4.18</v>
      </c>
      <c r="L1674" s="5">
        <f>'Raw Data'!J1674</f>
        <v>27</v>
      </c>
      <c r="M1674" s="5">
        <f>IF(COUNTIFS($A$2:A1674,A1674,$D$2:D1674,D1674)=1,L1674,0)</f>
        <v>0</v>
      </c>
      <c r="N1674" s="4">
        <f t="shared" si="133"/>
        <v>110.41407407407407</v>
      </c>
      <c r="O1674" t="str">
        <f t="shared" si="134"/>
        <v>OK</v>
      </c>
    </row>
    <row r="1675" spans="1:15">
      <c r="A1675" t="str">
        <f>'Raw Data'!A1675</f>
        <v>Nashville RM-24</v>
      </c>
      <c r="B1675" t="str">
        <f>'Raw Data'!B1675</f>
        <v>Southeast</v>
      </c>
      <c r="C1675" t="str">
        <f>'Raw Data'!C1675</f>
        <v>Sports</v>
      </c>
      <c r="D1675" s="3">
        <f>'Raw Data'!D1675</f>
        <v>45717</v>
      </c>
      <c r="E1675" t="str">
        <f t="shared" si="130"/>
        <v>Mar</v>
      </c>
      <c r="F1675" s="5">
        <f>'Raw Data'!E1675</f>
        <v>71</v>
      </c>
      <c r="G1675" s="4">
        <f>'Raw Data'!F1675</f>
        <v>4210.4399999999996</v>
      </c>
      <c r="H1675" s="4">
        <f>'Raw Data'!G1675</f>
        <v>2629.85</v>
      </c>
      <c r="I1675" s="4">
        <f t="shared" si="131"/>
        <v>1580.5899999999997</v>
      </c>
      <c r="J1675" s="8">
        <f t="shared" si="132"/>
        <v>0.3753978206553234</v>
      </c>
      <c r="K1675" s="6">
        <f>'Raw Data'!I1675</f>
        <v>4.1500000000000004</v>
      </c>
      <c r="L1675" s="5">
        <f>'Raw Data'!J1675</f>
        <v>27</v>
      </c>
      <c r="M1675" s="5">
        <f>IF(COUNTIFS($A$2:A1675,A1675,$D$2:D1675,D1675)=1,L1675,0)</f>
        <v>0</v>
      </c>
      <c r="N1675" s="4">
        <f t="shared" si="133"/>
        <v>155.9422222222222</v>
      </c>
      <c r="O1675" t="str">
        <f t="shared" si="134"/>
        <v>OK</v>
      </c>
    </row>
    <row r="1676" spans="1:15">
      <c r="A1676" t="str">
        <f>'Raw Data'!A1676</f>
        <v>Nashville RM-24</v>
      </c>
      <c r="B1676" t="str">
        <f>'Raw Data'!B1676</f>
        <v>Southeast</v>
      </c>
      <c r="C1676" t="str">
        <f>'Raw Data'!C1676</f>
        <v>Electronics</v>
      </c>
      <c r="D1676" s="3">
        <f>'Raw Data'!D1676</f>
        <v>45748</v>
      </c>
      <c r="E1676" t="str">
        <f t="shared" si="130"/>
        <v>Apr</v>
      </c>
      <c r="F1676" s="5">
        <f>'Raw Data'!E1676</f>
        <v>95</v>
      </c>
      <c r="G1676" s="4">
        <f>'Raw Data'!F1676</f>
        <v>13222.62</v>
      </c>
      <c r="H1676" s="4">
        <f>'Raw Data'!G1676</f>
        <v>10209.58</v>
      </c>
      <c r="I1676" s="4">
        <f t="shared" si="131"/>
        <v>3013.0400000000009</v>
      </c>
      <c r="J1676" s="8">
        <f t="shared" si="132"/>
        <v>0.22787011953758035</v>
      </c>
      <c r="K1676" s="6">
        <f>'Raw Data'!I1676</f>
        <v>4.04</v>
      </c>
      <c r="L1676" s="5">
        <f>'Raw Data'!J1676</f>
        <v>26</v>
      </c>
      <c r="M1676" s="5">
        <f>IF(COUNTIFS($A$2:A1676,A1676,$D$2:D1676,D1676)=1,L1676,0)</f>
        <v>26</v>
      </c>
      <c r="N1676" s="4">
        <f t="shared" si="133"/>
        <v>508.56230769230774</v>
      </c>
      <c r="O1676" t="str">
        <f t="shared" si="134"/>
        <v>OK</v>
      </c>
    </row>
    <row r="1677" spans="1:15">
      <c r="A1677" t="str">
        <f>'Raw Data'!A1677</f>
        <v>Nashville RM-24</v>
      </c>
      <c r="B1677" t="str">
        <f>'Raw Data'!B1677</f>
        <v>Southeast</v>
      </c>
      <c r="C1677" t="str">
        <f>'Raw Data'!C1677</f>
        <v>Home Goods</v>
      </c>
      <c r="D1677" s="3">
        <f>'Raw Data'!D1677</f>
        <v>45748</v>
      </c>
      <c r="E1677" t="str">
        <f t="shared" si="130"/>
        <v>Apr</v>
      </c>
      <c r="F1677" s="5">
        <f>'Raw Data'!E1677</f>
        <v>103</v>
      </c>
      <c r="G1677" s="4">
        <f>'Raw Data'!F1677</f>
        <v>8338.35</v>
      </c>
      <c r="H1677" s="4">
        <f>'Raw Data'!G1677</f>
        <v>5614.71</v>
      </c>
      <c r="I1677" s="4">
        <f t="shared" si="131"/>
        <v>2723.6400000000003</v>
      </c>
      <c r="J1677" s="8">
        <f t="shared" si="132"/>
        <v>0.32664016262210149</v>
      </c>
      <c r="K1677" s="6">
        <f>'Raw Data'!I1677</f>
        <v>4.0999999999999996</v>
      </c>
      <c r="L1677" s="5">
        <f>'Raw Data'!J1677</f>
        <v>26</v>
      </c>
      <c r="M1677" s="5">
        <f>IF(COUNTIFS($A$2:A1677,A1677,$D$2:D1677,D1677)=1,L1677,0)</f>
        <v>0</v>
      </c>
      <c r="N1677" s="4">
        <f t="shared" si="133"/>
        <v>320.70576923076925</v>
      </c>
      <c r="O1677" t="str">
        <f t="shared" si="134"/>
        <v>OK</v>
      </c>
    </row>
    <row r="1678" spans="1:15">
      <c r="A1678" t="str">
        <f>'Raw Data'!A1678</f>
        <v>Nashville RM-24</v>
      </c>
      <c r="B1678" t="str">
        <f>'Raw Data'!B1678</f>
        <v>Southeast</v>
      </c>
      <c r="C1678" t="str">
        <f>'Raw Data'!C1678</f>
        <v>Apparel</v>
      </c>
      <c r="D1678" s="3">
        <f>'Raw Data'!D1678</f>
        <v>45748</v>
      </c>
      <c r="E1678" t="str">
        <f t="shared" si="130"/>
        <v>Apr</v>
      </c>
      <c r="F1678" s="5">
        <f>'Raw Data'!E1678</f>
        <v>157</v>
      </c>
      <c r="G1678" s="4">
        <f>'Raw Data'!F1678</f>
        <v>7212.9</v>
      </c>
      <c r="H1678" s="4">
        <f>'Raw Data'!G1678</f>
        <v>4274.1499999999996</v>
      </c>
      <c r="I1678" s="4">
        <f t="shared" si="131"/>
        <v>2938.75</v>
      </c>
      <c r="J1678" s="8">
        <f t="shared" si="132"/>
        <v>0.4074297439310125</v>
      </c>
      <c r="K1678" s="6">
        <f>'Raw Data'!I1678</f>
        <v>4.33</v>
      </c>
      <c r="L1678" s="5">
        <f>'Raw Data'!J1678</f>
        <v>26</v>
      </c>
      <c r="M1678" s="5">
        <f>IF(COUNTIFS($A$2:A1678,A1678,$D$2:D1678,D1678)=1,L1678,0)</f>
        <v>0</v>
      </c>
      <c r="N1678" s="4">
        <f t="shared" si="133"/>
        <v>277.41923076923075</v>
      </c>
      <c r="O1678" t="str">
        <f t="shared" si="134"/>
        <v>OK</v>
      </c>
    </row>
    <row r="1679" spans="1:15">
      <c r="A1679" t="str">
        <f>'Raw Data'!A1679</f>
        <v>Nashville RM-24</v>
      </c>
      <c r="B1679" t="str">
        <f>'Raw Data'!B1679</f>
        <v>Southeast</v>
      </c>
      <c r="C1679" t="str">
        <f>'Raw Data'!C1679</f>
        <v>Beauty</v>
      </c>
      <c r="D1679" s="3">
        <f>'Raw Data'!D1679</f>
        <v>45748</v>
      </c>
      <c r="E1679" t="str">
        <f t="shared" si="130"/>
        <v>Apr</v>
      </c>
      <c r="F1679" s="5">
        <f>'Raw Data'!E1679</f>
        <v>97</v>
      </c>
      <c r="G1679" s="4">
        <f>'Raw Data'!F1679</f>
        <v>3486.62</v>
      </c>
      <c r="H1679" s="4">
        <f>'Raw Data'!G1679</f>
        <v>1673.91</v>
      </c>
      <c r="I1679" s="4">
        <f t="shared" si="131"/>
        <v>1812.7099999999998</v>
      </c>
      <c r="J1679" s="8">
        <f t="shared" si="132"/>
        <v>0.51990466411596326</v>
      </c>
      <c r="K1679" s="6">
        <f>'Raw Data'!I1679</f>
        <v>4.22</v>
      </c>
      <c r="L1679" s="5">
        <f>'Raw Data'!J1679</f>
        <v>26</v>
      </c>
      <c r="M1679" s="5">
        <f>IF(COUNTIFS($A$2:A1679,A1679,$D$2:D1679,D1679)=1,L1679,0)</f>
        <v>0</v>
      </c>
      <c r="N1679" s="4">
        <f t="shared" si="133"/>
        <v>134.10076923076923</v>
      </c>
      <c r="O1679" t="str">
        <f t="shared" si="134"/>
        <v>OK</v>
      </c>
    </row>
    <row r="1680" spans="1:15">
      <c r="A1680" t="str">
        <f>'Raw Data'!A1680</f>
        <v>Nashville RM-24</v>
      </c>
      <c r="B1680" t="str">
        <f>'Raw Data'!B1680</f>
        <v>Southeast</v>
      </c>
      <c r="C1680" t="str">
        <f>'Raw Data'!C1680</f>
        <v>Grocery</v>
      </c>
      <c r="D1680" s="3">
        <f>'Raw Data'!D1680</f>
        <v>45748</v>
      </c>
      <c r="E1680" t="str">
        <f t="shared" si="130"/>
        <v>Apr</v>
      </c>
      <c r="F1680" s="5">
        <f>'Raw Data'!E1680</f>
        <v>197</v>
      </c>
      <c r="G1680" s="4">
        <f>'Raw Data'!F1680</f>
        <v>3569.16</v>
      </c>
      <c r="H1680" s="4">
        <f>'Raw Data'!G1680</f>
        <v>3247.42</v>
      </c>
      <c r="I1680" s="4">
        <f t="shared" si="131"/>
        <v>321.73999999999978</v>
      </c>
      <c r="J1680" s="8">
        <f t="shared" si="132"/>
        <v>9.0144459760840026E-2</v>
      </c>
      <c r="K1680" s="6">
        <f>'Raw Data'!I1680</f>
        <v>4.21</v>
      </c>
      <c r="L1680" s="5">
        <f>'Raw Data'!J1680</f>
        <v>26</v>
      </c>
      <c r="M1680" s="5">
        <f>IF(COUNTIFS($A$2:A1680,A1680,$D$2:D1680,D1680)=1,L1680,0)</f>
        <v>0</v>
      </c>
      <c r="N1680" s="4">
        <f t="shared" si="133"/>
        <v>137.27538461538461</v>
      </c>
      <c r="O1680" t="str">
        <f t="shared" si="134"/>
        <v>OK</v>
      </c>
    </row>
    <row r="1681" spans="1:15">
      <c r="A1681" t="str">
        <f>'Raw Data'!A1681</f>
        <v>Nashville RM-24</v>
      </c>
      <c r="B1681" t="str">
        <f>'Raw Data'!B1681</f>
        <v>Southeast</v>
      </c>
      <c r="C1681" t="str">
        <f>'Raw Data'!C1681</f>
        <v>Sports</v>
      </c>
      <c r="D1681" s="3">
        <f>'Raw Data'!D1681</f>
        <v>45748</v>
      </c>
      <c r="E1681" t="str">
        <f t="shared" si="130"/>
        <v>Apr</v>
      </c>
      <c r="F1681" s="5">
        <f>'Raw Data'!E1681</f>
        <v>73</v>
      </c>
      <c r="G1681" s="4">
        <f>'Raw Data'!F1681</f>
        <v>4737.24</v>
      </c>
      <c r="H1681" s="4">
        <f>'Raw Data'!G1681</f>
        <v>3023.22</v>
      </c>
      <c r="I1681" s="4">
        <f t="shared" si="131"/>
        <v>1714.02</v>
      </c>
      <c r="J1681" s="8">
        <f t="shared" si="132"/>
        <v>0.36181827393165644</v>
      </c>
      <c r="K1681" s="6">
        <f>'Raw Data'!I1681</f>
        <v>4.18</v>
      </c>
      <c r="L1681" s="5">
        <f>'Raw Data'!J1681</f>
        <v>26</v>
      </c>
      <c r="M1681" s="5">
        <f>IF(COUNTIFS($A$2:A1681,A1681,$D$2:D1681,D1681)=1,L1681,0)</f>
        <v>0</v>
      </c>
      <c r="N1681" s="4">
        <f t="shared" si="133"/>
        <v>182.20153846153846</v>
      </c>
      <c r="O1681" t="str">
        <f t="shared" si="134"/>
        <v>OK</v>
      </c>
    </row>
    <row r="1682" spans="1:15">
      <c r="A1682" t="str">
        <f>'Raw Data'!A1682</f>
        <v>Nashville RM-24</v>
      </c>
      <c r="B1682" t="str">
        <f>'Raw Data'!B1682</f>
        <v>Southeast</v>
      </c>
      <c r="C1682" t="str">
        <f>'Raw Data'!C1682</f>
        <v>Electronics</v>
      </c>
      <c r="D1682" s="3">
        <f>'Raw Data'!D1682</f>
        <v>45778</v>
      </c>
      <c r="E1682" t="str">
        <f t="shared" si="130"/>
        <v>May</v>
      </c>
      <c r="F1682" s="5">
        <f>'Raw Data'!E1682</f>
        <v>117</v>
      </c>
      <c r="G1682" s="4">
        <f>'Raw Data'!F1682</f>
        <v>17675.849999999999</v>
      </c>
      <c r="H1682" s="4">
        <f>'Raw Data'!G1682</f>
        <v>13343.99</v>
      </c>
      <c r="I1682" s="4">
        <f t="shared" si="131"/>
        <v>4331.8599999999988</v>
      </c>
      <c r="J1682" s="8">
        <f t="shared" si="132"/>
        <v>0.24507223132126596</v>
      </c>
      <c r="K1682" s="6">
        <f>'Raw Data'!I1682</f>
        <v>4.24</v>
      </c>
      <c r="L1682" s="5">
        <f>'Raw Data'!J1682</f>
        <v>27</v>
      </c>
      <c r="M1682" s="5">
        <f>IF(COUNTIFS($A$2:A1682,A1682,$D$2:D1682,D1682)=1,L1682,0)</f>
        <v>27</v>
      </c>
      <c r="N1682" s="4">
        <f t="shared" si="133"/>
        <v>654.66111111111104</v>
      </c>
      <c r="O1682" t="str">
        <f t="shared" si="134"/>
        <v>OK</v>
      </c>
    </row>
    <row r="1683" spans="1:15">
      <c r="A1683" t="str">
        <f>'Raw Data'!A1683</f>
        <v>Nashville RM-24</v>
      </c>
      <c r="B1683" t="str">
        <f>'Raw Data'!B1683</f>
        <v>Southeast</v>
      </c>
      <c r="C1683" t="str">
        <f>'Raw Data'!C1683</f>
        <v>Home Goods</v>
      </c>
      <c r="D1683" s="3">
        <f>'Raw Data'!D1683</f>
        <v>45778</v>
      </c>
      <c r="E1683" t="str">
        <f t="shared" si="130"/>
        <v>May</v>
      </c>
      <c r="F1683" s="5">
        <f>'Raw Data'!E1683</f>
        <v>104</v>
      </c>
      <c r="G1683" s="4">
        <f>'Raw Data'!F1683</f>
        <v>8119.8</v>
      </c>
      <c r="H1683" s="4">
        <f>'Raw Data'!G1683</f>
        <v>5355.07</v>
      </c>
      <c r="I1683" s="4">
        <f t="shared" si="131"/>
        <v>2764.7300000000005</v>
      </c>
      <c r="J1683" s="8">
        <f t="shared" si="132"/>
        <v>0.3404923766595237</v>
      </c>
      <c r="K1683" s="6">
        <f>'Raw Data'!I1683</f>
        <v>4.34</v>
      </c>
      <c r="L1683" s="5">
        <f>'Raw Data'!J1683</f>
        <v>27</v>
      </c>
      <c r="M1683" s="5">
        <f>IF(COUNTIFS($A$2:A1683,A1683,$D$2:D1683,D1683)=1,L1683,0)</f>
        <v>0</v>
      </c>
      <c r="N1683" s="4">
        <f t="shared" si="133"/>
        <v>300.73333333333335</v>
      </c>
      <c r="O1683" t="str">
        <f t="shared" si="134"/>
        <v>OK</v>
      </c>
    </row>
    <row r="1684" spans="1:15">
      <c r="A1684" t="str">
        <f>'Raw Data'!A1684</f>
        <v>Nashville RM-24</v>
      </c>
      <c r="B1684" t="str">
        <f>'Raw Data'!B1684</f>
        <v>Southeast</v>
      </c>
      <c r="C1684" t="str">
        <f>'Raw Data'!C1684</f>
        <v>Apparel</v>
      </c>
      <c r="D1684" s="3">
        <f>'Raw Data'!D1684</f>
        <v>45778</v>
      </c>
      <c r="E1684" t="str">
        <f t="shared" si="130"/>
        <v>May</v>
      </c>
      <c r="F1684" s="5">
        <f>'Raw Data'!E1684</f>
        <v>135</v>
      </c>
      <c r="G1684" s="4">
        <f>'Raw Data'!F1684</f>
        <v>6699.43</v>
      </c>
      <c r="H1684" s="4">
        <f>'Raw Data'!G1684</f>
        <v>4032.64</v>
      </c>
      <c r="I1684" s="4">
        <f t="shared" si="131"/>
        <v>2666.7900000000004</v>
      </c>
      <c r="J1684" s="8">
        <f t="shared" si="132"/>
        <v>0.39806222320406365</v>
      </c>
      <c r="K1684" s="6">
        <f>'Raw Data'!I1684</f>
        <v>4.12</v>
      </c>
      <c r="L1684" s="5">
        <f>'Raw Data'!J1684</f>
        <v>27</v>
      </c>
      <c r="M1684" s="5">
        <f>IF(COUNTIFS($A$2:A1684,A1684,$D$2:D1684,D1684)=1,L1684,0)</f>
        <v>0</v>
      </c>
      <c r="N1684" s="4">
        <f t="shared" si="133"/>
        <v>248.12703703703704</v>
      </c>
      <c r="O1684" t="str">
        <f t="shared" si="134"/>
        <v>OK</v>
      </c>
    </row>
    <row r="1685" spans="1:15">
      <c r="A1685" t="str">
        <f>'Raw Data'!A1685</f>
        <v>Nashville RM-24</v>
      </c>
      <c r="B1685" t="str">
        <f>'Raw Data'!B1685</f>
        <v>Southeast</v>
      </c>
      <c r="C1685" t="str">
        <f>'Raw Data'!C1685</f>
        <v>Beauty</v>
      </c>
      <c r="D1685" s="3">
        <f>'Raw Data'!D1685</f>
        <v>45778</v>
      </c>
      <c r="E1685" t="str">
        <f t="shared" si="130"/>
        <v>May</v>
      </c>
      <c r="F1685" s="5">
        <f>'Raw Data'!E1685</f>
        <v>116</v>
      </c>
      <c r="G1685" s="4">
        <f>'Raw Data'!F1685</f>
        <v>3977.2</v>
      </c>
      <c r="H1685" s="4">
        <f>'Raw Data'!G1685</f>
        <v>1886.34</v>
      </c>
      <c r="I1685" s="4">
        <f t="shared" si="131"/>
        <v>2090.8599999999997</v>
      </c>
      <c r="J1685" s="8">
        <f t="shared" si="132"/>
        <v>0.52571155586845009</v>
      </c>
      <c r="K1685" s="6">
        <f>'Raw Data'!I1685</f>
        <v>4.03</v>
      </c>
      <c r="L1685" s="5">
        <f>'Raw Data'!J1685</f>
        <v>27</v>
      </c>
      <c r="M1685" s="5">
        <f>IF(COUNTIFS($A$2:A1685,A1685,$D$2:D1685,D1685)=1,L1685,0)</f>
        <v>0</v>
      </c>
      <c r="N1685" s="4">
        <f t="shared" si="133"/>
        <v>147.30370370370369</v>
      </c>
      <c r="O1685" t="str">
        <f t="shared" si="134"/>
        <v>OK</v>
      </c>
    </row>
    <row r="1686" spans="1:15">
      <c r="A1686" t="str">
        <f>'Raw Data'!A1686</f>
        <v>Nashville RM-24</v>
      </c>
      <c r="B1686" t="str">
        <f>'Raw Data'!B1686</f>
        <v>Southeast</v>
      </c>
      <c r="C1686" t="str">
        <f>'Raw Data'!C1686</f>
        <v>Grocery</v>
      </c>
      <c r="D1686" s="3">
        <f>'Raw Data'!D1686</f>
        <v>45778</v>
      </c>
      <c r="E1686" t="str">
        <f t="shared" si="130"/>
        <v>May</v>
      </c>
      <c r="F1686" s="5">
        <f>'Raw Data'!E1686</f>
        <v>169</v>
      </c>
      <c r="G1686" s="4">
        <f>'Raw Data'!F1686</f>
        <v>2991.01</v>
      </c>
      <c r="H1686" s="4">
        <f>'Raw Data'!G1686</f>
        <v>2727.42</v>
      </c>
      <c r="I1686" s="4">
        <f t="shared" si="131"/>
        <v>263.59000000000015</v>
      </c>
      <c r="J1686" s="8">
        <f t="shared" si="132"/>
        <v>8.8127421840782927E-2</v>
      </c>
      <c r="K1686" s="6">
        <f>'Raw Data'!I1686</f>
        <v>4.22</v>
      </c>
      <c r="L1686" s="5">
        <f>'Raw Data'!J1686</f>
        <v>27</v>
      </c>
      <c r="M1686" s="5">
        <f>IF(COUNTIFS($A$2:A1686,A1686,$D$2:D1686,D1686)=1,L1686,0)</f>
        <v>0</v>
      </c>
      <c r="N1686" s="4">
        <f t="shared" si="133"/>
        <v>110.77814814814816</v>
      </c>
      <c r="O1686" t="str">
        <f t="shared" si="134"/>
        <v>OK</v>
      </c>
    </row>
    <row r="1687" spans="1:15">
      <c r="A1687" t="str">
        <f>'Raw Data'!A1687</f>
        <v>Nashville RM-24</v>
      </c>
      <c r="B1687" t="str">
        <f>'Raw Data'!B1687</f>
        <v>Southeast</v>
      </c>
      <c r="C1687" t="str">
        <f>'Raw Data'!C1687</f>
        <v>Sports</v>
      </c>
      <c r="D1687" s="3">
        <f>'Raw Data'!D1687</f>
        <v>45778</v>
      </c>
      <c r="E1687" t="str">
        <f t="shared" si="130"/>
        <v>May</v>
      </c>
      <c r="F1687" s="5">
        <f>'Raw Data'!E1687</f>
        <v>98</v>
      </c>
      <c r="G1687" s="4">
        <f>'Raw Data'!F1687</f>
        <v>5783.87</v>
      </c>
      <c r="H1687" s="4">
        <f>'Raw Data'!G1687</f>
        <v>3826.54</v>
      </c>
      <c r="I1687" s="4">
        <f t="shared" si="131"/>
        <v>1957.33</v>
      </c>
      <c r="J1687" s="8">
        <f t="shared" si="132"/>
        <v>0.33841182460878272</v>
      </c>
      <c r="K1687" s="6">
        <f>'Raw Data'!I1687</f>
        <v>4.21</v>
      </c>
      <c r="L1687" s="5">
        <f>'Raw Data'!J1687</f>
        <v>27</v>
      </c>
      <c r="M1687" s="5">
        <f>IF(COUNTIFS($A$2:A1687,A1687,$D$2:D1687,D1687)=1,L1687,0)</f>
        <v>0</v>
      </c>
      <c r="N1687" s="4">
        <f t="shared" si="133"/>
        <v>214.21740740740739</v>
      </c>
      <c r="O1687" t="str">
        <f t="shared" si="134"/>
        <v>OK</v>
      </c>
    </row>
    <row r="1688" spans="1:15">
      <c r="A1688" t="str">
        <f>'Raw Data'!A1688</f>
        <v>Nashville RM-24</v>
      </c>
      <c r="B1688" t="str">
        <f>'Raw Data'!B1688</f>
        <v>Southeast</v>
      </c>
      <c r="C1688" t="str">
        <f>'Raw Data'!C1688</f>
        <v>Electronics</v>
      </c>
      <c r="D1688" s="3">
        <f>'Raw Data'!D1688</f>
        <v>45809</v>
      </c>
      <c r="E1688" t="str">
        <f t="shared" si="130"/>
        <v>Jun</v>
      </c>
      <c r="F1688" s="5">
        <f>'Raw Data'!E1688</f>
        <v>137</v>
      </c>
      <c r="G1688" s="4">
        <f>'Raw Data'!F1688</f>
        <v>20760.48</v>
      </c>
      <c r="H1688" s="4">
        <f>'Raw Data'!G1688</f>
        <v>16195.74</v>
      </c>
      <c r="I1688" s="4">
        <f t="shared" si="131"/>
        <v>4564.74</v>
      </c>
      <c r="J1688" s="8">
        <f t="shared" si="132"/>
        <v>0.21987641904233426</v>
      </c>
      <c r="K1688" s="6">
        <f>'Raw Data'!I1688</f>
        <v>4.0199999999999996</v>
      </c>
      <c r="L1688" s="5">
        <f>'Raw Data'!J1688</f>
        <v>26</v>
      </c>
      <c r="M1688" s="5">
        <f>IF(COUNTIFS($A$2:A1688,A1688,$D$2:D1688,D1688)=1,L1688,0)</f>
        <v>26</v>
      </c>
      <c r="N1688" s="4">
        <f t="shared" si="133"/>
        <v>798.48</v>
      </c>
      <c r="O1688" t="str">
        <f t="shared" si="134"/>
        <v>OK</v>
      </c>
    </row>
    <row r="1689" spans="1:15">
      <c r="A1689" t="str">
        <f>'Raw Data'!A1689</f>
        <v>Nashville RM-24</v>
      </c>
      <c r="B1689" t="str">
        <f>'Raw Data'!B1689</f>
        <v>Southeast</v>
      </c>
      <c r="C1689" t="str">
        <f>'Raw Data'!C1689</f>
        <v>Home Goods</v>
      </c>
      <c r="D1689" s="3">
        <f>'Raw Data'!D1689</f>
        <v>45809</v>
      </c>
      <c r="E1689" t="str">
        <f t="shared" si="130"/>
        <v>Jun</v>
      </c>
      <c r="F1689" s="5">
        <f>'Raw Data'!E1689</f>
        <v>110</v>
      </c>
      <c r="G1689" s="4">
        <f>'Raw Data'!F1689</f>
        <v>8628.82</v>
      </c>
      <c r="H1689" s="4">
        <f>'Raw Data'!G1689</f>
        <v>5792.36</v>
      </c>
      <c r="I1689" s="4">
        <f t="shared" si="131"/>
        <v>2836.46</v>
      </c>
      <c r="J1689" s="8">
        <f t="shared" si="132"/>
        <v>0.32871933821774008</v>
      </c>
      <c r="K1689" s="6">
        <f>'Raw Data'!I1689</f>
        <v>4.3600000000000003</v>
      </c>
      <c r="L1689" s="5">
        <f>'Raw Data'!J1689</f>
        <v>26</v>
      </c>
      <c r="M1689" s="5">
        <f>IF(COUNTIFS($A$2:A1689,A1689,$D$2:D1689,D1689)=1,L1689,0)</f>
        <v>0</v>
      </c>
      <c r="N1689" s="4">
        <f t="shared" si="133"/>
        <v>331.87769230769231</v>
      </c>
      <c r="O1689" t="str">
        <f t="shared" si="134"/>
        <v>OK</v>
      </c>
    </row>
    <row r="1690" spans="1:15">
      <c r="A1690" t="str">
        <f>'Raw Data'!A1690</f>
        <v>Nashville RM-24</v>
      </c>
      <c r="B1690" t="str">
        <f>'Raw Data'!B1690</f>
        <v>Southeast</v>
      </c>
      <c r="C1690" t="str">
        <f>'Raw Data'!C1690</f>
        <v>Apparel</v>
      </c>
      <c r="D1690" s="3">
        <f>'Raw Data'!D1690</f>
        <v>45809</v>
      </c>
      <c r="E1690" t="str">
        <f t="shared" si="130"/>
        <v>Jun</v>
      </c>
      <c r="F1690" s="5">
        <f>'Raw Data'!E1690</f>
        <v>142</v>
      </c>
      <c r="G1690" s="4">
        <f>'Raw Data'!F1690</f>
        <v>7198.76</v>
      </c>
      <c r="H1690" s="4">
        <f>'Raw Data'!G1690</f>
        <v>4480.54</v>
      </c>
      <c r="I1690" s="4">
        <f t="shared" si="131"/>
        <v>2718.2200000000003</v>
      </c>
      <c r="J1690" s="8">
        <f t="shared" si="132"/>
        <v>0.37759558590646169</v>
      </c>
      <c r="K1690" s="6">
        <f>'Raw Data'!I1690</f>
        <v>4.2300000000000004</v>
      </c>
      <c r="L1690" s="5">
        <f>'Raw Data'!J1690</f>
        <v>26</v>
      </c>
      <c r="M1690" s="5">
        <f>IF(COUNTIFS($A$2:A1690,A1690,$D$2:D1690,D1690)=1,L1690,0)</f>
        <v>0</v>
      </c>
      <c r="N1690" s="4">
        <f t="shared" si="133"/>
        <v>276.87538461538463</v>
      </c>
      <c r="O1690" t="str">
        <f t="shared" si="134"/>
        <v>OK</v>
      </c>
    </row>
    <row r="1691" spans="1:15">
      <c r="A1691" t="str">
        <f>'Raw Data'!A1691</f>
        <v>Nashville RM-24</v>
      </c>
      <c r="B1691" t="str">
        <f>'Raw Data'!B1691</f>
        <v>Southeast</v>
      </c>
      <c r="C1691" t="str">
        <f>'Raw Data'!C1691</f>
        <v>Beauty</v>
      </c>
      <c r="D1691" s="3">
        <f>'Raw Data'!D1691</f>
        <v>45809</v>
      </c>
      <c r="E1691" t="str">
        <f t="shared" si="130"/>
        <v>Jun</v>
      </c>
      <c r="F1691" s="5">
        <f>'Raw Data'!E1691</f>
        <v>126</v>
      </c>
      <c r="G1691" s="4">
        <f>'Raw Data'!F1691</f>
        <v>4317.59</v>
      </c>
      <c r="H1691" s="4">
        <f>'Raw Data'!G1691</f>
        <v>2119.88</v>
      </c>
      <c r="I1691" s="4">
        <f t="shared" si="131"/>
        <v>2197.71</v>
      </c>
      <c r="J1691" s="8">
        <f t="shared" si="132"/>
        <v>0.50901313001002868</v>
      </c>
      <c r="K1691" s="6">
        <f>'Raw Data'!I1691</f>
        <v>4.13</v>
      </c>
      <c r="L1691" s="5">
        <f>'Raw Data'!J1691</f>
        <v>26</v>
      </c>
      <c r="M1691" s="5">
        <f>IF(COUNTIFS($A$2:A1691,A1691,$D$2:D1691,D1691)=1,L1691,0)</f>
        <v>0</v>
      </c>
      <c r="N1691" s="4">
        <f t="shared" si="133"/>
        <v>166.06115384615384</v>
      </c>
      <c r="O1691" t="str">
        <f t="shared" si="134"/>
        <v>OK</v>
      </c>
    </row>
    <row r="1692" spans="1:15">
      <c r="A1692" t="str">
        <f>'Raw Data'!A1692</f>
        <v>Nashville RM-24</v>
      </c>
      <c r="B1692" t="str">
        <f>'Raw Data'!B1692</f>
        <v>Southeast</v>
      </c>
      <c r="C1692" t="str">
        <f>'Raw Data'!C1692</f>
        <v>Grocery</v>
      </c>
      <c r="D1692" s="3">
        <f>'Raw Data'!D1692</f>
        <v>45809</v>
      </c>
      <c r="E1692" t="str">
        <f t="shared" si="130"/>
        <v>Jun</v>
      </c>
      <c r="F1692" s="5">
        <f>'Raw Data'!E1692</f>
        <v>181</v>
      </c>
      <c r="G1692" s="4">
        <f>'Raw Data'!F1692</f>
        <v>3488.47</v>
      </c>
      <c r="H1692" s="4">
        <f>'Raw Data'!G1692</f>
        <v>3144.02</v>
      </c>
      <c r="I1692" s="4">
        <f t="shared" si="131"/>
        <v>344.44999999999982</v>
      </c>
      <c r="J1692" s="8">
        <f t="shared" si="132"/>
        <v>9.8739562042958612E-2</v>
      </c>
      <c r="K1692" s="6">
        <f>'Raw Data'!I1692</f>
        <v>4.05</v>
      </c>
      <c r="L1692" s="5">
        <f>'Raw Data'!J1692</f>
        <v>26</v>
      </c>
      <c r="M1692" s="5">
        <f>IF(COUNTIFS($A$2:A1692,A1692,$D$2:D1692,D1692)=1,L1692,0)</f>
        <v>0</v>
      </c>
      <c r="N1692" s="4">
        <f t="shared" si="133"/>
        <v>134.17192307692306</v>
      </c>
      <c r="O1692" t="str">
        <f t="shared" si="134"/>
        <v>OK</v>
      </c>
    </row>
    <row r="1693" spans="1:15">
      <c r="A1693" t="str">
        <f>'Raw Data'!A1693</f>
        <v>Nashville RM-24</v>
      </c>
      <c r="B1693" t="str">
        <f>'Raw Data'!B1693</f>
        <v>Southeast</v>
      </c>
      <c r="C1693" t="str">
        <f>'Raw Data'!C1693</f>
        <v>Sports</v>
      </c>
      <c r="D1693" s="3">
        <f>'Raw Data'!D1693</f>
        <v>45809</v>
      </c>
      <c r="E1693" t="str">
        <f t="shared" si="130"/>
        <v>Jun</v>
      </c>
      <c r="F1693" s="5">
        <f>'Raw Data'!E1693</f>
        <v>108</v>
      </c>
      <c r="G1693" s="4">
        <f>'Raw Data'!F1693</f>
        <v>6316.79</v>
      </c>
      <c r="H1693" s="4">
        <f>'Raw Data'!G1693</f>
        <v>4112.79</v>
      </c>
      <c r="I1693" s="4">
        <f t="shared" si="131"/>
        <v>2204</v>
      </c>
      <c r="J1693" s="8">
        <f t="shared" si="132"/>
        <v>0.34891139328678017</v>
      </c>
      <c r="K1693" s="6">
        <f>'Raw Data'!I1693</f>
        <v>4.16</v>
      </c>
      <c r="L1693" s="5">
        <f>'Raw Data'!J1693</f>
        <v>26</v>
      </c>
      <c r="M1693" s="5">
        <f>IF(COUNTIFS($A$2:A1693,A1693,$D$2:D1693,D1693)=1,L1693,0)</f>
        <v>0</v>
      </c>
      <c r="N1693" s="4">
        <f t="shared" si="133"/>
        <v>242.95346153846154</v>
      </c>
      <c r="O1693" t="str">
        <f t="shared" si="134"/>
        <v>OK</v>
      </c>
    </row>
    <row r="1694" spans="1:15">
      <c r="A1694" t="str">
        <f>'Raw Data'!A1694</f>
        <v>Nashville RM-24</v>
      </c>
      <c r="B1694" t="str">
        <f>'Raw Data'!B1694</f>
        <v>Southeast</v>
      </c>
      <c r="C1694" t="str">
        <f>'Raw Data'!C1694</f>
        <v>Electronics</v>
      </c>
      <c r="D1694" s="3">
        <f>'Raw Data'!D1694</f>
        <v>45839</v>
      </c>
      <c r="E1694" t="str">
        <f t="shared" si="130"/>
        <v>Jul</v>
      </c>
      <c r="F1694" s="5">
        <f>'Raw Data'!E1694</f>
        <v>134</v>
      </c>
      <c r="G1694" s="4">
        <f>'Raw Data'!F1694</f>
        <v>18721.62</v>
      </c>
      <c r="H1694" s="4">
        <f>'Raw Data'!G1694</f>
        <v>14400.91</v>
      </c>
      <c r="I1694" s="4">
        <f t="shared" si="131"/>
        <v>4320.7099999999991</v>
      </c>
      <c r="J1694" s="8">
        <f t="shared" si="132"/>
        <v>0.23078718615162575</v>
      </c>
      <c r="K1694" s="6">
        <f>'Raw Data'!I1694</f>
        <v>4.1100000000000003</v>
      </c>
      <c r="L1694" s="5">
        <f>'Raw Data'!J1694</f>
        <v>26</v>
      </c>
      <c r="M1694" s="5">
        <f>IF(COUNTIFS($A$2:A1694,A1694,$D$2:D1694,D1694)=1,L1694,0)</f>
        <v>26</v>
      </c>
      <c r="N1694" s="4">
        <f t="shared" si="133"/>
        <v>720.06230769230763</v>
      </c>
      <c r="O1694" t="str">
        <f t="shared" si="134"/>
        <v>OK</v>
      </c>
    </row>
    <row r="1695" spans="1:15">
      <c r="A1695" t="str">
        <f>'Raw Data'!A1695</f>
        <v>Nashville RM-24</v>
      </c>
      <c r="B1695" t="str">
        <f>'Raw Data'!B1695</f>
        <v>Southeast</v>
      </c>
      <c r="C1695" t="str">
        <f>'Raw Data'!C1695</f>
        <v>Home Goods</v>
      </c>
      <c r="D1695" s="3">
        <f>'Raw Data'!D1695</f>
        <v>45839</v>
      </c>
      <c r="E1695" t="str">
        <f t="shared" si="130"/>
        <v>Jul</v>
      </c>
      <c r="F1695" s="5">
        <f>'Raw Data'!E1695</f>
        <v>121</v>
      </c>
      <c r="G1695" s="4">
        <f>'Raw Data'!F1695</f>
        <v>8759.6299999999992</v>
      </c>
      <c r="H1695" s="4">
        <f>'Raw Data'!G1695</f>
        <v>5852.87</v>
      </c>
      <c r="I1695" s="4">
        <f t="shared" si="131"/>
        <v>2906.7599999999993</v>
      </c>
      <c r="J1695" s="8">
        <f t="shared" si="132"/>
        <v>0.3318359337095288</v>
      </c>
      <c r="K1695" s="6">
        <f>'Raw Data'!I1695</f>
        <v>4.16</v>
      </c>
      <c r="L1695" s="5">
        <f>'Raw Data'!J1695</f>
        <v>26</v>
      </c>
      <c r="M1695" s="5">
        <f>IF(COUNTIFS($A$2:A1695,A1695,$D$2:D1695,D1695)=1,L1695,0)</f>
        <v>0</v>
      </c>
      <c r="N1695" s="4">
        <f t="shared" si="133"/>
        <v>336.90884615384613</v>
      </c>
      <c r="O1695" t="str">
        <f t="shared" si="134"/>
        <v>OK</v>
      </c>
    </row>
    <row r="1696" spans="1:15">
      <c r="A1696" t="str">
        <f>'Raw Data'!A1696</f>
        <v>Nashville RM-24</v>
      </c>
      <c r="B1696" t="str">
        <f>'Raw Data'!B1696</f>
        <v>Southeast</v>
      </c>
      <c r="C1696" t="str">
        <f>'Raw Data'!C1696</f>
        <v>Apparel</v>
      </c>
      <c r="D1696" s="3">
        <f>'Raw Data'!D1696</f>
        <v>45839</v>
      </c>
      <c r="E1696" t="str">
        <f t="shared" si="130"/>
        <v>Jul</v>
      </c>
      <c r="F1696" s="5">
        <f>'Raw Data'!E1696</f>
        <v>157</v>
      </c>
      <c r="G1696" s="4">
        <f>'Raw Data'!F1696</f>
        <v>7427.03</v>
      </c>
      <c r="H1696" s="4">
        <f>'Raw Data'!G1696</f>
        <v>4445.26</v>
      </c>
      <c r="I1696" s="4">
        <f t="shared" si="131"/>
        <v>2981.7699999999995</v>
      </c>
      <c r="J1696" s="8">
        <f t="shared" si="132"/>
        <v>0.40147542153458377</v>
      </c>
      <c r="K1696" s="6">
        <f>'Raw Data'!I1696</f>
        <v>4.04</v>
      </c>
      <c r="L1696" s="5">
        <f>'Raw Data'!J1696</f>
        <v>26</v>
      </c>
      <c r="M1696" s="5">
        <f>IF(COUNTIFS($A$2:A1696,A1696,$D$2:D1696,D1696)=1,L1696,0)</f>
        <v>0</v>
      </c>
      <c r="N1696" s="4">
        <f t="shared" si="133"/>
        <v>285.65499999999997</v>
      </c>
      <c r="O1696" t="str">
        <f t="shared" si="134"/>
        <v>OK</v>
      </c>
    </row>
    <row r="1697" spans="1:15">
      <c r="A1697" t="str">
        <f>'Raw Data'!A1697</f>
        <v>Nashville RM-24</v>
      </c>
      <c r="B1697" t="str">
        <f>'Raw Data'!B1697</f>
        <v>Southeast</v>
      </c>
      <c r="C1697" t="str">
        <f>'Raw Data'!C1697</f>
        <v>Beauty</v>
      </c>
      <c r="D1697" s="3">
        <f>'Raw Data'!D1697</f>
        <v>45839</v>
      </c>
      <c r="E1697" t="str">
        <f t="shared" si="130"/>
        <v>Jul</v>
      </c>
      <c r="F1697" s="5">
        <f>'Raw Data'!E1697</f>
        <v>137</v>
      </c>
      <c r="G1697" s="4">
        <f>'Raw Data'!F1697</f>
        <v>4905.33</v>
      </c>
      <c r="H1697" s="4">
        <f>'Raw Data'!G1697</f>
        <v>2406.77</v>
      </c>
      <c r="I1697" s="4">
        <f t="shared" si="131"/>
        <v>2498.56</v>
      </c>
      <c r="J1697" s="8">
        <f t="shared" si="132"/>
        <v>0.50935614933144147</v>
      </c>
      <c r="K1697" s="6">
        <f>'Raw Data'!I1697</f>
        <v>4.17</v>
      </c>
      <c r="L1697" s="5">
        <f>'Raw Data'!J1697</f>
        <v>26</v>
      </c>
      <c r="M1697" s="5">
        <f>IF(COUNTIFS($A$2:A1697,A1697,$D$2:D1697,D1697)=1,L1697,0)</f>
        <v>0</v>
      </c>
      <c r="N1697" s="4">
        <f t="shared" si="133"/>
        <v>188.66653846153847</v>
      </c>
      <c r="O1697" t="str">
        <f t="shared" si="134"/>
        <v>OK</v>
      </c>
    </row>
    <row r="1698" spans="1:15">
      <c r="A1698" t="str">
        <f>'Raw Data'!A1698</f>
        <v>Nashville RM-24</v>
      </c>
      <c r="B1698" t="str">
        <f>'Raw Data'!B1698</f>
        <v>Southeast</v>
      </c>
      <c r="C1698" t="str">
        <f>'Raw Data'!C1698</f>
        <v>Grocery</v>
      </c>
      <c r="D1698" s="3">
        <f>'Raw Data'!D1698</f>
        <v>45839</v>
      </c>
      <c r="E1698" t="str">
        <f t="shared" si="130"/>
        <v>Jul</v>
      </c>
      <c r="F1698" s="5">
        <f>'Raw Data'!E1698</f>
        <v>198</v>
      </c>
      <c r="G1698" s="4">
        <f>'Raw Data'!F1698</f>
        <v>3763.17</v>
      </c>
      <c r="H1698" s="4">
        <f>'Raw Data'!G1698</f>
        <v>3368.67</v>
      </c>
      <c r="I1698" s="4">
        <f t="shared" si="131"/>
        <v>394.5</v>
      </c>
      <c r="J1698" s="8">
        <f t="shared" si="132"/>
        <v>0.10483183061089453</v>
      </c>
      <c r="K1698" s="6">
        <f>'Raw Data'!I1698</f>
        <v>4.0599999999999996</v>
      </c>
      <c r="L1698" s="5">
        <f>'Raw Data'!J1698</f>
        <v>26</v>
      </c>
      <c r="M1698" s="5">
        <f>IF(COUNTIFS($A$2:A1698,A1698,$D$2:D1698,D1698)=1,L1698,0)</f>
        <v>0</v>
      </c>
      <c r="N1698" s="4">
        <f t="shared" si="133"/>
        <v>144.7373076923077</v>
      </c>
      <c r="O1698" t="str">
        <f t="shared" si="134"/>
        <v>OK</v>
      </c>
    </row>
    <row r="1699" spans="1:15">
      <c r="A1699" t="str">
        <f>'Raw Data'!A1699</f>
        <v>Nashville RM-24</v>
      </c>
      <c r="B1699" t="str">
        <f>'Raw Data'!B1699</f>
        <v>Southeast</v>
      </c>
      <c r="C1699" t="str">
        <f>'Raw Data'!C1699</f>
        <v>Sports</v>
      </c>
      <c r="D1699" s="3">
        <f>'Raw Data'!D1699</f>
        <v>45839</v>
      </c>
      <c r="E1699" t="str">
        <f t="shared" si="130"/>
        <v>Jul</v>
      </c>
      <c r="F1699" s="5">
        <f>'Raw Data'!E1699</f>
        <v>128</v>
      </c>
      <c r="G1699" s="4">
        <f>'Raw Data'!F1699</f>
        <v>8295.49</v>
      </c>
      <c r="H1699" s="4">
        <f>'Raw Data'!G1699</f>
        <v>5469.93</v>
      </c>
      <c r="I1699" s="4">
        <f t="shared" si="131"/>
        <v>2825.5599999999995</v>
      </c>
      <c r="J1699" s="8">
        <f t="shared" si="132"/>
        <v>0.34061399627990624</v>
      </c>
      <c r="K1699" s="6">
        <f>'Raw Data'!I1699</f>
        <v>4.2</v>
      </c>
      <c r="L1699" s="5">
        <f>'Raw Data'!J1699</f>
        <v>26</v>
      </c>
      <c r="M1699" s="5">
        <f>IF(COUNTIFS($A$2:A1699,A1699,$D$2:D1699,D1699)=1,L1699,0)</f>
        <v>0</v>
      </c>
      <c r="N1699" s="4">
        <f t="shared" si="133"/>
        <v>319.05730769230769</v>
      </c>
      <c r="O1699" t="str">
        <f t="shared" si="134"/>
        <v>OK</v>
      </c>
    </row>
    <row r="1700" spans="1:15">
      <c r="A1700" t="str">
        <f>'Raw Data'!A1700</f>
        <v>Nashville RM-24</v>
      </c>
      <c r="B1700" t="str">
        <f>'Raw Data'!B1700</f>
        <v>Southeast</v>
      </c>
      <c r="C1700" t="str">
        <f>'Raw Data'!C1700</f>
        <v>Electronics</v>
      </c>
      <c r="D1700" s="3">
        <f>'Raw Data'!D1700</f>
        <v>45870</v>
      </c>
      <c r="E1700" t="str">
        <f t="shared" si="130"/>
        <v>Aug</v>
      </c>
      <c r="F1700" s="5">
        <f>'Raw Data'!E1700</f>
        <v>132</v>
      </c>
      <c r="G1700" s="4">
        <f>'Raw Data'!F1700</f>
        <v>18844.61</v>
      </c>
      <c r="H1700" s="4">
        <f>'Raw Data'!G1700</f>
        <v>14972.5</v>
      </c>
      <c r="I1700" s="4">
        <f t="shared" si="131"/>
        <v>3872.1100000000006</v>
      </c>
      <c r="J1700" s="8">
        <f t="shared" si="132"/>
        <v>0.20547573019553073</v>
      </c>
      <c r="K1700" s="6">
        <f>'Raw Data'!I1700</f>
        <v>4.04</v>
      </c>
      <c r="L1700" s="5">
        <f>'Raw Data'!J1700</f>
        <v>28</v>
      </c>
      <c r="M1700" s="5">
        <f>IF(COUNTIFS($A$2:A1700,A1700,$D$2:D1700,D1700)=1,L1700,0)</f>
        <v>28</v>
      </c>
      <c r="N1700" s="4">
        <f t="shared" si="133"/>
        <v>673.02178571428578</v>
      </c>
      <c r="O1700" t="str">
        <f t="shared" si="134"/>
        <v>OK</v>
      </c>
    </row>
    <row r="1701" spans="1:15">
      <c r="A1701" t="str">
        <f>'Raw Data'!A1701</f>
        <v>Nashville RM-24</v>
      </c>
      <c r="B1701" t="str">
        <f>'Raw Data'!B1701</f>
        <v>Southeast</v>
      </c>
      <c r="C1701" t="str">
        <f>'Raw Data'!C1701</f>
        <v>Home Goods</v>
      </c>
      <c r="D1701" s="3">
        <f>'Raw Data'!D1701</f>
        <v>45870</v>
      </c>
      <c r="E1701" t="str">
        <f t="shared" si="130"/>
        <v>Aug</v>
      </c>
      <c r="F1701" s="5">
        <f>'Raw Data'!E1701</f>
        <v>110</v>
      </c>
      <c r="G1701" s="4">
        <f>'Raw Data'!F1701</f>
        <v>7892.23</v>
      </c>
      <c r="H1701" s="4">
        <f>'Raw Data'!G1701</f>
        <v>5425.63</v>
      </c>
      <c r="I1701" s="4">
        <f t="shared" si="131"/>
        <v>2466.5999999999995</v>
      </c>
      <c r="J1701" s="8">
        <f t="shared" si="132"/>
        <v>0.31253524035665453</v>
      </c>
      <c r="K1701" s="6">
        <f>'Raw Data'!I1701</f>
        <v>4.3499999999999996</v>
      </c>
      <c r="L1701" s="5">
        <f>'Raw Data'!J1701</f>
        <v>28</v>
      </c>
      <c r="M1701" s="5">
        <f>IF(COUNTIFS($A$2:A1701,A1701,$D$2:D1701,D1701)=1,L1701,0)</f>
        <v>0</v>
      </c>
      <c r="N1701" s="4">
        <f t="shared" si="133"/>
        <v>281.86535714285714</v>
      </c>
      <c r="O1701" t="str">
        <f t="shared" si="134"/>
        <v>OK</v>
      </c>
    </row>
    <row r="1702" spans="1:15">
      <c r="A1702" t="str">
        <f>'Raw Data'!A1702</f>
        <v>Nashville RM-24</v>
      </c>
      <c r="B1702" t="str">
        <f>'Raw Data'!B1702</f>
        <v>Southeast</v>
      </c>
      <c r="C1702" t="str">
        <f>'Raw Data'!C1702</f>
        <v>Apparel</v>
      </c>
      <c r="D1702" s="3">
        <f>'Raw Data'!D1702</f>
        <v>45870</v>
      </c>
      <c r="E1702" t="str">
        <f t="shared" si="130"/>
        <v>Aug</v>
      </c>
      <c r="F1702" s="5">
        <f>'Raw Data'!E1702</f>
        <v>185</v>
      </c>
      <c r="G1702" s="4">
        <f>'Raw Data'!F1702</f>
        <v>9075.93</v>
      </c>
      <c r="H1702" s="4">
        <f>'Raw Data'!G1702</f>
        <v>5510.25</v>
      </c>
      <c r="I1702" s="4">
        <f t="shared" si="131"/>
        <v>3565.6800000000003</v>
      </c>
      <c r="J1702" s="8">
        <f t="shared" si="132"/>
        <v>0.39287213541752747</v>
      </c>
      <c r="K1702" s="6">
        <f>'Raw Data'!I1702</f>
        <v>4.29</v>
      </c>
      <c r="L1702" s="5">
        <f>'Raw Data'!J1702</f>
        <v>28</v>
      </c>
      <c r="M1702" s="5">
        <f>IF(COUNTIFS($A$2:A1702,A1702,$D$2:D1702,D1702)=1,L1702,0)</f>
        <v>0</v>
      </c>
      <c r="N1702" s="4">
        <f t="shared" si="133"/>
        <v>324.14035714285717</v>
      </c>
      <c r="O1702" t="str">
        <f t="shared" si="134"/>
        <v>OK</v>
      </c>
    </row>
    <row r="1703" spans="1:15">
      <c r="A1703" t="str">
        <f>'Raw Data'!A1703</f>
        <v>Nashville RM-24</v>
      </c>
      <c r="B1703" t="str">
        <f>'Raw Data'!B1703</f>
        <v>Southeast</v>
      </c>
      <c r="C1703" t="str">
        <f>'Raw Data'!C1703</f>
        <v>Beauty</v>
      </c>
      <c r="D1703" s="3">
        <f>'Raw Data'!D1703</f>
        <v>45870</v>
      </c>
      <c r="E1703" t="str">
        <f t="shared" si="130"/>
        <v>Aug</v>
      </c>
      <c r="F1703" s="5">
        <f>'Raw Data'!E1703</f>
        <v>120</v>
      </c>
      <c r="G1703" s="4">
        <f>'Raw Data'!F1703</f>
        <v>4454.8599999999997</v>
      </c>
      <c r="H1703" s="4">
        <f>'Raw Data'!G1703</f>
        <v>2186.1</v>
      </c>
      <c r="I1703" s="4">
        <f t="shared" si="131"/>
        <v>2268.7599999999998</v>
      </c>
      <c r="J1703" s="8">
        <f t="shared" si="132"/>
        <v>0.50927750815962791</v>
      </c>
      <c r="K1703" s="6">
        <f>'Raw Data'!I1703</f>
        <v>4.22</v>
      </c>
      <c r="L1703" s="5">
        <f>'Raw Data'!J1703</f>
        <v>28</v>
      </c>
      <c r="M1703" s="5">
        <f>IF(COUNTIFS($A$2:A1703,A1703,$D$2:D1703,D1703)=1,L1703,0)</f>
        <v>0</v>
      </c>
      <c r="N1703" s="4">
        <f t="shared" si="133"/>
        <v>159.10214285714284</v>
      </c>
      <c r="O1703" t="str">
        <f t="shared" si="134"/>
        <v>OK</v>
      </c>
    </row>
    <row r="1704" spans="1:15">
      <c r="A1704" t="str">
        <f>'Raw Data'!A1704</f>
        <v>Nashville RM-24</v>
      </c>
      <c r="B1704" t="str">
        <f>'Raw Data'!B1704</f>
        <v>Southeast</v>
      </c>
      <c r="C1704" t="str">
        <f>'Raw Data'!C1704</f>
        <v>Grocery</v>
      </c>
      <c r="D1704" s="3">
        <f>'Raw Data'!D1704</f>
        <v>45870</v>
      </c>
      <c r="E1704" t="str">
        <f t="shared" si="130"/>
        <v>Aug</v>
      </c>
      <c r="F1704" s="5">
        <f>'Raw Data'!E1704</f>
        <v>167</v>
      </c>
      <c r="G1704" s="4">
        <f>'Raw Data'!F1704</f>
        <v>3036.24</v>
      </c>
      <c r="H1704" s="4">
        <f>'Raw Data'!G1704</f>
        <v>2846.93</v>
      </c>
      <c r="I1704" s="4">
        <f t="shared" si="131"/>
        <v>189.30999999999995</v>
      </c>
      <c r="J1704" s="8">
        <f t="shared" si="132"/>
        <v>6.2350143598661492E-2</v>
      </c>
      <c r="K1704" s="6">
        <f>'Raw Data'!I1704</f>
        <v>4.04</v>
      </c>
      <c r="L1704" s="5">
        <f>'Raw Data'!J1704</f>
        <v>28</v>
      </c>
      <c r="M1704" s="5">
        <f>IF(COUNTIFS($A$2:A1704,A1704,$D$2:D1704,D1704)=1,L1704,0)</f>
        <v>0</v>
      </c>
      <c r="N1704" s="4">
        <f t="shared" si="133"/>
        <v>108.43714285714285</v>
      </c>
      <c r="O1704" t="str">
        <f t="shared" si="134"/>
        <v>OK</v>
      </c>
    </row>
    <row r="1705" spans="1:15">
      <c r="A1705" t="str">
        <f>'Raw Data'!A1705</f>
        <v>Nashville RM-24</v>
      </c>
      <c r="B1705" t="str">
        <f>'Raw Data'!B1705</f>
        <v>Southeast</v>
      </c>
      <c r="C1705" t="str">
        <f>'Raw Data'!C1705</f>
        <v>Sports</v>
      </c>
      <c r="D1705" s="3">
        <f>'Raw Data'!D1705</f>
        <v>45870</v>
      </c>
      <c r="E1705" t="str">
        <f t="shared" si="130"/>
        <v>Aug</v>
      </c>
      <c r="F1705" s="5">
        <f>'Raw Data'!E1705</f>
        <v>120</v>
      </c>
      <c r="G1705" s="4">
        <f>'Raw Data'!F1705</f>
        <v>7556.52</v>
      </c>
      <c r="H1705" s="4">
        <f>'Raw Data'!G1705</f>
        <v>4902.83</v>
      </c>
      <c r="I1705" s="4">
        <f t="shared" si="131"/>
        <v>2653.6900000000005</v>
      </c>
      <c r="J1705" s="8">
        <f t="shared" si="132"/>
        <v>0.35117884952332562</v>
      </c>
      <c r="K1705" s="6">
        <f>'Raw Data'!I1705</f>
        <v>4.1100000000000003</v>
      </c>
      <c r="L1705" s="5">
        <f>'Raw Data'!J1705</f>
        <v>28</v>
      </c>
      <c r="M1705" s="5">
        <f>IF(COUNTIFS($A$2:A1705,A1705,$D$2:D1705,D1705)=1,L1705,0)</f>
        <v>0</v>
      </c>
      <c r="N1705" s="4">
        <f t="shared" si="133"/>
        <v>269.87571428571431</v>
      </c>
      <c r="O1705" t="str">
        <f t="shared" si="134"/>
        <v>OK</v>
      </c>
    </row>
    <row r="1706" spans="1:15">
      <c r="A1706" t="str">
        <f>'Raw Data'!A1706</f>
        <v>Nashville RM-24</v>
      </c>
      <c r="B1706" t="str">
        <f>'Raw Data'!B1706</f>
        <v>Southeast</v>
      </c>
      <c r="C1706" t="str">
        <f>'Raw Data'!C1706</f>
        <v>Electronics</v>
      </c>
      <c r="D1706" s="3">
        <f>'Raw Data'!D1706</f>
        <v>45901</v>
      </c>
      <c r="E1706" t="str">
        <f t="shared" si="130"/>
        <v>Sep</v>
      </c>
      <c r="F1706" s="5">
        <f>'Raw Data'!E1706</f>
        <v>131</v>
      </c>
      <c r="G1706" s="4">
        <f>'Raw Data'!F1706</f>
        <v>17966.439999999999</v>
      </c>
      <c r="H1706" s="4">
        <f>'Raw Data'!G1706</f>
        <v>14606.16</v>
      </c>
      <c r="I1706" s="4">
        <f t="shared" si="131"/>
        <v>3360.2799999999988</v>
      </c>
      <c r="J1706" s="8">
        <f t="shared" si="132"/>
        <v>0.18703093100246901</v>
      </c>
      <c r="K1706" s="6">
        <f>'Raw Data'!I1706</f>
        <v>4.3600000000000003</v>
      </c>
      <c r="L1706" s="5">
        <f>'Raw Data'!J1706</f>
        <v>27</v>
      </c>
      <c r="M1706" s="5">
        <f>IF(COUNTIFS($A$2:A1706,A1706,$D$2:D1706,D1706)=1,L1706,0)</f>
        <v>27</v>
      </c>
      <c r="N1706" s="4">
        <f t="shared" si="133"/>
        <v>665.42370370370361</v>
      </c>
      <c r="O1706" t="str">
        <f t="shared" si="134"/>
        <v>OK</v>
      </c>
    </row>
    <row r="1707" spans="1:15">
      <c r="A1707" t="str">
        <f>'Raw Data'!A1707</f>
        <v>Nashville RM-24</v>
      </c>
      <c r="B1707" t="str">
        <f>'Raw Data'!B1707</f>
        <v>Southeast</v>
      </c>
      <c r="C1707" t="str">
        <f>'Raw Data'!C1707</f>
        <v>Home Goods</v>
      </c>
      <c r="D1707" s="3">
        <f>'Raw Data'!D1707</f>
        <v>45901</v>
      </c>
      <c r="E1707" t="str">
        <f t="shared" si="130"/>
        <v>Sep</v>
      </c>
      <c r="F1707" s="5">
        <f>'Raw Data'!E1707</f>
        <v>105</v>
      </c>
      <c r="G1707" s="4">
        <f>'Raw Data'!F1707</f>
        <v>8194.68</v>
      </c>
      <c r="H1707" s="4">
        <f>'Raw Data'!G1707</f>
        <v>5689.72</v>
      </c>
      <c r="I1707" s="4">
        <f t="shared" si="131"/>
        <v>2504.96</v>
      </c>
      <c r="J1707" s="8">
        <f t="shared" si="132"/>
        <v>0.30568124685771741</v>
      </c>
      <c r="K1707" s="6">
        <f>'Raw Data'!I1707</f>
        <v>4.08</v>
      </c>
      <c r="L1707" s="5">
        <f>'Raw Data'!J1707</f>
        <v>27</v>
      </c>
      <c r="M1707" s="5">
        <f>IF(COUNTIFS($A$2:A1707,A1707,$D$2:D1707,D1707)=1,L1707,0)</f>
        <v>0</v>
      </c>
      <c r="N1707" s="4">
        <f t="shared" si="133"/>
        <v>303.50666666666666</v>
      </c>
      <c r="O1707" t="str">
        <f t="shared" si="134"/>
        <v>OK</v>
      </c>
    </row>
    <row r="1708" spans="1:15">
      <c r="A1708" t="str">
        <f>'Raw Data'!A1708</f>
        <v>Nashville RM-24</v>
      </c>
      <c r="B1708" t="str">
        <f>'Raw Data'!B1708</f>
        <v>Southeast</v>
      </c>
      <c r="C1708" t="str">
        <f>'Raw Data'!C1708</f>
        <v>Apparel</v>
      </c>
      <c r="D1708" s="3">
        <f>'Raw Data'!D1708</f>
        <v>45901</v>
      </c>
      <c r="E1708" t="str">
        <f t="shared" si="130"/>
        <v>Sep</v>
      </c>
      <c r="F1708" s="5">
        <f>'Raw Data'!E1708</f>
        <v>159</v>
      </c>
      <c r="G1708" s="4">
        <f>'Raw Data'!F1708</f>
        <v>7466.1</v>
      </c>
      <c r="H1708" s="4">
        <f>'Raw Data'!G1708</f>
        <v>4618.63</v>
      </c>
      <c r="I1708" s="4">
        <f t="shared" si="131"/>
        <v>2847.4700000000003</v>
      </c>
      <c r="J1708" s="8">
        <f t="shared" si="132"/>
        <v>0.38138653379944015</v>
      </c>
      <c r="K1708" s="6">
        <f>'Raw Data'!I1708</f>
        <v>4.26</v>
      </c>
      <c r="L1708" s="5">
        <f>'Raw Data'!J1708</f>
        <v>27</v>
      </c>
      <c r="M1708" s="5">
        <f>IF(COUNTIFS($A$2:A1708,A1708,$D$2:D1708,D1708)=1,L1708,0)</f>
        <v>0</v>
      </c>
      <c r="N1708" s="4">
        <f t="shared" si="133"/>
        <v>276.52222222222224</v>
      </c>
      <c r="O1708" t="str">
        <f t="shared" si="134"/>
        <v>OK</v>
      </c>
    </row>
    <row r="1709" spans="1:15">
      <c r="A1709" t="str">
        <f>'Raw Data'!A1709</f>
        <v>Nashville RM-24</v>
      </c>
      <c r="B1709" t="str">
        <f>'Raw Data'!B1709</f>
        <v>Southeast</v>
      </c>
      <c r="C1709" t="str">
        <f>'Raw Data'!C1709</f>
        <v>Beauty</v>
      </c>
      <c r="D1709" s="3">
        <f>'Raw Data'!D1709</f>
        <v>45901</v>
      </c>
      <c r="E1709" t="str">
        <f t="shared" si="130"/>
        <v>Sep</v>
      </c>
      <c r="F1709" s="5">
        <f>'Raw Data'!E1709</f>
        <v>121</v>
      </c>
      <c r="G1709" s="4">
        <f>'Raw Data'!F1709</f>
        <v>4704.0200000000004</v>
      </c>
      <c r="H1709" s="4">
        <f>'Raw Data'!G1709</f>
        <v>2438.7399999999998</v>
      </c>
      <c r="I1709" s="4">
        <f t="shared" si="131"/>
        <v>2265.2800000000007</v>
      </c>
      <c r="J1709" s="8">
        <f t="shared" si="132"/>
        <v>0.48156257839039812</v>
      </c>
      <c r="K1709" s="6">
        <f>'Raw Data'!I1709</f>
        <v>4.09</v>
      </c>
      <c r="L1709" s="5">
        <f>'Raw Data'!J1709</f>
        <v>27</v>
      </c>
      <c r="M1709" s="5">
        <f>IF(COUNTIFS($A$2:A1709,A1709,$D$2:D1709,D1709)=1,L1709,0)</f>
        <v>0</v>
      </c>
      <c r="N1709" s="4">
        <f t="shared" si="133"/>
        <v>174.22296296296298</v>
      </c>
      <c r="O1709" t="str">
        <f t="shared" si="134"/>
        <v>OK</v>
      </c>
    </row>
    <row r="1710" spans="1:15">
      <c r="A1710" t="str">
        <f>'Raw Data'!A1710</f>
        <v>Nashville RM-24</v>
      </c>
      <c r="B1710" t="str">
        <f>'Raw Data'!B1710</f>
        <v>Southeast</v>
      </c>
      <c r="C1710" t="str">
        <f>'Raw Data'!C1710</f>
        <v>Grocery</v>
      </c>
      <c r="D1710" s="3">
        <f>'Raw Data'!D1710</f>
        <v>45901</v>
      </c>
      <c r="E1710" t="str">
        <f t="shared" si="130"/>
        <v>Sep</v>
      </c>
      <c r="F1710" s="5">
        <f>'Raw Data'!E1710</f>
        <v>194</v>
      </c>
      <c r="G1710" s="4">
        <f>'Raw Data'!F1710</f>
        <v>3361.39</v>
      </c>
      <c r="H1710" s="4">
        <f>'Raw Data'!G1710</f>
        <v>3125.75</v>
      </c>
      <c r="I1710" s="4">
        <f t="shared" si="131"/>
        <v>235.63999999999987</v>
      </c>
      <c r="J1710" s="8">
        <f t="shared" si="132"/>
        <v>7.0101951871100909E-2</v>
      </c>
      <c r="K1710" s="6">
        <f>'Raw Data'!I1710</f>
        <v>4.01</v>
      </c>
      <c r="L1710" s="5">
        <f>'Raw Data'!J1710</f>
        <v>27</v>
      </c>
      <c r="M1710" s="5">
        <f>IF(COUNTIFS($A$2:A1710,A1710,$D$2:D1710,D1710)=1,L1710,0)</f>
        <v>0</v>
      </c>
      <c r="N1710" s="4">
        <f t="shared" si="133"/>
        <v>124.49592592592592</v>
      </c>
      <c r="O1710" t="str">
        <f t="shared" si="134"/>
        <v>OK</v>
      </c>
    </row>
    <row r="1711" spans="1:15">
      <c r="A1711" t="str">
        <f>'Raw Data'!A1711</f>
        <v>Nashville RM-24</v>
      </c>
      <c r="B1711" t="str">
        <f>'Raw Data'!B1711</f>
        <v>Southeast</v>
      </c>
      <c r="C1711" t="str">
        <f>'Raw Data'!C1711</f>
        <v>Sports</v>
      </c>
      <c r="D1711" s="3">
        <f>'Raw Data'!D1711</f>
        <v>45901</v>
      </c>
      <c r="E1711" t="str">
        <f t="shared" si="130"/>
        <v>Sep</v>
      </c>
      <c r="F1711" s="5">
        <f>'Raw Data'!E1711</f>
        <v>80</v>
      </c>
      <c r="G1711" s="4">
        <f>'Raw Data'!F1711</f>
        <v>4724.7</v>
      </c>
      <c r="H1711" s="4">
        <f>'Raw Data'!G1711</f>
        <v>3193.67</v>
      </c>
      <c r="I1711" s="4">
        <f t="shared" si="131"/>
        <v>1531.0299999999997</v>
      </c>
      <c r="J1711" s="8">
        <f t="shared" si="132"/>
        <v>0.32404808770927251</v>
      </c>
      <c r="K1711" s="6">
        <f>'Raw Data'!I1711</f>
        <v>4.32</v>
      </c>
      <c r="L1711" s="5">
        <f>'Raw Data'!J1711</f>
        <v>27</v>
      </c>
      <c r="M1711" s="5">
        <f>IF(COUNTIFS($A$2:A1711,A1711,$D$2:D1711,D1711)=1,L1711,0)</f>
        <v>0</v>
      </c>
      <c r="N1711" s="4">
        <f t="shared" si="133"/>
        <v>174.98888888888888</v>
      </c>
      <c r="O1711" t="str">
        <f t="shared" si="134"/>
        <v>OK</v>
      </c>
    </row>
    <row r="1712" spans="1:15">
      <c r="A1712" t="str">
        <f>'Raw Data'!A1712</f>
        <v>Nashville RM-24</v>
      </c>
      <c r="B1712" t="str">
        <f>'Raw Data'!B1712</f>
        <v>Southeast</v>
      </c>
      <c r="C1712" t="str">
        <f>'Raw Data'!C1712</f>
        <v>Electronics</v>
      </c>
      <c r="D1712" s="3">
        <f>'Raw Data'!D1712</f>
        <v>45931</v>
      </c>
      <c r="E1712" t="str">
        <f t="shared" si="130"/>
        <v>Oct</v>
      </c>
      <c r="F1712" s="5">
        <f>'Raw Data'!E1712</f>
        <v>131</v>
      </c>
      <c r="G1712" s="4">
        <f>'Raw Data'!F1712</f>
        <v>19197.77</v>
      </c>
      <c r="H1712" s="4">
        <f>'Raw Data'!G1712</f>
        <v>15714.74</v>
      </c>
      <c r="I1712" s="4">
        <f t="shared" si="131"/>
        <v>3483.0300000000007</v>
      </c>
      <c r="J1712" s="8">
        <f t="shared" si="132"/>
        <v>0.18142888470900528</v>
      </c>
      <c r="K1712" s="6">
        <f>'Raw Data'!I1712</f>
        <v>4.34</v>
      </c>
      <c r="L1712" s="5">
        <f>'Raw Data'!J1712</f>
        <v>26</v>
      </c>
      <c r="M1712" s="5">
        <f>IF(COUNTIFS($A$2:A1712,A1712,$D$2:D1712,D1712)=1,L1712,0)</f>
        <v>26</v>
      </c>
      <c r="N1712" s="4">
        <f t="shared" si="133"/>
        <v>738.37576923076927</v>
      </c>
      <c r="O1712" t="str">
        <f t="shared" si="134"/>
        <v>OK</v>
      </c>
    </row>
    <row r="1713" spans="1:15">
      <c r="A1713" t="str">
        <f>'Raw Data'!A1713</f>
        <v>Nashville RM-24</v>
      </c>
      <c r="B1713" t="str">
        <f>'Raw Data'!B1713</f>
        <v>Southeast</v>
      </c>
      <c r="C1713" t="str">
        <f>'Raw Data'!C1713</f>
        <v>Home Goods</v>
      </c>
      <c r="D1713" s="3">
        <f>'Raw Data'!D1713</f>
        <v>45931</v>
      </c>
      <c r="E1713" t="str">
        <f t="shared" si="130"/>
        <v>Oct</v>
      </c>
      <c r="F1713" s="5">
        <f>'Raw Data'!E1713</f>
        <v>110</v>
      </c>
      <c r="G1713" s="4">
        <f>'Raw Data'!F1713</f>
        <v>8964.91</v>
      </c>
      <c r="H1713" s="4">
        <f>'Raw Data'!G1713</f>
        <v>6272.1</v>
      </c>
      <c r="I1713" s="4">
        <f t="shared" si="131"/>
        <v>2692.8099999999995</v>
      </c>
      <c r="J1713" s="8">
        <f t="shared" si="132"/>
        <v>0.30037222905751421</v>
      </c>
      <c r="K1713" s="6">
        <f>'Raw Data'!I1713</f>
        <v>4.37</v>
      </c>
      <c r="L1713" s="5">
        <f>'Raw Data'!J1713</f>
        <v>26</v>
      </c>
      <c r="M1713" s="5">
        <f>IF(COUNTIFS($A$2:A1713,A1713,$D$2:D1713,D1713)=1,L1713,0)</f>
        <v>0</v>
      </c>
      <c r="N1713" s="4">
        <f t="shared" si="133"/>
        <v>344.80423076923074</v>
      </c>
      <c r="O1713" t="str">
        <f t="shared" si="134"/>
        <v>OK</v>
      </c>
    </row>
    <row r="1714" spans="1:15">
      <c r="A1714" t="str">
        <f>'Raw Data'!A1714</f>
        <v>Nashville RM-24</v>
      </c>
      <c r="B1714" t="str">
        <f>'Raw Data'!B1714</f>
        <v>Southeast</v>
      </c>
      <c r="C1714" t="str">
        <f>'Raw Data'!C1714</f>
        <v>Apparel</v>
      </c>
      <c r="D1714" s="3">
        <f>'Raw Data'!D1714</f>
        <v>45931</v>
      </c>
      <c r="E1714" t="str">
        <f t="shared" si="130"/>
        <v>Oct</v>
      </c>
      <c r="F1714" s="5">
        <f>'Raw Data'!E1714</f>
        <v>142</v>
      </c>
      <c r="G1714" s="4">
        <f>'Raw Data'!F1714</f>
        <v>7039.01</v>
      </c>
      <c r="H1714" s="4">
        <f>'Raw Data'!G1714</f>
        <v>4414.97</v>
      </c>
      <c r="I1714" s="4">
        <f t="shared" si="131"/>
        <v>2624.04</v>
      </c>
      <c r="J1714" s="8">
        <f t="shared" si="132"/>
        <v>0.37278537748916396</v>
      </c>
      <c r="K1714" s="6">
        <f>'Raw Data'!I1714</f>
        <v>4.09</v>
      </c>
      <c r="L1714" s="5">
        <f>'Raw Data'!J1714</f>
        <v>26</v>
      </c>
      <c r="M1714" s="5">
        <f>IF(COUNTIFS($A$2:A1714,A1714,$D$2:D1714,D1714)=1,L1714,0)</f>
        <v>0</v>
      </c>
      <c r="N1714" s="4">
        <f t="shared" si="133"/>
        <v>270.73115384615386</v>
      </c>
      <c r="O1714" t="str">
        <f t="shared" si="134"/>
        <v>OK</v>
      </c>
    </row>
    <row r="1715" spans="1:15">
      <c r="A1715" t="str">
        <f>'Raw Data'!A1715</f>
        <v>Nashville RM-24</v>
      </c>
      <c r="B1715" t="str">
        <f>'Raw Data'!B1715</f>
        <v>Southeast</v>
      </c>
      <c r="C1715" t="str">
        <f>'Raw Data'!C1715</f>
        <v>Beauty</v>
      </c>
      <c r="D1715" s="3">
        <f>'Raw Data'!D1715</f>
        <v>45931</v>
      </c>
      <c r="E1715" t="str">
        <f t="shared" si="130"/>
        <v>Oct</v>
      </c>
      <c r="F1715" s="5">
        <f>'Raw Data'!E1715</f>
        <v>113</v>
      </c>
      <c r="G1715" s="4">
        <f>'Raw Data'!F1715</f>
        <v>4370.09</v>
      </c>
      <c r="H1715" s="4">
        <f>'Raw Data'!G1715</f>
        <v>2223.1</v>
      </c>
      <c r="I1715" s="4">
        <f t="shared" si="131"/>
        <v>2146.9900000000002</v>
      </c>
      <c r="J1715" s="8">
        <f t="shared" si="132"/>
        <v>0.49129194135589888</v>
      </c>
      <c r="K1715" s="6">
        <f>'Raw Data'!I1715</f>
        <v>4.3499999999999996</v>
      </c>
      <c r="L1715" s="5">
        <f>'Raw Data'!J1715</f>
        <v>26</v>
      </c>
      <c r="M1715" s="5">
        <f>IF(COUNTIFS($A$2:A1715,A1715,$D$2:D1715,D1715)=1,L1715,0)</f>
        <v>0</v>
      </c>
      <c r="N1715" s="4">
        <f t="shared" si="133"/>
        <v>168.08038461538462</v>
      </c>
      <c r="O1715" t="str">
        <f t="shared" si="134"/>
        <v>OK</v>
      </c>
    </row>
    <row r="1716" spans="1:15">
      <c r="A1716" t="str">
        <f>'Raw Data'!A1716</f>
        <v>Nashville RM-24</v>
      </c>
      <c r="B1716" t="str">
        <f>'Raw Data'!B1716</f>
        <v>Southeast</v>
      </c>
      <c r="C1716" t="str">
        <f>'Raw Data'!C1716</f>
        <v>Grocery</v>
      </c>
      <c r="D1716" s="3">
        <f>'Raw Data'!D1716</f>
        <v>45931</v>
      </c>
      <c r="E1716" t="str">
        <f t="shared" si="130"/>
        <v>Oct</v>
      </c>
      <c r="F1716" s="5">
        <f>'Raw Data'!E1716</f>
        <v>221</v>
      </c>
      <c r="G1716" s="4">
        <f>'Raw Data'!F1716</f>
        <v>4078.37</v>
      </c>
      <c r="H1716" s="4">
        <f>'Raw Data'!G1716</f>
        <v>3695.9</v>
      </c>
      <c r="I1716" s="4">
        <f t="shared" si="131"/>
        <v>382.4699999999998</v>
      </c>
      <c r="J1716" s="8">
        <f t="shared" si="132"/>
        <v>9.3780113133433166E-2</v>
      </c>
      <c r="K1716" s="6">
        <f>'Raw Data'!I1716</f>
        <v>3.99</v>
      </c>
      <c r="L1716" s="5">
        <f>'Raw Data'!J1716</f>
        <v>26</v>
      </c>
      <c r="M1716" s="5">
        <f>IF(COUNTIFS($A$2:A1716,A1716,$D$2:D1716,D1716)=1,L1716,0)</f>
        <v>0</v>
      </c>
      <c r="N1716" s="4">
        <f t="shared" si="133"/>
        <v>156.86038461538462</v>
      </c>
      <c r="O1716" t="str">
        <f t="shared" si="134"/>
        <v>OK</v>
      </c>
    </row>
    <row r="1717" spans="1:15">
      <c r="A1717" t="str">
        <f>'Raw Data'!A1717</f>
        <v>Nashville RM-24</v>
      </c>
      <c r="B1717" t="str">
        <f>'Raw Data'!B1717</f>
        <v>Southeast</v>
      </c>
      <c r="C1717" t="str">
        <f>'Raw Data'!C1717</f>
        <v>Sports</v>
      </c>
      <c r="D1717" s="3">
        <f>'Raw Data'!D1717</f>
        <v>45931</v>
      </c>
      <c r="E1717" t="str">
        <f t="shared" si="130"/>
        <v>Oct</v>
      </c>
      <c r="F1717" s="5">
        <f>'Raw Data'!E1717</f>
        <v>102</v>
      </c>
      <c r="G1717" s="4">
        <f>'Raw Data'!F1717</f>
        <v>6098.2</v>
      </c>
      <c r="H1717" s="4">
        <f>'Raw Data'!G1717</f>
        <v>4123.95</v>
      </c>
      <c r="I1717" s="4">
        <f t="shared" si="131"/>
        <v>1974.25</v>
      </c>
      <c r="J1717" s="8">
        <f t="shared" si="132"/>
        <v>0.32374307172608313</v>
      </c>
      <c r="K1717" s="6">
        <f>'Raw Data'!I1717</f>
        <v>4.2699999999999996</v>
      </c>
      <c r="L1717" s="5">
        <f>'Raw Data'!J1717</f>
        <v>26</v>
      </c>
      <c r="M1717" s="5">
        <f>IF(COUNTIFS($A$2:A1717,A1717,$D$2:D1717,D1717)=1,L1717,0)</f>
        <v>0</v>
      </c>
      <c r="N1717" s="4">
        <f t="shared" si="133"/>
        <v>234.54615384615383</v>
      </c>
      <c r="O1717" t="str">
        <f t="shared" si="134"/>
        <v>OK</v>
      </c>
    </row>
    <row r="1718" spans="1:15">
      <c r="A1718" t="str">
        <f>'Raw Data'!A1718</f>
        <v>Nashville RM-24</v>
      </c>
      <c r="B1718" t="str">
        <f>'Raw Data'!B1718</f>
        <v>Southeast</v>
      </c>
      <c r="C1718" t="str">
        <f>'Raw Data'!C1718</f>
        <v>Electronics</v>
      </c>
      <c r="D1718" s="3">
        <f>'Raw Data'!D1718</f>
        <v>45962</v>
      </c>
      <c r="E1718" t="str">
        <f t="shared" si="130"/>
        <v>Nov</v>
      </c>
      <c r="F1718" s="5">
        <f>'Raw Data'!E1718</f>
        <v>205</v>
      </c>
      <c r="G1718" s="4">
        <f>'Raw Data'!F1718</f>
        <v>31217.87</v>
      </c>
      <c r="H1718" s="4">
        <f>'Raw Data'!G1718</f>
        <v>25512.68</v>
      </c>
      <c r="I1718" s="4">
        <f t="shared" si="131"/>
        <v>5705.1899999999987</v>
      </c>
      <c r="J1718" s="8">
        <f t="shared" si="132"/>
        <v>0.18275398033241855</v>
      </c>
      <c r="K1718" s="6">
        <f>'Raw Data'!I1718</f>
        <v>4.05</v>
      </c>
      <c r="L1718" s="5">
        <f>'Raw Data'!J1718</f>
        <v>29</v>
      </c>
      <c r="M1718" s="5">
        <f>IF(COUNTIFS($A$2:A1718,A1718,$D$2:D1718,D1718)=1,L1718,0)</f>
        <v>29</v>
      </c>
      <c r="N1718" s="4">
        <f t="shared" si="133"/>
        <v>1076.478275862069</v>
      </c>
      <c r="O1718" t="str">
        <f t="shared" si="134"/>
        <v>OK</v>
      </c>
    </row>
    <row r="1719" spans="1:15">
      <c r="A1719" t="str">
        <f>'Raw Data'!A1719</f>
        <v>Nashville RM-24</v>
      </c>
      <c r="B1719" t="str">
        <f>'Raw Data'!B1719</f>
        <v>Southeast</v>
      </c>
      <c r="C1719" t="str">
        <f>'Raw Data'!C1719</f>
        <v>Home Goods</v>
      </c>
      <c r="D1719" s="3">
        <f>'Raw Data'!D1719</f>
        <v>45962</v>
      </c>
      <c r="E1719" t="str">
        <f t="shared" si="130"/>
        <v>Nov</v>
      </c>
      <c r="F1719" s="5">
        <f>'Raw Data'!E1719</f>
        <v>123</v>
      </c>
      <c r="G1719" s="4">
        <f>'Raw Data'!F1719</f>
        <v>8827.6200000000008</v>
      </c>
      <c r="H1719" s="4">
        <f>'Raw Data'!G1719</f>
        <v>6302.46</v>
      </c>
      <c r="I1719" s="4">
        <f t="shared" si="131"/>
        <v>2525.1600000000008</v>
      </c>
      <c r="J1719" s="8">
        <f t="shared" si="132"/>
        <v>0.28605218620647471</v>
      </c>
      <c r="K1719" s="6">
        <f>'Raw Data'!I1719</f>
        <v>4.26</v>
      </c>
      <c r="L1719" s="5">
        <f>'Raw Data'!J1719</f>
        <v>29</v>
      </c>
      <c r="M1719" s="5">
        <f>IF(COUNTIFS($A$2:A1719,A1719,$D$2:D1719,D1719)=1,L1719,0)</f>
        <v>0</v>
      </c>
      <c r="N1719" s="4">
        <f t="shared" si="133"/>
        <v>304.40068965517241</v>
      </c>
      <c r="O1719" t="str">
        <f t="shared" si="134"/>
        <v>OK</v>
      </c>
    </row>
    <row r="1720" spans="1:15">
      <c r="A1720" t="str">
        <f>'Raw Data'!A1720</f>
        <v>Nashville RM-24</v>
      </c>
      <c r="B1720" t="str">
        <f>'Raw Data'!B1720</f>
        <v>Southeast</v>
      </c>
      <c r="C1720" t="str">
        <f>'Raw Data'!C1720</f>
        <v>Apparel</v>
      </c>
      <c r="D1720" s="3">
        <f>'Raw Data'!D1720</f>
        <v>45962</v>
      </c>
      <c r="E1720" t="str">
        <f t="shared" si="130"/>
        <v>Nov</v>
      </c>
      <c r="F1720" s="5">
        <f>'Raw Data'!E1720</f>
        <v>196</v>
      </c>
      <c r="G1720" s="4">
        <f>'Raw Data'!F1720</f>
        <v>9914.0499999999993</v>
      </c>
      <c r="H1720" s="4">
        <f>'Raw Data'!G1720</f>
        <v>6469.66</v>
      </c>
      <c r="I1720" s="4">
        <f t="shared" si="131"/>
        <v>3444.3899999999994</v>
      </c>
      <c r="J1720" s="8">
        <f t="shared" si="132"/>
        <v>0.34742511889691896</v>
      </c>
      <c r="K1720" s="6">
        <f>'Raw Data'!I1720</f>
        <v>4.1500000000000004</v>
      </c>
      <c r="L1720" s="5">
        <f>'Raw Data'!J1720</f>
        <v>29</v>
      </c>
      <c r="M1720" s="5">
        <f>IF(COUNTIFS($A$2:A1720,A1720,$D$2:D1720,D1720)=1,L1720,0)</f>
        <v>0</v>
      </c>
      <c r="N1720" s="4">
        <f t="shared" si="133"/>
        <v>341.86379310344824</v>
      </c>
      <c r="O1720" t="str">
        <f t="shared" si="134"/>
        <v>OK</v>
      </c>
    </row>
    <row r="1721" spans="1:15">
      <c r="A1721" t="str">
        <f>'Raw Data'!A1721</f>
        <v>Nashville RM-24</v>
      </c>
      <c r="B1721" t="str">
        <f>'Raw Data'!B1721</f>
        <v>Southeast</v>
      </c>
      <c r="C1721" t="str">
        <f>'Raw Data'!C1721</f>
        <v>Beauty</v>
      </c>
      <c r="D1721" s="3">
        <f>'Raw Data'!D1721</f>
        <v>45962</v>
      </c>
      <c r="E1721" t="str">
        <f t="shared" si="130"/>
        <v>Nov</v>
      </c>
      <c r="F1721" s="5">
        <f>'Raw Data'!E1721</f>
        <v>134</v>
      </c>
      <c r="G1721" s="4">
        <f>'Raw Data'!F1721</f>
        <v>4654.22</v>
      </c>
      <c r="H1721" s="4">
        <f>'Raw Data'!G1721</f>
        <v>2459.11</v>
      </c>
      <c r="I1721" s="4">
        <f t="shared" si="131"/>
        <v>2195.11</v>
      </c>
      <c r="J1721" s="8">
        <f t="shared" si="132"/>
        <v>0.47163864192066557</v>
      </c>
      <c r="K1721" s="6">
        <f>'Raw Data'!I1721</f>
        <v>4.2699999999999996</v>
      </c>
      <c r="L1721" s="5">
        <f>'Raw Data'!J1721</f>
        <v>29</v>
      </c>
      <c r="M1721" s="5">
        <f>IF(COUNTIFS($A$2:A1721,A1721,$D$2:D1721,D1721)=1,L1721,0)</f>
        <v>0</v>
      </c>
      <c r="N1721" s="4">
        <f t="shared" si="133"/>
        <v>160.49034482758623</v>
      </c>
      <c r="O1721" t="str">
        <f t="shared" si="134"/>
        <v>OK</v>
      </c>
    </row>
    <row r="1722" spans="1:15">
      <c r="A1722" t="str">
        <f>'Raw Data'!A1722</f>
        <v>Nashville RM-24</v>
      </c>
      <c r="B1722" t="str">
        <f>'Raw Data'!B1722</f>
        <v>Southeast</v>
      </c>
      <c r="C1722" t="str">
        <f>'Raw Data'!C1722</f>
        <v>Grocery</v>
      </c>
      <c r="D1722" s="3">
        <f>'Raw Data'!D1722</f>
        <v>45962</v>
      </c>
      <c r="E1722" t="str">
        <f t="shared" si="130"/>
        <v>Nov</v>
      </c>
      <c r="F1722" s="5">
        <f>'Raw Data'!E1722</f>
        <v>267</v>
      </c>
      <c r="G1722" s="4">
        <f>'Raw Data'!F1722</f>
        <v>5147.59</v>
      </c>
      <c r="H1722" s="4">
        <f>'Raw Data'!G1722</f>
        <v>4822.6400000000003</v>
      </c>
      <c r="I1722" s="4">
        <f t="shared" si="131"/>
        <v>324.94999999999982</v>
      </c>
      <c r="J1722" s="8">
        <f t="shared" si="132"/>
        <v>6.3126628189113701E-2</v>
      </c>
      <c r="K1722" s="6">
        <f>'Raw Data'!I1722</f>
        <v>4.07</v>
      </c>
      <c r="L1722" s="5">
        <f>'Raw Data'!J1722</f>
        <v>29</v>
      </c>
      <c r="M1722" s="5">
        <f>IF(COUNTIFS($A$2:A1722,A1722,$D$2:D1722,D1722)=1,L1722,0)</f>
        <v>0</v>
      </c>
      <c r="N1722" s="4">
        <f t="shared" si="133"/>
        <v>177.50310344827588</v>
      </c>
      <c r="O1722" t="str">
        <f t="shared" si="134"/>
        <v>OK</v>
      </c>
    </row>
    <row r="1723" spans="1:15">
      <c r="A1723" t="str">
        <f>'Raw Data'!A1723</f>
        <v>Nashville RM-24</v>
      </c>
      <c r="B1723" t="str">
        <f>'Raw Data'!B1723</f>
        <v>Southeast</v>
      </c>
      <c r="C1723" t="str">
        <f>'Raw Data'!C1723</f>
        <v>Sports</v>
      </c>
      <c r="D1723" s="3">
        <f>'Raw Data'!D1723</f>
        <v>45962</v>
      </c>
      <c r="E1723" t="str">
        <f t="shared" si="130"/>
        <v>Nov</v>
      </c>
      <c r="F1723" s="5">
        <f>'Raw Data'!E1723</f>
        <v>108</v>
      </c>
      <c r="G1723" s="4">
        <f>'Raw Data'!F1723</f>
        <v>6312.78</v>
      </c>
      <c r="H1723" s="4">
        <f>'Raw Data'!G1723</f>
        <v>4236.32</v>
      </c>
      <c r="I1723" s="4">
        <f t="shared" si="131"/>
        <v>2076.46</v>
      </c>
      <c r="J1723" s="8">
        <f t="shared" si="132"/>
        <v>0.32892956827261527</v>
      </c>
      <c r="K1723" s="6">
        <f>'Raw Data'!I1723</f>
        <v>4.3499999999999996</v>
      </c>
      <c r="L1723" s="5">
        <f>'Raw Data'!J1723</f>
        <v>29</v>
      </c>
      <c r="M1723" s="5">
        <f>IF(COUNTIFS($A$2:A1723,A1723,$D$2:D1723,D1723)=1,L1723,0)</f>
        <v>0</v>
      </c>
      <c r="N1723" s="4">
        <f t="shared" si="133"/>
        <v>217.68206896551723</v>
      </c>
      <c r="O1723" t="str">
        <f t="shared" si="134"/>
        <v>OK</v>
      </c>
    </row>
    <row r="1724" spans="1:15">
      <c r="A1724" t="str">
        <f>'Raw Data'!A1724</f>
        <v>Nashville RM-24</v>
      </c>
      <c r="B1724" t="str">
        <f>'Raw Data'!B1724</f>
        <v>Southeast</v>
      </c>
      <c r="C1724" t="str">
        <f>'Raw Data'!C1724</f>
        <v>Electronics</v>
      </c>
      <c r="D1724" s="3">
        <f>'Raw Data'!D1724</f>
        <v>45992</v>
      </c>
      <c r="E1724" t="str">
        <f t="shared" si="130"/>
        <v>Dec</v>
      </c>
      <c r="F1724" s="5">
        <f>'Raw Data'!E1724</f>
        <v>238</v>
      </c>
      <c r="G1724" s="4">
        <f>'Raw Data'!F1724</f>
        <v>35460.17</v>
      </c>
      <c r="H1724" s="4">
        <f>'Raw Data'!G1724</f>
        <v>30193.27</v>
      </c>
      <c r="I1724" s="4">
        <f t="shared" si="131"/>
        <v>5266.8999999999978</v>
      </c>
      <c r="J1724" s="8">
        <f t="shared" si="132"/>
        <v>0.14853002678780158</v>
      </c>
      <c r="K1724" s="6">
        <f>'Raw Data'!I1724</f>
        <v>4.07</v>
      </c>
      <c r="L1724" s="5">
        <f>'Raw Data'!J1724</f>
        <v>28</v>
      </c>
      <c r="M1724" s="5">
        <f>IF(COUNTIFS($A$2:A1724,A1724,$D$2:D1724,D1724)=1,L1724,0)</f>
        <v>28</v>
      </c>
      <c r="N1724" s="4">
        <f t="shared" si="133"/>
        <v>1266.4346428571428</v>
      </c>
      <c r="O1724" t="str">
        <f t="shared" si="134"/>
        <v>OK</v>
      </c>
    </row>
    <row r="1725" spans="1:15">
      <c r="A1725" t="str">
        <f>'Raw Data'!A1725</f>
        <v>Nashville RM-24</v>
      </c>
      <c r="B1725" t="str">
        <f>'Raw Data'!B1725</f>
        <v>Southeast</v>
      </c>
      <c r="C1725" t="str">
        <f>'Raw Data'!C1725</f>
        <v>Home Goods</v>
      </c>
      <c r="D1725" s="3">
        <f>'Raw Data'!D1725</f>
        <v>45992</v>
      </c>
      <c r="E1725" t="str">
        <f t="shared" si="130"/>
        <v>Dec</v>
      </c>
      <c r="F1725" s="5">
        <f>'Raw Data'!E1725</f>
        <v>172</v>
      </c>
      <c r="G1725" s="4">
        <f>'Raw Data'!F1725</f>
        <v>14081.38</v>
      </c>
      <c r="H1725" s="4">
        <f>'Raw Data'!G1725</f>
        <v>10509.71</v>
      </c>
      <c r="I1725" s="4">
        <f t="shared" si="131"/>
        <v>3571.67</v>
      </c>
      <c r="J1725" s="8">
        <f t="shared" si="132"/>
        <v>0.25364488423719839</v>
      </c>
      <c r="K1725" s="6">
        <f>'Raw Data'!I1725</f>
        <v>4.03</v>
      </c>
      <c r="L1725" s="5">
        <f>'Raw Data'!J1725</f>
        <v>28</v>
      </c>
      <c r="M1725" s="5">
        <f>IF(COUNTIFS($A$2:A1725,A1725,$D$2:D1725,D1725)=1,L1725,0)</f>
        <v>0</v>
      </c>
      <c r="N1725" s="4">
        <f t="shared" si="133"/>
        <v>502.90642857142853</v>
      </c>
      <c r="O1725" t="str">
        <f t="shared" si="134"/>
        <v>OK</v>
      </c>
    </row>
    <row r="1726" spans="1:15">
      <c r="A1726" t="str">
        <f>'Raw Data'!A1726</f>
        <v>Nashville RM-24</v>
      </c>
      <c r="B1726" t="str">
        <f>'Raw Data'!B1726</f>
        <v>Southeast</v>
      </c>
      <c r="C1726" t="str">
        <f>'Raw Data'!C1726</f>
        <v>Apparel</v>
      </c>
      <c r="D1726" s="3">
        <f>'Raw Data'!D1726</f>
        <v>45992</v>
      </c>
      <c r="E1726" t="str">
        <f t="shared" si="130"/>
        <v>Dec</v>
      </c>
      <c r="F1726" s="5">
        <f>'Raw Data'!E1726</f>
        <v>200</v>
      </c>
      <c r="G1726" s="4">
        <f>'Raw Data'!F1726</f>
        <v>9838.5</v>
      </c>
      <c r="H1726" s="4">
        <f>'Raw Data'!G1726</f>
        <v>6358.67</v>
      </c>
      <c r="I1726" s="4">
        <f t="shared" si="131"/>
        <v>3479.83</v>
      </c>
      <c r="J1726" s="8">
        <f t="shared" si="132"/>
        <v>0.35369517711033183</v>
      </c>
      <c r="K1726" s="6">
        <f>'Raw Data'!I1726</f>
        <v>4.37</v>
      </c>
      <c r="L1726" s="5">
        <f>'Raw Data'!J1726</f>
        <v>28</v>
      </c>
      <c r="M1726" s="5">
        <f>IF(COUNTIFS($A$2:A1726,A1726,$D$2:D1726,D1726)=1,L1726,0)</f>
        <v>0</v>
      </c>
      <c r="N1726" s="4">
        <f t="shared" si="133"/>
        <v>351.375</v>
      </c>
      <c r="O1726" t="str">
        <f t="shared" si="134"/>
        <v>OK</v>
      </c>
    </row>
    <row r="1727" spans="1:15">
      <c r="A1727" t="str">
        <f>'Raw Data'!A1727</f>
        <v>Nashville RM-24</v>
      </c>
      <c r="B1727" t="str">
        <f>'Raw Data'!B1727</f>
        <v>Southeast</v>
      </c>
      <c r="C1727" t="str">
        <f>'Raw Data'!C1727</f>
        <v>Beauty</v>
      </c>
      <c r="D1727" s="3">
        <f>'Raw Data'!D1727</f>
        <v>45992</v>
      </c>
      <c r="E1727" t="str">
        <f t="shared" si="130"/>
        <v>Dec</v>
      </c>
      <c r="F1727" s="5">
        <f>'Raw Data'!E1727</f>
        <v>161</v>
      </c>
      <c r="G1727" s="4">
        <f>'Raw Data'!F1727</f>
        <v>5966.29</v>
      </c>
      <c r="H1727" s="4">
        <f>'Raw Data'!G1727</f>
        <v>3181.55</v>
      </c>
      <c r="I1727" s="4">
        <f t="shared" si="131"/>
        <v>2784.74</v>
      </c>
      <c r="J1727" s="8">
        <f t="shared" si="132"/>
        <v>0.46674566606718743</v>
      </c>
      <c r="K1727" s="6">
        <f>'Raw Data'!I1727</f>
        <v>4.12</v>
      </c>
      <c r="L1727" s="5">
        <f>'Raw Data'!J1727</f>
        <v>28</v>
      </c>
      <c r="M1727" s="5">
        <f>IF(COUNTIFS($A$2:A1727,A1727,$D$2:D1727,D1727)=1,L1727,0)</f>
        <v>0</v>
      </c>
      <c r="N1727" s="4">
        <f t="shared" si="133"/>
        <v>213.0817857142857</v>
      </c>
      <c r="O1727" t="str">
        <f t="shared" si="134"/>
        <v>OK</v>
      </c>
    </row>
    <row r="1728" spans="1:15">
      <c r="A1728" t="str">
        <f>'Raw Data'!A1728</f>
        <v>Nashville RM-24</v>
      </c>
      <c r="B1728" t="str">
        <f>'Raw Data'!B1728</f>
        <v>Southeast</v>
      </c>
      <c r="C1728" t="str">
        <f>'Raw Data'!C1728</f>
        <v>Grocery</v>
      </c>
      <c r="D1728" s="3">
        <f>'Raw Data'!D1728</f>
        <v>45992</v>
      </c>
      <c r="E1728" t="str">
        <f t="shared" si="130"/>
        <v>Dec</v>
      </c>
      <c r="F1728" s="5">
        <f>'Raw Data'!E1728</f>
        <v>262</v>
      </c>
      <c r="G1728" s="4">
        <f>'Raw Data'!F1728</f>
        <v>4560.97</v>
      </c>
      <c r="H1728" s="4">
        <f>'Raw Data'!G1728</f>
        <v>4441.28</v>
      </c>
      <c r="I1728" s="4">
        <f t="shared" si="131"/>
        <v>119.69000000000051</v>
      </c>
      <c r="J1728" s="8">
        <f t="shared" si="132"/>
        <v>2.624222478990226E-2</v>
      </c>
      <c r="K1728" s="6">
        <f>'Raw Data'!I1728</f>
        <v>4.2300000000000004</v>
      </c>
      <c r="L1728" s="5">
        <f>'Raw Data'!J1728</f>
        <v>28</v>
      </c>
      <c r="M1728" s="5">
        <f>IF(COUNTIFS($A$2:A1728,A1728,$D$2:D1728,D1728)=1,L1728,0)</f>
        <v>0</v>
      </c>
      <c r="N1728" s="4">
        <f t="shared" si="133"/>
        <v>162.89178571428573</v>
      </c>
      <c r="O1728" t="str">
        <f t="shared" si="134"/>
        <v>OK</v>
      </c>
    </row>
    <row r="1729" spans="1:15">
      <c r="A1729" t="str">
        <f>'Raw Data'!A1729</f>
        <v>Nashville RM-24</v>
      </c>
      <c r="B1729" t="str">
        <f>'Raw Data'!B1729</f>
        <v>Southeast</v>
      </c>
      <c r="C1729" t="str">
        <f>'Raw Data'!C1729</f>
        <v>Sports</v>
      </c>
      <c r="D1729" s="3">
        <f>'Raw Data'!D1729</f>
        <v>45992</v>
      </c>
      <c r="E1729" t="str">
        <f t="shared" si="130"/>
        <v>Dec</v>
      </c>
      <c r="F1729" s="5">
        <f>'Raw Data'!E1729</f>
        <v>120</v>
      </c>
      <c r="G1729" s="4">
        <f>'Raw Data'!F1729</f>
        <v>7621.66</v>
      </c>
      <c r="H1729" s="4">
        <f>'Raw Data'!G1729</f>
        <v>5276.13</v>
      </c>
      <c r="I1729" s="4">
        <f t="shared" si="131"/>
        <v>2345.5299999999997</v>
      </c>
      <c r="J1729" s="8">
        <f t="shared" si="132"/>
        <v>0.30774529433220582</v>
      </c>
      <c r="K1729" s="6">
        <f>'Raw Data'!I1729</f>
        <v>4.2300000000000004</v>
      </c>
      <c r="L1729" s="5">
        <f>'Raw Data'!J1729</f>
        <v>28</v>
      </c>
      <c r="M1729" s="5">
        <f>IF(COUNTIFS($A$2:A1729,A1729,$D$2:D1729,D1729)=1,L1729,0)</f>
        <v>0</v>
      </c>
      <c r="N1729" s="4">
        <f t="shared" si="133"/>
        <v>272.20214285714286</v>
      </c>
      <c r="O1729" t="str">
        <f t="shared" si="134"/>
        <v>OK</v>
      </c>
    </row>
    <row r="1730" spans="1:15">
      <c r="A1730" t="str">
        <f>'Raw Data'!A1730</f>
        <v>New Orleans RM-25</v>
      </c>
      <c r="B1730" t="str">
        <f>'Raw Data'!B1730</f>
        <v>Southeast</v>
      </c>
      <c r="C1730" t="str">
        <f>'Raw Data'!C1730</f>
        <v>Electronics</v>
      </c>
      <c r="D1730" s="3">
        <f>'Raw Data'!D1730</f>
        <v>45658</v>
      </c>
      <c r="E1730" t="str">
        <f t="shared" ref="E1730:E1793" si="135">TEXT(D1730,"mmm")</f>
        <v>Jan</v>
      </c>
      <c r="F1730" s="5">
        <f>'Raw Data'!E1730</f>
        <v>92</v>
      </c>
      <c r="G1730" s="4">
        <f>'Raw Data'!F1730</f>
        <v>14137.29</v>
      </c>
      <c r="H1730" s="4">
        <f>'Raw Data'!G1730</f>
        <v>11351.47</v>
      </c>
      <c r="I1730" s="4">
        <f t="shared" ref="I1730:I1793" si="136">G1730-H1730</f>
        <v>2785.8200000000015</v>
      </c>
      <c r="J1730" s="8">
        <f t="shared" ref="J1730:J1793" si="137">IFERROR(I1730/G1730,0)</f>
        <v>0.19705473962831641</v>
      </c>
      <c r="K1730" s="6">
        <f>'Raw Data'!I1730</f>
        <v>3.66</v>
      </c>
      <c r="L1730" s="5">
        <f>'Raw Data'!J1730</f>
        <v>23</v>
      </c>
      <c r="M1730" s="5">
        <f>IF(COUNTIFS($A$2:A1730,A1730,$D$2:D1730,D1730)=1,L1730,0)</f>
        <v>23</v>
      </c>
      <c r="N1730" s="4">
        <f t="shared" ref="N1730:N1793" si="138">IFERROR(G1730/L1730,0)</f>
        <v>614.66478260869565</v>
      </c>
      <c r="O1730" t="str">
        <f t="shared" ref="O1730:O1793" si="139">IF(OR(A1730="",B1730="",C1730="",F1730&lt;0,G1730&lt;0,H1730&lt;0,K1730&lt;1,K1730&gt;5),"Review","OK")</f>
        <v>OK</v>
      </c>
    </row>
    <row r="1731" spans="1:15">
      <c r="A1731" t="str">
        <f>'Raw Data'!A1731</f>
        <v>New Orleans RM-25</v>
      </c>
      <c r="B1731" t="str">
        <f>'Raw Data'!B1731</f>
        <v>Southeast</v>
      </c>
      <c r="C1731" t="str">
        <f>'Raw Data'!C1731</f>
        <v>Home Goods</v>
      </c>
      <c r="D1731" s="3">
        <f>'Raw Data'!D1731</f>
        <v>45658</v>
      </c>
      <c r="E1731" t="str">
        <f t="shared" si="135"/>
        <v>Jan</v>
      </c>
      <c r="F1731" s="5">
        <f>'Raw Data'!E1731</f>
        <v>84</v>
      </c>
      <c r="G1731" s="4">
        <f>'Raw Data'!F1731</f>
        <v>6246.14</v>
      </c>
      <c r="H1731" s="4">
        <f>'Raw Data'!G1731</f>
        <v>4304.1000000000004</v>
      </c>
      <c r="I1731" s="4">
        <f t="shared" si="136"/>
        <v>1942.04</v>
      </c>
      <c r="J1731" s="8">
        <f t="shared" si="137"/>
        <v>0.31091842321817953</v>
      </c>
      <c r="K1731" s="6">
        <f>'Raw Data'!I1731</f>
        <v>3.41</v>
      </c>
      <c r="L1731" s="5">
        <f>'Raw Data'!J1731</f>
        <v>23</v>
      </c>
      <c r="M1731" s="5">
        <f>IF(COUNTIFS($A$2:A1731,A1731,$D$2:D1731,D1731)=1,L1731,0)</f>
        <v>0</v>
      </c>
      <c r="N1731" s="4">
        <f t="shared" si="138"/>
        <v>271.57130434782613</v>
      </c>
      <c r="O1731" t="str">
        <f t="shared" si="139"/>
        <v>OK</v>
      </c>
    </row>
    <row r="1732" spans="1:15">
      <c r="A1732" t="str">
        <f>'Raw Data'!A1732</f>
        <v>New Orleans RM-25</v>
      </c>
      <c r="B1732" t="str">
        <f>'Raw Data'!B1732</f>
        <v>Southeast</v>
      </c>
      <c r="C1732" t="str">
        <f>'Raw Data'!C1732</f>
        <v>Apparel</v>
      </c>
      <c r="D1732" s="3">
        <f>'Raw Data'!D1732</f>
        <v>45658</v>
      </c>
      <c r="E1732" t="str">
        <f t="shared" si="135"/>
        <v>Jan</v>
      </c>
      <c r="F1732" s="5">
        <f>'Raw Data'!E1732</f>
        <v>104</v>
      </c>
      <c r="G1732" s="4">
        <f>'Raw Data'!F1732</f>
        <v>5121.91</v>
      </c>
      <c r="H1732" s="4">
        <f>'Raw Data'!G1732</f>
        <v>3184.12</v>
      </c>
      <c r="I1732" s="4">
        <f t="shared" si="136"/>
        <v>1937.79</v>
      </c>
      <c r="J1732" s="8">
        <f t="shared" si="137"/>
        <v>0.37833347325509431</v>
      </c>
      <c r="K1732" s="6">
        <f>'Raw Data'!I1732</f>
        <v>3.72</v>
      </c>
      <c r="L1732" s="5">
        <f>'Raw Data'!J1732</f>
        <v>23</v>
      </c>
      <c r="M1732" s="5">
        <f>IF(COUNTIFS($A$2:A1732,A1732,$D$2:D1732,D1732)=1,L1732,0)</f>
        <v>0</v>
      </c>
      <c r="N1732" s="4">
        <f t="shared" si="138"/>
        <v>222.69173913043477</v>
      </c>
      <c r="O1732" t="str">
        <f t="shared" si="139"/>
        <v>OK</v>
      </c>
    </row>
    <row r="1733" spans="1:15">
      <c r="A1733" t="str">
        <f>'Raw Data'!A1733</f>
        <v>New Orleans RM-25</v>
      </c>
      <c r="B1733" t="str">
        <f>'Raw Data'!B1733</f>
        <v>Southeast</v>
      </c>
      <c r="C1733" t="str">
        <f>'Raw Data'!C1733</f>
        <v>Beauty</v>
      </c>
      <c r="D1733" s="3">
        <f>'Raw Data'!D1733</f>
        <v>45658</v>
      </c>
      <c r="E1733" t="str">
        <f t="shared" si="135"/>
        <v>Jan</v>
      </c>
      <c r="F1733" s="5">
        <f>'Raw Data'!E1733</f>
        <v>74</v>
      </c>
      <c r="G1733" s="4">
        <f>'Raw Data'!F1733</f>
        <v>2504.89</v>
      </c>
      <c r="H1733" s="4">
        <f>'Raw Data'!G1733</f>
        <v>1234.5</v>
      </c>
      <c r="I1733" s="4">
        <f t="shared" si="136"/>
        <v>1270.3899999999999</v>
      </c>
      <c r="J1733" s="8">
        <f t="shared" si="137"/>
        <v>0.50716398724095668</v>
      </c>
      <c r="K1733" s="6">
        <f>'Raw Data'!I1733</f>
        <v>3.64</v>
      </c>
      <c r="L1733" s="5">
        <f>'Raw Data'!J1733</f>
        <v>23</v>
      </c>
      <c r="M1733" s="5">
        <f>IF(COUNTIFS($A$2:A1733,A1733,$D$2:D1733,D1733)=1,L1733,0)</f>
        <v>0</v>
      </c>
      <c r="N1733" s="4">
        <f t="shared" si="138"/>
        <v>108.90826086956521</v>
      </c>
      <c r="O1733" t="str">
        <f t="shared" si="139"/>
        <v>OK</v>
      </c>
    </row>
    <row r="1734" spans="1:15">
      <c r="A1734" t="str">
        <f>'Raw Data'!A1734</f>
        <v>New Orleans RM-25</v>
      </c>
      <c r="B1734" t="str">
        <f>'Raw Data'!B1734</f>
        <v>Southeast</v>
      </c>
      <c r="C1734" t="str">
        <f>'Raw Data'!C1734</f>
        <v>Grocery</v>
      </c>
      <c r="D1734" s="3">
        <f>'Raw Data'!D1734</f>
        <v>45658</v>
      </c>
      <c r="E1734" t="str">
        <f t="shared" si="135"/>
        <v>Jan</v>
      </c>
      <c r="F1734" s="5">
        <f>'Raw Data'!E1734</f>
        <v>113</v>
      </c>
      <c r="G1734" s="4">
        <f>'Raw Data'!F1734</f>
        <v>2003.94</v>
      </c>
      <c r="H1734" s="4">
        <f>'Raw Data'!G1734</f>
        <v>1871.49</v>
      </c>
      <c r="I1734" s="4">
        <f t="shared" si="136"/>
        <v>132.45000000000005</v>
      </c>
      <c r="J1734" s="8">
        <f t="shared" si="137"/>
        <v>6.609479325728318E-2</v>
      </c>
      <c r="K1734" s="6">
        <f>'Raw Data'!I1734</f>
        <v>3.52</v>
      </c>
      <c r="L1734" s="5">
        <f>'Raw Data'!J1734</f>
        <v>23</v>
      </c>
      <c r="M1734" s="5">
        <f>IF(COUNTIFS($A$2:A1734,A1734,$D$2:D1734,D1734)=1,L1734,0)</f>
        <v>0</v>
      </c>
      <c r="N1734" s="4">
        <f t="shared" si="138"/>
        <v>87.127826086956517</v>
      </c>
      <c r="O1734" t="str">
        <f t="shared" si="139"/>
        <v>OK</v>
      </c>
    </row>
    <row r="1735" spans="1:15">
      <c r="A1735" t="str">
        <f>'Raw Data'!A1735</f>
        <v>New Orleans RM-25</v>
      </c>
      <c r="B1735" t="str">
        <f>'Raw Data'!B1735</f>
        <v>Southeast</v>
      </c>
      <c r="C1735" t="str">
        <f>'Raw Data'!C1735</f>
        <v>Sports</v>
      </c>
      <c r="D1735" s="3">
        <f>'Raw Data'!D1735</f>
        <v>45658</v>
      </c>
      <c r="E1735" t="str">
        <f t="shared" si="135"/>
        <v>Jan</v>
      </c>
      <c r="F1735" s="5">
        <f>'Raw Data'!E1735</f>
        <v>49</v>
      </c>
      <c r="G1735" s="4">
        <f>'Raw Data'!F1735</f>
        <v>2907.49</v>
      </c>
      <c r="H1735" s="4">
        <f>'Raw Data'!G1735</f>
        <v>1906.5</v>
      </c>
      <c r="I1735" s="4">
        <f t="shared" si="136"/>
        <v>1000.9899999999998</v>
      </c>
      <c r="J1735" s="8">
        <f t="shared" si="137"/>
        <v>0.34427977396310905</v>
      </c>
      <c r="K1735" s="6">
        <f>'Raw Data'!I1735</f>
        <v>3.58</v>
      </c>
      <c r="L1735" s="5">
        <f>'Raw Data'!J1735</f>
        <v>23</v>
      </c>
      <c r="M1735" s="5">
        <f>IF(COUNTIFS($A$2:A1735,A1735,$D$2:D1735,D1735)=1,L1735,0)</f>
        <v>0</v>
      </c>
      <c r="N1735" s="4">
        <f t="shared" si="138"/>
        <v>126.41260869565217</v>
      </c>
      <c r="O1735" t="str">
        <f t="shared" si="139"/>
        <v>OK</v>
      </c>
    </row>
    <row r="1736" spans="1:15">
      <c r="A1736" t="str">
        <f>'Raw Data'!A1736</f>
        <v>New Orleans RM-25</v>
      </c>
      <c r="B1736" t="str">
        <f>'Raw Data'!B1736</f>
        <v>Southeast</v>
      </c>
      <c r="C1736" t="str">
        <f>'Raw Data'!C1736</f>
        <v>Electronics</v>
      </c>
      <c r="D1736" s="3">
        <f>'Raw Data'!D1736</f>
        <v>45689</v>
      </c>
      <c r="E1736" t="str">
        <f t="shared" si="135"/>
        <v>Feb</v>
      </c>
      <c r="F1736" s="5">
        <f>'Raw Data'!E1736</f>
        <v>84</v>
      </c>
      <c r="G1736" s="4">
        <f>'Raw Data'!F1736</f>
        <v>11923.13</v>
      </c>
      <c r="H1736" s="4">
        <f>'Raw Data'!G1736</f>
        <v>9385.9599999999991</v>
      </c>
      <c r="I1736" s="4">
        <f t="shared" si="136"/>
        <v>2537.17</v>
      </c>
      <c r="J1736" s="8">
        <f t="shared" si="137"/>
        <v>0.21279395594948644</v>
      </c>
      <c r="K1736" s="6">
        <f>'Raw Data'!I1736</f>
        <v>3.56</v>
      </c>
      <c r="L1736" s="5">
        <f>'Raw Data'!J1736</f>
        <v>23</v>
      </c>
      <c r="M1736" s="5">
        <f>IF(COUNTIFS($A$2:A1736,A1736,$D$2:D1736,D1736)=1,L1736,0)</f>
        <v>23</v>
      </c>
      <c r="N1736" s="4">
        <f t="shared" si="138"/>
        <v>518.39695652173907</v>
      </c>
      <c r="O1736" t="str">
        <f t="shared" si="139"/>
        <v>OK</v>
      </c>
    </row>
    <row r="1737" spans="1:15">
      <c r="A1737" t="str">
        <f>'Raw Data'!A1737</f>
        <v>New Orleans RM-25</v>
      </c>
      <c r="B1737" t="str">
        <f>'Raw Data'!B1737</f>
        <v>Southeast</v>
      </c>
      <c r="C1737" t="str">
        <f>'Raw Data'!C1737</f>
        <v>Home Goods</v>
      </c>
      <c r="D1737" s="3">
        <f>'Raw Data'!D1737</f>
        <v>45689</v>
      </c>
      <c r="E1737" t="str">
        <f t="shared" si="135"/>
        <v>Feb</v>
      </c>
      <c r="F1737" s="5">
        <f>'Raw Data'!E1737</f>
        <v>69</v>
      </c>
      <c r="G1737" s="4">
        <f>'Raw Data'!F1737</f>
        <v>4933.1499999999996</v>
      </c>
      <c r="H1737" s="4">
        <f>'Raw Data'!G1737</f>
        <v>3297.92</v>
      </c>
      <c r="I1737" s="4">
        <f t="shared" si="136"/>
        <v>1635.2299999999996</v>
      </c>
      <c r="J1737" s="8">
        <f t="shared" si="137"/>
        <v>0.33147785897448884</v>
      </c>
      <c r="K1737" s="6">
        <f>'Raw Data'!I1737</f>
        <v>3.43</v>
      </c>
      <c r="L1737" s="5">
        <f>'Raw Data'!J1737</f>
        <v>23</v>
      </c>
      <c r="M1737" s="5">
        <f>IF(COUNTIFS($A$2:A1737,A1737,$D$2:D1737,D1737)=1,L1737,0)</f>
        <v>0</v>
      </c>
      <c r="N1737" s="4">
        <f t="shared" si="138"/>
        <v>214.48478260869564</v>
      </c>
      <c r="O1737" t="str">
        <f t="shared" si="139"/>
        <v>OK</v>
      </c>
    </row>
    <row r="1738" spans="1:15">
      <c r="A1738" t="str">
        <f>'Raw Data'!A1738</f>
        <v>New Orleans RM-25</v>
      </c>
      <c r="B1738" t="str">
        <f>'Raw Data'!B1738</f>
        <v>Southeast</v>
      </c>
      <c r="C1738" t="str">
        <f>'Raw Data'!C1738</f>
        <v>Apparel</v>
      </c>
      <c r="D1738" s="3">
        <f>'Raw Data'!D1738</f>
        <v>45689</v>
      </c>
      <c r="E1738" t="str">
        <f t="shared" si="135"/>
        <v>Feb</v>
      </c>
      <c r="F1738" s="5">
        <f>'Raw Data'!E1738</f>
        <v>90</v>
      </c>
      <c r="G1738" s="4">
        <f>'Raw Data'!F1738</f>
        <v>4506.8100000000004</v>
      </c>
      <c r="H1738" s="4">
        <f>'Raw Data'!G1738</f>
        <v>2879.01</v>
      </c>
      <c r="I1738" s="4">
        <f t="shared" si="136"/>
        <v>1627.8000000000002</v>
      </c>
      <c r="J1738" s="8">
        <f t="shared" si="137"/>
        <v>0.36118673740406188</v>
      </c>
      <c r="K1738" s="6">
        <f>'Raw Data'!I1738</f>
        <v>3.55</v>
      </c>
      <c r="L1738" s="5">
        <f>'Raw Data'!J1738</f>
        <v>23</v>
      </c>
      <c r="M1738" s="5">
        <f>IF(COUNTIFS($A$2:A1738,A1738,$D$2:D1738,D1738)=1,L1738,0)</f>
        <v>0</v>
      </c>
      <c r="N1738" s="4">
        <f t="shared" si="138"/>
        <v>195.94826086956525</v>
      </c>
      <c r="O1738" t="str">
        <f t="shared" si="139"/>
        <v>OK</v>
      </c>
    </row>
    <row r="1739" spans="1:15">
      <c r="A1739" t="str">
        <f>'Raw Data'!A1739</f>
        <v>New Orleans RM-25</v>
      </c>
      <c r="B1739" t="str">
        <f>'Raw Data'!B1739</f>
        <v>Southeast</v>
      </c>
      <c r="C1739" t="str">
        <f>'Raw Data'!C1739</f>
        <v>Beauty</v>
      </c>
      <c r="D1739" s="3">
        <f>'Raw Data'!D1739</f>
        <v>45689</v>
      </c>
      <c r="E1739" t="str">
        <f t="shared" si="135"/>
        <v>Feb</v>
      </c>
      <c r="F1739" s="5">
        <f>'Raw Data'!E1739</f>
        <v>75</v>
      </c>
      <c r="G1739" s="4">
        <f>'Raw Data'!F1739</f>
        <v>2566.14</v>
      </c>
      <c r="H1739" s="4">
        <f>'Raw Data'!G1739</f>
        <v>1266.3499999999999</v>
      </c>
      <c r="I1739" s="4">
        <f t="shared" si="136"/>
        <v>1299.79</v>
      </c>
      <c r="J1739" s="8">
        <f t="shared" si="137"/>
        <v>0.50651562268621353</v>
      </c>
      <c r="K1739" s="6">
        <f>'Raw Data'!I1739</f>
        <v>3.46</v>
      </c>
      <c r="L1739" s="5">
        <f>'Raw Data'!J1739</f>
        <v>23</v>
      </c>
      <c r="M1739" s="5">
        <f>IF(COUNTIFS($A$2:A1739,A1739,$D$2:D1739,D1739)=1,L1739,0)</f>
        <v>0</v>
      </c>
      <c r="N1739" s="4">
        <f t="shared" si="138"/>
        <v>111.57130434782609</v>
      </c>
      <c r="O1739" t="str">
        <f t="shared" si="139"/>
        <v>OK</v>
      </c>
    </row>
    <row r="1740" spans="1:15">
      <c r="A1740" t="str">
        <f>'Raw Data'!A1740</f>
        <v>New Orleans RM-25</v>
      </c>
      <c r="B1740" t="str">
        <f>'Raw Data'!B1740</f>
        <v>Southeast</v>
      </c>
      <c r="C1740" t="str">
        <f>'Raw Data'!C1740</f>
        <v>Grocery</v>
      </c>
      <c r="D1740" s="3">
        <f>'Raw Data'!D1740</f>
        <v>45689</v>
      </c>
      <c r="E1740" t="str">
        <f t="shared" si="135"/>
        <v>Feb</v>
      </c>
      <c r="F1740" s="5">
        <f>'Raw Data'!E1740</f>
        <v>120</v>
      </c>
      <c r="G1740" s="4">
        <f>'Raw Data'!F1740</f>
        <v>2059.65</v>
      </c>
      <c r="H1740" s="4">
        <f>'Raw Data'!G1740</f>
        <v>1894.66</v>
      </c>
      <c r="I1740" s="4">
        <f t="shared" si="136"/>
        <v>164.99</v>
      </c>
      <c r="J1740" s="8">
        <f t="shared" si="137"/>
        <v>8.0105843225790785E-2</v>
      </c>
      <c r="K1740" s="6">
        <f>'Raw Data'!I1740</f>
        <v>3.66</v>
      </c>
      <c r="L1740" s="5">
        <f>'Raw Data'!J1740</f>
        <v>23</v>
      </c>
      <c r="M1740" s="5">
        <f>IF(COUNTIFS($A$2:A1740,A1740,$D$2:D1740,D1740)=1,L1740,0)</f>
        <v>0</v>
      </c>
      <c r="N1740" s="4">
        <f t="shared" si="138"/>
        <v>89.55</v>
      </c>
      <c r="O1740" t="str">
        <f t="shared" si="139"/>
        <v>OK</v>
      </c>
    </row>
    <row r="1741" spans="1:15">
      <c r="A1741" t="str">
        <f>'Raw Data'!A1741</f>
        <v>New Orleans RM-25</v>
      </c>
      <c r="B1741" t="str">
        <f>'Raw Data'!B1741</f>
        <v>Southeast</v>
      </c>
      <c r="C1741" t="str">
        <f>'Raw Data'!C1741</f>
        <v>Sports</v>
      </c>
      <c r="D1741" s="3">
        <f>'Raw Data'!D1741</f>
        <v>45689</v>
      </c>
      <c r="E1741" t="str">
        <f t="shared" si="135"/>
        <v>Feb</v>
      </c>
      <c r="F1741" s="5">
        <f>'Raw Data'!E1741</f>
        <v>64</v>
      </c>
      <c r="G1741" s="4">
        <f>'Raw Data'!F1741</f>
        <v>4059.08</v>
      </c>
      <c r="H1741" s="4">
        <f>'Raw Data'!G1741</f>
        <v>2703.39</v>
      </c>
      <c r="I1741" s="4">
        <f t="shared" si="136"/>
        <v>1355.69</v>
      </c>
      <c r="J1741" s="8">
        <f t="shared" si="137"/>
        <v>0.33398947544763841</v>
      </c>
      <c r="K1741" s="6">
        <f>'Raw Data'!I1741</f>
        <v>3.52</v>
      </c>
      <c r="L1741" s="5">
        <f>'Raw Data'!J1741</f>
        <v>23</v>
      </c>
      <c r="M1741" s="5">
        <f>IF(COUNTIFS($A$2:A1741,A1741,$D$2:D1741,D1741)=1,L1741,0)</f>
        <v>0</v>
      </c>
      <c r="N1741" s="4">
        <f t="shared" si="138"/>
        <v>176.48173913043479</v>
      </c>
      <c r="O1741" t="str">
        <f t="shared" si="139"/>
        <v>OK</v>
      </c>
    </row>
    <row r="1742" spans="1:15">
      <c r="A1742" t="str">
        <f>'Raw Data'!A1742</f>
        <v>New Orleans RM-25</v>
      </c>
      <c r="B1742" t="str">
        <f>'Raw Data'!B1742</f>
        <v>Southeast</v>
      </c>
      <c r="C1742" t="str">
        <f>'Raw Data'!C1742</f>
        <v>Electronics</v>
      </c>
      <c r="D1742" s="3">
        <f>'Raw Data'!D1742</f>
        <v>45717</v>
      </c>
      <c r="E1742" t="str">
        <f t="shared" si="135"/>
        <v>Mar</v>
      </c>
      <c r="F1742" s="5">
        <f>'Raw Data'!E1742</f>
        <v>89</v>
      </c>
      <c r="G1742" s="4">
        <f>'Raw Data'!F1742</f>
        <v>13862.97</v>
      </c>
      <c r="H1742" s="4">
        <f>'Raw Data'!G1742</f>
        <v>11269.22</v>
      </c>
      <c r="I1742" s="4">
        <f t="shared" si="136"/>
        <v>2593.75</v>
      </c>
      <c r="J1742" s="8">
        <f t="shared" si="137"/>
        <v>0.18709915696275764</v>
      </c>
      <c r="K1742" s="6">
        <f>'Raw Data'!I1742</f>
        <v>3.69</v>
      </c>
      <c r="L1742" s="5">
        <f>'Raw Data'!J1742</f>
        <v>24</v>
      </c>
      <c r="M1742" s="5">
        <f>IF(COUNTIFS($A$2:A1742,A1742,$D$2:D1742,D1742)=1,L1742,0)</f>
        <v>24</v>
      </c>
      <c r="N1742" s="4">
        <f t="shared" si="138"/>
        <v>577.62374999999997</v>
      </c>
      <c r="O1742" t="str">
        <f t="shared" si="139"/>
        <v>OK</v>
      </c>
    </row>
    <row r="1743" spans="1:15">
      <c r="A1743" t="str">
        <f>'Raw Data'!A1743</f>
        <v>New Orleans RM-25</v>
      </c>
      <c r="B1743" t="str">
        <f>'Raw Data'!B1743</f>
        <v>Southeast</v>
      </c>
      <c r="C1743" t="str">
        <f>'Raw Data'!C1743</f>
        <v>Home Goods</v>
      </c>
      <c r="D1743" s="3">
        <f>'Raw Data'!D1743</f>
        <v>45717</v>
      </c>
      <c r="E1743" t="str">
        <f t="shared" si="135"/>
        <v>Mar</v>
      </c>
      <c r="F1743" s="5">
        <f>'Raw Data'!E1743</f>
        <v>88</v>
      </c>
      <c r="G1743" s="4">
        <f>'Raw Data'!F1743</f>
        <v>6773.3</v>
      </c>
      <c r="H1743" s="4">
        <f>'Raw Data'!G1743</f>
        <v>4579.76</v>
      </c>
      <c r="I1743" s="4">
        <f t="shared" si="136"/>
        <v>2193.54</v>
      </c>
      <c r="J1743" s="8">
        <f t="shared" si="137"/>
        <v>0.32385100320375593</v>
      </c>
      <c r="K1743" s="6">
        <f>'Raw Data'!I1743</f>
        <v>3.43</v>
      </c>
      <c r="L1743" s="5">
        <f>'Raw Data'!J1743</f>
        <v>24</v>
      </c>
      <c r="M1743" s="5">
        <f>IF(COUNTIFS($A$2:A1743,A1743,$D$2:D1743,D1743)=1,L1743,0)</f>
        <v>0</v>
      </c>
      <c r="N1743" s="4">
        <f t="shared" si="138"/>
        <v>282.22083333333336</v>
      </c>
      <c r="O1743" t="str">
        <f t="shared" si="139"/>
        <v>OK</v>
      </c>
    </row>
    <row r="1744" spans="1:15">
      <c r="A1744" t="str">
        <f>'Raw Data'!A1744</f>
        <v>New Orleans RM-25</v>
      </c>
      <c r="B1744" t="str">
        <f>'Raw Data'!B1744</f>
        <v>Southeast</v>
      </c>
      <c r="C1744" t="str">
        <f>'Raw Data'!C1744</f>
        <v>Apparel</v>
      </c>
      <c r="D1744" s="3">
        <f>'Raw Data'!D1744</f>
        <v>45717</v>
      </c>
      <c r="E1744" t="str">
        <f t="shared" si="135"/>
        <v>Mar</v>
      </c>
      <c r="F1744" s="5">
        <f>'Raw Data'!E1744</f>
        <v>111</v>
      </c>
      <c r="G1744" s="4">
        <f>'Raw Data'!F1744</f>
        <v>5079.68</v>
      </c>
      <c r="H1744" s="4">
        <f>'Raw Data'!G1744</f>
        <v>3174.73</v>
      </c>
      <c r="I1744" s="4">
        <f t="shared" si="136"/>
        <v>1904.9500000000003</v>
      </c>
      <c r="J1744" s="8">
        <f t="shared" si="137"/>
        <v>0.3750137803956155</v>
      </c>
      <c r="K1744" s="6">
        <f>'Raw Data'!I1744</f>
        <v>3.44</v>
      </c>
      <c r="L1744" s="5">
        <f>'Raw Data'!J1744</f>
        <v>24</v>
      </c>
      <c r="M1744" s="5">
        <f>IF(COUNTIFS($A$2:A1744,A1744,$D$2:D1744,D1744)=1,L1744,0)</f>
        <v>0</v>
      </c>
      <c r="N1744" s="4">
        <f t="shared" si="138"/>
        <v>211.65333333333334</v>
      </c>
      <c r="O1744" t="str">
        <f t="shared" si="139"/>
        <v>OK</v>
      </c>
    </row>
    <row r="1745" spans="1:15">
      <c r="A1745" t="str">
        <f>'Raw Data'!A1745</f>
        <v>New Orleans RM-25</v>
      </c>
      <c r="B1745" t="str">
        <f>'Raw Data'!B1745</f>
        <v>Southeast</v>
      </c>
      <c r="C1745" t="str">
        <f>'Raw Data'!C1745</f>
        <v>Beauty</v>
      </c>
      <c r="D1745" s="3">
        <f>'Raw Data'!D1745</f>
        <v>45717</v>
      </c>
      <c r="E1745" t="str">
        <f t="shared" si="135"/>
        <v>Mar</v>
      </c>
      <c r="F1745" s="5">
        <f>'Raw Data'!E1745</f>
        <v>80</v>
      </c>
      <c r="G1745" s="4">
        <f>'Raw Data'!F1745</f>
        <v>3100.13</v>
      </c>
      <c r="H1745" s="4">
        <f>'Raw Data'!G1745</f>
        <v>1611.06</v>
      </c>
      <c r="I1745" s="4">
        <f t="shared" si="136"/>
        <v>1489.0700000000002</v>
      </c>
      <c r="J1745" s="8">
        <f t="shared" si="137"/>
        <v>0.48032501862825111</v>
      </c>
      <c r="K1745" s="6">
        <f>'Raw Data'!I1745</f>
        <v>3.53</v>
      </c>
      <c r="L1745" s="5">
        <f>'Raw Data'!J1745</f>
        <v>24</v>
      </c>
      <c r="M1745" s="5">
        <f>IF(COUNTIFS($A$2:A1745,A1745,$D$2:D1745,D1745)=1,L1745,0)</f>
        <v>0</v>
      </c>
      <c r="N1745" s="4">
        <f t="shared" si="138"/>
        <v>129.17208333333335</v>
      </c>
      <c r="O1745" t="str">
        <f t="shared" si="139"/>
        <v>OK</v>
      </c>
    </row>
    <row r="1746" spans="1:15">
      <c r="A1746" t="str">
        <f>'Raw Data'!A1746</f>
        <v>New Orleans RM-25</v>
      </c>
      <c r="B1746" t="str">
        <f>'Raw Data'!B1746</f>
        <v>Southeast</v>
      </c>
      <c r="C1746" t="str">
        <f>'Raw Data'!C1746</f>
        <v>Grocery</v>
      </c>
      <c r="D1746" s="3">
        <f>'Raw Data'!D1746</f>
        <v>45717</v>
      </c>
      <c r="E1746" t="str">
        <f t="shared" si="135"/>
        <v>Mar</v>
      </c>
      <c r="F1746" s="5">
        <f>'Raw Data'!E1746</f>
        <v>154</v>
      </c>
      <c r="G1746" s="4">
        <f>'Raw Data'!F1746</f>
        <v>2909.41</v>
      </c>
      <c r="H1746" s="4">
        <f>'Raw Data'!G1746</f>
        <v>2626.15</v>
      </c>
      <c r="I1746" s="4">
        <f t="shared" si="136"/>
        <v>283.25999999999976</v>
      </c>
      <c r="J1746" s="8">
        <f t="shared" si="137"/>
        <v>9.7359945830941597E-2</v>
      </c>
      <c r="K1746" s="6">
        <f>'Raw Data'!I1746</f>
        <v>3.66</v>
      </c>
      <c r="L1746" s="5">
        <f>'Raw Data'!J1746</f>
        <v>24</v>
      </c>
      <c r="M1746" s="5">
        <f>IF(COUNTIFS($A$2:A1746,A1746,$D$2:D1746,D1746)=1,L1746,0)</f>
        <v>0</v>
      </c>
      <c r="N1746" s="4">
        <f t="shared" si="138"/>
        <v>121.22541666666666</v>
      </c>
      <c r="O1746" t="str">
        <f t="shared" si="139"/>
        <v>OK</v>
      </c>
    </row>
    <row r="1747" spans="1:15">
      <c r="A1747" t="str">
        <f>'Raw Data'!A1747</f>
        <v>New Orleans RM-25</v>
      </c>
      <c r="B1747" t="str">
        <f>'Raw Data'!B1747</f>
        <v>Southeast</v>
      </c>
      <c r="C1747" t="str">
        <f>'Raw Data'!C1747</f>
        <v>Sports</v>
      </c>
      <c r="D1747" s="3">
        <f>'Raw Data'!D1747</f>
        <v>45717</v>
      </c>
      <c r="E1747" t="str">
        <f t="shared" si="135"/>
        <v>Mar</v>
      </c>
      <c r="F1747" s="5">
        <f>'Raw Data'!E1747</f>
        <v>58</v>
      </c>
      <c r="G1747" s="4">
        <f>'Raw Data'!F1747</f>
        <v>3407.82</v>
      </c>
      <c r="H1747" s="4">
        <f>'Raw Data'!G1747</f>
        <v>2288.12</v>
      </c>
      <c r="I1747" s="4">
        <f t="shared" si="136"/>
        <v>1119.7000000000003</v>
      </c>
      <c r="J1747" s="8">
        <f t="shared" si="137"/>
        <v>0.32856782341790358</v>
      </c>
      <c r="K1747" s="6">
        <f>'Raw Data'!I1747</f>
        <v>3.55</v>
      </c>
      <c r="L1747" s="5">
        <f>'Raw Data'!J1747</f>
        <v>24</v>
      </c>
      <c r="M1747" s="5">
        <f>IF(COUNTIFS($A$2:A1747,A1747,$D$2:D1747,D1747)=1,L1747,0)</f>
        <v>0</v>
      </c>
      <c r="N1747" s="4">
        <f t="shared" si="138"/>
        <v>141.99250000000001</v>
      </c>
      <c r="O1747" t="str">
        <f t="shared" si="139"/>
        <v>OK</v>
      </c>
    </row>
    <row r="1748" spans="1:15">
      <c r="A1748" t="str">
        <f>'Raw Data'!A1748</f>
        <v>New Orleans RM-25</v>
      </c>
      <c r="B1748" t="str">
        <f>'Raw Data'!B1748</f>
        <v>Southeast</v>
      </c>
      <c r="C1748" t="str">
        <f>'Raw Data'!C1748</f>
        <v>Electronics</v>
      </c>
      <c r="D1748" s="3">
        <f>'Raw Data'!D1748</f>
        <v>45748</v>
      </c>
      <c r="E1748" t="str">
        <f t="shared" si="135"/>
        <v>Apr</v>
      </c>
      <c r="F1748" s="5">
        <f>'Raw Data'!E1748</f>
        <v>92</v>
      </c>
      <c r="G1748" s="4">
        <f>'Raw Data'!F1748</f>
        <v>13090.39</v>
      </c>
      <c r="H1748" s="4">
        <f>'Raw Data'!G1748</f>
        <v>10436.81</v>
      </c>
      <c r="I1748" s="4">
        <f t="shared" si="136"/>
        <v>2653.58</v>
      </c>
      <c r="J1748" s="8">
        <f t="shared" si="137"/>
        <v>0.20271206587427876</v>
      </c>
      <c r="K1748" s="6">
        <f>'Raw Data'!I1748</f>
        <v>3.43</v>
      </c>
      <c r="L1748" s="5">
        <f>'Raw Data'!J1748</f>
        <v>23</v>
      </c>
      <c r="M1748" s="5">
        <f>IF(COUNTIFS($A$2:A1748,A1748,$D$2:D1748,D1748)=1,L1748,0)</f>
        <v>23</v>
      </c>
      <c r="N1748" s="4">
        <f t="shared" si="138"/>
        <v>569.14739130434782</v>
      </c>
      <c r="O1748" t="str">
        <f t="shared" si="139"/>
        <v>OK</v>
      </c>
    </row>
    <row r="1749" spans="1:15">
      <c r="A1749" t="str">
        <f>'Raw Data'!A1749</f>
        <v>New Orleans RM-25</v>
      </c>
      <c r="B1749" t="str">
        <f>'Raw Data'!B1749</f>
        <v>Southeast</v>
      </c>
      <c r="C1749" t="str">
        <f>'Raw Data'!C1749</f>
        <v>Home Goods</v>
      </c>
      <c r="D1749" s="3">
        <f>'Raw Data'!D1749</f>
        <v>45748</v>
      </c>
      <c r="E1749" t="str">
        <f t="shared" si="135"/>
        <v>Apr</v>
      </c>
      <c r="F1749" s="5">
        <f>'Raw Data'!E1749</f>
        <v>78</v>
      </c>
      <c r="G1749" s="4">
        <f>'Raw Data'!F1749</f>
        <v>6196.39</v>
      </c>
      <c r="H1749" s="4">
        <f>'Raw Data'!G1749</f>
        <v>4225.34</v>
      </c>
      <c r="I1749" s="4">
        <f t="shared" si="136"/>
        <v>1971.0500000000002</v>
      </c>
      <c r="J1749" s="8">
        <f t="shared" si="137"/>
        <v>0.31809650457766542</v>
      </c>
      <c r="K1749" s="6">
        <f>'Raw Data'!I1749</f>
        <v>3.61</v>
      </c>
      <c r="L1749" s="5">
        <f>'Raw Data'!J1749</f>
        <v>23</v>
      </c>
      <c r="M1749" s="5">
        <f>IF(COUNTIFS($A$2:A1749,A1749,$D$2:D1749,D1749)=1,L1749,0)</f>
        <v>0</v>
      </c>
      <c r="N1749" s="4">
        <f t="shared" si="138"/>
        <v>269.40826086956525</v>
      </c>
      <c r="O1749" t="str">
        <f t="shared" si="139"/>
        <v>OK</v>
      </c>
    </row>
    <row r="1750" spans="1:15">
      <c r="A1750" t="str">
        <f>'Raw Data'!A1750</f>
        <v>New Orleans RM-25</v>
      </c>
      <c r="B1750" t="str">
        <f>'Raw Data'!B1750</f>
        <v>Southeast</v>
      </c>
      <c r="C1750" t="str">
        <f>'Raw Data'!C1750</f>
        <v>Apparel</v>
      </c>
      <c r="D1750" s="3">
        <f>'Raw Data'!D1750</f>
        <v>45748</v>
      </c>
      <c r="E1750" t="str">
        <f t="shared" si="135"/>
        <v>Apr</v>
      </c>
      <c r="F1750" s="5">
        <f>'Raw Data'!E1750</f>
        <v>129</v>
      </c>
      <c r="G1750" s="4">
        <f>'Raw Data'!F1750</f>
        <v>6153.29</v>
      </c>
      <c r="H1750" s="4">
        <f>'Raw Data'!G1750</f>
        <v>3964.01</v>
      </c>
      <c r="I1750" s="4">
        <f t="shared" si="136"/>
        <v>2189.2799999999997</v>
      </c>
      <c r="J1750" s="8">
        <f t="shared" si="137"/>
        <v>0.35579015453521606</v>
      </c>
      <c r="K1750" s="6">
        <f>'Raw Data'!I1750</f>
        <v>3.72</v>
      </c>
      <c r="L1750" s="5">
        <f>'Raw Data'!J1750</f>
        <v>23</v>
      </c>
      <c r="M1750" s="5">
        <f>IF(COUNTIFS($A$2:A1750,A1750,$D$2:D1750,D1750)=1,L1750,0)</f>
        <v>0</v>
      </c>
      <c r="N1750" s="4">
        <f t="shared" si="138"/>
        <v>267.53434782608696</v>
      </c>
      <c r="O1750" t="str">
        <f t="shared" si="139"/>
        <v>OK</v>
      </c>
    </row>
    <row r="1751" spans="1:15">
      <c r="A1751" t="str">
        <f>'Raw Data'!A1751</f>
        <v>New Orleans RM-25</v>
      </c>
      <c r="B1751" t="str">
        <f>'Raw Data'!B1751</f>
        <v>Southeast</v>
      </c>
      <c r="C1751" t="str">
        <f>'Raw Data'!C1751</f>
        <v>Beauty</v>
      </c>
      <c r="D1751" s="3">
        <f>'Raw Data'!D1751</f>
        <v>45748</v>
      </c>
      <c r="E1751" t="str">
        <f t="shared" si="135"/>
        <v>Apr</v>
      </c>
      <c r="F1751" s="5">
        <f>'Raw Data'!E1751</f>
        <v>91</v>
      </c>
      <c r="G1751" s="4">
        <f>'Raw Data'!F1751</f>
        <v>3363.44</v>
      </c>
      <c r="H1751" s="4">
        <f>'Raw Data'!G1751</f>
        <v>1708.84</v>
      </c>
      <c r="I1751" s="4">
        <f t="shared" si="136"/>
        <v>1654.6000000000001</v>
      </c>
      <c r="J1751" s="8">
        <f t="shared" si="137"/>
        <v>0.49193682658230864</v>
      </c>
      <c r="K1751" s="6">
        <f>'Raw Data'!I1751</f>
        <v>3.74</v>
      </c>
      <c r="L1751" s="5">
        <f>'Raw Data'!J1751</f>
        <v>23</v>
      </c>
      <c r="M1751" s="5">
        <f>IF(COUNTIFS($A$2:A1751,A1751,$D$2:D1751,D1751)=1,L1751,0)</f>
        <v>0</v>
      </c>
      <c r="N1751" s="4">
        <f t="shared" si="138"/>
        <v>146.23652173913044</v>
      </c>
      <c r="O1751" t="str">
        <f t="shared" si="139"/>
        <v>OK</v>
      </c>
    </row>
    <row r="1752" spans="1:15">
      <c r="A1752" t="str">
        <f>'Raw Data'!A1752</f>
        <v>New Orleans RM-25</v>
      </c>
      <c r="B1752" t="str">
        <f>'Raw Data'!B1752</f>
        <v>Southeast</v>
      </c>
      <c r="C1752" t="str">
        <f>'Raw Data'!C1752</f>
        <v>Grocery</v>
      </c>
      <c r="D1752" s="3">
        <f>'Raw Data'!D1752</f>
        <v>45748</v>
      </c>
      <c r="E1752" t="str">
        <f t="shared" si="135"/>
        <v>Apr</v>
      </c>
      <c r="F1752" s="5">
        <f>'Raw Data'!E1752</f>
        <v>154</v>
      </c>
      <c r="G1752" s="4">
        <f>'Raw Data'!F1752</f>
        <v>2733.05</v>
      </c>
      <c r="H1752" s="4">
        <f>'Raw Data'!G1752</f>
        <v>2502.88</v>
      </c>
      <c r="I1752" s="4">
        <f t="shared" si="136"/>
        <v>230.17000000000007</v>
      </c>
      <c r="J1752" s="8">
        <f t="shared" si="137"/>
        <v>8.4217266423958603E-2</v>
      </c>
      <c r="K1752" s="6">
        <f>'Raw Data'!I1752</f>
        <v>3.41</v>
      </c>
      <c r="L1752" s="5">
        <f>'Raw Data'!J1752</f>
        <v>23</v>
      </c>
      <c r="M1752" s="5">
        <f>IF(COUNTIFS($A$2:A1752,A1752,$D$2:D1752,D1752)=1,L1752,0)</f>
        <v>0</v>
      </c>
      <c r="N1752" s="4">
        <f t="shared" si="138"/>
        <v>118.82826086956523</v>
      </c>
      <c r="O1752" t="str">
        <f t="shared" si="139"/>
        <v>OK</v>
      </c>
    </row>
    <row r="1753" spans="1:15">
      <c r="A1753" t="str">
        <f>'Raw Data'!A1753</f>
        <v>New Orleans RM-25</v>
      </c>
      <c r="B1753" t="str">
        <f>'Raw Data'!B1753</f>
        <v>Southeast</v>
      </c>
      <c r="C1753" t="str">
        <f>'Raw Data'!C1753</f>
        <v>Sports</v>
      </c>
      <c r="D1753" s="3">
        <f>'Raw Data'!D1753</f>
        <v>45748</v>
      </c>
      <c r="E1753" t="str">
        <f t="shared" si="135"/>
        <v>Apr</v>
      </c>
      <c r="F1753" s="5">
        <f>'Raw Data'!E1753</f>
        <v>62</v>
      </c>
      <c r="G1753" s="4">
        <f>'Raw Data'!F1753</f>
        <v>3933.66</v>
      </c>
      <c r="H1753" s="4">
        <f>'Raw Data'!G1753</f>
        <v>2578.66</v>
      </c>
      <c r="I1753" s="4">
        <f t="shared" si="136"/>
        <v>1355</v>
      </c>
      <c r="J1753" s="8">
        <f t="shared" si="137"/>
        <v>0.34446291748651386</v>
      </c>
      <c r="K1753" s="6">
        <f>'Raw Data'!I1753</f>
        <v>3.68</v>
      </c>
      <c r="L1753" s="5">
        <f>'Raw Data'!J1753</f>
        <v>23</v>
      </c>
      <c r="M1753" s="5">
        <f>IF(COUNTIFS($A$2:A1753,A1753,$D$2:D1753,D1753)=1,L1753,0)</f>
        <v>0</v>
      </c>
      <c r="N1753" s="4">
        <f t="shared" si="138"/>
        <v>171.02869565217389</v>
      </c>
      <c r="O1753" t="str">
        <f t="shared" si="139"/>
        <v>OK</v>
      </c>
    </row>
    <row r="1754" spans="1:15">
      <c r="A1754" t="str">
        <f>'Raw Data'!A1754</f>
        <v>New Orleans RM-25</v>
      </c>
      <c r="B1754" t="str">
        <f>'Raw Data'!B1754</f>
        <v>Southeast</v>
      </c>
      <c r="C1754" t="str">
        <f>'Raw Data'!C1754</f>
        <v>Electronics</v>
      </c>
      <c r="D1754" s="3">
        <f>'Raw Data'!D1754</f>
        <v>45778</v>
      </c>
      <c r="E1754" t="str">
        <f t="shared" si="135"/>
        <v>May</v>
      </c>
      <c r="F1754" s="5">
        <f>'Raw Data'!E1754</f>
        <v>107</v>
      </c>
      <c r="G1754" s="4">
        <f>'Raw Data'!F1754</f>
        <v>15689.48</v>
      </c>
      <c r="H1754" s="4">
        <f>'Raw Data'!G1754</f>
        <v>12582.66</v>
      </c>
      <c r="I1754" s="4">
        <f t="shared" si="136"/>
        <v>3106.8199999999997</v>
      </c>
      <c r="J1754" s="8">
        <f t="shared" si="137"/>
        <v>0.19801930975405174</v>
      </c>
      <c r="K1754" s="6">
        <f>'Raw Data'!I1754</f>
        <v>3.57</v>
      </c>
      <c r="L1754" s="5">
        <f>'Raw Data'!J1754</f>
        <v>24</v>
      </c>
      <c r="M1754" s="5">
        <f>IF(COUNTIFS($A$2:A1754,A1754,$D$2:D1754,D1754)=1,L1754,0)</f>
        <v>24</v>
      </c>
      <c r="N1754" s="4">
        <f t="shared" si="138"/>
        <v>653.72833333333335</v>
      </c>
      <c r="O1754" t="str">
        <f t="shared" si="139"/>
        <v>OK</v>
      </c>
    </row>
    <row r="1755" spans="1:15">
      <c r="A1755" t="str">
        <f>'Raw Data'!A1755</f>
        <v>New Orleans RM-25</v>
      </c>
      <c r="B1755" t="str">
        <f>'Raw Data'!B1755</f>
        <v>Southeast</v>
      </c>
      <c r="C1755" t="str">
        <f>'Raw Data'!C1755</f>
        <v>Home Goods</v>
      </c>
      <c r="D1755" s="3">
        <f>'Raw Data'!D1755</f>
        <v>45778</v>
      </c>
      <c r="E1755" t="str">
        <f t="shared" si="135"/>
        <v>May</v>
      </c>
      <c r="F1755" s="5">
        <f>'Raw Data'!E1755</f>
        <v>91</v>
      </c>
      <c r="G1755" s="4">
        <f>'Raw Data'!F1755</f>
        <v>7102.17</v>
      </c>
      <c r="H1755" s="4">
        <f>'Raw Data'!G1755</f>
        <v>4870.87</v>
      </c>
      <c r="I1755" s="4">
        <f t="shared" si="136"/>
        <v>2231.3000000000002</v>
      </c>
      <c r="J1755" s="8">
        <f t="shared" si="137"/>
        <v>0.31417158417779356</v>
      </c>
      <c r="K1755" s="6">
        <f>'Raw Data'!I1755</f>
        <v>3.45</v>
      </c>
      <c r="L1755" s="5">
        <f>'Raw Data'!J1755</f>
        <v>24</v>
      </c>
      <c r="M1755" s="5">
        <f>IF(COUNTIFS($A$2:A1755,A1755,$D$2:D1755,D1755)=1,L1755,0)</f>
        <v>0</v>
      </c>
      <c r="N1755" s="4">
        <f t="shared" si="138"/>
        <v>295.92374999999998</v>
      </c>
      <c r="O1755" t="str">
        <f t="shared" si="139"/>
        <v>OK</v>
      </c>
    </row>
    <row r="1756" spans="1:15">
      <c r="A1756" t="str">
        <f>'Raw Data'!A1756</f>
        <v>New Orleans RM-25</v>
      </c>
      <c r="B1756" t="str">
        <f>'Raw Data'!B1756</f>
        <v>Southeast</v>
      </c>
      <c r="C1756" t="str">
        <f>'Raw Data'!C1756</f>
        <v>Apparel</v>
      </c>
      <c r="D1756" s="3">
        <f>'Raw Data'!D1756</f>
        <v>45778</v>
      </c>
      <c r="E1756" t="str">
        <f t="shared" si="135"/>
        <v>May</v>
      </c>
      <c r="F1756" s="5">
        <f>'Raw Data'!E1756</f>
        <v>123</v>
      </c>
      <c r="G1756" s="4">
        <f>'Raw Data'!F1756</f>
        <v>6032.9</v>
      </c>
      <c r="H1756" s="4">
        <f>'Raw Data'!G1756</f>
        <v>3858.06</v>
      </c>
      <c r="I1756" s="4">
        <f t="shared" si="136"/>
        <v>2174.8399999999997</v>
      </c>
      <c r="J1756" s="8">
        <f t="shared" si="137"/>
        <v>0.36049661025377511</v>
      </c>
      <c r="K1756" s="6">
        <f>'Raw Data'!I1756</f>
        <v>3.63</v>
      </c>
      <c r="L1756" s="5">
        <f>'Raw Data'!J1756</f>
        <v>24</v>
      </c>
      <c r="M1756" s="5">
        <f>IF(COUNTIFS($A$2:A1756,A1756,$D$2:D1756,D1756)=1,L1756,0)</f>
        <v>0</v>
      </c>
      <c r="N1756" s="4">
        <f t="shared" si="138"/>
        <v>251.37083333333331</v>
      </c>
      <c r="O1756" t="str">
        <f t="shared" si="139"/>
        <v>OK</v>
      </c>
    </row>
    <row r="1757" spans="1:15">
      <c r="A1757" t="str">
        <f>'Raw Data'!A1757</f>
        <v>New Orleans RM-25</v>
      </c>
      <c r="B1757" t="str">
        <f>'Raw Data'!B1757</f>
        <v>Southeast</v>
      </c>
      <c r="C1757" t="str">
        <f>'Raw Data'!C1757</f>
        <v>Beauty</v>
      </c>
      <c r="D1757" s="3">
        <f>'Raw Data'!D1757</f>
        <v>45778</v>
      </c>
      <c r="E1757" t="str">
        <f t="shared" si="135"/>
        <v>May</v>
      </c>
      <c r="F1757" s="5">
        <f>'Raw Data'!E1757</f>
        <v>99</v>
      </c>
      <c r="G1757" s="4">
        <f>'Raw Data'!F1757</f>
        <v>3528.66</v>
      </c>
      <c r="H1757" s="4">
        <f>'Raw Data'!G1757</f>
        <v>1840.57</v>
      </c>
      <c r="I1757" s="4">
        <f t="shared" si="136"/>
        <v>1688.09</v>
      </c>
      <c r="J1757" s="8">
        <f t="shared" si="137"/>
        <v>0.478394064602427</v>
      </c>
      <c r="K1757" s="6">
        <f>'Raw Data'!I1757</f>
        <v>3.59</v>
      </c>
      <c r="L1757" s="5">
        <f>'Raw Data'!J1757</f>
        <v>24</v>
      </c>
      <c r="M1757" s="5">
        <f>IF(COUNTIFS($A$2:A1757,A1757,$D$2:D1757,D1757)=1,L1757,0)</f>
        <v>0</v>
      </c>
      <c r="N1757" s="4">
        <f t="shared" si="138"/>
        <v>147.0275</v>
      </c>
      <c r="O1757" t="str">
        <f t="shared" si="139"/>
        <v>OK</v>
      </c>
    </row>
    <row r="1758" spans="1:15">
      <c r="A1758" t="str">
        <f>'Raw Data'!A1758</f>
        <v>New Orleans RM-25</v>
      </c>
      <c r="B1758" t="str">
        <f>'Raw Data'!B1758</f>
        <v>Southeast</v>
      </c>
      <c r="C1758" t="str">
        <f>'Raw Data'!C1758</f>
        <v>Grocery</v>
      </c>
      <c r="D1758" s="3">
        <f>'Raw Data'!D1758</f>
        <v>45778</v>
      </c>
      <c r="E1758" t="str">
        <f t="shared" si="135"/>
        <v>May</v>
      </c>
      <c r="F1758" s="5">
        <f>'Raw Data'!E1758</f>
        <v>171</v>
      </c>
      <c r="G1758" s="4">
        <f>'Raw Data'!F1758</f>
        <v>3153.31</v>
      </c>
      <c r="H1758" s="4">
        <f>'Raw Data'!G1758</f>
        <v>2923.84</v>
      </c>
      <c r="I1758" s="4">
        <f t="shared" si="136"/>
        <v>229.4699999999998</v>
      </c>
      <c r="J1758" s="8">
        <f t="shared" si="137"/>
        <v>7.2771151583574029E-2</v>
      </c>
      <c r="K1758" s="6">
        <f>'Raw Data'!I1758</f>
        <v>3.72</v>
      </c>
      <c r="L1758" s="5">
        <f>'Raw Data'!J1758</f>
        <v>24</v>
      </c>
      <c r="M1758" s="5">
        <f>IF(COUNTIFS($A$2:A1758,A1758,$D$2:D1758,D1758)=1,L1758,0)</f>
        <v>0</v>
      </c>
      <c r="N1758" s="4">
        <f t="shared" si="138"/>
        <v>131.38791666666665</v>
      </c>
      <c r="O1758" t="str">
        <f t="shared" si="139"/>
        <v>OK</v>
      </c>
    </row>
    <row r="1759" spans="1:15">
      <c r="A1759" t="str">
        <f>'Raw Data'!A1759</f>
        <v>New Orleans RM-25</v>
      </c>
      <c r="B1759" t="str">
        <f>'Raw Data'!B1759</f>
        <v>Southeast</v>
      </c>
      <c r="C1759" t="str">
        <f>'Raw Data'!C1759</f>
        <v>Sports</v>
      </c>
      <c r="D1759" s="3">
        <f>'Raw Data'!D1759</f>
        <v>45778</v>
      </c>
      <c r="E1759" t="str">
        <f t="shared" si="135"/>
        <v>May</v>
      </c>
      <c r="F1759" s="5">
        <f>'Raw Data'!E1759</f>
        <v>101</v>
      </c>
      <c r="G1759" s="4">
        <f>'Raw Data'!F1759</f>
        <v>6340.12</v>
      </c>
      <c r="H1759" s="4">
        <f>'Raw Data'!G1759</f>
        <v>4345.67</v>
      </c>
      <c r="I1759" s="4">
        <f t="shared" si="136"/>
        <v>1994.4499999999998</v>
      </c>
      <c r="J1759" s="8">
        <f t="shared" si="137"/>
        <v>0.31457606480634431</v>
      </c>
      <c r="K1759" s="6">
        <f>'Raw Data'!I1759</f>
        <v>3.45</v>
      </c>
      <c r="L1759" s="5">
        <f>'Raw Data'!J1759</f>
        <v>24</v>
      </c>
      <c r="M1759" s="5">
        <f>IF(COUNTIFS($A$2:A1759,A1759,$D$2:D1759,D1759)=1,L1759,0)</f>
        <v>0</v>
      </c>
      <c r="N1759" s="4">
        <f t="shared" si="138"/>
        <v>264.17166666666668</v>
      </c>
      <c r="O1759" t="str">
        <f t="shared" si="139"/>
        <v>OK</v>
      </c>
    </row>
    <row r="1760" spans="1:15">
      <c r="A1760" t="str">
        <f>'Raw Data'!A1760</f>
        <v>New Orleans RM-25</v>
      </c>
      <c r="B1760" t="str">
        <f>'Raw Data'!B1760</f>
        <v>Southeast</v>
      </c>
      <c r="C1760" t="str">
        <f>'Raw Data'!C1760</f>
        <v>Electronics</v>
      </c>
      <c r="D1760" s="3">
        <f>'Raw Data'!D1760</f>
        <v>45809</v>
      </c>
      <c r="E1760" t="str">
        <f t="shared" si="135"/>
        <v>Jun</v>
      </c>
      <c r="F1760" s="5">
        <f>'Raw Data'!E1760</f>
        <v>91</v>
      </c>
      <c r="G1760" s="4">
        <f>'Raw Data'!F1760</f>
        <v>13989.58</v>
      </c>
      <c r="H1760" s="4">
        <f>'Raw Data'!G1760</f>
        <v>11348.19</v>
      </c>
      <c r="I1760" s="4">
        <f t="shared" si="136"/>
        <v>2641.3899999999994</v>
      </c>
      <c r="J1760" s="8">
        <f t="shared" si="137"/>
        <v>0.18881124379716899</v>
      </c>
      <c r="K1760" s="6">
        <f>'Raw Data'!I1760</f>
        <v>3.47</v>
      </c>
      <c r="L1760" s="5">
        <f>'Raw Data'!J1760</f>
        <v>25</v>
      </c>
      <c r="M1760" s="5">
        <f>IF(COUNTIFS($A$2:A1760,A1760,$D$2:D1760,D1760)=1,L1760,0)</f>
        <v>25</v>
      </c>
      <c r="N1760" s="4">
        <f t="shared" si="138"/>
        <v>559.58320000000003</v>
      </c>
      <c r="O1760" t="str">
        <f t="shared" si="139"/>
        <v>OK</v>
      </c>
    </row>
    <row r="1761" spans="1:15">
      <c r="A1761" t="str">
        <f>'Raw Data'!A1761</f>
        <v>New Orleans RM-25</v>
      </c>
      <c r="B1761" t="str">
        <f>'Raw Data'!B1761</f>
        <v>Southeast</v>
      </c>
      <c r="C1761" t="str">
        <f>'Raw Data'!C1761</f>
        <v>Home Goods</v>
      </c>
      <c r="D1761" s="3">
        <f>'Raw Data'!D1761</f>
        <v>45809</v>
      </c>
      <c r="E1761" t="str">
        <f t="shared" si="135"/>
        <v>Jun</v>
      </c>
      <c r="F1761" s="5">
        <f>'Raw Data'!E1761</f>
        <v>97</v>
      </c>
      <c r="G1761" s="4">
        <f>'Raw Data'!F1761</f>
        <v>7136.48</v>
      </c>
      <c r="H1761" s="4">
        <f>'Raw Data'!G1761</f>
        <v>5154.53</v>
      </c>
      <c r="I1761" s="4">
        <f t="shared" si="136"/>
        <v>1981.9499999999998</v>
      </c>
      <c r="J1761" s="8">
        <f t="shared" si="137"/>
        <v>0.27772094926350244</v>
      </c>
      <c r="K1761" s="6">
        <f>'Raw Data'!I1761</f>
        <v>3.68</v>
      </c>
      <c r="L1761" s="5">
        <f>'Raw Data'!J1761</f>
        <v>25</v>
      </c>
      <c r="M1761" s="5">
        <f>IF(COUNTIFS($A$2:A1761,A1761,$D$2:D1761,D1761)=1,L1761,0)</f>
        <v>0</v>
      </c>
      <c r="N1761" s="4">
        <f t="shared" si="138"/>
        <v>285.45920000000001</v>
      </c>
      <c r="O1761" t="str">
        <f t="shared" si="139"/>
        <v>OK</v>
      </c>
    </row>
    <row r="1762" spans="1:15">
      <c r="A1762" t="str">
        <f>'Raw Data'!A1762</f>
        <v>New Orleans RM-25</v>
      </c>
      <c r="B1762" t="str">
        <f>'Raw Data'!B1762</f>
        <v>Southeast</v>
      </c>
      <c r="C1762" t="str">
        <f>'Raw Data'!C1762</f>
        <v>Apparel</v>
      </c>
      <c r="D1762" s="3">
        <f>'Raw Data'!D1762</f>
        <v>45809</v>
      </c>
      <c r="E1762" t="str">
        <f t="shared" si="135"/>
        <v>Jun</v>
      </c>
      <c r="F1762" s="5">
        <f>'Raw Data'!E1762</f>
        <v>115</v>
      </c>
      <c r="G1762" s="4">
        <f>'Raw Data'!F1762</f>
        <v>5725.73</v>
      </c>
      <c r="H1762" s="4">
        <f>'Raw Data'!G1762</f>
        <v>3799.88</v>
      </c>
      <c r="I1762" s="4">
        <f t="shared" si="136"/>
        <v>1925.8499999999995</v>
      </c>
      <c r="J1762" s="8">
        <f t="shared" si="137"/>
        <v>0.33635012478758158</v>
      </c>
      <c r="K1762" s="6">
        <f>'Raw Data'!I1762</f>
        <v>3.61</v>
      </c>
      <c r="L1762" s="5">
        <f>'Raw Data'!J1762</f>
        <v>25</v>
      </c>
      <c r="M1762" s="5">
        <f>IF(COUNTIFS($A$2:A1762,A1762,$D$2:D1762,D1762)=1,L1762,0)</f>
        <v>0</v>
      </c>
      <c r="N1762" s="4">
        <f t="shared" si="138"/>
        <v>229.02919999999997</v>
      </c>
      <c r="O1762" t="str">
        <f t="shared" si="139"/>
        <v>OK</v>
      </c>
    </row>
    <row r="1763" spans="1:15">
      <c r="A1763" t="str">
        <f>'Raw Data'!A1763</f>
        <v>New Orleans RM-25</v>
      </c>
      <c r="B1763" t="str">
        <f>'Raw Data'!B1763</f>
        <v>Southeast</v>
      </c>
      <c r="C1763" t="str">
        <f>'Raw Data'!C1763</f>
        <v>Beauty</v>
      </c>
      <c r="D1763" s="3">
        <f>'Raw Data'!D1763</f>
        <v>45809</v>
      </c>
      <c r="E1763" t="str">
        <f t="shared" si="135"/>
        <v>Jun</v>
      </c>
      <c r="F1763" s="5">
        <f>'Raw Data'!E1763</f>
        <v>113</v>
      </c>
      <c r="G1763" s="4">
        <f>'Raw Data'!F1763</f>
        <v>4012.51</v>
      </c>
      <c r="H1763" s="4">
        <f>'Raw Data'!G1763</f>
        <v>2116.48</v>
      </c>
      <c r="I1763" s="4">
        <f t="shared" si="136"/>
        <v>1896.0300000000002</v>
      </c>
      <c r="J1763" s="8">
        <f t="shared" si="137"/>
        <v>0.47252966347747422</v>
      </c>
      <c r="K1763" s="6">
        <f>'Raw Data'!I1763</f>
        <v>3.75</v>
      </c>
      <c r="L1763" s="5">
        <f>'Raw Data'!J1763</f>
        <v>25</v>
      </c>
      <c r="M1763" s="5">
        <f>IF(COUNTIFS($A$2:A1763,A1763,$D$2:D1763,D1763)=1,L1763,0)</f>
        <v>0</v>
      </c>
      <c r="N1763" s="4">
        <f t="shared" si="138"/>
        <v>160.50040000000001</v>
      </c>
      <c r="O1763" t="str">
        <f t="shared" si="139"/>
        <v>OK</v>
      </c>
    </row>
    <row r="1764" spans="1:15">
      <c r="A1764" t="str">
        <f>'Raw Data'!A1764</f>
        <v>New Orleans RM-25</v>
      </c>
      <c r="B1764" t="str">
        <f>'Raw Data'!B1764</f>
        <v>Southeast</v>
      </c>
      <c r="C1764" t="str">
        <f>'Raw Data'!C1764</f>
        <v>Grocery</v>
      </c>
      <c r="D1764" s="3">
        <f>'Raw Data'!D1764</f>
        <v>45809</v>
      </c>
      <c r="E1764" t="str">
        <f t="shared" si="135"/>
        <v>Jun</v>
      </c>
      <c r="F1764" s="5">
        <f>'Raw Data'!E1764</f>
        <v>158</v>
      </c>
      <c r="G1764" s="4">
        <f>'Raw Data'!F1764</f>
        <v>2737.97</v>
      </c>
      <c r="H1764" s="4">
        <f>'Raw Data'!G1764</f>
        <v>2580.29</v>
      </c>
      <c r="I1764" s="4">
        <f t="shared" si="136"/>
        <v>157.67999999999984</v>
      </c>
      <c r="J1764" s="8">
        <f t="shared" si="137"/>
        <v>5.7590112382531526E-2</v>
      </c>
      <c r="K1764" s="6">
        <f>'Raw Data'!I1764</f>
        <v>3.65</v>
      </c>
      <c r="L1764" s="5">
        <f>'Raw Data'!J1764</f>
        <v>25</v>
      </c>
      <c r="M1764" s="5">
        <f>IF(COUNTIFS($A$2:A1764,A1764,$D$2:D1764,D1764)=1,L1764,0)</f>
        <v>0</v>
      </c>
      <c r="N1764" s="4">
        <f t="shared" si="138"/>
        <v>109.5188</v>
      </c>
      <c r="O1764" t="str">
        <f t="shared" si="139"/>
        <v>OK</v>
      </c>
    </row>
    <row r="1765" spans="1:15">
      <c r="A1765" t="str">
        <f>'Raw Data'!A1765</f>
        <v>New Orleans RM-25</v>
      </c>
      <c r="B1765" t="str">
        <f>'Raw Data'!B1765</f>
        <v>Southeast</v>
      </c>
      <c r="C1765" t="str">
        <f>'Raw Data'!C1765</f>
        <v>Sports</v>
      </c>
      <c r="D1765" s="3">
        <f>'Raw Data'!D1765</f>
        <v>45809</v>
      </c>
      <c r="E1765" t="str">
        <f t="shared" si="135"/>
        <v>Jun</v>
      </c>
      <c r="F1765" s="5">
        <f>'Raw Data'!E1765</f>
        <v>93</v>
      </c>
      <c r="G1765" s="4">
        <f>'Raw Data'!F1765</f>
        <v>5454.1</v>
      </c>
      <c r="H1765" s="4">
        <f>'Raw Data'!G1765</f>
        <v>3673.16</v>
      </c>
      <c r="I1765" s="4">
        <f t="shared" si="136"/>
        <v>1780.9400000000005</v>
      </c>
      <c r="J1765" s="8">
        <f t="shared" si="137"/>
        <v>0.32653233347390043</v>
      </c>
      <c r="K1765" s="6">
        <f>'Raw Data'!I1765</f>
        <v>3.4</v>
      </c>
      <c r="L1765" s="5">
        <f>'Raw Data'!J1765</f>
        <v>25</v>
      </c>
      <c r="M1765" s="5">
        <f>IF(COUNTIFS($A$2:A1765,A1765,$D$2:D1765,D1765)=1,L1765,0)</f>
        <v>0</v>
      </c>
      <c r="N1765" s="4">
        <f t="shared" si="138"/>
        <v>218.16400000000002</v>
      </c>
      <c r="O1765" t="str">
        <f t="shared" si="139"/>
        <v>OK</v>
      </c>
    </row>
    <row r="1766" spans="1:15">
      <c r="A1766" t="str">
        <f>'Raw Data'!A1766</f>
        <v>New Orleans RM-25</v>
      </c>
      <c r="B1766" t="str">
        <f>'Raw Data'!B1766</f>
        <v>Southeast</v>
      </c>
      <c r="C1766" t="str">
        <f>'Raw Data'!C1766</f>
        <v>Electronics</v>
      </c>
      <c r="D1766" s="3">
        <f>'Raw Data'!D1766</f>
        <v>45839</v>
      </c>
      <c r="E1766" t="str">
        <f t="shared" si="135"/>
        <v>Jul</v>
      </c>
      <c r="F1766" s="5">
        <f>'Raw Data'!E1766</f>
        <v>109</v>
      </c>
      <c r="G1766" s="4">
        <f>'Raw Data'!F1766</f>
        <v>15328.31</v>
      </c>
      <c r="H1766" s="4">
        <f>'Raw Data'!G1766</f>
        <v>12570.01</v>
      </c>
      <c r="I1766" s="4">
        <f t="shared" si="136"/>
        <v>2758.2999999999993</v>
      </c>
      <c r="J1766" s="8">
        <f t="shared" si="137"/>
        <v>0.17994808299153653</v>
      </c>
      <c r="K1766" s="6">
        <f>'Raw Data'!I1766</f>
        <v>3.68</v>
      </c>
      <c r="L1766" s="5">
        <f>'Raw Data'!J1766</f>
        <v>25</v>
      </c>
      <c r="M1766" s="5">
        <f>IF(COUNTIFS($A$2:A1766,A1766,$D$2:D1766,D1766)=1,L1766,0)</f>
        <v>25</v>
      </c>
      <c r="N1766" s="4">
        <f t="shared" si="138"/>
        <v>613.13239999999996</v>
      </c>
      <c r="O1766" t="str">
        <f t="shared" si="139"/>
        <v>OK</v>
      </c>
    </row>
    <row r="1767" spans="1:15">
      <c r="A1767" t="str">
        <f>'Raw Data'!A1767</f>
        <v>New Orleans RM-25</v>
      </c>
      <c r="B1767" t="str">
        <f>'Raw Data'!B1767</f>
        <v>Southeast</v>
      </c>
      <c r="C1767" t="str">
        <f>'Raw Data'!C1767</f>
        <v>Home Goods</v>
      </c>
      <c r="D1767" s="3">
        <f>'Raw Data'!D1767</f>
        <v>45839</v>
      </c>
      <c r="E1767" t="str">
        <f t="shared" si="135"/>
        <v>Jul</v>
      </c>
      <c r="F1767" s="5">
        <f>'Raw Data'!E1767</f>
        <v>93</v>
      </c>
      <c r="G1767" s="4">
        <f>'Raw Data'!F1767</f>
        <v>7450.04</v>
      </c>
      <c r="H1767" s="4">
        <f>'Raw Data'!G1767</f>
        <v>5394.63</v>
      </c>
      <c r="I1767" s="4">
        <f t="shared" si="136"/>
        <v>2055.41</v>
      </c>
      <c r="J1767" s="8">
        <f t="shared" si="137"/>
        <v>0.27589247842964598</v>
      </c>
      <c r="K1767" s="6">
        <f>'Raw Data'!I1767</f>
        <v>3.53</v>
      </c>
      <c r="L1767" s="5">
        <f>'Raw Data'!J1767</f>
        <v>25</v>
      </c>
      <c r="M1767" s="5">
        <f>IF(COUNTIFS($A$2:A1767,A1767,$D$2:D1767,D1767)=1,L1767,0)</f>
        <v>0</v>
      </c>
      <c r="N1767" s="4">
        <f t="shared" si="138"/>
        <v>298.0016</v>
      </c>
      <c r="O1767" t="str">
        <f t="shared" si="139"/>
        <v>OK</v>
      </c>
    </row>
    <row r="1768" spans="1:15">
      <c r="A1768" t="str">
        <f>'Raw Data'!A1768</f>
        <v>New Orleans RM-25</v>
      </c>
      <c r="B1768" t="str">
        <f>'Raw Data'!B1768</f>
        <v>Southeast</v>
      </c>
      <c r="C1768" t="str">
        <f>'Raw Data'!C1768</f>
        <v>Apparel</v>
      </c>
      <c r="D1768" s="3">
        <f>'Raw Data'!D1768</f>
        <v>45839</v>
      </c>
      <c r="E1768" t="str">
        <f t="shared" si="135"/>
        <v>Jul</v>
      </c>
      <c r="F1768" s="5">
        <f>'Raw Data'!E1768</f>
        <v>113</v>
      </c>
      <c r="G1768" s="4">
        <f>'Raw Data'!F1768</f>
        <v>5103.67</v>
      </c>
      <c r="H1768" s="4">
        <f>'Raw Data'!G1768</f>
        <v>3224.78</v>
      </c>
      <c r="I1768" s="4">
        <f t="shared" si="136"/>
        <v>1878.8899999999999</v>
      </c>
      <c r="J1768" s="8">
        <f t="shared" si="137"/>
        <v>0.36814488397564887</v>
      </c>
      <c r="K1768" s="6">
        <f>'Raw Data'!I1768</f>
        <v>3.53</v>
      </c>
      <c r="L1768" s="5">
        <f>'Raw Data'!J1768</f>
        <v>25</v>
      </c>
      <c r="M1768" s="5">
        <f>IF(COUNTIFS($A$2:A1768,A1768,$D$2:D1768,D1768)=1,L1768,0)</f>
        <v>0</v>
      </c>
      <c r="N1768" s="4">
        <f t="shared" si="138"/>
        <v>204.14680000000001</v>
      </c>
      <c r="O1768" t="str">
        <f t="shared" si="139"/>
        <v>OK</v>
      </c>
    </row>
    <row r="1769" spans="1:15">
      <c r="A1769" t="str">
        <f>'Raw Data'!A1769</f>
        <v>New Orleans RM-25</v>
      </c>
      <c r="B1769" t="str">
        <f>'Raw Data'!B1769</f>
        <v>Southeast</v>
      </c>
      <c r="C1769" t="str">
        <f>'Raw Data'!C1769</f>
        <v>Beauty</v>
      </c>
      <c r="D1769" s="3">
        <f>'Raw Data'!D1769</f>
        <v>45839</v>
      </c>
      <c r="E1769" t="str">
        <f t="shared" si="135"/>
        <v>Jul</v>
      </c>
      <c r="F1769" s="5">
        <f>'Raw Data'!E1769</f>
        <v>117</v>
      </c>
      <c r="G1769" s="4">
        <f>'Raw Data'!F1769</f>
        <v>4286.37</v>
      </c>
      <c r="H1769" s="4">
        <f>'Raw Data'!G1769</f>
        <v>2227.23</v>
      </c>
      <c r="I1769" s="4">
        <f t="shared" si="136"/>
        <v>2059.14</v>
      </c>
      <c r="J1769" s="8">
        <f t="shared" si="137"/>
        <v>0.48039249994750799</v>
      </c>
      <c r="K1769" s="6">
        <f>'Raw Data'!I1769</f>
        <v>3.56</v>
      </c>
      <c r="L1769" s="5">
        <f>'Raw Data'!J1769</f>
        <v>25</v>
      </c>
      <c r="M1769" s="5">
        <f>IF(COUNTIFS($A$2:A1769,A1769,$D$2:D1769,D1769)=1,L1769,0)</f>
        <v>0</v>
      </c>
      <c r="N1769" s="4">
        <f t="shared" si="138"/>
        <v>171.45480000000001</v>
      </c>
      <c r="O1769" t="str">
        <f t="shared" si="139"/>
        <v>OK</v>
      </c>
    </row>
    <row r="1770" spans="1:15">
      <c r="A1770" t="str">
        <f>'Raw Data'!A1770</f>
        <v>New Orleans RM-25</v>
      </c>
      <c r="B1770" t="str">
        <f>'Raw Data'!B1770</f>
        <v>Southeast</v>
      </c>
      <c r="C1770" t="str">
        <f>'Raw Data'!C1770</f>
        <v>Grocery</v>
      </c>
      <c r="D1770" s="3">
        <f>'Raw Data'!D1770</f>
        <v>45839</v>
      </c>
      <c r="E1770" t="str">
        <f t="shared" si="135"/>
        <v>Jul</v>
      </c>
      <c r="F1770" s="5">
        <f>'Raw Data'!E1770</f>
        <v>155</v>
      </c>
      <c r="G1770" s="4">
        <f>'Raw Data'!F1770</f>
        <v>2763.18</v>
      </c>
      <c r="H1770" s="4">
        <f>'Raw Data'!G1770</f>
        <v>2702.73</v>
      </c>
      <c r="I1770" s="4">
        <f t="shared" si="136"/>
        <v>60.449999999999818</v>
      </c>
      <c r="J1770" s="8">
        <f t="shared" si="137"/>
        <v>2.1876967841400061E-2</v>
      </c>
      <c r="K1770" s="6">
        <f>'Raw Data'!I1770</f>
        <v>3.44</v>
      </c>
      <c r="L1770" s="5">
        <f>'Raw Data'!J1770</f>
        <v>25</v>
      </c>
      <c r="M1770" s="5">
        <f>IF(COUNTIFS($A$2:A1770,A1770,$D$2:D1770,D1770)=1,L1770,0)</f>
        <v>0</v>
      </c>
      <c r="N1770" s="4">
        <f t="shared" si="138"/>
        <v>110.52719999999999</v>
      </c>
      <c r="O1770" t="str">
        <f t="shared" si="139"/>
        <v>OK</v>
      </c>
    </row>
    <row r="1771" spans="1:15">
      <c r="A1771" t="str">
        <f>'Raw Data'!A1771</f>
        <v>New Orleans RM-25</v>
      </c>
      <c r="B1771" t="str">
        <f>'Raw Data'!B1771</f>
        <v>Southeast</v>
      </c>
      <c r="C1771" t="str">
        <f>'Raw Data'!C1771</f>
        <v>Sports</v>
      </c>
      <c r="D1771" s="3">
        <f>'Raw Data'!D1771</f>
        <v>45839</v>
      </c>
      <c r="E1771" t="str">
        <f t="shared" si="135"/>
        <v>Jul</v>
      </c>
      <c r="F1771" s="5">
        <f>'Raw Data'!E1771</f>
        <v>89</v>
      </c>
      <c r="G1771" s="4">
        <f>'Raw Data'!F1771</f>
        <v>5406.39</v>
      </c>
      <c r="H1771" s="4">
        <f>'Raw Data'!G1771</f>
        <v>3672.82</v>
      </c>
      <c r="I1771" s="4">
        <f t="shared" si="136"/>
        <v>1733.5700000000002</v>
      </c>
      <c r="J1771" s="8">
        <f t="shared" si="137"/>
        <v>0.32065204323032559</v>
      </c>
      <c r="K1771" s="6">
        <f>'Raw Data'!I1771</f>
        <v>3.49</v>
      </c>
      <c r="L1771" s="5">
        <f>'Raw Data'!J1771</f>
        <v>25</v>
      </c>
      <c r="M1771" s="5">
        <f>IF(COUNTIFS($A$2:A1771,A1771,$D$2:D1771,D1771)=1,L1771,0)</f>
        <v>0</v>
      </c>
      <c r="N1771" s="4">
        <f t="shared" si="138"/>
        <v>216.25560000000002</v>
      </c>
      <c r="O1771" t="str">
        <f t="shared" si="139"/>
        <v>OK</v>
      </c>
    </row>
    <row r="1772" spans="1:15">
      <c r="A1772" t="str">
        <f>'Raw Data'!A1772</f>
        <v>New Orleans RM-25</v>
      </c>
      <c r="B1772" t="str">
        <f>'Raw Data'!B1772</f>
        <v>Southeast</v>
      </c>
      <c r="C1772" t="str">
        <f>'Raw Data'!C1772</f>
        <v>Electronics</v>
      </c>
      <c r="D1772" s="3">
        <f>'Raw Data'!D1772</f>
        <v>45870</v>
      </c>
      <c r="E1772" t="str">
        <f t="shared" si="135"/>
        <v>Aug</v>
      </c>
      <c r="F1772" s="5">
        <f>'Raw Data'!E1772</f>
        <v>101</v>
      </c>
      <c r="G1772" s="4">
        <f>'Raw Data'!F1772</f>
        <v>14132.36</v>
      </c>
      <c r="H1772" s="4">
        <f>'Raw Data'!G1772</f>
        <v>11351.91</v>
      </c>
      <c r="I1772" s="4">
        <f t="shared" si="136"/>
        <v>2780.4500000000007</v>
      </c>
      <c r="J1772" s="8">
        <f t="shared" si="137"/>
        <v>0.19674350214684599</v>
      </c>
      <c r="K1772" s="6">
        <f>'Raw Data'!I1772</f>
        <v>3.7</v>
      </c>
      <c r="L1772" s="5">
        <f>'Raw Data'!J1772</f>
        <v>25</v>
      </c>
      <c r="M1772" s="5">
        <f>IF(COUNTIFS($A$2:A1772,A1772,$D$2:D1772,D1772)=1,L1772,0)</f>
        <v>25</v>
      </c>
      <c r="N1772" s="4">
        <f t="shared" si="138"/>
        <v>565.2944</v>
      </c>
      <c r="O1772" t="str">
        <f t="shared" si="139"/>
        <v>OK</v>
      </c>
    </row>
    <row r="1773" spans="1:15">
      <c r="A1773" t="str">
        <f>'Raw Data'!A1773</f>
        <v>New Orleans RM-25</v>
      </c>
      <c r="B1773" t="str">
        <f>'Raw Data'!B1773</f>
        <v>Southeast</v>
      </c>
      <c r="C1773" t="str">
        <f>'Raw Data'!C1773</f>
        <v>Home Goods</v>
      </c>
      <c r="D1773" s="3">
        <f>'Raw Data'!D1773</f>
        <v>45870</v>
      </c>
      <c r="E1773" t="str">
        <f t="shared" si="135"/>
        <v>Aug</v>
      </c>
      <c r="F1773" s="5">
        <f>'Raw Data'!E1773</f>
        <v>105</v>
      </c>
      <c r="G1773" s="4">
        <f>'Raw Data'!F1773</f>
        <v>8518.58</v>
      </c>
      <c r="H1773" s="4">
        <f>'Raw Data'!G1773</f>
        <v>5932.28</v>
      </c>
      <c r="I1773" s="4">
        <f t="shared" si="136"/>
        <v>2586.3000000000002</v>
      </c>
      <c r="J1773" s="8">
        <f t="shared" si="137"/>
        <v>0.30360693918469983</v>
      </c>
      <c r="K1773" s="6">
        <f>'Raw Data'!I1773</f>
        <v>3.64</v>
      </c>
      <c r="L1773" s="5">
        <f>'Raw Data'!J1773</f>
        <v>25</v>
      </c>
      <c r="M1773" s="5">
        <f>IF(COUNTIFS($A$2:A1773,A1773,$D$2:D1773,D1773)=1,L1773,0)</f>
        <v>0</v>
      </c>
      <c r="N1773" s="4">
        <f t="shared" si="138"/>
        <v>340.7432</v>
      </c>
      <c r="O1773" t="str">
        <f t="shared" si="139"/>
        <v>OK</v>
      </c>
    </row>
    <row r="1774" spans="1:15">
      <c r="A1774" t="str">
        <f>'Raw Data'!A1774</f>
        <v>New Orleans RM-25</v>
      </c>
      <c r="B1774" t="str">
        <f>'Raw Data'!B1774</f>
        <v>Southeast</v>
      </c>
      <c r="C1774" t="str">
        <f>'Raw Data'!C1774</f>
        <v>Apparel</v>
      </c>
      <c r="D1774" s="3">
        <f>'Raw Data'!D1774</f>
        <v>45870</v>
      </c>
      <c r="E1774" t="str">
        <f t="shared" si="135"/>
        <v>Aug</v>
      </c>
      <c r="F1774" s="5">
        <f>'Raw Data'!E1774</f>
        <v>130</v>
      </c>
      <c r="G1774" s="4">
        <f>'Raw Data'!F1774</f>
        <v>5962.54</v>
      </c>
      <c r="H1774" s="4">
        <f>'Raw Data'!G1774</f>
        <v>4019.9</v>
      </c>
      <c r="I1774" s="4">
        <f t="shared" si="136"/>
        <v>1942.6399999999999</v>
      </c>
      <c r="J1774" s="8">
        <f t="shared" si="137"/>
        <v>0.32580745789546062</v>
      </c>
      <c r="K1774" s="6">
        <f>'Raw Data'!I1774</f>
        <v>3.51</v>
      </c>
      <c r="L1774" s="5">
        <f>'Raw Data'!J1774</f>
        <v>25</v>
      </c>
      <c r="M1774" s="5">
        <f>IF(COUNTIFS($A$2:A1774,A1774,$D$2:D1774,D1774)=1,L1774,0)</f>
        <v>0</v>
      </c>
      <c r="N1774" s="4">
        <f t="shared" si="138"/>
        <v>238.5016</v>
      </c>
      <c r="O1774" t="str">
        <f t="shared" si="139"/>
        <v>OK</v>
      </c>
    </row>
    <row r="1775" spans="1:15">
      <c r="A1775" t="str">
        <f>'Raw Data'!A1775</f>
        <v>New Orleans RM-25</v>
      </c>
      <c r="B1775" t="str">
        <f>'Raw Data'!B1775</f>
        <v>Southeast</v>
      </c>
      <c r="C1775" t="str">
        <f>'Raw Data'!C1775</f>
        <v>Beauty</v>
      </c>
      <c r="D1775" s="3">
        <f>'Raw Data'!D1775</f>
        <v>45870</v>
      </c>
      <c r="E1775" t="str">
        <f t="shared" si="135"/>
        <v>Aug</v>
      </c>
      <c r="F1775" s="5">
        <f>'Raw Data'!E1775</f>
        <v>112</v>
      </c>
      <c r="G1775" s="4">
        <f>'Raw Data'!F1775</f>
        <v>3925.64</v>
      </c>
      <c r="H1775" s="4">
        <f>'Raw Data'!G1775</f>
        <v>2147.21</v>
      </c>
      <c r="I1775" s="4">
        <f t="shared" si="136"/>
        <v>1778.4299999999998</v>
      </c>
      <c r="J1775" s="8">
        <f t="shared" si="137"/>
        <v>0.4530293149652031</v>
      </c>
      <c r="K1775" s="6">
        <f>'Raw Data'!I1775</f>
        <v>3.64</v>
      </c>
      <c r="L1775" s="5">
        <f>'Raw Data'!J1775</f>
        <v>25</v>
      </c>
      <c r="M1775" s="5">
        <f>IF(COUNTIFS($A$2:A1775,A1775,$D$2:D1775,D1775)=1,L1775,0)</f>
        <v>0</v>
      </c>
      <c r="N1775" s="4">
        <f t="shared" si="138"/>
        <v>157.0256</v>
      </c>
      <c r="O1775" t="str">
        <f t="shared" si="139"/>
        <v>OK</v>
      </c>
    </row>
    <row r="1776" spans="1:15">
      <c r="A1776" t="str">
        <f>'Raw Data'!A1776</f>
        <v>New Orleans RM-25</v>
      </c>
      <c r="B1776" t="str">
        <f>'Raw Data'!B1776</f>
        <v>Southeast</v>
      </c>
      <c r="C1776" t="str">
        <f>'Raw Data'!C1776</f>
        <v>Grocery</v>
      </c>
      <c r="D1776" s="3">
        <f>'Raw Data'!D1776</f>
        <v>45870</v>
      </c>
      <c r="E1776" t="str">
        <f t="shared" si="135"/>
        <v>Aug</v>
      </c>
      <c r="F1776" s="5">
        <f>'Raw Data'!E1776</f>
        <v>203</v>
      </c>
      <c r="G1776" s="4">
        <f>'Raw Data'!F1776</f>
        <v>3945.14</v>
      </c>
      <c r="H1776" s="4">
        <f>'Raw Data'!G1776</f>
        <v>3861.96</v>
      </c>
      <c r="I1776" s="4">
        <f t="shared" si="136"/>
        <v>83.179999999999836</v>
      </c>
      <c r="J1776" s="8">
        <f t="shared" si="137"/>
        <v>2.1084169383089026E-2</v>
      </c>
      <c r="K1776" s="6">
        <f>'Raw Data'!I1776</f>
        <v>3.69</v>
      </c>
      <c r="L1776" s="5">
        <f>'Raw Data'!J1776</f>
        <v>25</v>
      </c>
      <c r="M1776" s="5">
        <f>IF(COUNTIFS($A$2:A1776,A1776,$D$2:D1776,D1776)=1,L1776,0)</f>
        <v>0</v>
      </c>
      <c r="N1776" s="4">
        <f t="shared" si="138"/>
        <v>157.8056</v>
      </c>
      <c r="O1776" t="str">
        <f t="shared" si="139"/>
        <v>OK</v>
      </c>
    </row>
    <row r="1777" spans="1:15">
      <c r="A1777" t="str">
        <f>'Raw Data'!A1777</f>
        <v>New Orleans RM-25</v>
      </c>
      <c r="B1777" t="str">
        <f>'Raw Data'!B1777</f>
        <v>Southeast</v>
      </c>
      <c r="C1777" t="str">
        <f>'Raw Data'!C1777</f>
        <v>Sports</v>
      </c>
      <c r="D1777" s="3">
        <f>'Raw Data'!D1777</f>
        <v>45870</v>
      </c>
      <c r="E1777" t="str">
        <f t="shared" si="135"/>
        <v>Aug</v>
      </c>
      <c r="F1777" s="5">
        <f>'Raw Data'!E1777</f>
        <v>90</v>
      </c>
      <c r="G1777" s="4">
        <f>'Raw Data'!F1777</f>
        <v>5296.27</v>
      </c>
      <c r="H1777" s="4">
        <f>'Raw Data'!G1777</f>
        <v>3612.75</v>
      </c>
      <c r="I1777" s="4">
        <f t="shared" si="136"/>
        <v>1683.5200000000004</v>
      </c>
      <c r="J1777" s="8">
        <f t="shared" si="137"/>
        <v>0.31786899081806635</v>
      </c>
      <c r="K1777" s="6">
        <f>'Raw Data'!I1777</f>
        <v>3.73</v>
      </c>
      <c r="L1777" s="5">
        <f>'Raw Data'!J1777</f>
        <v>25</v>
      </c>
      <c r="M1777" s="5">
        <f>IF(COUNTIFS($A$2:A1777,A1777,$D$2:D1777,D1777)=1,L1777,0)</f>
        <v>0</v>
      </c>
      <c r="N1777" s="4">
        <f t="shared" si="138"/>
        <v>211.85080000000002</v>
      </c>
      <c r="O1777" t="str">
        <f t="shared" si="139"/>
        <v>OK</v>
      </c>
    </row>
    <row r="1778" spans="1:15">
      <c r="A1778" t="str">
        <f>'Raw Data'!A1778</f>
        <v>New Orleans RM-25</v>
      </c>
      <c r="B1778" t="str">
        <f>'Raw Data'!B1778</f>
        <v>Southeast</v>
      </c>
      <c r="C1778" t="str">
        <f>'Raw Data'!C1778</f>
        <v>Electronics</v>
      </c>
      <c r="D1778" s="3">
        <f>'Raw Data'!D1778</f>
        <v>45901</v>
      </c>
      <c r="E1778" t="str">
        <f t="shared" si="135"/>
        <v>Sep</v>
      </c>
      <c r="F1778" s="5">
        <f>'Raw Data'!E1778</f>
        <v>105</v>
      </c>
      <c r="G1778" s="4">
        <f>'Raw Data'!F1778</f>
        <v>15109.23</v>
      </c>
      <c r="H1778" s="4">
        <f>'Raw Data'!G1778</f>
        <v>12661.16</v>
      </c>
      <c r="I1778" s="4">
        <f t="shared" si="136"/>
        <v>2448.0699999999997</v>
      </c>
      <c r="J1778" s="8">
        <f t="shared" si="137"/>
        <v>0.1620248020580797</v>
      </c>
      <c r="K1778" s="6">
        <f>'Raw Data'!I1778</f>
        <v>3.75</v>
      </c>
      <c r="L1778" s="5">
        <f>'Raw Data'!J1778</f>
        <v>24</v>
      </c>
      <c r="M1778" s="5">
        <f>IF(COUNTIFS($A$2:A1778,A1778,$D$2:D1778,D1778)=1,L1778,0)</f>
        <v>24</v>
      </c>
      <c r="N1778" s="4">
        <f t="shared" si="138"/>
        <v>629.55124999999998</v>
      </c>
      <c r="O1778" t="str">
        <f t="shared" si="139"/>
        <v>OK</v>
      </c>
    </row>
    <row r="1779" spans="1:15">
      <c r="A1779" t="str">
        <f>'Raw Data'!A1779</f>
        <v>New Orleans RM-25</v>
      </c>
      <c r="B1779" t="str">
        <f>'Raw Data'!B1779</f>
        <v>Southeast</v>
      </c>
      <c r="C1779" t="str">
        <f>'Raw Data'!C1779</f>
        <v>Home Goods</v>
      </c>
      <c r="D1779" s="3">
        <f>'Raw Data'!D1779</f>
        <v>45901</v>
      </c>
      <c r="E1779" t="str">
        <f t="shared" si="135"/>
        <v>Sep</v>
      </c>
      <c r="F1779" s="5">
        <f>'Raw Data'!E1779</f>
        <v>99</v>
      </c>
      <c r="G1779" s="4">
        <f>'Raw Data'!F1779</f>
        <v>7330.16</v>
      </c>
      <c r="H1779" s="4">
        <f>'Raw Data'!G1779</f>
        <v>5155.3999999999996</v>
      </c>
      <c r="I1779" s="4">
        <f t="shared" si="136"/>
        <v>2174.7600000000002</v>
      </c>
      <c r="J1779" s="8">
        <f t="shared" si="137"/>
        <v>0.29668656618682271</v>
      </c>
      <c r="K1779" s="6">
        <f>'Raw Data'!I1779</f>
        <v>3.62</v>
      </c>
      <c r="L1779" s="5">
        <f>'Raw Data'!J1779</f>
        <v>24</v>
      </c>
      <c r="M1779" s="5">
        <f>IF(COUNTIFS($A$2:A1779,A1779,$D$2:D1779,D1779)=1,L1779,0)</f>
        <v>0</v>
      </c>
      <c r="N1779" s="4">
        <f t="shared" si="138"/>
        <v>305.42333333333335</v>
      </c>
      <c r="O1779" t="str">
        <f t="shared" si="139"/>
        <v>OK</v>
      </c>
    </row>
    <row r="1780" spans="1:15">
      <c r="A1780" t="str">
        <f>'Raw Data'!A1780</f>
        <v>New Orleans RM-25</v>
      </c>
      <c r="B1780" t="str">
        <f>'Raw Data'!B1780</f>
        <v>Southeast</v>
      </c>
      <c r="C1780" t="str">
        <f>'Raw Data'!C1780</f>
        <v>Apparel</v>
      </c>
      <c r="D1780" s="3">
        <f>'Raw Data'!D1780</f>
        <v>45901</v>
      </c>
      <c r="E1780" t="str">
        <f t="shared" si="135"/>
        <v>Sep</v>
      </c>
      <c r="F1780" s="5">
        <f>'Raw Data'!E1780</f>
        <v>121</v>
      </c>
      <c r="G1780" s="4">
        <f>'Raw Data'!F1780</f>
        <v>6101.55</v>
      </c>
      <c r="H1780" s="4">
        <f>'Raw Data'!G1780</f>
        <v>4003.5</v>
      </c>
      <c r="I1780" s="4">
        <f t="shared" si="136"/>
        <v>2098.0500000000002</v>
      </c>
      <c r="J1780" s="8">
        <f t="shared" si="137"/>
        <v>0.34385524989551836</v>
      </c>
      <c r="K1780" s="6">
        <f>'Raw Data'!I1780</f>
        <v>3.42</v>
      </c>
      <c r="L1780" s="5">
        <f>'Raw Data'!J1780</f>
        <v>24</v>
      </c>
      <c r="M1780" s="5">
        <f>IF(COUNTIFS($A$2:A1780,A1780,$D$2:D1780,D1780)=1,L1780,0)</f>
        <v>0</v>
      </c>
      <c r="N1780" s="4">
        <f t="shared" si="138"/>
        <v>254.23125000000002</v>
      </c>
      <c r="O1780" t="str">
        <f t="shared" si="139"/>
        <v>OK</v>
      </c>
    </row>
    <row r="1781" spans="1:15">
      <c r="A1781" t="str">
        <f>'Raw Data'!A1781</f>
        <v>New Orleans RM-25</v>
      </c>
      <c r="B1781" t="str">
        <f>'Raw Data'!B1781</f>
        <v>Southeast</v>
      </c>
      <c r="C1781" t="str">
        <f>'Raw Data'!C1781</f>
        <v>Beauty</v>
      </c>
      <c r="D1781" s="3">
        <f>'Raw Data'!D1781</f>
        <v>45901</v>
      </c>
      <c r="E1781" t="str">
        <f t="shared" si="135"/>
        <v>Sep</v>
      </c>
      <c r="F1781" s="5">
        <f>'Raw Data'!E1781</f>
        <v>106</v>
      </c>
      <c r="G1781" s="4">
        <f>'Raw Data'!F1781</f>
        <v>4012.09</v>
      </c>
      <c r="H1781" s="4">
        <f>'Raw Data'!G1781</f>
        <v>2227.3000000000002</v>
      </c>
      <c r="I1781" s="4">
        <f t="shared" si="136"/>
        <v>1784.79</v>
      </c>
      <c r="J1781" s="8">
        <f t="shared" si="137"/>
        <v>0.4448529320129907</v>
      </c>
      <c r="K1781" s="6">
        <f>'Raw Data'!I1781</f>
        <v>3.71</v>
      </c>
      <c r="L1781" s="5">
        <f>'Raw Data'!J1781</f>
        <v>24</v>
      </c>
      <c r="M1781" s="5">
        <f>IF(COUNTIFS($A$2:A1781,A1781,$D$2:D1781,D1781)=1,L1781,0)</f>
        <v>0</v>
      </c>
      <c r="N1781" s="4">
        <f t="shared" si="138"/>
        <v>167.17041666666668</v>
      </c>
      <c r="O1781" t="str">
        <f t="shared" si="139"/>
        <v>OK</v>
      </c>
    </row>
    <row r="1782" spans="1:15">
      <c r="A1782" t="str">
        <f>'Raw Data'!A1782</f>
        <v>New Orleans RM-25</v>
      </c>
      <c r="B1782" t="str">
        <f>'Raw Data'!B1782</f>
        <v>Southeast</v>
      </c>
      <c r="C1782" t="str">
        <f>'Raw Data'!C1782</f>
        <v>Grocery</v>
      </c>
      <c r="D1782" s="3">
        <f>'Raw Data'!D1782</f>
        <v>45901</v>
      </c>
      <c r="E1782" t="str">
        <f t="shared" si="135"/>
        <v>Sep</v>
      </c>
      <c r="F1782" s="5">
        <f>'Raw Data'!E1782</f>
        <v>187</v>
      </c>
      <c r="G1782" s="4">
        <f>'Raw Data'!F1782</f>
        <v>3262.64</v>
      </c>
      <c r="H1782" s="4">
        <f>'Raw Data'!G1782</f>
        <v>3053.47</v>
      </c>
      <c r="I1782" s="4">
        <f t="shared" si="136"/>
        <v>209.17000000000007</v>
      </c>
      <c r="J1782" s="8">
        <f t="shared" si="137"/>
        <v>6.4110658852953459E-2</v>
      </c>
      <c r="K1782" s="6">
        <f>'Raw Data'!I1782</f>
        <v>3.54</v>
      </c>
      <c r="L1782" s="5">
        <f>'Raw Data'!J1782</f>
        <v>24</v>
      </c>
      <c r="M1782" s="5">
        <f>IF(COUNTIFS($A$2:A1782,A1782,$D$2:D1782,D1782)=1,L1782,0)</f>
        <v>0</v>
      </c>
      <c r="N1782" s="4">
        <f t="shared" si="138"/>
        <v>135.94333333333333</v>
      </c>
      <c r="O1782" t="str">
        <f t="shared" si="139"/>
        <v>OK</v>
      </c>
    </row>
    <row r="1783" spans="1:15">
      <c r="A1783" t="str">
        <f>'Raw Data'!A1783</f>
        <v>New Orleans RM-25</v>
      </c>
      <c r="B1783" t="str">
        <f>'Raw Data'!B1783</f>
        <v>Southeast</v>
      </c>
      <c r="C1783" t="str">
        <f>'Raw Data'!C1783</f>
        <v>Sports</v>
      </c>
      <c r="D1783" s="3">
        <f>'Raw Data'!D1783</f>
        <v>45901</v>
      </c>
      <c r="E1783" t="str">
        <f t="shared" si="135"/>
        <v>Sep</v>
      </c>
      <c r="F1783" s="5">
        <f>'Raw Data'!E1783</f>
        <v>71</v>
      </c>
      <c r="G1783" s="4">
        <f>'Raw Data'!F1783</f>
        <v>4546.78</v>
      </c>
      <c r="H1783" s="4">
        <f>'Raw Data'!G1783</f>
        <v>3112.94</v>
      </c>
      <c r="I1783" s="4">
        <f t="shared" si="136"/>
        <v>1433.8399999999997</v>
      </c>
      <c r="J1783" s="8">
        <f t="shared" si="137"/>
        <v>0.3153528431109488</v>
      </c>
      <c r="K1783" s="6">
        <f>'Raw Data'!I1783</f>
        <v>3.58</v>
      </c>
      <c r="L1783" s="5">
        <f>'Raw Data'!J1783</f>
        <v>24</v>
      </c>
      <c r="M1783" s="5">
        <f>IF(COUNTIFS($A$2:A1783,A1783,$D$2:D1783,D1783)=1,L1783,0)</f>
        <v>0</v>
      </c>
      <c r="N1783" s="4">
        <f t="shared" si="138"/>
        <v>189.44916666666666</v>
      </c>
      <c r="O1783" t="str">
        <f t="shared" si="139"/>
        <v>OK</v>
      </c>
    </row>
    <row r="1784" spans="1:15">
      <c r="A1784" t="str">
        <f>'Raw Data'!A1784</f>
        <v>New Orleans RM-25</v>
      </c>
      <c r="B1784" t="str">
        <f>'Raw Data'!B1784</f>
        <v>Southeast</v>
      </c>
      <c r="C1784" t="str">
        <f>'Raw Data'!C1784</f>
        <v>Electronics</v>
      </c>
      <c r="D1784" s="3">
        <f>'Raw Data'!D1784</f>
        <v>45931</v>
      </c>
      <c r="E1784" t="str">
        <f t="shared" si="135"/>
        <v>Oct</v>
      </c>
      <c r="F1784" s="5">
        <f>'Raw Data'!E1784</f>
        <v>99</v>
      </c>
      <c r="G1784" s="4">
        <f>'Raw Data'!F1784</f>
        <v>14140.47</v>
      </c>
      <c r="H1784" s="4">
        <f>'Raw Data'!G1784</f>
        <v>11774.08</v>
      </c>
      <c r="I1784" s="4">
        <f t="shared" si="136"/>
        <v>2366.3899999999994</v>
      </c>
      <c r="J1784" s="8">
        <f t="shared" si="137"/>
        <v>0.16734875149128703</v>
      </c>
      <c r="K1784" s="6">
        <f>'Raw Data'!I1784</f>
        <v>3.65</v>
      </c>
      <c r="L1784" s="5">
        <f>'Raw Data'!J1784</f>
        <v>24</v>
      </c>
      <c r="M1784" s="5">
        <f>IF(COUNTIFS($A$2:A1784,A1784,$D$2:D1784,D1784)=1,L1784,0)</f>
        <v>24</v>
      </c>
      <c r="N1784" s="4">
        <f t="shared" si="138"/>
        <v>589.18624999999997</v>
      </c>
      <c r="O1784" t="str">
        <f t="shared" si="139"/>
        <v>OK</v>
      </c>
    </row>
    <row r="1785" spans="1:15">
      <c r="A1785" t="str">
        <f>'Raw Data'!A1785</f>
        <v>New Orleans RM-25</v>
      </c>
      <c r="B1785" t="str">
        <f>'Raw Data'!B1785</f>
        <v>Southeast</v>
      </c>
      <c r="C1785" t="str">
        <f>'Raw Data'!C1785</f>
        <v>Home Goods</v>
      </c>
      <c r="D1785" s="3">
        <f>'Raw Data'!D1785</f>
        <v>45931</v>
      </c>
      <c r="E1785" t="str">
        <f t="shared" si="135"/>
        <v>Oct</v>
      </c>
      <c r="F1785" s="5">
        <f>'Raw Data'!E1785</f>
        <v>98</v>
      </c>
      <c r="G1785" s="4">
        <f>'Raw Data'!F1785</f>
        <v>7747.34</v>
      </c>
      <c r="H1785" s="4">
        <f>'Raw Data'!G1785</f>
        <v>5646.05</v>
      </c>
      <c r="I1785" s="4">
        <f t="shared" si="136"/>
        <v>2101.29</v>
      </c>
      <c r="J1785" s="8">
        <f t="shared" si="137"/>
        <v>0.27122728575227112</v>
      </c>
      <c r="K1785" s="6">
        <f>'Raw Data'!I1785</f>
        <v>3.5</v>
      </c>
      <c r="L1785" s="5">
        <f>'Raw Data'!J1785</f>
        <v>24</v>
      </c>
      <c r="M1785" s="5">
        <f>IF(COUNTIFS($A$2:A1785,A1785,$D$2:D1785,D1785)=1,L1785,0)</f>
        <v>0</v>
      </c>
      <c r="N1785" s="4">
        <f t="shared" si="138"/>
        <v>322.80583333333334</v>
      </c>
      <c r="O1785" t="str">
        <f t="shared" si="139"/>
        <v>OK</v>
      </c>
    </row>
    <row r="1786" spans="1:15">
      <c r="A1786" t="str">
        <f>'Raw Data'!A1786</f>
        <v>New Orleans RM-25</v>
      </c>
      <c r="B1786" t="str">
        <f>'Raw Data'!B1786</f>
        <v>Southeast</v>
      </c>
      <c r="C1786" t="str">
        <f>'Raw Data'!C1786</f>
        <v>Apparel</v>
      </c>
      <c r="D1786" s="3">
        <f>'Raw Data'!D1786</f>
        <v>45931</v>
      </c>
      <c r="E1786" t="str">
        <f t="shared" si="135"/>
        <v>Oct</v>
      </c>
      <c r="F1786" s="5">
        <f>'Raw Data'!E1786</f>
        <v>106</v>
      </c>
      <c r="G1786" s="4">
        <f>'Raw Data'!F1786</f>
        <v>5198.7</v>
      </c>
      <c r="H1786" s="4">
        <f>'Raw Data'!G1786</f>
        <v>3381.23</v>
      </c>
      <c r="I1786" s="4">
        <f t="shared" si="136"/>
        <v>1817.4699999999998</v>
      </c>
      <c r="J1786" s="8">
        <f t="shared" si="137"/>
        <v>0.34960086175389998</v>
      </c>
      <c r="K1786" s="6">
        <f>'Raw Data'!I1786</f>
        <v>3.48</v>
      </c>
      <c r="L1786" s="5">
        <f>'Raw Data'!J1786</f>
        <v>24</v>
      </c>
      <c r="M1786" s="5">
        <f>IF(COUNTIFS($A$2:A1786,A1786,$D$2:D1786,D1786)=1,L1786,0)</f>
        <v>0</v>
      </c>
      <c r="N1786" s="4">
        <f t="shared" si="138"/>
        <v>216.61249999999998</v>
      </c>
      <c r="O1786" t="str">
        <f t="shared" si="139"/>
        <v>OK</v>
      </c>
    </row>
    <row r="1787" spans="1:15">
      <c r="A1787" t="str">
        <f>'Raw Data'!A1787</f>
        <v>New Orleans RM-25</v>
      </c>
      <c r="B1787" t="str">
        <f>'Raw Data'!B1787</f>
        <v>Southeast</v>
      </c>
      <c r="C1787" t="str">
        <f>'Raw Data'!C1787</f>
        <v>Beauty</v>
      </c>
      <c r="D1787" s="3">
        <f>'Raw Data'!D1787</f>
        <v>45931</v>
      </c>
      <c r="E1787" t="str">
        <f t="shared" si="135"/>
        <v>Oct</v>
      </c>
      <c r="F1787" s="5">
        <f>'Raw Data'!E1787</f>
        <v>114</v>
      </c>
      <c r="G1787" s="4">
        <f>'Raw Data'!F1787</f>
        <v>3974.4</v>
      </c>
      <c r="H1787" s="4">
        <f>'Raw Data'!G1787</f>
        <v>2229.4899999999998</v>
      </c>
      <c r="I1787" s="4">
        <f t="shared" si="136"/>
        <v>1744.9100000000003</v>
      </c>
      <c r="J1787" s="8">
        <f t="shared" si="137"/>
        <v>0.43903733896940428</v>
      </c>
      <c r="K1787" s="6">
        <f>'Raw Data'!I1787</f>
        <v>3.54</v>
      </c>
      <c r="L1787" s="5">
        <f>'Raw Data'!J1787</f>
        <v>24</v>
      </c>
      <c r="M1787" s="5">
        <f>IF(COUNTIFS($A$2:A1787,A1787,$D$2:D1787,D1787)=1,L1787,0)</f>
        <v>0</v>
      </c>
      <c r="N1787" s="4">
        <f t="shared" si="138"/>
        <v>165.6</v>
      </c>
      <c r="O1787" t="str">
        <f t="shared" si="139"/>
        <v>OK</v>
      </c>
    </row>
    <row r="1788" spans="1:15">
      <c r="A1788" t="str">
        <f>'Raw Data'!A1788</f>
        <v>New Orleans RM-25</v>
      </c>
      <c r="B1788" t="str">
        <f>'Raw Data'!B1788</f>
        <v>Southeast</v>
      </c>
      <c r="C1788" t="str">
        <f>'Raw Data'!C1788</f>
        <v>Grocery</v>
      </c>
      <c r="D1788" s="3">
        <f>'Raw Data'!D1788</f>
        <v>45931</v>
      </c>
      <c r="E1788" t="str">
        <f t="shared" si="135"/>
        <v>Oct</v>
      </c>
      <c r="F1788" s="5">
        <f>'Raw Data'!E1788</f>
        <v>161</v>
      </c>
      <c r="G1788" s="4">
        <f>'Raw Data'!F1788</f>
        <v>2955.94</v>
      </c>
      <c r="H1788" s="4">
        <f>'Raw Data'!G1788</f>
        <v>2911.85</v>
      </c>
      <c r="I1788" s="4">
        <f t="shared" si="136"/>
        <v>44.090000000000146</v>
      </c>
      <c r="J1788" s="8">
        <f t="shared" si="137"/>
        <v>1.4915729006678128E-2</v>
      </c>
      <c r="K1788" s="6">
        <f>'Raw Data'!I1788</f>
        <v>3.5</v>
      </c>
      <c r="L1788" s="5">
        <f>'Raw Data'!J1788</f>
        <v>24</v>
      </c>
      <c r="M1788" s="5">
        <f>IF(COUNTIFS($A$2:A1788,A1788,$D$2:D1788,D1788)=1,L1788,0)</f>
        <v>0</v>
      </c>
      <c r="N1788" s="4">
        <f t="shared" si="138"/>
        <v>123.16416666666667</v>
      </c>
      <c r="O1788" t="str">
        <f t="shared" si="139"/>
        <v>OK</v>
      </c>
    </row>
    <row r="1789" spans="1:15">
      <c r="A1789" t="str">
        <f>'Raw Data'!A1789</f>
        <v>New Orleans RM-25</v>
      </c>
      <c r="B1789" t="str">
        <f>'Raw Data'!B1789</f>
        <v>Southeast</v>
      </c>
      <c r="C1789" t="str">
        <f>'Raw Data'!C1789</f>
        <v>Sports</v>
      </c>
      <c r="D1789" s="3">
        <f>'Raw Data'!D1789</f>
        <v>45931</v>
      </c>
      <c r="E1789" t="str">
        <f t="shared" si="135"/>
        <v>Oct</v>
      </c>
      <c r="F1789" s="5">
        <f>'Raw Data'!E1789</f>
        <v>89</v>
      </c>
      <c r="G1789" s="4">
        <f>'Raw Data'!F1789</f>
        <v>5612.23</v>
      </c>
      <c r="H1789" s="4">
        <f>'Raw Data'!G1789</f>
        <v>3891.77</v>
      </c>
      <c r="I1789" s="4">
        <f t="shared" si="136"/>
        <v>1720.4599999999996</v>
      </c>
      <c r="J1789" s="8">
        <f t="shared" si="137"/>
        <v>0.30655550467461234</v>
      </c>
      <c r="K1789" s="6">
        <f>'Raw Data'!I1789</f>
        <v>3.43</v>
      </c>
      <c r="L1789" s="5">
        <f>'Raw Data'!J1789</f>
        <v>24</v>
      </c>
      <c r="M1789" s="5">
        <f>IF(COUNTIFS($A$2:A1789,A1789,$D$2:D1789,D1789)=1,L1789,0)</f>
        <v>0</v>
      </c>
      <c r="N1789" s="4">
        <f t="shared" si="138"/>
        <v>233.84291666666664</v>
      </c>
      <c r="O1789" t="str">
        <f t="shared" si="139"/>
        <v>OK</v>
      </c>
    </row>
    <row r="1790" spans="1:15">
      <c r="A1790" t="str">
        <f>'Raw Data'!A1790</f>
        <v>New Orleans RM-25</v>
      </c>
      <c r="B1790" t="str">
        <f>'Raw Data'!B1790</f>
        <v>Southeast</v>
      </c>
      <c r="C1790" t="str">
        <f>'Raw Data'!C1790</f>
        <v>Electronics</v>
      </c>
      <c r="D1790" s="3">
        <f>'Raw Data'!D1790</f>
        <v>45962</v>
      </c>
      <c r="E1790" t="str">
        <f t="shared" si="135"/>
        <v>Nov</v>
      </c>
      <c r="F1790" s="5">
        <f>'Raw Data'!E1790</f>
        <v>165</v>
      </c>
      <c r="G1790" s="4">
        <f>'Raw Data'!F1790</f>
        <v>22627.31</v>
      </c>
      <c r="H1790" s="4">
        <f>'Raw Data'!G1790</f>
        <v>19134.14</v>
      </c>
      <c r="I1790" s="4">
        <f t="shared" si="136"/>
        <v>3493.1700000000019</v>
      </c>
      <c r="J1790" s="8">
        <f t="shared" si="137"/>
        <v>0.15437849218488639</v>
      </c>
      <c r="K1790" s="6">
        <f>'Raw Data'!I1790</f>
        <v>3.52</v>
      </c>
      <c r="L1790" s="5">
        <f>'Raw Data'!J1790</f>
        <v>27</v>
      </c>
      <c r="M1790" s="5">
        <f>IF(COUNTIFS($A$2:A1790,A1790,$D$2:D1790,D1790)=1,L1790,0)</f>
        <v>27</v>
      </c>
      <c r="N1790" s="4">
        <f t="shared" si="138"/>
        <v>838.04851851851856</v>
      </c>
      <c r="O1790" t="str">
        <f t="shared" si="139"/>
        <v>OK</v>
      </c>
    </row>
    <row r="1791" spans="1:15">
      <c r="A1791" t="str">
        <f>'Raw Data'!A1791</f>
        <v>New Orleans RM-25</v>
      </c>
      <c r="B1791" t="str">
        <f>'Raw Data'!B1791</f>
        <v>Southeast</v>
      </c>
      <c r="C1791" t="str">
        <f>'Raw Data'!C1791</f>
        <v>Home Goods</v>
      </c>
      <c r="D1791" s="3">
        <f>'Raw Data'!D1791</f>
        <v>45962</v>
      </c>
      <c r="E1791" t="str">
        <f t="shared" si="135"/>
        <v>Nov</v>
      </c>
      <c r="F1791" s="5">
        <f>'Raw Data'!E1791</f>
        <v>116</v>
      </c>
      <c r="G1791" s="4">
        <f>'Raw Data'!F1791</f>
        <v>8843.8700000000008</v>
      </c>
      <c r="H1791" s="4">
        <f>'Raw Data'!G1791</f>
        <v>6473.92</v>
      </c>
      <c r="I1791" s="4">
        <f t="shared" si="136"/>
        <v>2369.9500000000007</v>
      </c>
      <c r="J1791" s="8">
        <f t="shared" si="137"/>
        <v>0.26797657586554308</v>
      </c>
      <c r="K1791" s="6">
        <f>'Raw Data'!I1791</f>
        <v>3.53</v>
      </c>
      <c r="L1791" s="5">
        <f>'Raw Data'!J1791</f>
        <v>27</v>
      </c>
      <c r="M1791" s="5">
        <f>IF(COUNTIFS($A$2:A1791,A1791,$D$2:D1791,D1791)=1,L1791,0)</f>
        <v>0</v>
      </c>
      <c r="N1791" s="4">
        <f t="shared" si="138"/>
        <v>327.55074074074076</v>
      </c>
      <c r="O1791" t="str">
        <f t="shared" si="139"/>
        <v>OK</v>
      </c>
    </row>
    <row r="1792" spans="1:15">
      <c r="A1792" t="str">
        <f>'Raw Data'!A1792</f>
        <v>New Orleans RM-25</v>
      </c>
      <c r="B1792" t="str">
        <f>'Raw Data'!B1792</f>
        <v>Southeast</v>
      </c>
      <c r="C1792" t="str">
        <f>'Raw Data'!C1792</f>
        <v>Apparel</v>
      </c>
      <c r="D1792" s="3">
        <f>'Raw Data'!D1792</f>
        <v>45962</v>
      </c>
      <c r="E1792" t="str">
        <f t="shared" si="135"/>
        <v>Nov</v>
      </c>
      <c r="F1792" s="5">
        <f>'Raw Data'!E1792</f>
        <v>164</v>
      </c>
      <c r="G1792" s="4">
        <f>'Raw Data'!F1792</f>
        <v>7426.92</v>
      </c>
      <c r="H1792" s="4">
        <f>'Raw Data'!G1792</f>
        <v>4995.63</v>
      </c>
      <c r="I1792" s="4">
        <f t="shared" si="136"/>
        <v>2431.29</v>
      </c>
      <c r="J1792" s="8">
        <f t="shared" si="137"/>
        <v>0.3273618135108497</v>
      </c>
      <c r="K1792" s="6">
        <f>'Raw Data'!I1792</f>
        <v>3.49</v>
      </c>
      <c r="L1792" s="5">
        <f>'Raw Data'!J1792</f>
        <v>27</v>
      </c>
      <c r="M1792" s="5">
        <f>IF(COUNTIFS($A$2:A1792,A1792,$D$2:D1792,D1792)=1,L1792,0)</f>
        <v>0</v>
      </c>
      <c r="N1792" s="4">
        <f t="shared" si="138"/>
        <v>275.07111111111112</v>
      </c>
      <c r="O1792" t="str">
        <f t="shared" si="139"/>
        <v>OK</v>
      </c>
    </row>
    <row r="1793" spans="1:15">
      <c r="A1793" t="str">
        <f>'Raw Data'!A1793</f>
        <v>New Orleans RM-25</v>
      </c>
      <c r="B1793" t="str">
        <f>'Raw Data'!B1793</f>
        <v>Southeast</v>
      </c>
      <c r="C1793" t="str">
        <f>'Raw Data'!C1793</f>
        <v>Beauty</v>
      </c>
      <c r="D1793" s="3">
        <f>'Raw Data'!D1793</f>
        <v>45962</v>
      </c>
      <c r="E1793" t="str">
        <f t="shared" si="135"/>
        <v>Nov</v>
      </c>
      <c r="F1793" s="5">
        <f>'Raw Data'!E1793</f>
        <v>123</v>
      </c>
      <c r="G1793" s="4">
        <f>'Raw Data'!F1793</f>
        <v>4209.3599999999997</v>
      </c>
      <c r="H1793" s="4">
        <f>'Raw Data'!G1793</f>
        <v>2392.4699999999998</v>
      </c>
      <c r="I1793" s="4">
        <f t="shared" si="136"/>
        <v>1816.8899999999999</v>
      </c>
      <c r="J1793" s="8">
        <f t="shared" si="137"/>
        <v>0.43163093676948516</v>
      </c>
      <c r="K1793" s="6">
        <f>'Raw Data'!I1793</f>
        <v>3.51</v>
      </c>
      <c r="L1793" s="5">
        <f>'Raw Data'!J1793</f>
        <v>27</v>
      </c>
      <c r="M1793" s="5">
        <f>IF(COUNTIFS($A$2:A1793,A1793,$D$2:D1793,D1793)=1,L1793,0)</f>
        <v>0</v>
      </c>
      <c r="N1793" s="4">
        <f t="shared" si="138"/>
        <v>155.90222222222221</v>
      </c>
      <c r="O1793" t="str">
        <f t="shared" si="139"/>
        <v>OK</v>
      </c>
    </row>
    <row r="1794" spans="1:15">
      <c r="A1794" t="str">
        <f>'Raw Data'!A1794</f>
        <v>New Orleans RM-25</v>
      </c>
      <c r="B1794" t="str">
        <f>'Raw Data'!B1794</f>
        <v>Southeast</v>
      </c>
      <c r="C1794" t="str">
        <f>'Raw Data'!C1794</f>
        <v>Grocery</v>
      </c>
      <c r="D1794" s="3">
        <f>'Raw Data'!D1794</f>
        <v>45962</v>
      </c>
      <c r="E1794" t="str">
        <f t="shared" ref="E1794:E1857" si="140">TEXT(D1794,"mmm")</f>
        <v>Nov</v>
      </c>
      <c r="F1794" s="5">
        <f>'Raw Data'!E1794</f>
        <v>192</v>
      </c>
      <c r="G1794" s="4">
        <f>'Raw Data'!F1794</f>
        <v>3286.46</v>
      </c>
      <c r="H1794" s="4">
        <f>'Raw Data'!G1794</f>
        <v>3112.68</v>
      </c>
      <c r="I1794" s="4">
        <f t="shared" ref="I1794:I1857" si="141">G1794-H1794</f>
        <v>173.7800000000002</v>
      </c>
      <c r="J1794" s="8">
        <f t="shared" ref="J1794:J1857" si="142">IFERROR(I1794/G1794,0)</f>
        <v>5.2877564309317684E-2</v>
      </c>
      <c r="K1794" s="6">
        <f>'Raw Data'!I1794</f>
        <v>3.45</v>
      </c>
      <c r="L1794" s="5">
        <f>'Raw Data'!J1794</f>
        <v>27</v>
      </c>
      <c r="M1794" s="5">
        <f>IF(COUNTIFS($A$2:A1794,A1794,$D$2:D1794,D1794)=1,L1794,0)</f>
        <v>0</v>
      </c>
      <c r="N1794" s="4">
        <f t="shared" ref="N1794:N1801" si="143">IFERROR(G1794/L1794,0)</f>
        <v>121.72074074074074</v>
      </c>
      <c r="O1794" t="str">
        <f t="shared" ref="O1794:O1801" si="144">IF(OR(A1794="",B1794="",C1794="",F1794&lt;0,G1794&lt;0,H1794&lt;0,K1794&lt;1,K1794&gt;5),"Review","OK")</f>
        <v>OK</v>
      </c>
    </row>
    <row r="1795" spans="1:15">
      <c r="A1795" t="str">
        <f>'Raw Data'!A1795</f>
        <v>New Orleans RM-25</v>
      </c>
      <c r="B1795" t="str">
        <f>'Raw Data'!B1795</f>
        <v>Southeast</v>
      </c>
      <c r="C1795" t="str">
        <f>'Raw Data'!C1795</f>
        <v>Sports</v>
      </c>
      <c r="D1795" s="3">
        <f>'Raw Data'!D1795</f>
        <v>45962</v>
      </c>
      <c r="E1795" t="str">
        <f t="shared" si="140"/>
        <v>Nov</v>
      </c>
      <c r="F1795" s="5">
        <f>'Raw Data'!E1795</f>
        <v>92</v>
      </c>
      <c r="G1795" s="4">
        <f>'Raw Data'!F1795</f>
        <v>5456.46</v>
      </c>
      <c r="H1795" s="4">
        <f>'Raw Data'!G1795</f>
        <v>3868.65</v>
      </c>
      <c r="I1795" s="4">
        <f t="shared" si="141"/>
        <v>1587.81</v>
      </c>
      <c r="J1795" s="8">
        <f t="shared" si="142"/>
        <v>0.29099636027754255</v>
      </c>
      <c r="K1795" s="6">
        <f>'Raw Data'!I1795</f>
        <v>3.6</v>
      </c>
      <c r="L1795" s="5">
        <f>'Raw Data'!J1795</f>
        <v>27</v>
      </c>
      <c r="M1795" s="5">
        <f>IF(COUNTIFS($A$2:A1795,A1795,$D$2:D1795,D1795)=1,L1795,0)</f>
        <v>0</v>
      </c>
      <c r="N1795" s="4">
        <f t="shared" si="143"/>
        <v>202.0911111111111</v>
      </c>
      <c r="O1795" t="str">
        <f t="shared" si="144"/>
        <v>OK</v>
      </c>
    </row>
    <row r="1796" spans="1:15">
      <c r="A1796" t="str">
        <f>'Raw Data'!A1796</f>
        <v>New Orleans RM-25</v>
      </c>
      <c r="B1796" t="str">
        <f>'Raw Data'!B1796</f>
        <v>Southeast</v>
      </c>
      <c r="C1796" t="str">
        <f>'Raw Data'!C1796</f>
        <v>Electronics</v>
      </c>
      <c r="D1796" s="3">
        <f>'Raw Data'!D1796</f>
        <v>45992</v>
      </c>
      <c r="E1796" t="str">
        <f t="shared" si="140"/>
        <v>Dec</v>
      </c>
      <c r="F1796" s="5">
        <f>'Raw Data'!E1796</f>
        <v>200</v>
      </c>
      <c r="G1796" s="4">
        <f>'Raw Data'!F1796</f>
        <v>28489.03</v>
      </c>
      <c r="H1796" s="4">
        <f>'Raw Data'!G1796</f>
        <v>25283.77</v>
      </c>
      <c r="I1796" s="4">
        <f t="shared" si="141"/>
        <v>3205.2599999999984</v>
      </c>
      <c r="J1796" s="8">
        <f t="shared" si="142"/>
        <v>0.11250856908782077</v>
      </c>
      <c r="K1796" s="6">
        <f>'Raw Data'!I1796</f>
        <v>3.62</v>
      </c>
      <c r="L1796" s="5">
        <f>'Raw Data'!J1796</f>
        <v>26</v>
      </c>
      <c r="M1796" s="5">
        <f>IF(COUNTIFS($A$2:A1796,A1796,$D$2:D1796,D1796)=1,L1796,0)</f>
        <v>26</v>
      </c>
      <c r="N1796" s="4">
        <f t="shared" si="143"/>
        <v>1095.7319230769231</v>
      </c>
      <c r="O1796" t="str">
        <f t="shared" si="144"/>
        <v>OK</v>
      </c>
    </row>
    <row r="1797" spans="1:15">
      <c r="A1797" t="str">
        <f>'Raw Data'!A1797</f>
        <v>New Orleans RM-25</v>
      </c>
      <c r="B1797" t="str">
        <f>'Raw Data'!B1797</f>
        <v>Southeast</v>
      </c>
      <c r="C1797" t="str">
        <f>'Raw Data'!C1797</f>
        <v>Home Goods</v>
      </c>
      <c r="D1797" s="3">
        <f>'Raw Data'!D1797</f>
        <v>45992</v>
      </c>
      <c r="E1797" t="str">
        <f t="shared" si="140"/>
        <v>Dec</v>
      </c>
      <c r="F1797" s="5">
        <f>'Raw Data'!E1797</f>
        <v>139</v>
      </c>
      <c r="G1797" s="4">
        <f>'Raw Data'!F1797</f>
        <v>10336.08</v>
      </c>
      <c r="H1797" s="4">
        <f>'Raw Data'!G1797</f>
        <v>7962.81</v>
      </c>
      <c r="I1797" s="4">
        <f t="shared" si="141"/>
        <v>2373.2699999999995</v>
      </c>
      <c r="J1797" s="8">
        <f t="shared" si="142"/>
        <v>0.2296102584345322</v>
      </c>
      <c r="K1797" s="6">
        <f>'Raw Data'!I1797</f>
        <v>3.76</v>
      </c>
      <c r="L1797" s="5">
        <f>'Raw Data'!J1797</f>
        <v>26</v>
      </c>
      <c r="M1797" s="5">
        <f>IF(COUNTIFS($A$2:A1797,A1797,$D$2:D1797,D1797)=1,L1797,0)</f>
        <v>0</v>
      </c>
      <c r="N1797" s="4">
        <f t="shared" si="143"/>
        <v>397.54153846153844</v>
      </c>
      <c r="O1797" t="str">
        <f t="shared" si="144"/>
        <v>OK</v>
      </c>
    </row>
    <row r="1798" spans="1:15">
      <c r="A1798" t="str">
        <f>'Raw Data'!A1798</f>
        <v>New Orleans RM-25</v>
      </c>
      <c r="B1798" t="str">
        <f>'Raw Data'!B1798</f>
        <v>Southeast</v>
      </c>
      <c r="C1798" t="str">
        <f>'Raw Data'!C1798</f>
        <v>Apparel</v>
      </c>
      <c r="D1798" s="3">
        <f>'Raw Data'!D1798</f>
        <v>45992</v>
      </c>
      <c r="E1798" t="str">
        <f t="shared" si="140"/>
        <v>Dec</v>
      </c>
      <c r="F1798" s="5">
        <f>'Raw Data'!E1798</f>
        <v>220</v>
      </c>
      <c r="G1798" s="4">
        <f>'Raw Data'!F1798</f>
        <v>11020.15</v>
      </c>
      <c r="H1798" s="4">
        <f>'Raw Data'!G1798</f>
        <v>7916.27</v>
      </c>
      <c r="I1798" s="4">
        <f t="shared" si="141"/>
        <v>3103.8799999999992</v>
      </c>
      <c r="J1798" s="8">
        <f t="shared" si="142"/>
        <v>0.28165496839879667</v>
      </c>
      <c r="K1798" s="6">
        <f>'Raw Data'!I1798</f>
        <v>3.4</v>
      </c>
      <c r="L1798" s="5">
        <f>'Raw Data'!J1798</f>
        <v>26</v>
      </c>
      <c r="M1798" s="5">
        <f>IF(COUNTIFS($A$2:A1798,A1798,$D$2:D1798,D1798)=1,L1798,0)</f>
        <v>0</v>
      </c>
      <c r="N1798" s="4">
        <f t="shared" si="143"/>
        <v>423.85192307692307</v>
      </c>
      <c r="O1798" t="str">
        <f t="shared" si="144"/>
        <v>OK</v>
      </c>
    </row>
    <row r="1799" spans="1:15">
      <c r="A1799" t="str">
        <f>'Raw Data'!A1799</f>
        <v>New Orleans RM-25</v>
      </c>
      <c r="B1799" t="str">
        <f>'Raw Data'!B1799</f>
        <v>Southeast</v>
      </c>
      <c r="C1799" t="str">
        <f>'Raw Data'!C1799</f>
        <v>Beauty</v>
      </c>
      <c r="D1799" s="3">
        <f>'Raw Data'!D1799</f>
        <v>45992</v>
      </c>
      <c r="E1799" t="str">
        <f t="shared" si="140"/>
        <v>Dec</v>
      </c>
      <c r="F1799" s="5">
        <f>'Raw Data'!E1799</f>
        <v>138</v>
      </c>
      <c r="G1799" s="4">
        <f>'Raw Data'!F1799</f>
        <v>4878.21</v>
      </c>
      <c r="H1799" s="4">
        <f>'Raw Data'!G1799</f>
        <v>2889.05</v>
      </c>
      <c r="I1799" s="4">
        <f t="shared" si="141"/>
        <v>1989.1599999999999</v>
      </c>
      <c r="J1799" s="8">
        <f t="shared" si="142"/>
        <v>0.40776432338911195</v>
      </c>
      <c r="K1799" s="6">
        <f>'Raw Data'!I1799</f>
        <v>3.68</v>
      </c>
      <c r="L1799" s="5">
        <f>'Raw Data'!J1799</f>
        <v>26</v>
      </c>
      <c r="M1799" s="5">
        <f>IF(COUNTIFS($A$2:A1799,A1799,$D$2:D1799,D1799)=1,L1799,0)</f>
        <v>0</v>
      </c>
      <c r="N1799" s="4">
        <f t="shared" si="143"/>
        <v>187.62346153846153</v>
      </c>
      <c r="O1799" t="str">
        <f t="shared" si="144"/>
        <v>OK</v>
      </c>
    </row>
    <row r="1800" spans="1:15">
      <c r="A1800" t="str">
        <f>'Raw Data'!A1800</f>
        <v>New Orleans RM-25</v>
      </c>
      <c r="B1800" t="str">
        <f>'Raw Data'!B1800</f>
        <v>Southeast</v>
      </c>
      <c r="C1800" t="str">
        <f>'Raw Data'!C1800</f>
        <v>Grocery</v>
      </c>
      <c r="D1800" s="3">
        <f>'Raw Data'!D1800</f>
        <v>45992</v>
      </c>
      <c r="E1800" t="str">
        <f t="shared" si="140"/>
        <v>Dec</v>
      </c>
      <c r="F1800" s="5">
        <f>'Raw Data'!E1800</f>
        <v>222</v>
      </c>
      <c r="G1800" s="4">
        <f>'Raw Data'!F1800</f>
        <v>4080.69</v>
      </c>
      <c r="H1800" s="4">
        <f>'Raw Data'!G1800</f>
        <v>3953.97</v>
      </c>
      <c r="I1800" s="4">
        <f t="shared" si="141"/>
        <v>126.72000000000025</v>
      </c>
      <c r="J1800" s="8">
        <f t="shared" si="142"/>
        <v>3.1053571822412449E-2</v>
      </c>
      <c r="K1800" s="6">
        <f>'Raw Data'!I1800</f>
        <v>3.54</v>
      </c>
      <c r="L1800" s="5">
        <f>'Raw Data'!J1800</f>
        <v>26</v>
      </c>
      <c r="M1800" s="5">
        <f>IF(COUNTIFS($A$2:A1800,A1800,$D$2:D1800,D1800)=1,L1800,0)</f>
        <v>0</v>
      </c>
      <c r="N1800" s="4">
        <f t="shared" si="143"/>
        <v>156.94961538461538</v>
      </c>
      <c r="O1800" t="str">
        <f t="shared" si="144"/>
        <v>OK</v>
      </c>
    </row>
    <row r="1801" spans="1:15">
      <c r="A1801" t="str">
        <f>'Raw Data'!A1801</f>
        <v>New Orleans RM-25</v>
      </c>
      <c r="B1801" t="str">
        <f>'Raw Data'!B1801</f>
        <v>Southeast</v>
      </c>
      <c r="C1801" t="str">
        <f>'Raw Data'!C1801</f>
        <v>Sports</v>
      </c>
      <c r="D1801" s="3">
        <f>'Raw Data'!D1801</f>
        <v>45992</v>
      </c>
      <c r="E1801" t="str">
        <f t="shared" si="140"/>
        <v>Dec</v>
      </c>
      <c r="F1801" s="5">
        <f>'Raw Data'!E1801</f>
        <v>108</v>
      </c>
      <c r="G1801" s="4">
        <f>'Raw Data'!F1801</f>
        <v>6774.82</v>
      </c>
      <c r="H1801" s="4">
        <f>'Raw Data'!G1801</f>
        <v>5098.8</v>
      </c>
      <c r="I1801" s="4">
        <f t="shared" si="141"/>
        <v>1676.0199999999995</v>
      </c>
      <c r="J1801" s="8">
        <f t="shared" si="142"/>
        <v>0.24738959854283946</v>
      </c>
      <c r="K1801" s="6">
        <f>'Raw Data'!I1801</f>
        <v>3.45</v>
      </c>
      <c r="L1801" s="5">
        <f>'Raw Data'!J1801</f>
        <v>26</v>
      </c>
      <c r="M1801" s="5">
        <f>IF(COUNTIFS($A$2:A1801,A1801,$D$2:D1801,D1801)=1,L1801,0)</f>
        <v>0</v>
      </c>
      <c r="N1801" s="4">
        <f t="shared" si="143"/>
        <v>260.57</v>
      </c>
      <c r="O1801" t="str">
        <f t="shared" si="144"/>
        <v>OK</v>
      </c>
    </row>
  </sheetData>
  <conditionalFormatting sqref="J2:J18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801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{E20924EE-D957-E79F-E58F-2D9509CD472F}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0924EE-D957-E79F-E58F-2D9509CD472F}">
            <x14:dataBar>
              <x14:cfvo type="min"/>
              <x14:cfvo type="max"/>
              <x14:negativeFillColor auto="1"/>
              <x14:axisColor auto="1"/>
            </x14:dataBar>
          </x14:cfRule>
          <xm:sqref>K2:K1801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5"/>
  <sheetViews>
    <sheetView workbookViewId="0">
      <selection activeCell="F53" sqref="F53"/>
    </sheetView>
  </sheetViews>
  <sheetFormatPr baseColWidth="10" defaultColWidth="8.83203125" defaultRowHeight="14"/>
  <cols>
    <col min="1" max="1" width="30" customWidth="1"/>
    <col min="2" max="2" width="13.5" customWidth="1"/>
    <col min="3" max="3" width="8.83203125" customWidth="1"/>
    <col min="4" max="4" width="7.6640625" customWidth="1"/>
    <col min="5" max="5" width="12.5" customWidth="1"/>
    <col min="6" max="6" width="15.1640625" customWidth="1"/>
    <col min="8" max="8" width="15.5" customWidth="1"/>
    <col min="9" max="9" width="28" customWidth="1"/>
    <col min="10" max="10" width="12.5" customWidth="1"/>
    <col min="11" max="11" width="11.33203125" customWidth="1"/>
    <col min="12" max="12" width="12.5" customWidth="1"/>
  </cols>
  <sheetData>
    <row r="1" spans="1:12" ht="21">
      <c r="A1" s="9" t="s">
        <v>51</v>
      </c>
    </row>
    <row r="3" spans="1:12" ht="17">
      <c r="A3" s="10" t="s">
        <v>52</v>
      </c>
      <c r="H3" s="10" t="s">
        <v>53</v>
      </c>
    </row>
    <row r="4" spans="1:12" ht="32">
      <c r="A4" s="2" t="s">
        <v>0</v>
      </c>
      <c r="B4" s="2" t="s">
        <v>5</v>
      </c>
      <c r="C4" s="2" t="s">
        <v>7</v>
      </c>
      <c r="D4" s="2" t="s">
        <v>54</v>
      </c>
      <c r="E4" s="2" t="s">
        <v>55</v>
      </c>
      <c r="H4" s="7" t="s">
        <v>0</v>
      </c>
      <c r="I4" s="7" t="s">
        <v>7</v>
      </c>
      <c r="J4" s="7" t="s">
        <v>5</v>
      </c>
      <c r="K4" s="7" t="s">
        <v>54</v>
      </c>
      <c r="L4" s="7" t="s">
        <v>55</v>
      </c>
    </row>
    <row r="5" spans="1:12">
      <c r="A5" t="s">
        <v>34</v>
      </c>
      <c r="B5" s="4">
        <v>730856.29</v>
      </c>
      <c r="C5" s="4">
        <v>209473.03</v>
      </c>
      <c r="D5" s="8">
        <v>0.28661315892895989</v>
      </c>
      <c r="E5" s="6">
        <v>4.6379166666666682</v>
      </c>
      <c r="H5" t="s">
        <v>34</v>
      </c>
      <c r="I5" s="4">
        <v>209473.03</v>
      </c>
      <c r="J5" s="4">
        <v>730856.29</v>
      </c>
      <c r="K5" s="8">
        <v>0.28661315892895989</v>
      </c>
      <c r="L5" s="6">
        <v>4.6379166666666682</v>
      </c>
    </row>
    <row r="6" spans="1:12">
      <c r="A6" t="s">
        <v>24</v>
      </c>
      <c r="B6" s="4">
        <v>697607.46</v>
      </c>
      <c r="C6" s="4">
        <v>201632.87000000002</v>
      </c>
      <c r="D6" s="8">
        <v>0.28903485349769631</v>
      </c>
      <c r="E6" s="6">
        <v>4.5463888888888881</v>
      </c>
      <c r="H6" t="s">
        <v>24</v>
      </c>
      <c r="I6" s="4">
        <v>201632.87000000002</v>
      </c>
      <c r="J6" s="4">
        <v>697607.46</v>
      </c>
      <c r="K6" s="8">
        <v>0.28903485349769631</v>
      </c>
      <c r="L6" s="6">
        <v>4.5463888888888881</v>
      </c>
    </row>
    <row r="7" spans="1:12">
      <c r="A7" t="s">
        <v>37</v>
      </c>
      <c r="B7" s="4">
        <v>682360.66999999993</v>
      </c>
      <c r="C7" s="4">
        <v>195450.75000000006</v>
      </c>
      <c r="D7" s="8">
        <v>0.28643319961568137</v>
      </c>
      <c r="E7" s="6">
        <v>3.8768055555555545</v>
      </c>
      <c r="H7" t="s">
        <v>37</v>
      </c>
      <c r="I7" s="4">
        <v>195450.75000000006</v>
      </c>
      <c r="J7" s="4">
        <v>682360.66999999993</v>
      </c>
      <c r="K7" s="8">
        <v>0.28643319961568137</v>
      </c>
      <c r="L7" s="6">
        <v>3.8768055555555545</v>
      </c>
    </row>
    <row r="8" spans="1:12">
      <c r="A8" t="s">
        <v>39</v>
      </c>
      <c r="B8" s="4">
        <v>665469.38</v>
      </c>
      <c r="C8" s="4">
        <v>193706.37000000002</v>
      </c>
      <c r="D8" s="8">
        <v>0.29108231846820665</v>
      </c>
      <c r="E8" s="6">
        <v>3.9324999999999992</v>
      </c>
      <c r="H8" t="s">
        <v>39</v>
      </c>
      <c r="I8" s="4">
        <v>193706.37000000002</v>
      </c>
      <c r="J8" s="4">
        <v>665469.38</v>
      </c>
      <c r="K8" s="8">
        <v>0.29108231846820665</v>
      </c>
      <c r="L8" s="6">
        <v>3.9324999999999992</v>
      </c>
    </row>
    <row r="9" spans="1:12">
      <c r="A9" t="s">
        <v>40</v>
      </c>
      <c r="B9" s="4">
        <v>659892.61999999988</v>
      </c>
      <c r="C9" s="4">
        <v>189313.8</v>
      </c>
      <c r="D9" s="8">
        <v>0.28688576635392593</v>
      </c>
      <c r="E9" s="6">
        <v>4.1211111111111123</v>
      </c>
      <c r="H9" t="s">
        <v>40</v>
      </c>
      <c r="I9" s="4">
        <v>189313.8</v>
      </c>
      <c r="J9" s="4">
        <v>659892.61999999988</v>
      </c>
      <c r="K9" s="8">
        <v>0.28688576635392593</v>
      </c>
      <c r="L9" s="6">
        <v>4.1211111111111123</v>
      </c>
    </row>
    <row r="10" spans="1:12">
      <c r="A10" t="s">
        <v>42</v>
      </c>
      <c r="B10" s="4">
        <v>618435.09</v>
      </c>
      <c r="C10" s="4">
        <v>177446.89999999997</v>
      </c>
      <c r="D10" s="8">
        <v>0.28692889984622311</v>
      </c>
      <c r="E10" s="6">
        <v>3.9961111111111114</v>
      </c>
      <c r="H10" t="s">
        <v>25</v>
      </c>
      <c r="I10" s="4">
        <v>177964.78000000009</v>
      </c>
      <c r="J10" s="4">
        <v>614910</v>
      </c>
      <c r="K10" s="8">
        <v>0.28941597957424675</v>
      </c>
      <c r="L10" s="6">
        <v>4.0930555555555559</v>
      </c>
    </row>
    <row r="11" spans="1:12">
      <c r="A11" t="s">
        <v>25</v>
      </c>
      <c r="B11" s="4">
        <v>614910</v>
      </c>
      <c r="C11" s="4">
        <v>177964.78000000009</v>
      </c>
      <c r="D11" s="8">
        <v>0.28941597957424675</v>
      </c>
      <c r="E11" s="6">
        <v>4.0930555555555559</v>
      </c>
      <c r="H11" t="s">
        <v>42</v>
      </c>
      <c r="I11" s="4">
        <v>177446.89999999997</v>
      </c>
      <c r="J11" s="4">
        <v>618435.09</v>
      </c>
      <c r="K11" s="8">
        <v>0.28692889984622311</v>
      </c>
      <c r="L11" s="6">
        <v>3.9961111111111114</v>
      </c>
    </row>
    <row r="12" spans="1:12">
      <c r="A12" t="s">
        <v>44</v>
      </c>
      <c r="B12" s="4">
        <v>581938.03</v>
      </c>
      <c r="C12" s="4">
        <v>165426.85999999999</v>
      </c>
      <c r="D12" s="8">
        <v>0.28426885934916468</v>
      </c>
      <c r="E12" s="6">
        <v>4.1840277777777777</v>
      </c>
      <c r="H12" t="s">
        <v>44</v>
      </c>
      <c r="I12" s="4">
        <v>165426.85999999999</v>
      </c>
      <c r="J12" s="4">
        <v>581938.03</v>
      </c>
      <c r="K12" s="8">
        <v>0.28426885934916468</v>
      </c>
      <c r="L12" s="6">
        <v>4.1840277777777777</v>
      </c>
    </row>
    <row r="13" spans="1:12">
      <c r="A13" t="s">
        <v>32</v>
      </c>
      <c r="B13" s="4">
        <v>564845.83000000007</v>
      </c>
      <c r="C13" s="4">
        <v>161638.54000000004</v>
      </c>
      <c r="D13" s="8">
        <v>0.28616399628904055</v>
      </c>
      <c r="E13" s="6">
        <v>3.9016666666666668</v>
      </c>
      <c r="H13" t="s">
        <v>32</v>
      </c>
      <c r="I13" s="4">
        <v>161638.54000000004</v>
      </c>
      <c r="J13" s="4">
        <v>564845.83000000007</v>
      </c>
      <c r="K13" s="8">
        <v>0.28616399628904055</v>
      </c>
      <c r="L13" s="6">
        <v>3.9016666666666668</v>
      </c>
    </row>
    <row r="14" spans="1:12">
      <c r="A14" t="s">
        <v>19</v>
      </c>
      <c r="B14" s="4">
        <v>557889.10999999987</v>
      </c>
      <c r="C14" s="4">
        <v>158352.82999999999</v>
      </c>
      <c r="D14" s="8">
        <v>0.28384284109793795</v>
      </c>
      <c r="E14" s="6">
        <v>3.5522222222222202</v>
      </c>
      <c r="H14" t="s">
        <v>33</v>
      </c>
      <c r="I14" s="4">
        <v>159288.41</v>
      </c>
      <c r="J14" s="4">
        <v>556007.6100000001</v>
      </c>
      <c r="K14" s="8">
        <v>0.28648602489451536</v>
      </c>
      <c r="L14" s="6">
        <v>4.0599999999999996</v>
      </c>
    </row>
    <row r="15" spans="1:12">
      <c r="A15" t="s">
        <v>33</v>
      </c>
      <c r="B15" s="4">
        <v>556007.6100000001</v>
      </c>
      <c r="C15" s="4">
        <v>159288.41</v>
      </c>
      <c r="D15" s="8">
        <v>0.28648602489451536</v>
      </c>
      <c r="E15" s="6">
        <v>4.0599999999999996</v>
      </c>
      <c r="H15" t="s">
        <v>19</v>
      </c>
      <c r="I15" s="4">
        <v>158352.82999999999</v>
      </c>
      <c r="J15" s="4">
        <v>557889.10999999987</v>
      </c>
      <c r="K15" s="8">
        <v>0.28384284109793795</v>
      </c>
      <c r="L15" s="6">
        <v>3.5522222222222202</v>
      </c>
    </row>
    <row r="16" spans="1:12">
      <c r="A16" t="s">
        <v>38</v>
      </c>
      <c r="B16" s="4">
        <v>548467.75</v>
      </c>
      <c r="C16" s="4">
        <v>156603.63999999998</v>
      </c>
      <c r="D16" s="8">
        <v>0.28552934972019772</v>
      </c>
      <c r="E16" s="6">
        <v>3.807083333333332</v>
      </c>
      <c r="H16" t="s">
        <v>38</v>
      </c>
      <c r="I16" s="4">
        <v>156603.63999999998</v>
      </c>
      <c r="J16" s="4">
        <v>548467.75</v>
      </c>
      <c r="K16" s="8">
        <v>0.28552934972019772</v>
      </c>
      <c r="L16" s="6">
        <v>3.807083333333332</v>
      </c>
    </row>
    <row r="17" spans="1:12">
      <c r="A17" t="s">
        <v>36</v>
      </c>
      <c r="B17" s="4">
        <v>539517.87000000011</v>
      </c>
      <c r="C17" s="4">
        <v>155490.38999999996</v>
      </c>
      <c r="D17" s="8">
        <v>0.2882024834506407</v>
      </c>
      <c r="E17" s="6">
        <v>3.9940277777777768</v>
      </c>
      <c r="H17" t="s">
        <v>36</v>
      </c>
      <c r="I17" s="4">
        <v>155490.38999999996</v>
      </c>
      <c r="J17" s="4">
        <v>539517.87000000011</v>
      </c>
      <c r="K17" s="8">
        <v>0.2882024834506407</v>
      </c>
      <c r="L17" s="6">
        <v>3.9940277777777768</v>
      </c>
    </row>
    <row r="18" spans="1:12">
      <c r="A18" t="s">
        <v>27</v>
      </c>
      <c r="B18" s="4">
        <v>535544.06000000006</v>
      </c>
      <c r="C18" s="4">
        <v>153747.09000000005</v>
      </c>
      <c r="D18" s="8">
        <v>0.28708579084977626</v>
      </c>
      <c r="E18" s="6">
        <v>3.6758333333333328</v>
      </c>
      <c r="H18" t="s">
        <v>10</v>
      </c>
      <c r="I18" s="4">
        <v>154115.64000000001</v>
      </c>
      <c r="J18" s="4">
        <v>531903.19999999995</v>
      </c>
      <c r="K18" s="8">
        <v>0.28974377292710407</v>
      </c>
      <c r="L18" s="6">
        <v>3.9811111111111117</v>
      </c>
    </row>
    <row r="19" spans="1:12">
      <c r="A19" t="s">
        <v>10</v>
      </c>
      <c r="B19" s="4">
        <v>531903.19999999995</v>
      </c>
      <c r="C19" s="4">
        <v>154115.64000000001</v>
      </c>
      <c r="D19" s="8">
        <v>0.28974377292710407</v>
      </c>
      <c r="E19" s="6">
        <v>3.9811111111111117</v>
      </c>
      <c r="H19" t="s">
        <v>27</v>
      </c>
      <c r="I19" s="4">
        <v>153747.09000000005</v>
      </c>
      <c r="J19" s="4">
        <v>535544.06000000006</v>
      </c>
      <c r="K19" s="8">
        <v>0.28708579084977626</v>
      </c>
      <c r="L19" s="6">
        <v>3.6758333333333328</v>
      </c>
    </row>
    <row r="20" spans="1:12">
      <c r="A20" t="s">
        <v>26</v>
      </c>
      <c r="B20" s="4">
        <v>530376.65999999992</v>
      </c>
      <c r="C20" s="4">
        <v>152466.34999999998</v>
      </c>
      <c r="D20" s="8">
        <v>0.28746806090599841</v>
      </c>
      <c r="E20" s="6">
        <v>3.6737500000000001</v>
      </c>
      <c r="H20" t="s">
        <v>26</v>
      </c>
      <c r="I20" s="4">
        <v>152466.34999999998</v>
      </c>
      <c r="J20" s="4">
        <v>530376.65999999992</v>
      </c>
      <c r="K20" s="8">
        <v>0.28746806090599841</v>
      </c>
      <c r="L20" s="6">
        <v>3.6737500000000001</v>
      </c>
    </row>
    <row r="21" spans="1:12">
      <c r="A21" t="s">
        <v>43</v>
      </c>
      <c r="B21" s="4">
        <v>529265.02000000014</v>
      </c>
      <c r="C21" s="4">
        <v>150109.48000000001</v>
      </c>
      <c r="D21" s="8">
        <v>0.28361874359276562</v>
      </c>
      <c r="E21" s="6">
        <v>3.637777777777778</v>
      </c>
      <c r="H21" t="s">
        <v>22</v>
      </c>
      <c r="I21" s="4">
        <v>151770.11999999997</v>
      </c>
      <c r="J21" s="4">
        <v>527018.28000000014</v>
      </c>
      <c r="K21" s="8">
        <v>0.28797885340903151</v>
      </c>
      <c r="L21" s="6">
        <v>3.9206944444444463</v>
      </c>
    </row>
    <row r="22" spans="1:12">
      <c r="A22" t="s">
        <v>22</v>
      </c>
      <c r="B22" s="4">
        <v>527018.28000000014</v>
      </c>
      <c r="C22" s="4">
        <v>151770.11999999997</v>
      </c>
      <c r="D22" s="8">
        <v>0.28797885340903151</v>
      </c>
      <c r="E22" s="6">
        <v>3.9206944444444463</v>
      </c>
      <c r="H22" t="s">
        <v>43</v>
      </c>
      <c r="I22" s="4">
        <v>150109.48000000001</v>
      </c>
      <c r="J22" s="4">
        <v>529265.02000000014</v>
      </c>
      <c r="K22" s="8">
        <v>0.28361874359276562</v>
      </c>
      <c r="L22" s="6">
        <v>3.637777777777778</v>
      </c>
    </row>
    <row r="23" spans="1:12">
      <c r="A23" t="s">
        <v>31</v>
      </c>
      <c r="B23" s="4">
        <v>519126.69999999978</v>
      </c>
      <c r="C23" s="4">
        <v>148655.94</v>
      </c>
      <c r="D23" s="8">
        <v>0.28635772346134397</v>
      </c>
      <c r="E23" s="6">
        <v>3.5529166666666665</v>
      </c>
      <c r="H23" t="s">
        <v>31</v>
      </c>
      <c r="I23" s="4">
        <v>148655.94</v>
      </c>
      <c r="J23" s="4">
        <v>519126.69999999978</v>
      </c>
      <c r="K23" s="8">
        <v>0.28635772346134397</v>
      </c>
      <c r="L23" s="6">
        <v>3.5529166666666665</v>
      </c>
    </row>
    <row r="24" spans="1:12">
      <c r="A24" t="s">
        <v>45</v>
      </c>
      <c r="B24" s="4">
        <v>494015.54000000027</v>
      </c>
      <c r="C24" s="4">
        <v>124827.68999999996</v>
      </c>
      <c r="D24" s="8">
        <v>0.25267968291037946</v>
      </c>
      <c r="E24" s="6">
        <v>3.5691666666666659</v>
      </c>
      <c r="H24" t="s">
        <v>18</v>
      </c>
      <c r="I24" s="4">
        <v>137066.78</v>
      </c>
      <c r="J24" s="4">
        <v>475274.49999999977</v>
      </c>
      <c r="K24" s="8">
        <v>0.28839498016409476</v>
      </c>
      <c r="L24" s="6">
        <v>3.8751388888888902</v>
      </c>
    </row>
    <row r="25" spans="1:12">
      <c r="A25" t="s">
        <v>18</v>
      </c>
      <c r="B25" s="4">
        <v>475274.49999999977</v>
      </c>
      <c r="C25" s="4">
        <v>137066.78</v>
      </c>
      <c r="D25" s="8">
        <v>0.28839498016409476</v>
      </c>
      <c r="E25" s="6">
        <v>3.8751388888888902</v>
      </c>
      <c r="H25" t="s">
        <v>21</v>
      </c>
      <c r="I25" s="4">
        <v>136379.74000000002</v>
      </c>
      <c r="J25" s="4">
        <v>474467.25</v>
      </c>
      <c r="K25" s="8">
        <v>0.28743762609537332</v>
      </c>
      <c r="L25" s="6">
        <v>3.417222222222223</v>
      </c>
    </row>
    <row r="26" spans="1:12">
      <c r="A26" t="s">
        <v>21</v>
      </c>
      <c r="B26" s="4">
        <v>474467.25</v>
      </c>
      <c r="C26" s="4">
        <v>136379.74000000002</v>
      </c>
      <c r="D26" s="8">
        <v>0.28743762609537332</v>
      </c>
      <c r="E26" s="6">
        <v>3.417222222222223</v>
      </c>
      <c r="H26" t="s">
        <v>28</v>
      </c>
      <c r="I26" s="4">
        <v>126641.42999999996</v>
      </c>
      <c r="J26" s="4">
        <v>440530.81000000006</v>
      </c>
      <c r="K26" s="8">
        <v>0.28747462634906273</v>
      </c>
      <c r="L26" s="6">
        <v>3.6016666666666657</v>
      </c>
    </row>
    <row r="27" spans="1:12">
      <c r="A27" t="s">
        <v>28</v>
      </c>
      <c r="B27" s="4">
        <v>440530.81000000006</v>
      </c>
      <c r="C27" s="4">
        <v>126641.42999999996</v>
      </c>
      <c r="D27" s="8">
        <v>0.28747462634906273</v>
      </c>
      <c r="E27" s="6">
        <v>3.6016666666666657</v>
      </c>
      <c r="H27" t="s">
        <v>45</v>
      </c>
      <c r="I27" s="4">
        <v>124827.68999999996</v>
      </c>
      <c r="J27" s="4">
        <v>494015.54000000027</v>
      </c>
      <c r="K27" s="8">
        <v>0.25267968291037946</v>
      </c>
      <c r="L27" s="6">
        <v>3.5691666666666659</v>
      </c>
    </row>
    <row r="28" spans="1:12">
      <c r="A28" t="s">
        <v>20</v>
      </c>
      <c r="B28" s="4">
        <v>416811.28</v>
      </c>
      <c r="C28" s="4">
        <v>106330.87000000001</v>
      </c>
      <c r="D28" s="8">
        <v>0.25510554800724206</v>
      </c>
      <c r="E28" s="6">
        <v>3.3522222222222222</v>
      </c>
      <c r="H28" t="s">
        <v>20</v>
      </c>
      <c r="I28" s="4">
        <v>106330.87000000001</v>
      </c>
      <c r="J28" s="4">
        <v>416811.28</v>
      </c>
      <c r="K28" s="8">
        <v>0.25510554800724206</v>
      </c>
      <c r="L28" s="6">
        <v>3.3522222222222222</v>
      </c>
    </row>
    <row r="29" spans="1:12">
      <c r="A29" t="s">
        <v>30</v>
      </c>
      <c r="B29" s="4">
        <v>394660.66999999993</v>
      </c>
      <c r="C29" s="4">
        <v>99151.77999999997</v>
      </c>
      <c r="D29" s="8">
        <v>0.25123298959584695</v>
      </c>
      <c r="E29" s="6">
        <v>3.250694444444445</v>
      </c>
      <c r="H29" t="s">
        <v>30</v>
      </c>
      <c r="I29" s="4">
        <v>99151.77999999997</v>
      </c>
      <c r="J29" s="4">
        <v>394660.66999999993</v>
      </c>
      <c r="K29" s="8">
        <v>0.25123298959584695</v>
      </c>
      <c r="L29" s="6">
        <v>3.250694444444445</v>
      </c>
    </row>
    <row r="30" spans="1:12">
      <c r="B30" s="4"/>
      <c r="C30" s="4"/>
      <c r="D30" s="8"/>
      <c r="E30" s="6"/>
      <c r="I30" s="4"/>
      <c r="J30" s="4"/>
      <c r="K30" s="8"/>
      <c r="L30" s="6"/>
    </row>
    <row r="32" spans="1:12" ht="17">
      <c r="A32" s="10" t="s">
        <v>56</v>
      </c>
      <c r="I32" s="10" t="s">
        <v>57</v>
      </c>
    </row>
    <row r="33" spans="1:12" ht="32">
      <c r="A33" s="11" t="s">
        <v>2</v>
      </c>
      <c r="B33" s="11" t="s">
        <v>5</v>
      </c>
      <c r="C33" s="11" t="s">
        <v>7</v>
      </c>
      <c r="D33" s="11" t="s">
        <v>54</v>
      </c>
      <c r="E33" s="11" t="s">
        <v>55</v>
      </c>
      <c r="F33" s="11" t="s">
        <v>4</v>
      </c>
      <c r="I33" s="12" t="s">
        <v>3</v>
      </c>
      <c r="J33" s="12" t="s">
        <v>5</v>
      </c>
      <c r="K33" s="12" t="s">
        <v>7</v>
      </c>
      <c r="L33" s="12" t="s">
        <v>54</v>
      </c>
    </row>
    <row r="34" spans="1:12">
      <c r="A34" t="s">
        <v>12</v>
      </c>
      <c r="B34" s="4">
        <v>5464882.2600000026</v>
      </c>
      <c r="C34" s="4">
        <v>1124161.5600000003</v>
      </c>
      <c r="D34" s="8">
        <v>0.2057064556044067</v>
      </c>
      <c r="E34" s="6">
        <v>3.8435333333333337</v>
      </c>
      <c r="F34" s="5">
        <v>37497</v>
      </c>
      <c r="I34" s="3">
        <v>45658</v>
      </c>
      <c r="J34" s="4">
        <v>844872.6</v>
      </c>
      <c r="K34" s="4">
        <v>274303.56</v>
      </c>
      <c r="L34" s="8">
        <v>0.32466854766032183</v>
      </c>
    </row>
    <row r="35" spans="1:12">
      <c r="A35" t="s">
        <v>14</v>
      </c>
      <c r="B35" s="4">
        <v>2085075.0999999999</v>
      </c>
      <c r="C35" s="4">
        <v>788430.41000000038</v>
      </c>
      <c r="D35" s="8">
        <v>0.37813046158385394</v>
      </c>
      <c r="E35" s="6">
        <v>3.8567333333333349</v>
      </c>
      <c r="F35" s="5">
        <v>42817</v>
      </c>
      <c r="I35" s="3">
        <v>45689</v>
      </c>
      <c r="J35" s="4">
        <v>826792.02000000014</v>
      </c>
      <c r="K35" s="4">
        <v>262501.18</v>
      </c>
      <c r="L35" s="8">
        <v>0.31749360619131273</v>
      </c>
    </row>
    <row r="36" spans="1:12">
      <c r="A36" t="s">
        <v>13</v>
      </c>
      <c r="B36" s="4">
        <v>2410593.5199999982</v>
      </c>
      <c r="C36" s="4">
        <v>767715.33000000007</v>
      </c>
      <c r="D36" s="8">
        <v>0.31847564661171107</v>
      </c>
      <c r="E36" s="6">
        <v>3.8588999999999989</v>
      </c>
      <c r="F36" s="5">
        <v>31412</v>
      </c>
      <c r="I36" s="3">
        <v>45717</v>
      </c>
      <c r="J36" s="4">
        <v>972561.45000000054</v>
      </c>
      <c r="K36" s="4">
        <v>304576.22000000003</v>
      </c>
      <c r="L36" s="8">
        <v>0.31316912674258257</v>
      </c>
    </row>
    <row r="37" spans="1:12">
      <c r="A37" t="s">
        <v>15</v>
      </c>
      <c r="B37" s="4">
        <v>1213124.77</v>
      </c>
      <c r="C37" s="4">
        <v>604999.69000000029</v>
      </c>
      <c r="D37" s="8">
        <v>0.4987118431354759</v>
      </c>
      <c r="E37" s="6">
        <v>3.8567</v>
      </c>
      <c r="F37" s="5">
        <v>33341</v>
      </c>
      <c r="I37" s="3">
        <v>45748</v>
      </c>
      <c r="J37" s="4">
        <v>1029893.48</v>
      </c>
      <c r="K37" s="4">
        <v>317554.5</v>
      </c>
      <c r="L37" s="8">
        <v>0.30833722726354185</v>
      </c>
    </row>
    <row r="38" spans="1:12">
      <c r="A38" t="s">
        <v>17</v>
      </c>
      <c r="B38" s="4">
        <v>1707049.9700000011</v>
      </c>
      <c r="C38" s="4">
        <v>579316.90999999968</v>
      </c>
      <c r="D38" s="8">
        <v>0.33936728284526979</v>
      </c>
      <c r="E38" s="6">
        <v>3.8514000000000004</v>
      </c>
      <c r="F38" s="5">
        <v>27236</v>
      </c>
      <c r="I38" s="3">
        <v>45778</v>
      </c>
      <c r="J38" s="4">
        <v>1122932.6399999999</v>
      </c>
      <c r="K38" s="4">
        <v>339666.86</v>
      </c>
      <c r="L38" s="8">
        <v>0.30248195475019768</v>
      </c>
    </row>
    <row r="39" spans="1:12">
      <c r="A39" t="s">
        <v>16</v>
      </c>
      <c r="B39" s="4">
        <v>1006466.0600000002</v>
      </c>
      <c r="C39" s="4">
        <v>78428.17999999992</v>
      </c>
      <c r="D39" s="8">
        <v>7.7924316692805223E-2</v>
      </c>
      <c r="E39" s="6">
        <v>3.8234000000000044</v>
      </c>
      <c r="F39" s="5">
        <v>55271</v>
      </c>
      <c r="I39" s="3">
        <v>45809</v>
      </c>
      <c r="J39" s="4">
        <v>1159230.1600000006</v>
      </c>
      <c r="K39" s="4">
        <v>342989.81000000023</v>
      </c>
      <c r="L39" s="8">
        <v>0.29587723114450376</v>
      </c>
    </row>
    <row r="40" spans="1:12">
      <c r="B40" s="4"/>
      <c r="C40" s="4"/>
      <c r="D40" s="8"/>
      <c r="E40" s="6"/>
      <c r="F40" s="5"/>
      <c r="I40" s="3">
        <v>45839</v>
      </c>
      <c r="J40" s="4">
        <v>1199263.06</v>
      </c>
      <c r="K40" s="4">
        <v>347357.88000000018</v>
      </c>
      <c r="L40" s="8">
        <v>0.28964277445517261</v>
      </c>
    </row>
    <row r="41" spans="1:12">
      <c r="I41" s="3">
        <v>45870</v>
      </c>
      <c r="J41" s="4">
        <v>1186344.78</v>
      </c>
      <c r="K41" s="4">
        <v>341106.47999999992</v>
      </c>
      <c r="L41" s="8">
        <v>0.28752727347946849</v>
      </c>
    </row>
    <row r="42" spans="1:12">
      <c r="I42" s="3">
        <v>45901</v>
      </c>
      <c r="J42" s="4">
        <v>1076452.9099999997</v>
      </c>
      <c r="K42" s="4">
        <v>297269.00000000012</v>
      </c>
      <c r="L42" s="8">
        <v>0.27615606520121738</v>
      </c>
    </row>
    <row r="43" spans="1:12">
      <c r="I43" s="3">
        <v>45931</v>
      </c>
      <c r="J43" s="4">
        <v>1134717.73</v>
      </c>
      <c r="K43" s="4">
        <v>308171.37999999989</v>
      </c>
      <c r="L43" s="8">
        <v>0.27158417626910608</v>
      </c>
    </row>
    <row r="44" spans="1:12">
      <c r="I44" s="3">
        <v>45962</v>
      </c>
      <c r="J44" s="4">
        <v>1570487.8500000003</v>
      </c>
      <c r="K44" s="4">
        <v>403142.99999999994</v>
      </c>
      <c r="L44" s="8">
        <v>0.25669921610663837</v>
      </c>
    </row>
    <row r="45" spans="1:12">
      <c r="I45" s="3">
        <v>45992</v>
      </c>
      <c r="J45" s="4">
        <v>1763642.9999999993</v>
      </c>
      <c r="K45" s="4">
        <v>404412.2099999999</v>
      </c>
      <c r="L45" s="8">
        <v>0.22930502941921924</v>
      </c>
    </row>
    <row r="46" spans="1:12">
      <c r="I46" s="3"/>
      <c r="J46" s="4"/>
      <c r="K46" s="4"/>
      <c r="L46" s="8"/>
    </row>
    <row r="48" spans="1:12" ht="17">
      <c r="A48" s="10" t="s">
        <v>58</v>
      </c>
      <c r="I48" s="10" t="s">
        <v>59</v>
      </c>
    </row>
    <row r="49" spans="1:12" ht="32">
      <c r="A49" s="13" t="s">
        <v>1</v>
      </c>
      <c r="B49" s="13" t="s">
        <v>5</v>
      </c>
      <c r="C49" s="13" t="s">
        <v>7</v>
      </c>
      <c r="D49" s="13" t="s">
        <v>54</v>
      </c>
      <c r="E49" s="13" t="s">
        <v>55</v>
      </c>
      <c r="F49" s="13" t="s">
        <v>49</v>
      </c>
      <c r="I49" s="2" t="s">
        <v>0</v>
      </c>
      <c r="J49" s="2" t="s">
        <v>55</v>
      </c>
      <c r="K49" s="2" t="s">
        <v>5</v>
      </c>
      <c r="L49" s="2" t="s">
        <v>7</v>
      </c>
    </row>
    <row r="50" spans="1:12">
      <c r="A50" t="s">
        <v>35</v>
      </c>
      <c r="B50" s="4">
        <v>3166671.959999999</v>
      </c>
      <c r="C50" s="4">
        <v>910724.17999999982</v>
      </c>
      <c r="D50" s="8">
        <v>0.28759662873321434</v>
      </c>
      <c r="E50" s="6">
        <v>4.0496666666666679</v>
      </c>
      <c r="F50" s="4">
        <v>1819.9264137931029</v>
      </c>
      <c r="I50" t="s">
        <v>30</v>
      </c>
      <c r="J50" s="6">
        <v>3.250694444444445</v>
      </c>
      <c r="K50" s="4">
        <v>394660.66999999993</v>
      </c>
      <c r="L50" s="4">
        <v>99151.77999999997</v>
      </c>
    </row>
    <row r="51" spans="1:12">
      <c r="A51" t="s">
        <v>23</v>
      </c>
      <c r="B51" s="4">
        <v>2905456.4599999972</v>
      </c>
      <c r="C51" s="4">
        <v>837581.20999999985</v>
      </c>
      <c r="D51" s="8">
        <v>0.28827869958856678</v>
      </c>
      <c r="E51" s="6">
        <v>3.9819444444444367</v>
      </c>
      <c r="F51" s="4">
        <v>1775.9513814180912</v>
      </c>
      <c r="I51" t="s">
        <v>20</v>
      </c>
      <c r="J51" s="6">
        <v>3.3522222222222222</v>
      </c>
      <c r="K51" s="4">
        <v>416811.28</v>
      </c>
      <c r="L51" s="4">
        <v>106330.87000000001</v>
      </c>
    </row>
    <row r="52" spans="1:12">
      <c r="A52" t="s">
        <v>41</v>
      </c>
      <c r="B52" s="4">
        <v>2883546.3000000021</v>
      </c>
      <c r="C52" s="4">
        <v>807124.73000000045</v>
      </c>
      <c r="D52" s="8">
        <v>0.27990697773779455</v>
      </c>
      <c r="E52" s="6">
        <v>3.9016388888888875</v>
      </c>
      <c r="F52" s="4">
        <v>1785.4775851393201</v>
      </c>
      <c r="I52" t="s">
        <v>21</v>
      </c>
      <c r="J52" s="6">
        <v>3.417222222222223</v>
      </c>
      <c r="K52" s="4">
        <v>474467.25</v>
      </c>
      <c r="L52" s="4">
        <v>136379.74000000002</v>
      </c>
    </row>
    <row r="53" spans="1:12">
      <c r="A53" t="s">
        <v>29</v>
      </c>
      <c r="B53" s="4">
        <v>2475171.6200000006</v>
      </c>
      <c r="C53" s="4">
        <v>695376.09999999916</v>
      </c>
      <c r="D53" s="8">
        <v>0.28094055958834846</v>
      </c>
      <c r="E53" s="6">
        <v>3.6733888888888924</v>
      </c>
      <c r="F53" s="4">
        <v>1836.1807270029678</v>
      </c>
      <c r="I53" t="s">
        <v>19</v>
      </c>
      <c r="J53" s="6">
        <v>3.5522222222222202</v>
      </c>
      <c r="K53" s="4">
        <v>557889.10999999987</v>
      </c>
      <c r="L53" s="4">
        <v>158352.82999999999</v>
      </c>
    </row>
    <row r="54" spans="1:12">
      <c r="A54" t="s">
        <v>11</v>
      </c>
      <c r="B54" s="4">
        <v>2456345.3400000012</v>
      </c>
      <c r="C54" s="4">
        <v>692245.85999999975</v>
      </c>
      <c r="D54" s="8">
        <v>0.28181943667578901</v>
      </c>
      <c r="E54" s="6">
        <v>3.6355833333333312</v>
      </c>
      <c r="F54" s="4">
        <v>1866.5238145896667</v>
      </c>
      <c r="I54" t="s">
        <v>31</v>
      </c>
      <c r="J54" s="6">
        <v>3.5529166666666665</v>
      </c>
      <c r="K54" s="4">
        <v>519126.69999999978</v>
      </c>
      <c r="L54" s="4">
        <v>148655.94</v>
      </c>
    </row>
    <row r="55" spans="1:12">
      <c r="B55" s="4"/>
      <c r="C55" s="4"/>
      <c r="D55" s="8"/>
      <c r="E55" s="6"/>
      <c r="F55" s="4"/>
      <c r="I55" t="s">
        <v>45</v>
      </c>
      <c r="J55" s="6">
        <v>3.5691666666666659</v>
      </c>
      <c r="K55" s="4">
        <v>494015.54000000027</v>
      </c>
      <c r="L55" s="4">
        <v>124827.68999999996</v>
      </c>
    </row>
    <row r="56" spans="1:12">
      <c r="I56" t="s">
        <v>28</v>
      </c>
      <c r="J56" s="6">
        <v>3.6016666666666657</v>
      </c>
      <c r="K56" s="4">
        <v>440530.81000000006</v>
      </c>
      <c r="L56" s="4">
        <v>126641.42999999996</v>
      </c>
    </row>
    <row r="57" spans="1:12">
      <c r="I57" t="s">
        <v>43</v>
      </c>
      <c r="J57" s="6">
        <v>3.637777777777778</v>
      </c>
      <c r="K57" s="4">
        <v>529265.02000000014</v>
      </c>
      <c r="L57" s="4">
        <v>150109.48000000001</v>
      </c>
    </row>
    <row r="58" spans="1:12">
      <c r="I58" t="s">
        <v>26</v>
      </c>
      <c r="J58" s="6">
        <v>3.6737500000000001</v>
      </c>
      <c r="K58" s="4">
        <v>530376.65999999992</v>
      </c>
      <c r="L58" s="4">
        <v>152466.34999999998</v>
      </c>
    </row>
    <row r="59" spans="1:12">
      <c r="I59" t="s">
        <v>27</v>
      </c>
      <c r="J59" s="6">
        <v>3.6758333333333328</v>
      </c>
      <c r="K59" s="4">
        <v>535544.06000000006</v>
      </c>
      <c r="L59" s="4">
        <v>153747.09000000005</v>
      </c>
    </row>
    <row r="60" spans="1:12">
      <c r="I60" t="s">
        <v>38</v>
      </c>
      <c r="J60" s="6">
        <v>3.807083333333332</v>
      </c>
      <c r="K60" s="4">
        <v>548467.75</v>
      </c>
      <c r="L60" s="4">
        <v>156603.63999999998</v>
      </c>
    </row>
    <row r="61" spans="1:12">
      <c r="I61" t="s">
        <v>18</v>
      </c>
      <c r="J61" s="6">
        <v>3.8751388888888902</v>
      </c>
      <c r="K61" s="4">
        <v>475274.49999999977</v>
      </c>
      <c r="L61" s="4">
        <v>137066.78</v>
      </c>
    </row>
    <row r="62" spans="1:12">
      <c r="I62" t="s">
        <v>37</v>
      </c>
      <c r="J62" s="6">
        <v>3.8768055555555545</v>
      </c>
      <c r="K62" s="4">
        <v>682360.66999999993</v>
      </c>
      <c r="L62" s="4">
        <v>195450.75000000006</v>
      </c>
    </row>
    <row r="63" spans="1:12">
      <c r="I63" t="s">
        <v>32</v>
      </c>
      <c r="J63" s="6">
        <v>3.9016666666666668</v>
      </c>
      <c r="K63" s="4">
        <v>564845.83000000007</v>
      </c>
      <c r="L63" s="4">
        <v>161638.54000000004</v>
      </c>
    </row>
    <row r="64" spans="1:12">
      <c r="I64" t="s">
        <v>22</v>
      </c>
      <c r="J64" s="6">
        <v>3.9206944444444463</v>
      </c>
      <c r="K64" s="4">
        <v>527018.28000000014</v>
      </c>
      <c r="L64" s="4">
        <v>151770.11999999997</v>
      </c>
    </row>
    <row r="65" spans="9:12">
      <c r="I65" t="s">
        <v>39</v>
      </c>
      <c r="J65" s="6">
        <v>3.9324999999999992</v>
      </c>
      <c r="K65" s="4">
        <v>665469.38</v>
      </c>
      <c r="L65" s="4">
        <v>193706.37000000002</v>
      </c>
    </row>
    <row r="66" spans="9:12">
      <c r="I66" t="s">
        <v>10</v>
      </c>
      <c r="J66" s="6">
        <v>3.9811111111111117</v>
      </c>
      <c r="K66" s="4">
        <v>531903.19999999995</v>
      </c>
      <c r="L66" s="4">
        <v>154115.64000000001</v>
      </c>
    </row>
    <row r="67" spans="9:12">
      <c r="I67" t="s">
        <v>36</v>
      </c>
      <c r="J67" s="6">
        <v>3.9940277777777768</v>
      </c>
      <c r="K67" s="4">
        <v>539517.87000000011</v>
      </c>
      <c r="L67" s="4">
        <v>155490.38999999996</v>
      </c>
    </row>
    <row r="68" spans="9:12">
      <c r="I68" t="s">
        <v>42</v>
      </c>
      <c r="J68" s="6">
        <v>3.9961111111111114</v>
      </c>
      <c r="K68" s="4">
        <v>618435.09</v>
      </c>
      <c r="L68" s="4">
        <v>177446.89999999997</v>
      </c>
    </row>
    <row r="69" spans="9:12">
      <c r="I69" t="s">
        <v>33</v>
      </c>
      <c r="J69" s="6">
        <v>4.0599999999999996</v>
      </c>
      <c r="K69" s="4">
        <v>556007.6100000001</v>
      </c>
      <c r="L69" s="4">
        <v>159288.41</v>
      </c>
    </row>
    <row r="70" spans="9:12">
      <c r="I70" t="s">
        <v>25</v>
      </c>
      <c r="J70" s="6">
        <v>4.0930555555555559</v>
      </c>
      <c r="K70" s="4">
        <v>614910</v>
      </c>
      <c r="L70" s="4">
        <v>177964.78000000009</v>
      </c>
    </row>
    <row r="71" spans="9:12">
      <c r="I71" t="s">
        <v>40</v>
      </c>
      <c r="J71" s="6">
        <v>4.1211111111111123</v>
      </c>
      <c r="K71" s="4">
        <v>659892.61999999988</v>
      </c>
      <c r="L71" s="4">
        <v>189313.8</v>
      </c>
    </row>
    <row r="72" spans="9:12">
      <c r="I72" t="s">
        <v>44</v>
      </c>
      <c r="J72" s="6">
        <v>4.1840277777777777</v>
      </c>
      <c r="K72" s="4">
        <v>581938.03</v>
      </c>
      <c r="L72" s="4">
        <v>165426.85999999999</v>
      </c>
    </row>
    <row r="73" spans="9:12">
      <c r="I73" t="s">
        <v>24</v>
      </c>
      <c r="J73" s="6">
        <v>4.5463888888888881</v>
      </c>
      <c r="K73" s="4">
        <v>697607.46</v>
      </c>
      <c r="L73" s="4">
        <v>201632.87000000002</v>
      </c>
    </row>
    <row r="74" spans="9:12">
      <c r="I74" t="s">
        <v>34</v>
      </c>
      <c r="J74" s="6">
        <v>4.6379166666666682</v>
      </c>
      <c r="K74" s="4">
        <v>730856.29</v>
      </c>
      <c r="L74" s="4">
        <v>209473.03</v>
      </c>
    </row>
    <row r="75" spans="9:12">
      <c r="J75" s="6"/>
      <c r="K75" s="4"/>
      <c r="L7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D5" sqref="D5"/>
    </sheetView>
  </sheetViews>
  <sheetFormatPr baseColWidth="10" defaultColWidth="8.83203125" defaultRowHeight="14"/>
  <cols>
    <col min="1" max="1" width="30" customWidth="1"/>
    <col min="2" max="2" width="23.1640625" customWidth="1"/>
    <col min="3" max="3" width="14.5" customWidth="1"/>
    <col min="4" max="4" width="16" customWidth="1"/>
  </cols>
  <sheetData>
    <row r="1" spans="1:4" ht="21">
      <c r="A1" s="9" t="s">
        <v>60</v>
      </c>
      <c r="B1" s="9"/>
      <c r="C1" s="9"/>
      <c r="D1" s="9"/>
    </row>
    <row r="3" spans="1:4" ht="32">
      <c r="A3" s="2" t="s">
        <v>61</v>
      </c>
      <c r="B3" s="2" t="s">
        <v>62</v>
      </c>
      <c r="C3" s="2" t="s">
        <v>63</v>
      </c>
      <c r="D3" s="2" t="s">
        <v>64</v>
      </c>
    </row>
    <row r="4" spans="1:4" ht="30">
      <c r="A4" s="14" t="s">
        <v>65</v>
      </c>
      <c r="B4" s="14" t="s">
        <v>66</v>
      </c>
      <c r="C4" s="14" t="s">
        <v>67</v>
      </c>
      <c r="D4" s="15">
        <f>SUM('Data Cleaning'!G:G)</f>
        <v>13887191.680000002</v>
      </c>
    </row>
    <row r="5" spans="1:4" ht="30">
      <c r="A5" s="14" t="s">
        <v>65</v>
      </c>
      <c r="B5" s="14" t="s">
        <v>68</v>
      </c>
      <c r="C5" s="14" t="s">
        <v>69</v>
      </c>
      <c r="D5" s="15">
        <f>SUM('Data Cleaning'!I:I)</f>
        <v>3943052.109999998</v>
      </c>
    </row>
    <row r="6" spans="1:4" ht="45">
      <c r="A6" s="14" t="s">
        <v>65</v>
      </c>
      <c r="B6" s="14" t="s">
        <v>47</v>
      </c>
      <c r="C6" s="14" t="s">
        <v>70</v>
      </c>
      <c r="D6" s="16">
        <f>IFERROR(D5/D4,0)</f>
        <v>0.28393444843702176</v>
      </c>
    </row>
    <row r="7" spans="1:4" ht="90">
      <c r="A7" s="14" t="s">
        <v>65</v>
      </c>
      <c r="B7" s="14" t="s">
        <v>71</v>
      </c>
      <c r="C7" s="14" t="s">
        <v>72</v>
      </c>
      <c r="D7" s="16">
        <f>IFERROR((SUMIFS('Data Cleaning'!G:G,'Data Cleaning'!D:D,DATE(2025,12,1))-SUMIFS('Data Cleaning'!G:G,'Data Cleaning'!D:D,DATE(2025,1,1)))/SUMIFS('Data Cleaning'!G:G,'Data Cleaning'!D:D,DATE(2025,1,1)),0)</f>
        <v>1.0874662049639192</v>
      </c>
    </row>
    <row r="8" spans="1:4" ht="45">
      <c r="A8" s="14" t="s">
        <v>73</v>
      </c>
      <c r="B8" s="14" t="s">
        <v>74</v>
      </c>
      <c r="C8" s="14" t="s">
        <v>75</v>
      </c>
      <c r="D8" s="17">
        <f>AVERAGE('Data Cleaning'!F:F)</f>
        <v>126.43</v>
      </c>
    </row>
    <row r="9" spans="1:4" ht="75">
      <c r="A9" s="14" t="s">
        <v>73</v>
      </c>
      <c r="B9" s="14" t="s">
        <v>49</v>
      </c>
      <c r="C9" s="14" t="s">
        <v>76</v>
      </c>
      <c r="D9" s="15">
        <f>IFERROR(D4/SUM('Data Cleaning'!M:M),0)</f>
        <v>1814.1334657086873</v>
      </c>
    </row>
    <row r="10" spans="1:4" ht="60">
      <c r="A10" s="14" t="s">
        <v>77</v>
      </c>
      <c r="B10" s="14" t="s">
        <v>78</v>
      </c>
      <c r="C10" s="14" t="s">
        <v>79</v>
      </c>
      <c r="D10" s="18">
        <f>AVERAGE('Data Cleaning'!K:K)</f>
        <v>3.8484444444444428</v>
      </c>
    </row>
    <row r="11" spans="1:4" ht="60">
      <c r="A11" s="14" t="s">
        <v>77</v>
      </c>
      <c r="B11" s="14" t="s">
        <v>80</v>
      </c>
      <c r="C11" s="14" t="s">
        <v>81</v>
      </c>
      <c r="D11" s="14" t="s">
        <v>82</v>
      </c>
    </row>
    <row r="12" spans="1:4" ht="60">
      <c r="A12" s="14" t="s">
        <v>77</v>
      </c>
      <c r="B12" s="14" t="s">
        <v>83</v>
      </c>
      <c r="C12" s="14" t="s">
        <v>84</v>
      </c>
      <c r="D12" s="14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6"/>
  <sheetViews>
    <sheetView workbookViewId="0"/>
  </sheetViews>
  <sheetFormatPr baseColWidth="10" defaultColWidth="8.83203125" defaultRowHeight="14"/>
  <cols>
    <col min="1" max="1" width="30" customWidth="1"/>
    <col min="2" max="2" width="9.83203125" customWidth="1"/>
    <col min="3" max="3" width="15" customWidth="1"/>
    <col min="4" max="4" width="15.83203125" customWidth="1"/>
    <col min="6" max="6" width="10" customWidth="1"/>
    <col min="7" max="7" width="94.33203125" customWidth="1"/>
  </cols>
  <sheetData>
    <row r="1" spans="1:26" ht="48">
      <c r="A1" s="19" t="s">
        <v>86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P1" s="2" t="s">
        <v>1</v>
      </c>
      <c r="Q1" s="2" t="s">
        <v>5</v>
      </c>
      <c r="S1" s="11" t="s">
        <v>2</v>
      </c>
      <c r="T1" s="11" t="s">
        <v>7</v>
      </c>
      <c r="V1" s="12" t="s">
        <v>3</v>
      </c>
      <c r="W1" s="12" t="s">
        <v>5</v>
      </c>
      <c r="Y1" s="13" t="s">
        <v>0</v>
      </c>
      <c r="Z1" s="13" t="s">
        <v>55</v>
      </c>
    </row>
    <row r="2" spans="1:26">
      <c r="P2" t="s">
        <v>35</v>
      </c>
      <c r="Q2" s="4">
        <v>3166671.959999999</v>
      </c>
      <c r="S2" t="s">
        <v>12</v>
      </c>
      <c r="T2" s="4">
        <v>1124161.5600000003</v>
      </c>
      <c r="V2" s="26">
        <v>45658</v>
      </c>
      <c r="W2" s="4">
        <v>844872.6</v>
      </c>
      <c r="Y2" t="s">
        <v>30</v>
      </c>
      <c r="Z2" s="6">
        <v>3.250694444444445</v>
      </c>
    </row>
    <row r="3" spans="1:26" ht="16">
      <c r="A3" s="7" t="s">
        <v>62</v>
      </c>
      <c r="B3" s="7" t="s">
        <v>64</v>
      </c>
      <c r="C3" s="7" t="s">
        <v>62</v>
      </c>
      <c r="D3" s="7" t="s">
        <v>64</v>
      </c>
      <c r="F3" s="1" t="s">
        <v>87</v>
      </c>
      <c r="G3" s="1" t="s">
        <v>88</v>
      </c>
      <c r="H3" s="1"/>
      <c r="I3" s="1"/>
      <c r="J3" s="1"/>
      <c r="K3" s="1"/>
      <c r="L3" s="1"/>
      <c r="M3" s="1"/>
      <c r="N3" s="1"/>
      <c r="P3" t="s">
        <v>23</v>
      </c>
      <c r="Q3" s="4">
        <v>2905456.4599999972</v>
      </c>
      <c r="S3" t="s">
        <v>14</v>
      </c>
      <c r="T3" s="4">
        <v>788430.41000000038</v>
      </c>
      <c r="V3" s="26">
        <v>45689</v>
      </c>
      <c r="W3" s="4">
        <v>826792.02000000014</v>
      </c>
      <c r="Y3" t="s">
        <v>20</v>
      </c>
      <c r="Z3" s="6">
        <v>3.3522222222222222</v>
      </c>
    </row>
    <row r="4" spans="1:26">
      <c r="A4" s="20" t="s">
        <v>5</v>
      </c>
      <c r="B4" s="21">
        <v>13887191.68</v>
      </c>
      <c r="C4" s="20" t="s">
        <v>71</v>
      </c>
      <c r="D4" s="22">
        <v>1.0874662049639201</v>
      </c>
      <c r="F4" s="27"/>
      <c r="G4" s="27"/>
      <c r="H4" s="27"/>
      <c r="I4" s="27"/>
      <c r="J4" s="27"/>
      <c r="K4" s="27"/>
      <c r="L4" s="27"/>
      <c r="M4" s="27"/>
      <c r="N4" s="27"/>
      <c r="P4" t="s">
        <v>41</v>
      </c>
      <c r="Q4" s="4">
        <v>2883546.3000000021</v>
      </c>
      <c r="S4" t="s">
        <v>13</v>
      </c>
      <c r="T4" s="4">
        <v>767715.33000000007</v>
      </c>
      <c r="V4" s="26">
        <v>45717</v>
      </c>
      <c r="W4" s="4">
        <v>972561.45000000054</v>
      </c>
      <c r="Y4" t="s">
        <v>21</v>
      </c>
      <c r="Z4" s="6">
        <v>3.417222222222223</v>
      </c>
    </row>
    <row r="5" spans="1:26">
      <c r="A5" s="20" t="s">
        <v>7</v>
      </c>
      <c r="B5" s="21">
        <v>3943052.08</v>
      </c>
      <c r="C5" s="20" t="s">
        <v>74</v>
      </c>
      <c r="D5" s="23">
        <v>126.43</v>
      </c>
      <c r="F5" s="27"/>
      <c r="G5" s="27"/>
      <c r="H5" s="27"/>
      <c r="I5" s="27"/>
      <c r="J5" s="27"/>
      <c r="K5" s="27"/>
      <c r="L5" s="27"/>
      <c r="M5" s="27"/>
      <c r="N5" s="27"/>
      <c r="P5" t="s">
        <v>29</v>
      </c>
      <c r="Q5" s="4">
        <v>2475171.6200000006</v>
      </c>
      <c r="S5" t="s">
        <v>15</v>
      </c>
      <c r="T5" s="4">
        <v>604999.69000000029</v>
      </c>
      <c r="V5" s="26">
        <v>45748</v>
      </c>
      <c r="W5" s="4">
        <v>1029893.48</v>
      </c>
      <c r="Y5" t="s">
        <v>19</v>
      </c>
      <c r="Z5" s="6">
        <v>3.5522222222222202</v>
      </c>
    </row>
    <row r="6" spans="1:26">
      <c r="A6" s="20" t="s">
        <v>54</v>
      </c>
      <c r="B6" s="22">
        <v>0.28393444627675796</v>
      </c>
      <c r="C6" s="20" t="s">
        <v>49</v>
      </c>
      <c r="D6" s="21">
        <v>1814.133465708687</v>
      </c>
      <c r="F6" s="27"/>
      <c r="G6" s="27"/>
      <c r="H6" s="27"/>
      <c r="I6" s="27"/>
      <c r="J6" s="27"/>
      <c r="K6" s="27"/>
      <c r="L6" s="27"/>
      <c r="M6" s="27"/>
      <c r="N6" s="27"/>
      <c r="P6" t="s">
        <v>11</v>
      </c>
      <c r="Q6" s="4">
        <v>2456345.3400000012</v>
      </c>
      <c r="S6" t="s">
        <v>17</v>
      </c>
      <c r="T6" s="4">
        <v>579316.90999999968</v>
      </c>
      <c r="V6" s="26">
        <v>45778</v>
      </c>
      <c r="W6" s="4">
        <v>1122932.6399999999</v>
      </c>
      <c r="Y6" t="s">
        <v>31</v>
      </c>
      <c r="Z6" s="6">
        <v>3.5529166666666665</v>
      </c>
    </row>
    <row r="7" spans="1:26">
      <c r="A7" s="24" t="s">
        <v>55</v>
      </c>
      <c r="B7" s="25">
        <v>3.8484444444444446</v>
      </c>
      <c r="C7" s="24" t="s">
        <v>89</v>
      </c>
      <c r="D7" s="24" t="s">
        <v>82</v>
      </c>
      <c r="F7" s="27"/>
      <c r="G7" s="27"/>
      <c r="H7" s="27"/>
      <c r="I7" s="27"/>
      <c r="J7" s="27"/>
      <c r="K7" s="27"/>
      <c r="L7" s="27"/>
      <c r="M7" s="27"/>
      <c r="N7" s="27"/>
      <c r="S7" t="s">
        <v>16</v>
      </c>
      <c r="T7" s="4">
        <v>78428.17999999992</v>
      </c>
      <c r="V7" s="26">
        <v>45809</v>
      </c>
      <c r="W7" s="4">
        <v>1159230.1600000006</v>
      </c>
      <c r="Y7" t="s">
        <v>45</v>
      </c>
      <c r="Z7" s="6">
        <v>3.5691666666666659</v>
      </c>
    </row>
    <row r="8" spans="1:26">
      <c r="F8" s="27"/>
      <c r="G8" s="27"/>
      <c r="H8" s="27"/>
      <c r="I8" s="27"/>
      <c r="J8" s="27"/>
      <c r="K8" s="27"/>
      <c r="L8" s="27"/>
      <c r="M8" s="27"/>
      <c r="N8" s="27"/>
      <c r="V8" s="26">
        <v>45839</v>
      </c>
      <c r="W8" s="4">
        <v>1199263.06</v>
      </c>
      <c r="Y8" t="s">
        <v>28</v>
      </c>
      <c r="Z8" s="6">
        <v>3.6016666666666657</v>
      </c>
    </row>
    <row r="9" spans="1:26">
      <c r="V9" s="26">
        <v>45870</v>
      </c>
      <c r="W9" s="4">
        <v>1186344.78</v>
      </c>
      <c r="Y9" t="s">
        <v>43</v>
      </c>
      <c r="Z9" s="6">
        <v>3.637777777777778</v>
      </c>
    </row>
    <row r="10" spans="1:26">
      <c r="V10" s="26">
        <v>45901</v>
      </c>
      <c r="W10" s="4">
        <v>1076452.9099999997</v>
      </c>
      <c r="Y10" t="s">
        <v>26</v>
      </c>
      <c r="Z10" s="6">
        <v>3.6737500000000001</v>
      </c>
    </row>
    <row r="11" spans="1:26">
      <c r="V11" s="26">
        <v>45931</v>
      </c>
      <c r="W11" s="4">
        <v>1134717.73</v>
      </c>
      <c r="Y11" t="s">
        <v>27</v>
      </c>
      <c r="Z11" s="6">
        <v>3.6758333333333328</v>
      </c>
    </row>
    <row r="12" spans="1:26">
      <c r="V12" s="26">
        <v>45962</v>
      </c>
      <c r="W12" s="4">
        <v>1570487.8500000003</v>
      </c>
      <c r="Y12" t="s">
        <v>38</v>
      </c>
      <c r="Z12" s="6">
        <v>3.807083333333332</v>
      </c>
    </row>
    <row r="13" spans="1:26">
      <c r="V13" s="26">
        <v>45992</v>
      </c>
      <c r="W13" s="4">
        <v>1763642.9999999993</v>
      </c>
      <c r="Y13" t="s">
        <v>18</v>
      </c>
      <c r="Z13" s="6">
        <v>3.8751388888888902</v>
      </c>
    </row>
    <row r="14" spans="1:26">
      <c r="Y14" t="s">
        <v>37</v>
      </c>
      <c r="Z14" s="6">
        <v>3.8768055555555545</v>
      </c>
    </row>
    <row r="15" spans="1:26">
      <c r="Y15" t="s">
        <v>32</v>
      </c>
      <c r="Z15" s="6">
        <v>3.9016666666666668</v>
      </c>
    </row>
    <row r="16" spans="1:26">
      <c r="Y16" t="s">
        <v>22</v>
      </c>
      <c r="Z16" s="6">
        <v>3.9206944444444463</v>
      </c>
    </row>
    <row r="17" spans="25:26">
      <c r="Y17" t="s">
        <v>39</v>
      </c>
      <c r="Z17" s="6">
        <v>3.9324999999999992</v>
      </c>
    </row>
    <row r="18" spans="25:26">
      <c r="Y18" t="s">
        <v>10</v>
      </c>
      <c r="Z18" s="6">
        <v>3.9811111111111117</v>
      </c>
    </row>
    <row r="19" spans="25:26">
      <c r="Y19" t="s">
        <v>36</v>
      </c>
      <c r="Z19" s="6">
        <v>3.9940277777777768</v>
      </c>
    </row>
    <row r="20" spans="25:26">
      <c r="Y20" t="s">
        <v>42</v>
      </c>
      <c r="Z20" s="6">
        <v>3.9961111111111114</v>
      </c>
    </row>
    <row r="21" spans="25:26">
      <c r="Y21" t="s">
        <v>33</v>
      </c>
      <c r="Z21" s="6">
        <v>4.0599999999999996</v>
      </c>
    </row>
    <row r="22" spans="25:26">
      <c r="Y22" t="s">
        <v>25</v>
      </c>
      <c r="Z22" s="6">
        <v>4.0930555555555559</v>
      </c>
    </row>
    <row r="23" spans="25:26">
      <c r="Y23" t="s">
        <v>40</v>
      </c>
      <c r="Z23" s="6">
        <v>4.1211111111111123</v>
      </c>
    </row>
    <row r="24" spans="25:26">
      <c r="Y24" t="s">
        <v>44</v>
      </c>
      <c r="Z24" s="6">
        <v>4.1840277777777777</v>
      </c>
    </row>
    <row r="25" spans="25:26">
      <c r="Y25" t="s">
        <v>24</v>
      </c>
      <c r="Z25" s="6">
        <v>4.5463888888888881</v>
      </c>
    </row>
    <row r="26" spans="25:26">
      <c r="Y26" t="s">
        <v>34</v>
      </c>
      <c r="Z26" s="6">
        <v>4.6379166666666682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baseColWidth="10" defaultColWidth="8.83203125" defaultRowHeight="14"/>
  <cols>
    <col min="1" max="1" width="30" customWidth="1"/>
    <col min="2" max="2" width="76.1640625" customWidth="1"/>
    <col min="3" max="3" width="57" customWidth="1"/>
    <col min="4" max="4" width="79.6640625" customWidth="1"/>
    <col min="5" max="5" width="6.83203125" customWidth="1"/>
  </cols>
  <sheetData>
    <row r="1" spans="1:5" ht="44">
      <c r="A1" s="28" t="s">
        <v>90</v>
      </c>
      <c r="B1" s="28"/>
      <c r="C1" s="28"/>
      <c r="D1" s="28"/>
      <c r="E1" s="28"/>
    </row>
    <row r="3" spans="1:5" ht="32">
      <c r="A3" s="7" t="s">
        <v>91</v>
      </c>
      <c r="B3" s="7" t="s">
        <v>92</v>
      </c>
      <c r="C3" s="7" t="s">
        <v>93</v>
      </c>
      <c r="D3" s="7" t="s">
        <v>94</v>
      </c>
      <c r="E3" s="7" t="s">
        <v>95</v>
      </c>
    </row>
    <row r="4" spans="1:5">
      <c r="A4" t="s">
        <v>96</v>
      </c>
      <c r="B4" t="s">
        <v>97</v>
      </c>
      <c r="C4" t="s">
        <v>98</v>
      </c>
      <c r="D4" t="s">
        <v>99</v>
      </c>
      <c r="E4" t="s">
        <v>100</v>
      </c>
    </row>
    <row r="5" spans="1:5">
      <c r="A5" t="s">
        <v>101</v>
      </c>
      <c r="B5" t="s">
        <v>102</v>
      </c>
      <c r="C5" t="s">
        <v>103</v>
      </c>
      <c r="D5" t="s">
        <v>104</v>
      </c>
      <c r="E5" t="s">
        <v>100</v>
      </c>
    </row>
    <row r="6" spans="1:5">
      <c r="A6" t="s">
        <v>105</v>
      </c>
      <c r="B6" t="s">
        <v>106</v>
      </c>
      <c r="C6" t="s">
        <v>107</v>
      </c>
      <c r="D6" t="s">
        <v>108</v>
      </c>
      <c r="E6" t="s">
        <v>109</v>
      </c>
    </row>
    <row r="7" spans="1:5">
      <c r="A7" t="s">
        <v>110</v>
      </c>
      <c r="B7" t="s">
        <v>111</v>
      </c>
      <c r="C7" t="s">
        <v>112</v>
      </c>
      <c r="D7" t="s">
        <v>113</v>
      </c>
      <c r="E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Data Cleaning</vt:lpstr>
      <vt:lpstr>Pivot Tables</vt:lpstr>
      <vt:lpstr>Calculations</vt:lpstr>
      <vt:lpstr>Dashboard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Barrera, Juan J</cp:lastModifiedBy>
  <dcterms:created xsi:type="dcterms:W3CDTF">2026-06-15T21:51:51Z</dcterms:created>
  <dcterms:modified xsi:type="dcterms:W3CDTF">2026-06-15T21:51:51Z</dcterms:modified>
</cp:coreProperties>
</file>