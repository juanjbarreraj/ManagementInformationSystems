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juanbarrera/Documents/2026/SummerSemester/ManagementInformationSystems/Week6/"/>
    </mc:Choice>
  </mc:AlternateContent>
  <xr:revisionPtr revIDLastSave="0" documentId="8_{738C56A1-4294-6E4C-9435-12AA496BAE20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README" sheetId="1" r:id="rId1"/>
    <sheet name="Inputs" sheetId="2" r:id="rId2"/>
    <sheet name="Location_Data" sheetId="3" r:id="rId3"/>
    <sheet name="Scenario_Manager" sheetId="4" r:id="rId4"/>
    <sheet name="Goal_Seek_Solver" sheetId="5" r:id="rId5"/>
    <sheet name="Dashboard" sheetId="6" r:id="rId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C12" i="5"/>
  <c r="G9" i="5"/>
  <c r="G8" i="5"/>
  <c r="G12" i="5" s="1"/>
  <c r="C8" i="5"/>
  <c r="C7" i="5"/>
  <c r="C9" i="5" s="1"/>
  <c r="C10" i="5" s="1"/>
  <c r="C16" i="4"/>
  <c r="G14" i="4"/>
  <c r="B13" i="6" s="1"/>
  <c r="F14" i="4"/>
  <c r="C14" i="4"/>
  <c r="G13" i="4"/>
  <c r="B12" i="6" s="1"/>
  <c r="F13" i="4"/>
  <c r="G12" i="4"/>
  <c r="H12" i="4" s="1"/>
  <c r="I12" i="4" s="1"/>
  <c r="C11" i="6" s="1"/>
  <c r="F12" i="4"/>
  <c r="C12" i="4"/>
  <c r="C13" i="4" s="1"/>
  <c r="C15" i="4" s="1"/>
  <c r="B13" i="3"/>
  <c r="Q6" i="3"/>
  <c r="C11" i="5" s="1"/>
  <c r="M6" i="3"/>
  <c r="N6" i="3" s="1"/>
  <c r="G7" i="5" s="1"/>
  <c r="G10" i="5" s="1"/>
  <c r="G15" i="5" s="1"/>
  <c r="Q5" i="3"/>
  <c r="M5" i="3"/>
  <c r="N5" i="3" s="1"/>
  <c r="O5" i="3" s="1"/>
  <c r="P5" i="3" s="1"/>
  <c r="R5" i="3" s="1"/>
  <c r="Q4" i="3"/>
  <c r="M4" i="3"/>
  <c r="N4" i="3" s="1"/>
  <c r="O4" i="3" s="1"/>
  <c r="P4" i="3" s="1"/>
  <c r="R4" i="3" s="1"/>
  <c r="C17" i="4" l="1"/>
  <c r="C18" i="4" s="1"/>
  <c r="C19" i="4" s="1"/>
  <c r="G13" i="5"/>
  <c r="H13" i="4"/>
  <c r="I13" i="4" s="1"/>
  <c r="C12" i="6" s="1"/>
  <c r="S4" i="3"/>
  <c r="T4" i="3" s="1"/>
  <c r="S5" i="3"/>
  <c r="T5" i="3" s="1"/>
  <c r="C13" i="5"/>
  <c r="B8" i="6" s="1"/>
  <c r="B11" i="6"/>
  <c r="O6" i="3"/>
  <c r="P6" i="3" s="1"/>
  <c r="H14" i="4"/>
  <c r="I14" i="4" s="1"/>
  <c r="C13" i="6" s="1"/>
  <c r="G16" i="5" l="1"/>
  <c r="G14" i="5"/>
  <c r="R6" i="3"/>
  <c r="B5" i="6" l="1"/>
  <c r="U6" i="3"/>
  <c r="B7" i="6" s="1"/>
  <c r="S6" i="3"/>
  <c r="T6" i="3" s="1"/>
  <c r="B12" i="3"/>
  <c r="U4" i="3"/>
  <c r="U5" i="3"/>
  <c r="B6" i="6" l="1"/>
  <c r="B10" i="3"/>
  <c r="B11" i="3"/>
</calcChain>
</file>

<file path=xl/sharedStrings.xml><?xml version="1.0" encoding="utf-8"?>
<sst xmlns="http://schemas.openxmlformats.org/spreadsheetml/2006/main" count="222" uniqueCount="190">
  <si>
    <t>Using Decision Support Systems to Make a Business Decision</t>
  </si>
  <si>
    <t>Scenario selected</t>
  </si>
  <si>
    <t>New Store Location Selection</t>
  </si>
  <si>
    <t>Decision question</t>
  </si>
  <si>
    <t>Which of three potential locations should the company open next?</t>
  </si>
  <si>
    <t>Recommendation</t>
  </si>
  <si>
    <t>Open the SouthSide location.</t>
  </si>
  <si>
    <t>Primary decision metric</t>
  </si>
  <si>
    <t>3-year NPV plus weighted decision score</t>
  </si>
  <si>
    <t>DSS techniques included</t>
  </si>
  <si>
    <t>Data tables, visualization, scenario evaluation, scenario-manager style selector, and Goal Seek/Solver-style optimization.</t>
  </si>
  <si>
    <t>Workbook structure</t>
  </si>
  <si>
    <t>Inputs, Location_Data, Scenario_Manager, Goal_Seek_Solver, Dashboard</t>
  </si>
  <si>
    <t>Prepared for</t>
  </si>
  <si>
    <t>Management decision support</t>
  </si>
  <si>
    <t>Prepared by</t>
  </si>
  <si>
    <t>Juan Barrera</t>
  </si>
  <si>
    <t>Date</t>
  </si>
  <si>
    <t>Note</t>
  </si>
  <si>
    <t>Financial inputs are internally modeled assumptions for an academic DSS exercise; replace assumptions with verified company data before investing.</t>
  </si>
  <si>
    <t>Model Inputs and Decision Weights</t>
  </si>
  <si>
    <t>Model assumption</t>
  </si>
  <si>
    <t>Value</t>
  </si>
  <si>
    <t>Notes</t>
  </si>
  <si>
    <t>Weighted score factor</t>
  </si>
  <si>
    <t>Weight</t>
  </si>
  <si>
    <t>Rationale</t>
  </si>
  <si>
    <t>Discount rate</t>
  </si>
  <si>
    <t>Used in 3-year NPV</t>
  </si>
  <si>
    <t>Profit potential</t>
  </si>
  <si>
    <t>Most direct contributor to growth</t>
  </si>
  <si>
    <t>Population demand factor</t>
  </si>
  <si>
    <t>Monthly customer contribution per person within 3 miles</t>
  </si>
  <si>
    <t>Revenue upside</t>
  </si>
  <si>
    <t>Measures demand and sales opportunity</t>
  </si>
  <si>
    <t>Traffic conversion multiplier</t>
  </si>
  <si>
    <t>Expected-case uplift applied to base conversion rate</t>
  </si>
  <si>
    <t>Rent efficiency</t>
  </si>
  <si>
    <t>Lower fixed costs reduce break-even pressure</t>
  </si>
  <si>
    <t>Competition penalty</t>
  </si>
  <si>
    <t>Demand penalty per nearby competitor</t>
  </si>
  <si>
    <t>Traffic access</t>
  </si>
  <si>
    <t>Higher visibility improves acquisition</t>
  </si>
  <si>
    <t>Planning horizon</t>
  </si>
  <si>
    <t>Years</t>
  </si>
  <si>
    <t>Competitive intensity</t>
  </si>
  <si>
    <t>Lower competition lowers demand leakage</t>
  </si>
  <si>
    <t>Service capacity per employee</t>
  </si>
  <si>
    <t>Monthly customers handled per employee</t>
  </si>
  <si>
    <t>Population density</t>
  </si>
  <si>
    <t>Larger nearby market supports repeat visits</t>
  </si>
  <si>
    <t>Monthly cost per employee</t>
  </si>
  <si>
    <t>Wages, taxes, benefits, and scheduling coverage</t>
  </si>
  <si>
    <t>Total</t>
  </si>
  <si>
    <t>Weights sum to 100%</t>
  </si>
  <si>
    <t>Location Comparison Model</t>
  </si>
  <si>
    <t>Location</t>
  </si>
  <si>
    <t>Monthly Rent</t>
  </si>
  <si>
    <t>Population (3 mi)</t>
  </si>
  <si>
    <t>Avg Daily Traffic</t>
  </si>
  <si>
    <t>Competitors</t>
  </si>
  <si>
    <t>Opening Cost</t>
  </si>
  <si>
    <t>Avg Ticket</t>
  </si>
  <si>
    <t>Gross Margin</t>
  </si>
  <si>
    <t>Base Conversion</t>
  </si>
  <si>
    <t>Staffing Cost</t>
  </si>
  <si>
    <t>Other Fixed Cost</t>
  </si>
  <si>
    <t>Marketing Cost</t>
  </si>
  <si>
    <t>Comp. Adj.</t>
  </si>
  <si>
    <t>Projected Customers</t>
  </si>
  <si>
    <t>Revenue</t>
  </si>
  <si>
    <t>Gross Profit</t>
  </si>
  <si>
    <t>Total Op. Cost</t>
  </si>
  <si>
    <t>Monthly Profit</t>
  </si>
  <si>
    <t>Annual Profit</t>
  </si>
  <si>
    <t>3-Year NPV</t>
  </si>
  <si>
    <t>Weighted Score</t>
  </si>
  <si>
    <t>Downtown/CBD</t>
  </si>
  <si>
    <t>Oakland/University</t>
  </si>
  <si>
    <t>SouthSide</t>
  </si>
  <si>
    <t>Decision Support Summary</t>
  </si>
  <si>
    <t>Best location by 3-year NPV</t>
  </si>
  <si>
    <t>Best location by weighted score</t>
  </si>
  <si>
    <t>Highest expected monthly profit</t>
  </si>
  <si>
    <t>Lowest monthly rent</t>
  </si>
  <si>
    <t>It has the strongest expected profit, the highest 3-year NPV, and the most favorable balance of rent, demand, and operating cost.</t>
  </si>
  <si>
    <t>Decision caveat</t>
  </si>
  <si>
    <t>Projected demand should be validated with actual footfall data, lease terms, and a pilot marketing test.</t>
  </si>
  <si>
    <t>Scenario Manager / What-If Analysis for Recommended Location (SouthSide)</t>
  </si>
  <si>
    <t>Selected scenario</t>
  </si>
  <si>
    <t>Expected Case</t>
  </si>
  <si>
    <t>Scenario</t>
  </si>
  <si>
    <t>Traffic Multiplier</t>
  </si>
  <si>
    <t>Conversion Multiplier</t>
  </si>
  <si>
    <t>Rent Increase</t>
  </si>
  <si>
    <t>Competition Change</t>
  </si>
  <si>
    <t>Marketing Multiplier</t>
  </si>
  <si>
    <t>Margin Change</t>
  </si>
  <si>
    <t>Assumption Summary</t>
  </si>
  <si>
    <t>Best Case</t>
  </si>
  <si>
    <t>Foot traffic and conversion outperform plan; one fewer effective competitor; marketing is scaled modestly.</t>
  </si>
  <si>
    <t>Base case using the location-comparison assumptions.</t>
  </si>
  <si>
    <t>Worst Case</t>
  </si>
  <si>
    <t>Traffic and conversion underperform; rent escalates; two competitors intensify; margin compresses.</t>
  </si>
  <si>
    <t>Selected Scenario Outputs</t>
  </si>
  <si>
    <t>Scenario Comparison Output Table</t>
  </si>
  <si>
    <t>Metric</t>
  </si>
  <si>
    <t>Formula / Source</t>
  </si>
  <si>
    <t>Monthly Revenue</t>
  </si>
  <si>
    <t>Demand formula adjusted by scenario</t>
  </si>
  <si>
    <t>Customers x Avg Ticket</t>
  </si>
  <si>
    <t>Base margin + scenario change</t>
  </si>
  <si>
    <t>Monthly Gross Profit</t>
  </si>
  <si>
    <t>Revenue x gross margin</t>
  </si>
  <si>
    <t>Monthly Operating Cost</t>
  </si>
  <si>
    <t>Rent, staffing, fixed, marketing</t>
  </si>
  <si>
    <t>Gross profit - operating cost</t>
  </si>
  <si>
    <t>Monthly profit x 12</t>
  </si>
  <si>
    <t>Opening cost + discounted annual profit</t>
  </si>
  <si>
    <t>Excel Scenario Manager setup used</t>
  </si>
  <si>
    <t>Changing cells</t>
  </si>
  <si>
    <t>B6:G8 and selected scenario B3</t>
  </si>
  <si>
    <t>Result cells</t>
  </si>
  <si>
    <t>C12:C19 and E11:I14</t>
  </si>
  <si>
    <t>Purpose</t>
  </si>
  <si>
    <t>Compare Best, Expected, and Worst outcomes for the recommended location using explicit scenario assumptions.</t>
  </si>
  <si>
    <t>Goal Seek / Solver Model</t>
  </si>
  <si>
    <t>Recommended location</t>
  </si>
  <si>
    <t>Goal Seek: Monthly Revenue Needed for Break-Even NPV</t>
  </si>
  <si>
    <t>Solver-Style Staffing Optimization</t>
  </si>
  <si>
    <t>Formula</t>
  </si>
  <si>
    <t>Decision variable / metric</t>
  </si>
  <si>
    <t>Formula / Constraint</t>
  </si>
  <si>
    <t>Decision</t>
  </si>
  <si>
    <t>Opening cost</t>
  </si>
  <si>
    <t>SouthSide opening cost</t>
  </si>
  <si>
    <t>Projected monthly customers</t>
  </si>
  <si>
    <t>Location_Data!N6</t>
  </si>
  <si>
    <t>Discount annuity factor</t>
  </si>
  <si>
    <t>SUM of years 1-3 at discount rate</t>
  </si>
  <si>
    <t>Inputs!B9</t>
  </si>
  <si>
    <t>Required annual profit for NPV = 0</t>
  </si>
  <si>
    <t>Opening cost / annuity factor</t>
  </si>
  <si>
    <t>Inputs!B10</t>
  </si>
  <si>
    <t>Required monthly profit</t>
  </si>
  <si>
    <t>Required annual profit / 12</t>
  </si>
  <si>
    <t>Minimum employees required</t>
  </si>
  <si>
    <t>CEILING(customers / capacity)</t>
  </si>
  <si>
    <t>Operating cost</t>
  </si>
  <si>
    <t>Expected monthly operating cost</t>
  </si>
  <si>
    <t>Candidate employees</t>
  </si>
  <si>
    <t>Decision variable</t>
  </si>
  <si>
    <t>Gross margin</t>
  </si>
  <si>
    <t>Expected gross margin</t>
  </si>
  <si>
    <t>Capacity with candidate employees</t>
  </si>
  <si>
    <t>Candidate x capacity</t>
  </si>
  <si>
    <t>Revenue needed for break-even NPV</t>
  </si>
  <si>
    <t>(Operating cost + required profit) / margin</t>
  </si>
  <si>
    <t>Capacity constraint</t>
  </si>
  <si>
    <t>Capacity &gt;= customers</t>
  </si>
  <si>
    <t>Profit with candidate employees</t>
  </si>
  <si>
    <t>Gross profit - rent - fixed - marketing - employee cost</t>
  </si>
  <si>
    <t>Optimal employee count</t>
  </si>
  <si>
    <t>Minimum employees that satisfies capacity</t>
  </si>
  <si>
    <t>Use this staffing level</t>
  </si>
  <si>
    <t>Optimized monthly profit</t>
  </si>
  <si>
    <t>Profit at optimal employees</t>
  </si>
  <si>
    <t>Solver setup documentation</t>
  </si>
  <si>
    <t>Objective</t>
  </si>
  <si>
    <t>Maximize optimized monthly profit (G16)</t>
  </si>
  <si>
    <t>Variable cell</t>
  </si>
  <si>
    <t>Employee count (G15 or candidate G11)</t>
  </si>
  <si>
    <t>Constraints</t>
  </si>
  <si>
    <t>Employees must be whole numbers; capacity must meet or exceed projected monthly customers; employee count between 18 and 36.</t>
  </si>
  <si>
    <t>Conclusion</t>
  </si>
  <si>
    <t>The model chooses the lowest feasible employee count because every additional employee increases labor cost once demand is fixed.</t>
  </si>
  <si>
    <t>Executive Dashboard: New Store Location DSS</t>
  </si>
  <si>
    <t>KPI</t>
  </si>
  <si>
    <t>Interpretation</t>
  </si>
  <si>
    <t>Chosen by NPV, profitability, and balanced score</t>
  </si>
  <si>
    <t>Expected monthly profit</t>
  </si>
  <si>
    <t>SouthSide expected monthly profit</t>
  </si>
  <si>
    <t>3-year NPV</t>
  </si>
  <si>
    <t>Value creation after opening cost</t>
  </si>
  <si>
    <t>Weighted decision score</t>
  </si>
  <si>
    <t>Composite score across decision variables</t>
  </si>
  <si>
    <t>Break-even revenue target</t>
  </si>
  <si>
    <t>Goal Seek result for NPV = 0</t>
  </si>
  <si>
    <t>Decision rule</t>
  </si>
  <si>
    <t>Proceed if Expected NPV is positive and Worst Case is manageable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</si>
</sst>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%"/>
    <numFmt numFmtId="166" formatCode="\$#,##0"/>
    <numFmt numFmtId="167" formatCode="0.0"/>
    <numFmt numFmtId="168" formatCode="0.000"/>
    <numFmt numFmtId="169" formatCode="0.0000"/>
  </numFmts>
  <fonts count="7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color rgb="FF2F855A"/>
      <name val="Carlito"/>
    </font>
    <font>
      <b/>
      <sz val="11"/>
      <color rgb="FF1A202C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2E8F0"/>
      </patternFill>
    </fill>
    <fill>
      <patternFill patternType="solid">
        <fgColor rgb="FF2B6CB0"/>
      </patternFill>
    </fill>
    <fill>
      <patternFill patternType="solid">
        <fgColor rgb="FFF0FFF4"/>
      </patternFill>
    </fill>
    <fill>
      <patternFill patternType="solid">
        <fgColor rgb="FFFFFAF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3">
    <xf numFmtId="0" fontId="0" fillId="0" borderId="0" xfId="0" applyBorder="1"/>
    <xf numFmtId="0" fontId="2" fillId="3" borderId="0" xfId="0" applyFont="1" applyFill="1" applyBorder="1" applyAlignment="1">
      <alignment wrapText="1"/>
    </xf>
    <xf numFmtId="0" fontId="0" fillId="0" borderId="0" xfId="0" applyBorder="1" applyAlignment="1">
      <alignment wrapText="1"/>
    </xf>
    <xf numFmtId="164" fontId="0" fillId="0" borderId="0" xfId="0" applyNumberFormat="1" applyBorder="1" applyAlignment="1">
      <alignment wrapText="1"/>
    </xf>
    <xf numFmtId="0" fontId="4" fillId="2" borderId="0" xfId="0" applyFont="1" applyFill="1" applyBorder="1" applyAlignment="1">
      <alignment horizontal="center" vertical="center" wrapText="1"/>
    </xf>
    <xf numFmtId="165" fontId="0" fillId="0" borderId="0" xfId="0" applyNumberFormat="1" applyBorder="1" applyAlignment="1">
      <alignment wrapText="1"/>
    </xf>
    <xf numFmtId="166" fontId="0" fillId="0" borderId="0" xfId="0" applyNumberFormat="1" applyBorder="1" applyAlignment="1">
      <alignment wrapText="1"/>
    </xf>
    <xf numFmtId="9" fontId="0" fillId="0" borderId="0" xfId="0" applyNumberFormat="1" applyBorder="1" applyAlignment="1">
      <alignment wrapText="1"/>
    </xf>
    <xf numFmtId="0" fontId="5" fillId="5" borderId="0" xfId="0" applyFont="1" applyFill="1" applyBorder="1" applyAlignment="1">
      <alignment wrapText="1"/>
    </xf>
    <xf numFmtId="0" fontId="6" fillId="3" borderId="0" xfId="0" applyFont="1" applyFill="1" applyBorder="1" applyAlignment="1">
      <alignment horizontal="left"/>
    </xf>
    <xf numFmtId="3" fontId="0" fillId="0" borderId="0" xfId="0" applyNumberFormat="1" applyBorder="1" applyAlignment="1">
      <alignment wrapText="1"/>
    </xf>
    <xf numFmtId="168" fontId="0" fillId="0" borderId="0" xfId="0" applyNumberFormat="1" applyBorder="1" applyAlignment="1">
      <alignment wrapText="1"/>
    </xf>
    <xf numFmtId="167" fontId="0" fillId="0" borderId="0" xfId="0" applyNumberFormat="1" applyBorder="1" applyAlignment="1">
      <alignment wrapText="1"/>
    </xf>
    <xf numFmtId="0" fontId="2" fillId="6" borderId="0" xfId="0" applyFont="1" applyFill="1" applyBorder="1" applyAlignment="1">
      <alignment wrapText="1"/>
    </xf>
    <xf numFmtId="0" fontId="0" fillId="0" borderId="0" xfId="0" applyBorder="1" applyAlignment="1">
      <alignment vertical="center"/>
    </xf>
    <xf numFmtId="167" fontId="0" fillId="0" borderId="0" xfId="0" applyNumberFormat="1" applyBorder="1" applyAlignment="1">
      <alignment vertical="center"/>
    </xf>
    <xf numFmtId="0" fontId="4" fillId="2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169" fontId="0" fillId="0" borderId="0" xfId="0" applyNumberFormat="1" applyBorder="1" applyAlignment="1">
      <alignment wrapText="1"/>
    </xf>
    <xf numFmtId="0" fontId="1" fillId="2" borderId="1" xfId="0" applyFont="1" applyFill="1" applyAlignment="1">
      <alignment horizontal="center" vertical="center"/>
    </xf>
    <xf numFmtId="0" fontId="0" fillId="0" borderId="1" xfId="0"/>
    <xf numFmtId="0" fontId="3" fillId="2" borderId="1" xfId="0" applyFont="1" applyFill="1" applyAlignment="1">
      <alignment horizontal="center" vertical="center"/>
    </xf>
    <xf numFmtId="0" fontId="4" fillId="4" borderId="1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font>
        <color rgb="FFC53030"/>
      </font>
    </dxf>
    <dxf>
      <font>
        <color rgb="FFC53030"/>
      </font>
    </dxf>
    <dxf>
      <font>
        <color rgb="FFC53030"/>
      </font>
    </dxf>
    <dxf>
      <font>
        <color rgb="FFC5303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Monthly Profit</c:v>
          </c:tx>
          <c:spPr>
            <a:ln>
              <a:prstDash val="solid"/>
            </a:ln>
          </c:spPr>
          <c:invertIfNegative val="1"/>
          <c:cat>
            <c:strRef>
              <c:f>Scenario_Manager!$E$12:$E$14</c:f>
              <c:strCache>
                <c:ptCount val="3"/>
                <c:pt idx="0">
                  <c:v>Best Case</c:v>
                </c:pt>
                <c:pt idx="1">
                  <c:v>Expected Case</c:v>
                </c:pt>
                <c:pt idx="2">
                  <c:v>Worst Case</c:v>
                </c:pt>
              </c:strCache>
            </c:strRef>
          </c:cat>
          <c:val>
            <c:numRef>
              <c:f>Scenario_Manager!$G$12:$G$14</c:f>
              <c:numCache>
                <c:formatCode>\$#,##0</c:formatCode>
                <c:ptCount val="3"/>
                <c:pt idx="0">
                  <c:v>38844.857766233763</c:v>
                </c:pt>
                <c:pt idx="1">
                  <c:v>12844.274999999994</c:v>
                </c:pt>
                <c:pt idx="2">
                  <c:v>-11080.144558139531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3-E648-89DD-2F5587A02465}"/>
            </c:ext>
          </c:extLst>
        </c:ser>
        <c:ser>
          <c:idx val="1"/>
          <c:order val="1"/>
          <c:tx>
            <c:v>3-Year NPV</c:v>
          </c:tx>
          <c:spPr>
            <a:ln>
              <a:prstDash val="solid"/>
            </a:ln>
          </c:spPr>
          <c:invertIfNegative val="1"/>
          <c:cat>
            <c:strRef>
              <c:f>Scenario_Manager!$E$12:$E$14</c:f>
              <c:strCache>
                <c:ptCount val="3"/>
                <c:pt idx="0">
                  <c:v>Best Case</c:v>
                </c:pt>
                <c:pt idx="1">
                  <c:v>Expected Case</c:v>
                </c:pt>
                <c:pt idx="2">
                  <c:v>Worst Case</c:v>
                </c:pt>
              </c:strCache>
            </c:strRef>
          </c:cat>
          <c:val>
            <c:numRef>
              <c:f>Scenario_Manager!$I$12:$I$14</c:f>
              <c:numCache>
                <c:formatCode>\$#,##0</c:formatCode>
                <c:ptCount val="3"/>
                <c:pt idx="0">
                  <c:v>989216.94250548829</c:v>
                </c:pt>
                <c:pt idx="1">
                  <c:v>213301.73027798624</c:v>
                </c:pt>
                <c:pt idx="2">
                  <c:v>-500656.15465762746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E3-E648-89DD-2F5587A02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3-Year NPV</c:v>
          </c:tx>
          <c:spPr>
            <a:ln>
              <a:prstDash val="solid"/>
            </a:ln>
          </c:spPr>
          <c:invertIfNegative val="1"/>
          <c:cat>
            <c:strRef>
              <c:f>Location_Data!$A$4:$A$6</c:f>
              <c:strCache>
                <c:ptCount val="3"/>
                <c:pt idx="0">
                  <c:v>Downtown/CBD</c:v>
                </c:pt>
                <c:pt idx="1">
                  <c:v>Oakland/University</c:v>
                </c:pt>
                <c:pt idx="2">
                  <c:v>SouthSide</c:v>
                </c:pt>
              </c:strCache>
            </c:strRef>
          </c:cat>
          <c:val>
            <c:numRef>
              <c:f>Location_Data!$T$4:$T$6</c:f>
              <c:numCache>
                <c:formatCode>\$#,##0</c:formatCode>
                <c:ptCount val="3"/>
                <c:pt idx="0">
                  <c:v>-471104.96391941694</c:v>
                </c:pt>
                <c:pt idx="1">
                  <c:v>-29513.948057749862</c:v>
                </c:pt>
                <c:pt idx="2">
                  <c:v>213301.73027798624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5D-5845-8357-CC7FE98A5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Weighted Score</c:v>
          </c:tx>
          <c:spPr>
            <a:ln>
              <a:prstDash val="solid"/>
            </a:ln>
          </c:spPr>
          <c:invertIfNegative val="1"/>
          <c:cat>
            <c:strRef>
              <c:f>Location_Data!$A$4:$A$6</c:f>
              <c:strCache>
                <c:ptCount val="3"/>
                <c:pt idx="0">
                  <c:v>Downtown/CBD</c:v>
                </c:pt>
                <c:pt idx="1">
                  <c:v>Oakland/University</c:v>
                </c:pt>
                <c:pt idx="2">
                  <c:v>SouthSide</c:v>
                </c:pt>
              </c:strCache>
            </c:strRef>
          </c:cat>
          <c:val>
            <c:numRef>
              <c:f>Location_Data!$U$4:$U$6</c:f>
              <c:numCache>
                <c:formatCode>0.0</c:formatCode>
                <c:ptCount val="3"/>
                <c:pt idx="0">
                  <c:v>37.220671304309647</c:v>
                </c:pt>
                <c:pt idx="1">
                  <c:v>49.611604297904719</c:v>
                </c:pt>
                <c:pt idx="2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5-4047-A256-E8CE6074E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9</xdr:col>
      <xdr:colOff>0</xdr:colOff>
      <xdr:row>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11</xdr:col>
      <xdr:colOff>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ocationComparisonTable" displayName="LocationComparisonTable" ref="A3:U6">
  <tableColumns count="21">
    <tableColumn id="1" xr3:uid="{00000000-0010-0000-0000-000001000000}" name="Location"/>
    <tableColumn id="2" xr3:uid="{00000000-0010-0000-0000-000002000000}" name="Monthly Rent"/>
    <tableColumn id="3" xr3:uid="{00000000-0010-0000-0000-000003000000}" name="Population (3 mi)"/>
    <tableColumn id="4" xr3:uid="{00000000-0010-0000-0000-000004000000}" name="Avg Daily Traffic"/>
    <tableColumn id="5" xr3:uid="{00000000-0010-0000-0000-000005000000}" name="Competitors"/>
    <tableColumn id="6" xr3:uid="{00000000-0010-0000-0000-000006000000}" name="Opening Cost"/>
    <tableColumn id="7" xr3:uid="{00000000-0010-0000-0000-000007000000}" name="Avg Ticket"/>
    <tableColumn id="8" xr3:uid="{00000000-0010-0000-0000-000008000000}" name="Gross Margin"/>
    <tableColumn id="9" xr3:uid="{00000000-0010-0000-0000-000009000000}" name="Base Conversion"/>
    <tableColumn id="10" xr3:uid="{00000000-0010-0000-0000-00000A000000}" name="Staffing Cost"/>
    <tableColumn id="11" xr3:uid="{00000000-0010-0000-0000-00000B000000}" name="Other Fixed Cost"/>
    <tableColumn id="12" xr3:uid="{00000000-0010-0000-0000-00000C000000}" name="Marketing Cost"/>
    <tableColumn id="13" xr3:uid="{00000000-0010-0000-0000-00000D000000}" name="Comp. Adj."/>
    <tableColumn id="14" xr3:uid="{00000000-0010-0000-0000-00000E000000}" name="Projected Customers"/>
    <tableColumn id="15" xr3:uid="{00000000-0010-0000-0000-00000F000000}" name="Revenue"/>
    <tableColumn id="16" xr3:uid="{00000000-0010-0000-0000-000010000000}" name="Gross Profit"/>
    <tableColumn id="17" xr3:uid="{00000000-0010-0000-0000-000011000000}" name="Total Op. Cost"/>
    <tableColumn id="18" xr3:uid="{00000000-0010-0000-0000-000012000000}" name="Monthly Profit"/>
    <tableColumn id="19" xr3:uid="{00000000-0010-0000-0000-000013000000}" name="Annual Profit"/>
    <tableColumn id="20" xr3:uid="{00000000-0010-0000-0000-000014000000}" name="3-Year NPV"/>
    <tableColumn id="21" xr3:uid="{00000000-0010-0000-0000-000015000000}" name="Weighted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"/>
  <sheetViews>
    <sheetView tabSelected="1" workbookViewId="0">
      <selection sqref="A1:H1"/>
    </sheetView>
  </sheetViews>
  <sheetFormatPr baseColWidth="10" defaultColWidth="8.83203125" defaultRowHeight="14"/>
  <cols>
    <col min="1" max="1" width="22" customWidth="1"/>
    <col min="2" max="2" width="78" customWidth="1"/>
  </cols>
  <sheetData>
    <row r="1" spans="1:26" ht="21">
      <c r="A1" s="19" t="s">
        <v>0</v>
      </c>
      <c r="B1" s="20"/>
      <c r="C1" s="20"/>
      <c r="D1" s="20"/>
      <c r="E1" s="20"/>
      <c r="F1" s="20"/>
      <c r="G1" s="20"/>
      <c r="H1" s="20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 ht="16">
      <c r="A3" s="1" t="s">
        <v>1</v>
      </c>
      <c r="B3" s="2" t="s">
        <v>2</v>
      </c>
    </row>
    <row r="4" spans="1:26" ht="16">
      <c r="A4" s="1" t="s">
        <v>3</v>
      </c>
      <c r="B4" s="2" t="s">
        <v>4</v>
      </c>
    </row>
    <row r="5" spans="1:26" ht="16">
      <c r="A5" s="1" t="s">
        <v>5</v>
      </c>
      <c r="B5" s="2" t="s">
        <v>6</v>
      </c>
    </row>
    <row r="6" spans="1:26" ht="32">
      <c r="A6" s="1" t="s">
        <v>7</v>
      </c>
      <c r="B6" s="2" t="s">
        <v>8</v>
      </c>
    </row>
    <row r="7" spans="1:26" ht="32">
      <c r="A7" s="1" t="s">
        <v>9</v>
      </c>
      <c r="B7" s="2" t="s">
        <v>10</v>
      </c>
    </row>
    <row r="8" spans="1:26" ht="16">
      <c r="A8" s="1" t="s">
        <v>11</v>
      </c>
      <c r="B8" s="2" t="s">
        <v>12</v>
      </c>
    </row>
    <row r="9" spans="1:26" ht="16">
      <c r="A9" s="1" t="s">
        <v>13</v>
      </c>
      <c r="B9" s="2" t="s">
        <v>14</v>
      </c>
    </row>
    <row r="10" spans="1:26" ht="16">
      <c r="A10" s="1" t="s">
        <v>15</v>
      </c>
      <c r="B10" s="2" t="s">
        <v>16</v>
      </c>
    </row>
    <row r="11" spans="1:26" ht="16">
      <c r="A11" s="1" t="s">
        <v>17</v>
      </c>
      <c r="B11" s="3">
        <v>46195</v>
      </c>
    </row>
    <row r="12" spans="1:26" ht="31">
      <c r="A12" s="1" t="s">
        <v>18</v>
      </c>
      <c r="B12" s="2" t="s">
        <v>19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"/>
  <sheetViews>
    <sheetView workbookViewId="0">
      <pane ySplit="2" topLeftCell="A3" activePane="bottomLeft" state="frozen"/>
      <selection pane="bottomLeft" sqref="A1:G1"/>
    </sheetView>
  </sheetViews>
  <sheetFormatPr baseColWidth="10" defaultColWidth="8.83203125" defaultRowHeight="14"/>
  <cols>
    <col min="1" max="1" width="28" customWidth="1"/>
    <col min="2" max="2" width="16" customWidth="1"/>
    <col min="3" max="3" width="48" customWidth="1"/>
    <col min="5" max="5" width="22" customWidth="1"/>
    <col min="6" max="6" width="10" customWidth="1"/>
    <col min="7" max="7" width="38" customWidth="1"/>
  </cols>
  <sheetData>
    <row r="1" spans="1:26" ht="19">
      <c r="A1" s="21" t="s">
        <v>20</v>
      </c>
      <c r="B1" s="20"/>
      <c r="C1" s="20"/>
      <c r="D1" s="20"/>
      <c r="E1" s="20"/>
      <c r="F1" s="20"/>
      <c r="G1" s="20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 ht="16">
      <c r="A3" s="4" t="s">
        <v>21</v>
      </c>
      <c r="B3" s="4" t="s">
        <v>22</v>
      </c>
      <c r="C3" s="16" t="s">
        <v>23</v>
      </c>
      <c r="E3" s="4" t="s">
        <v>24</v>
      </c>
      <c r="F3" s="4" t="s">
        <v>25</v>
      </c>
      <c r="G3" s="16" t="s">
        <v>26</v>
      </c>
    </row>
    <row r="4" spans="1:26" ht="15">
      <c r="A4" s="2" t="s">
        <v>27</v>
      </c>
      <c r="B4" s="5">
        <v>0.1</v>
      </c>
      <c r="C4" s="17" t="s">
        <v>28</v>
      </c>
      <c r="E4" s="2" t="s">
        <v>29</v>
      </c>
      <c r="F4" s="7">
        <v>0.3</v>
      </c>
      <c r="G4" s="17" t="s">
        <v>30</v>
      </c>
    </row>
    <row r="5" spans="1:26" ht="15">
      <c r="A5" s="2" t="s">
        <v>31</v>
      </c>
      <c r="B5" s="5">
        <v>4.0000000000000001E-3</v>
      </c>
      <c r="C5" s="17" t="s">
        <v>32</v>
      </c>
      <c r="E5" s="2" t="s">
        <v>33</v>
      </c>
      <c r="F5" s="7">
        <v>0.2</v>
      </c>
      <c r="G5" s="17" t="s">
        <v>34</v>
      </c>
    </row>
    <row r="6" spans="1:26" ht="15">
      <c r="A6" s="2" t="s">
        <v>35</v>
      </c>
      <c r="B6" s="5">
        <v>1.6</v>
      </c>
      <c r="C6" s="17" t="s">
        <v>36</v>
      </c>
      <c r="E6" s="2" t="s">
        <v>37</v>
      </c>
      <c r="F6" s="7">
        <v>0.15</v>
      </c>
      <c r="G6" s="17" t="s">
        <v>38</v>
      </c>
    </row>
    <row r="7" spans="1:26" ht="15">
      <c r="A7" s="2" t="s">
        <v>39</v>
      </c>
      <c r="B7" s="5">
        <v>0.06</v>
      </c>
      <c r="C7" s="17" t="s">
        <v>40</v>
      </c>
      <c r="E7" s="2" t="s">
        <v>41</v>
      </c>
      <c r="F7" s="7">
        <v>0.15</v>
      </c>
      <c r="G7" s="17" t="s">
        <v>42</v>
      </c>
    </row>
    <row r="8" spans="1:26" ht="15">
      <c r="A8" s="2" t="s">
        <v>43</v>
      </c>
      <c r="B8" s="12">
        <v>3</v>
      </c>
      <c r="C8" s="17" t="s">
        <v>44</v>
      </c>
      <c r="E8" s="2" t="s">
        <v>45</v>
      </c>
      <c r="F8" s="7">
        <v>0.1</v>
      </c>
      <c r="G8" s="17" t="s">
        <v>46</v>
      </c>
    </row>
    <row r="9" spans="1:26" ht="15">
      <c r="A9" s="2" t="s">
        <v>47</v>
      </c>
      <c r="B9" s="10">
        <v>250</v>
      </c>
      <c r="C9" s="17" t="s">
        <v>48</v>
      </c>
      <c r="E9" s="2" t="s">
        <v>49</v>
      </c>
      <c r="F9" s="7">
        <v>0.1</v>
      </c>
      <c r="G9" s="17" t="s">
        <v>50</v>
      </c>
    </row>
    <row r="10" spans="1:26" ht="15">
      <c r="A10" s="2" t="s">
        <v>51</v>
      </c>
      <c r="B10" s="6">
        <v>1500</v>
      </c>
      <c r="C10" s="17" t="s">
        <v>52</v>
      </c>
      <c r="E10" s="2" t="s">
        <v>53</v>
      </c>
      <c r="F10" s="7">
        <v>1</v>
      </c>
      <c r="G10" s="17" t="s">
        <v>54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6"/>
  <sheetViews>
    <sheetView workbookViewId="0">
      <pane ySplit="2" topLeftCell="A3" activePane="bottomLeft" state="frozen"/>
      <selection pane="bottomLeft" sqref="A1:T1"/>
    </sheetView>
  </sheetViews>
  <sheetFormatPr baseColWidth="10" defaultColWidth="8.83203125" defaultRowHeight="14"/>
  <cols>
    <col min="1" max="1" width="20" customWidth="1"/>
    <col min="2" max="2" width="12" customWidth="1"/>
    <col min="3" max="3" width="16" customWidth="1"/>
    <col min="4" max="4" width="15" customWidth="1"/>
    <col min="5" max="5" width="12" customWidth="1"/>
    <col min="6" max="6" width="13" customWidth="1"/>
    <col min="7" max="7" width="11" customWidth="1"/>
    <col min="8" max="8" width="12" customWidth="1"/>
    <col min="9" max="9" width="15" customWidth="1"/>
    <col min="10" max="10" width="13" customWidth="1"/>
    <col min="11" max="12" width="15" customWidth="1"/>
    <col min="13" max="13" width="10" customWidth="1"/>
    <col min="14" max="14" width="16" customWidth="1"/>
    <col min="15" max="16" width="12" customWidth="1"/>
    <col min="17" max="17" width="14" customWidth="1"/>
    <col min="18" max="21" width="12" customWidth="1"/>
  </cols>
  <sheetData>
    <row r="1" spans="1:26" ht="19">
      <c r="A1" s="21" t="s">
        <v>55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15"/>
      <c r="V1" s="14"/>
      <c r="W1" s="14"/>
      <c r="X1" s="14"/>
      <c r="Y1" s="14"/>
      <c r="Z1" s="14"/>
    </row>
    <row r="3" spans="1:26" ht="32">
      <c r="A3" s="4" t="s">
        <v>56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  <c r="G3" s="4" t="s">
        <v>62</v>
      </c>
      <c r="H3" s="4" t="s">
        <v>63</v>
      </c>
      <c r="I3" s="4" t="s">
        <v>64</v>
      </c>
      <c r="J3" s="4" t="s">
        <v>65</v>
      </c>
      <c r="K3" s="4" t="s">
        <v>66</v>
      </c>
      <c r="L3" s="4" t="s">
        <v>67</v>
      </c>
      <c r="M3" s="4" t="s">
        <v>68</v>
      </c>
      <c r="N3" s="4" t="s">
        <v>69</v>
      </c>
      <c r="O3" s="4" t="s">
        <v>70</v>
      </c>
      <c r="P3" s="4" t="s">
        <v>71</v>
      </c>
      <c r="Q3" s="4" t="s">
        <v>72</v>
      </c>
      <c r="R3" s="4" t="s">
        <v>73</v>
      </c>
      <c r="S3" s="4" t="s">
        <v>74</v>
      </c>
      <c r="T3" s="4" t="s">
        <v>75</v>
      </c>
      <c r="U3" s="4" t="s">
        <v>76</v>
      </c>
    </row>
    <row r="4" spans="1:26" ht="15">
      <c r="A4" s="2" t="s">
        <v>77</v>
      </c>
      <c r="B4" s="6">
        <v>18000</v>
      </c>
      <c r="C4" s="2">
        <v>95000</v>
      </c>
      <c r="D4" s="2">
        <v>23000</v>
      </c>
      <c r="E4" s="2">
        <v>12</v>
      </c>
      <c r="F4" s="6">
        <v>220000</v>
      </c>
      <c r="G4" s="6">
        <v>24</v>
      </c>
      <c r="H4" s="5">
        <v>0.57999999999999996</v>
      </c>
      <c r="I4" s="18">
        <v>7.4999999999999997E-3</v>
      </c>
      <c r="J4" s="6">
        <v>42000</v>
      </c>
      <c r="K4" s="6">
        <v>13000</v>
      </c>
      <c r="L4" s="6">
        <v>5500</v>
      </c>
      <c r="M4" s="2">
        <f>1/(1+E4*Inputs!$B$7)</f>
        <v>0.58139534883720934</v>
      </c>
      <c r="N4" s="2">
        <f>(C4*Inputs!$B$5 + D4*30*I4*Inputs!$B$6)*M4</f>
        <v>5034.8837209302328</v>
      </c>
      <c r="O4" s="6">
        <f t="shared" ref="O4:P6" si="0">N4*G4</f>
        <v>120837.20930232559</v>
      </c>
      <c r="P4" s="6">
        <f t="shared" si="0"/>
        <v>70085.58139534884</v>
      </c>
      <c r="Q4" s="6">
        <f>B4+J4+K4+L4</f>
        <v>78500</v>
      </c>
      <c r="R4" s="6">
        <f>P4-Q4</f>
        <v>-8414.4186046511604</v>
      </c>
      <c r="S4" s="6">
        <f>R4*12</f>
        <v>-100973.02325581393</v>
      </c>
      <c r="T4" s="6">
        <f>-F4+S4/(1+Inputs!$B$4)+S4/(1+Inputs!$B$4)^2+S4/(1+Inputs!$B$4)^3</f>
        <v>-471104.96391941694</v>
      </c>
      <c r="U4" s="12">
        <f>100*(Inputs!$F$4*((R4-MIN($R$4:$R$6))/(MAX($R$4:$R$6)-MIN($R$4:$R$6)))+Inputs!$F$5*((O4-MIN($O$4:$O$6))/(MAX($O$4:$O$6)-MIN($O$4:$O$6)))+Inputs!$F$6*((MAX($B$4:$B$6)-B4)/(MAX($B$4:$B$6)-MIN($B$4:$B$6)))+Inputs!$F$7*((D4-MIN($D$4:$D$6))/(MAX($D$4:$D$6)-MIN($D$4:$D$6)))+Inputs!$F$8*((MAX($E$4:$E$6)-E4)/(MAX($E$4:$E$6)-MIN($E$4:$E$6)))+Inputs!$F$9*((C4-MIN($C$4:$C$6))/(MAX($C$4:$C$6)-MIN($C$4:$C$6))))</f>
        <v>37.220671304309647</v>
      </c>
    </row>
    <row r="5" spans="1:26" ht="15">
      <c r="A5" s="2" t="s">
        <v>78</v>
      </c>
      <c r="B5" s="6">
        <v>13500</v>
      </c>
      <c r="C5" s="2">
        <v>118000</v>
      </c>
      <c r="D5" s="2">
        <v>18000</v>
      </c>
      <c r="E5" s="2">
        <v>8</v>
      </c>
      <c r="F5" s="6">
        <v>185000</v>
      </c>
      <c r="G5" s="6">
        <v>22</v>
      </c>
      <c r="H5" s="5">
        <v>0.6</v>
      </c>
      <c r="I5" s="18">
        <v>8.5000000000000006E-3</v>
      </c>
      <c r="J5" s="6">
        <v>36000</v>
      </c>
      <c r="K5" s="6">
        <v>10000</v>
      </c>
      <c r="L5" s="6">
        <v>5000</v>
      </c>
      <c r="M5" s="2">
        <f>1/(1+E5*Inputs!$B$7)</f>
        <v>0.67567567567567566</v>
      </c>
      <c r="N5" s="2">
        <f>(C5*Inputs!$B$5 + D5*30*I5*Inputs!$B$6)*M5</f>
        <v>5281.0810810810808</v>
      </c>
      <c r="O5" s="6">
        <f t="shared" si="0"/>
        <v>116183.78378378377</v>
      </c>
      <c r="P5" s="6">
        <f t="shared" si="0"/>
        <v>69710.270270270266</v>
      </c>
      <c r="Q5" s="6">
        <f>B5+J5+K5+L5</f>
        <v>64500</v>
      </c>
      <c r="R5" s="6">
        <f>P5-Q5</f>
        <v>5210.2702702702663</v>
      </c>
      <c r="S5" s="6">
        <f>R5*12</f>
        <v>62523.243243243196</v>
      </c>
      <c r="T5" s="6">
        <f>-F5+S5/(1+Inputs!$B$4)+S5/(1+Inputs!$B$4)^2+S5/(1+Inputs!$B$4)^3</f>
        <v>-29513.948057749862</v>
      </c>
      <c r="U5" s="12">
        <f>100*(Inputs!$F$4*((R5-MIN($R$4:$R$6))/(MAX($R$4:$R$6)-MIN($R$4:$R$6)))+Inputs!$F$5*((O5-MIN($O$4:$O$6))/(MAX($O$4:$O$6)-MIN($O$4:$O$6)))+Inputs!$F$6*((MAX($B$4:$B$6)-B5)/(MAX($B$4:$B$6)-MIN($B$4:$B$6)))+Inputs!$F$7*((D5-MIN($D$4:$D$6))/(MAX($D$4:$D$6)-MIN($D$4:$D$6)))+Inputs!$F$8*((MAX($E$4:$E$6)-E5)/(MAX($E$4:$E$6)-MIN($E$4:$E$6)))+Inputs!$F$9*((C5-MIN($C$4:$C$6))/(MAX($C$4:$C$6)-MIN($C$4:$C$6))))</f>
        <v>49.611604297904719</v>
      </c>
    </row>
    <row r="6" spans="1:26" ht="15">
      <c r="A6" s="2" t="s">
        <v>79</v>
      </c>
      <c r="B6" s="6">
        <v>11500</v>
      </c>
      <c r="C6" s="2">
        <v>87000</v>
      </c>
      <c r="D6" s="2">
        <v>21000</v>
      </c>
      <c r="E6" s="2">
        <v>10</v>
      </c>
      <c r="F6" s="6">
        <v>170000</v>
      </c>
      <c r="G6" s="6">
        <v>23</v>
      </c>
      <c r="H6" s="5">
        <v>0.59</v>
      </c>
      <c r="I6" s="18">
        <v>8.0000000000000002E-3</v>
      </c>
      <c r="J6" s="6">
        <v>33000</v>
      </c>
      <c r="K6" s="6">
        <v>9500</v>
      </c>
      <c r="L6" s="6">
        <v>4500</v>
      </c>
      <c r="M6" s="2">
        <f>1/(1+E6*Inputs!$B$7)</f>
        <v>0.625</v>
      </c>
      <c r="N6" s="2">
        <f>(C6*Inputs!$B$5 + D6*30*I6*Inputs!$B$6)*M6</f>
        <v>5257.5</v>
      </c>
      <c r="O6" s="6">
        <f t="shared" si="0"/>
        <v>120922.5</v>
      </c>
      <c r="P6" s="6">
        <f t="shared" si="0"/>
        <v>71344.274999999994</v>
      </c>
      <c r="Q6" s="6">
        <f>B6+J6+K6+L6</f>
        <v>58500</v>
      </c>
      <c r="R6" s="6">
        <f>P6-Q6</f>
        <v>12844.274999999994</v>
      </c>
      <c r="S6" s="6">
        <f>R6*12</f>
        <v>154131.29999999993</v>
      </c>
      <c r="T6" s="6">
        <f>-F6+S6/(1+Inputs!$B$4)+S6/(1+Inputs!$B$4)^2+S6/(1+Inputs!$B$4)^3</f>
        <v>213301.73027798624</v>
      </c>
      <c r="U6" s="12">
        <f>100*(Inputs!$F$4*((R6-MIN($R$4:$R$6))/(MAX($R$4:$R$6)-MIN($R$4:$R$6)))+Inputs!$F$5*((O6-MIN($O$4:$O$6))/(MAX($O$4:$O$6)-MIN($O$4:$O$6)))+Inputs!$F$6*((MAX($B$4:$B$6)-B6)/(MAX($B$4:$B$6)-MIN($B$4:$B$6)))+Inputs!$F$7*((D6-MIN($D$4:$D$6))/(MAX($D$4:$D$6)-MIN($D$4:$D$6)))+Inputs!$F$8*((MAX($E$4:$E$6)-E6)/(MAX($E$4:$E$6)-MIN($E$4:$E$6)))+Inputs!$F$9*((C6-MIN($C$4:$C$6))/(MAX($C$4:$C$6)-MIN($C$4:$C$6))))</f>
        <v>79</v>
      </c>
    </row>
    <row r="9" spans="1:26">
      <c r="A9" s="22" t="s">
        <v>80</v>
      </c>
      <c r="B9" s="20"/>
      <c r="C9" s="20"/>
      <c r="D9" s="20"/>
      <c r="E9" s="20"/>
      <c r="F9" s="20"/>
    </row>
    <row r="10" spans="1:26" ht="32">
      <c r="A10" s="1" t="s">
        <v>81</v>
      </c>
      <c r="B10" s="2" t="str">
        <f>INDEX($A$4:$A$6,MATCH(MAX($T$4:$T$6),$T$4:$T$6,0))</f>
        <v>SouthSide</v>
      </c>
    </row>
    <row r="11" spans="1:26" ht="32">
      <c r="A11" s="1" t="s">
        <v>82</v>
      </c>
      <c r="B11" s="2" t="str">
        <f>INDEX($A$4:$A$6,MATCH(MAX($U$4:$U$6),$U$4:$U$6,0))</f>
        <v>SouthSide</v>
      </c>
    </row>
    <row r="12" spans="1:26" ht="32">
      <c r="A12" s="1" t="s">
        <v>83</v>
      </c>
      <c r="B12" s="2" t="str">
        <f>INDEX($A$4:$A$6,MATCH(MAX($R$4:$R$6),$R$4:$R$6,0))</f>
        <v>SouthSide</v>
      </c>
    </row>
    <row r="13" spans="1:26" ht="16">
      <c r="A13" s="1" t="s">
        <v>84</v>
      </c>
      <c r="B13" s="2" t="str">
        <f>INDEX($A$4:$A$6,MATCH(MIN($B$4:$B$6),$B$4:$B$6,0))</f>
        <v>SouthSide</v>
      </c>
    </row>
    <row r="14" spans="1:26" ht="16">
      <c r="A14" s="1" t="s">
        <v>5</v>
      </c>
      <c r="B14" s="2" t="s">
        <v>79</v>
      </c>
    </row>
    <row r="15" spans="1:26" ht="240">
      <c r="A15" s="1" t="s">
        <v>26</v>
      </c>
      <c r="B15" s="8" t="s">
        <v>85</v>
      </c>
    </row>
    <row r="16" spans="1:26" ht="151">
      <c r="A16" s="1" t="s">
        <v>86</v>
      </c>
      <c r="B16" s="2" t="s">
        <v>87</v>
      </c>
    </row>
  </sheetData>
  <mergeCells count="2">
    <mergeCell ref="A1:T1"/>
    <mergeCell ref="A9:F9"/>
  </mergeCells>
  <conditionalFormatting sqref="R1:T1">
    <cfRule type="cellIs" dxfId="3" priority="1" operator="lessThan">
      <formula>0</formula>
    </cfRule>
  </conditionalFormatting>
  <conditionalFormatting sqref="T4:T6">
    <cfRule type="dataBar" priority="3">
      <dataBar>
        <cfvo type="min"/>
        <cfvo type="max"/>
        <color rgb="FF2B6CB0"/>
      </dataBar>
    </cfRule>
  </conditionalFormatting>
  <conditionalFormatting sqref="U4:U6">
    <cfRule type="dataBar" priority="2">
      <dataBar>
        <cfvo type="min"/>
        <cfvo type="max"/>
        <color rgb="FF2F855A"/>
      </dataBar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5"/>
  <sheetViews>
    <sheetView workbookViewId="0">
      <pane ySplit="4" topLeftCell="A25" activePane="bottomLeft" state="frozen"/>
      <selection pane="bottomLeft" sqref="A1:J1"/>
    </sheetView>
  </sheetViews>
  <sheetFormatPr baseColWidth="10" defaultColWidth="8.83203125" defaultRowHeight="14"/>
  <cols>
    <col min="1" max="1" width="18" customWidth="1"/>
    <col min="2" max="3" width="16" customWidth="1"/>
    <col min="4" max="4" width="12" customWidth="1"/>
    <col min="5" max="5" width="18" customWidth="1"/>
    <col min="6" max="6" width="16" customWidth="1"/>
    <col min="7" max="7" width="14" customWidth="1"/>
    <col min="8" max="8" width="42" customWidth="1"/>
    <col min="9" max="9" width="12" customWidth="1"/>
  </cols>
  <sheetData>
    <row r="1" spans="1:26" ht="19">
      <c r="A1" s="21" t="s">
        <v>88</v>
      </c>
      <c r="B1" s="20"/>
      <c r="C1" s="20"/>
      <c r="D1" s="20"/>
      <c r="E1" s="20"/>
      <c r="F1" s="20"/>
      <c r="G1" s="20"/>
      <c r="H1" s="20"/>
      <c r="I1" s="20"/>
      <c r="J1" s="20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 ht="15">
      <c r="A3" s="9" t="s">
        <v>89</v>
      </c>
      <c r="B3" t="s">
        <v>90</v>
      </c>
    </row>
    <row r="5" spans="1:26" ht="32">
      <c r="A5" s="4" t="s">
        <v>91</v>
      </c>
      <c r="B5" s="4" t="s">
        <v>92</v>
      </c>
      <c r="C5" s="4" t="s">
        <v>93</v>
      </c>
      <c r="D5" s="4" t="s">
        <v>94</v>
      </c>
      <c r="E5" s="4" t="s">
        <v>95</v>
      </c>
      <c r="F5" s="4" t="s">
        <v>96</v>
      </c>
      <c r="G5" s="4" t="s">
        <v>97</v>
      </c>
      <c r="H5" s="4" t="s">
        <v>98</v>
      </c>
      <c r="I5" s="2"/>
    </row>
    <row r="6" spans="1:26" ht="45">
      <c r="A6" s="2" t="s">
        <v>99</v>
      </c>
      <c r="B6" s="5">
        <v>1.1499999999999999</v>
      </c>
      <c r="C6" s="5">
        <v>1.1200000000000001</v>
      </c>
      <c r="D6" s="5">
        <v>0</v>
      </c>
      <c r="E6" s="2">
        <v>-1</v>
      </c>
      <c r="F6" s="5">
        <v>1.1000000000000001</v>
      </c>
      <c r="G6" s="5">
        <v>0.02</v>
      </c>
      <c r="H6" s="2" t="s">
        <v>100</v>
      </c>
      <c r="I6" s="2"/>
    </row>
    <row r="7" spans="1:26" ht="30">
      <c r="A7" s="2" t="s">
        <v>90</v>
      </c>
      <c r="B7" s="5">
        <v>1</v>
      </c>
      <c r="C7" s="5">
        <v>1</v>
      </c>
      <c r="D7" s="5">
        <v>0</v>
      </c>
      <c r="E7" s="2">
        <v>0</v>
      </c>
      <c r="F7" s="5">
        <v>1</v>
      </c>
      <c r="G7" s="5">
        <v>0</v>
      </c>
      <c r="H7" s="2" t="s">
        <v>101</v>
      </c>
      <c r="I7" s="2"/>
    </row>
    <row r="8" spans="1:26" ht="45">
      <c r="A8" s="2" t="s">
        <v>102</v>
      </c>
      <c r="B8" s="5">
        <v>0.85</v>
      </c>
      <c r="C8" s="5">
        <v>0.88</v>
      </c>
      <c r="D8" s="5">
        <v>7.0000000000000007E-2</v>
      </c>
      <c r="E8" s="2">
        <v>2</v>
      </c>
      <c r="F8" s="5">
        <v>0.9</v>
      </c>
      <c r="G8" s="5">
        <v>-0.03</v>
      </c>
      <c r="H8" s="2" t="s">
        <v>103</v>
      </c>
      <c r="I8" s="2"/>
    </row>
    <row r="9" spans="1:26">
      <c r="A9" s="2"/>
      <c r="B9" s="2"/>
      <c r="C9" s="2"/>
      <c r="D9" s="2"/>
      <c r="E9" s="2"/>
      <c r="F9" s="2"/>
      <c r="G9" s="2"/>
      <c r="H9" s="2"/>
      <c r="I9" s="2"/>
    </row>
    <row r="10" spans="1:26">
      <c r="A10" s="22" t="s">
        <v>104</v>
      </c>
      <c r="B10" s="20"/>
      <c r="C10" s="20"/>
      <c r="D10" s="2"/>
      <c r="E10" s="22" t="s">
        <v>105</v>
      </c>
      <c r="F10" s="20"/>
      <c r="G10" s="20"/>
      <c r="H10" s="20"/>
      <c r="I10" s="20"/>
    </row>
    <row r="11" spans="1:26" ht="32">
      <c r="A11" s="4" t="s">
        <v>106</v>
      </c>
      <c r="B11" s="4" t="s">
        <v>107</v>
      </c>
      <c r="C11" s="4" t="s">
        <v>22</v>
      </c>
      <c r="D11" s="2"/>
      <c r="E11" s="4" t="s">
        <v>91</v>
      </c>
      <c r="F11" s="4" t="s">
        <v>108</v>
      </c>
      <c r="G11" s="4" t="s">
        <v>73</v>
      </c>
      <c r="H11" s="4" t="s">
        <v>74</v>
      </c>
      <c r="I11" s="4" t="s">
        <v>75</v>
      </c>
    </row>
    <row r="12" spans="1:26" ht="45">
      <c r="A12" s="2" t="s">
        <v>69</v>
      </c>
      <c r="B12" s="2" t="s">
        <v>109</v>
      </c>
      <c r="C12" s="10">
        <f>((Location_Data!C6*Inputs!$B$5 + Location_Data!D6*INDEX($B$6:$B$8,MATCH($B$3,$A$6:$A$8,0))*30*Location_Data!I6*Inputs!$B$6*INDEX($C$6:$C$8,MATCH($B$3,$A$6:$A$8,0)))/(1+(Location_Data!E6+INDEX($E$6:$E$8,MATCH($B$3,$A$6:$A$8,0)))*Inputs!$B$7))</f>
        <v>5257.5</v>
      </c>
      <c r="D12" s="2"/>
      <c r="E12" s="2" t="s">
        <v>99</v>
      </c>
      <c r="F12" s="6">
        <f>((Location_Data!C6*Inputs!$B$5 + Location_Data!D6*B6*30*Location_Data!I6*Inputs!$B$6*C6)/(1+(Location_Data!E6+E6)*Inputs!$B$7))*Location_Data!G6</f>
        <v>160319.43896103895</v>
      </c>
      <c r="G12" s="6">
        <f>((((Location_Data!C6*Inputs!$B$5 + Location_Data!D6*B6*30*Location_Data!I6*Inputs!$B$6*C6)/(1+(Location_Data!E6+E6)*Inputs!$B$7))*Location_Data!G6)*(Location_Data!H6+G6))-(Location_Data!B6*(1+D6)+Location_Data!J6+Location_Data!K6+Location_Data!L6*F6)</f>
        <v>38844.857766233763</v>
      </c>
      <c r="H12" s="6">
        <f>G12*12</f>
        <v>466138.29319480516</v>
      </c>
      <c r="I12" s="6">
        <f>-Location_Data!F6+H12/(1+Inputs!$B$4)+H12/(1+Inputs!$B$4)^2+H12/(1+Inputs!$B$4)^3</f>
        <v>989216.94250548829</v>
      </c>
    </row>
    <row r="13" spans="1:26" ht="30">
      <c r="A13" s="2" t="s">
        <v>108</v>
      </c>
      <c r="B13" s="2" t="s">
        <v>110</v>
      </c>
      <c r="C13" s="6">
        <f>C12*Location_Data!G6</f>
        <v>120922.5</v>
      </c>
      <c r="D13" s="2"/>
      <c r="E13" s="2" t="s">
        <v>90</v>
      </c>
      <c r="F13" s="6">
        <f>((Location_Data!C6*Inputs!$B$5 + Location_Data!D6*B7*30*Location_Data!I6*Inputs!$B$6*C7)/(1+(Location_Data!E6+E7)*Inputs!$B$7))*Location_Data!G6</f>
        <v>120922.5</v>
      </c>
      <c r="G13" s="6">
        <f>((((Location_Data!C6*Inputs!$B$5 + Location_Data!D6*B7*30*Location_Data!I6*Inputs!$B$6*C7)/(1+(Location_Data!E6+E7)*Inputs!$B$7))*Location_Data!G6)*(Location_Data!H6+G7))-(Location_Data!B6*(1+D7)+Location_Data!J6+Location_Data!K6+Location_Data!L6*F7)</f>
        <v>12844.274999999994</v>
      </c>
      <c r="H13" s="6">
        <f>G13*12</f>
        <v>154131.29999999993</v>
      </c>
      <c r="I13" s="6">
        <f>-Location_Data!F6+H13/(1+Inputs!$B$4)+H13/(1+Inputs!$B$4)^2+H13/(1+Inputs!$B$4)^3</f>
        <v>213301.73027798624</v>
      </c>
    </row>
    <row r="14" spans="1:26" ht="30">
      <c r="A14" s="2" t="s">
        <v>63</v>
      </c>
      <c r="B14" s="2" t="s">
        <v>111</v>
      </c>
      <c r="C14" s="5">
        <f>Location_Data!H6+INDEX($G$6:$G$8,MATCH($B$3,$A$6:$A$8,0))</f>
        <v>0.59</v>
      </c>
      <c r="D14" s="2"/>
      <c r="E14" s="2" t="s">
        <v>102</v>
      </c>
      <c r="F14" s="6">
        <f>((Location_Data!C6*Inputs!$B$5 + Location_Data!D6*B8*30*Location_Data!I6*Inputs!$B$6*C8)/(1+(Location_Data!E6+E8)*Inputs!$B$7))*Location_Data!G6</f>
        <v>85312.241860465132</v>
      </c>
      <c r="G14" s="6">
        <f>((((Location_Data!C6*Inputs!$B$5 + Location_Data!D6*B8*30*Location_Data!I6*Inputs!$B$6*C8)/(1+(Location_Data!E6+E8)*Inputs!$B$7))*Location_Data!G6)*(Location_Data!H6+G8))-(Location_Data!B6*(1+D8)+Location_Data!J6+Location_Data!K6+Location_Data!L6*F8)</f>
        <v>-11080.144558139531</v>
      </c>
      <c r="H14" s="6">
        <f>G14*12</f>
        <v>-132961.73469767437</v>
      </c>
      <c r="I14" s="6">
        <f>-Location_Data!F6+H14/(1+Inputs!$B$4)+H14/(1+Inputs!$B$4)^2+H14/(1+Inputs!$B$4)^3</f>
        <v>-500656.15465762746</v>
      </c>
    </row>
    <row r="15" spans="1:26" ht="30">
      <c r="A15" s="2" t="s">
        <v>112</v>
      </c>
      <c r="B15" s="2" t="s">
        <v>113</v>
      </c>
      <c r="C15" s="6">
        <f>C13*C14</f>
        <v>71344.274999999994</v>
      </c>
      <c r="D15" s="2"/>
      <c r="E15" s="2"/>
      <c r="F15" s="2"/>
      <c r="G15" s="2"/>
      <c r="H15" s="2"/>
      <c r="I15" s="2"/>
    </row>
    <row r="16" spans="1:26" ht="30">
      <c r="A16" s="2" t="s">
        <v>114</v>
      </c>
      <c r="B16" s="2" t="s">
        <v>115</v>
      </c>
      <c r="C16" s="6">
        <f>Location_Data!B6*(1+INDEX($D$6:$D$8,MATCH($B$3,$A$6:$A$8,0)))+Location_Data!J6+Location_Data!K6+Location_Data!L6*INDEX($F$6:$F$8,MATCH($B$3,$A$6:$A$8,0))</f>
        <v>58500</v>
      </c>
      <c r="D16" s="2"/>
      <c r="E16" s="2"/>
      <c r="F16" s="2"/>
      <c r="G16" s="2"/>
      <c r="H16" s="2"/>
      <c r="I16" s="2"/>
    </row>
    <row r="17" spans="1:9" ht="30">
      <c r="A17" s="2" t="s">
        <v>73</v>
      </c>
      <c r="B17" s="2" t="s">
        <v>116</v>
      </c>
      <c r="C17" s="6">
        <f>C15-C16</f>
        <v>12844.274999999994</v>
      </c>
      <c r="D17" s="2"/>
      <c r="E17" s="2"/>
      <c r="F17" s="2"/>
      <c r="G17" s="2"/>
      <c r="H17" s="2"/>
      <c r="I17" s="2"/>
    </row>
    <row r="18" spans="1:9" ht="30">
      <c r="A18" s="2" t="s">
        <v>74</v>
      </c>
      <c r="B18" s="2" t="s">
        <v>117</v>
      </c>
      <c r="C18" s="6">
        <f>C17*12</f>
        <v>154131.29999999993</v>
      </c>
      <c r="D18" s="2"/>
      <c r="E18" s="2"/>
      <c r="F18" s="2"/>
      <c r="G18" s="2"/>
      <c r="H18" s="2"/>
      <c r="I18" s="2"/>
    </row>
    <row r="19" spans="1:9" ht="45">
      <c r="A19" s="2" t="s">
        <v>75</v>
      </c>
      <c r="B19" s="2" t="s">
        <v>118</v>
      </c>
      <c r="C19" s="6">
        <f>-Location_Data!F6+C18/(1+Inputs!$B$4)+C18/(1+Inputs!$B$4)^2+C18/(1+Inputs!$B$4)^3</f>
        <v>213301.73027798624</v>
      </c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2" t="s">
        <v>119</v>
      </c>
      <c r="B22" s="20"/>
      <c r="C22" s="20"/>
      <c r="D22" s="20"/>
      <c r="E22" s="20"/>
      <c r="F22" s="20"/>
      <c r="G22" s="20"/>
      <c r="H22" s="20"/>
      <c r="I22" s="20"/>
    </row>
    <row r="23" spans="1:9" ht="31">
      <c r="A23" s="1" t="s">
        <v>120</v>
      </c>
      <c r="B23" s="2" t="s">
        <v>121</v>
      </c>
      <c r="C23" s="2"/>
      <c r="D23" s="2"/>
      <c r="E23" s="2"/>
      <c r="F23" s="2"/>
      <c r="G23" s="2"/>
      <c r="H23" s="2"/>
      <c r="I23" s="2"/>
    </row>
    <row r="24" spans="1:9" ht="31">
      <c r="A24" s="1" t="s">
        <v>122</v>
      </c>
      <c r="B24" s="2" t="s">
        <v>123</v>
      </c>
      <c r="C24" s="2"/>
      <c r="D24" s="2"/>
      <c r="E24" s="2"/>
      <c r="F24" s="2"/>
      <c r="G24" s="2"/>
      <c r="H24" s="2"/>
      <c r="I24" s="2"/>
    </row>
    <row r="25" spans="1:9" ht="121">
      <c r="A25" s="1" t="s">
        <v>124</v>
      </c>
      <c r="B25" s="2" t="s">
        <v>125</v>
      </c>
      <c r="C25" s="2"/>
      <c r="D25" s="2"/>
      <c r="E25" s="2"/>
      <c r="F25" s="2"/>
      <c r="G25" s="2"/>
      <c r="H25" s="2"/>
      <c r="I25" s="2"/>
    </row>
  </sheetData>
  <mergeCells count="4">
    <mergeCell ref="A10:C10"/>
    <mergeCell ref="A1:J1"/>
    <mergeCell ref="E10:I10"/>
    <mergeCell ref="A22:I22"/>
  </mergeCells>
  <conditionalFormatting sqref="C17:C19">
    <cfRule type="cellIs" dxfId="2" priority="1" operator="lessThan">
      <formula>0</formula>
    </cfRule>
  </conditionalFormatting>
  <conditionalFormatting sqref="G12:I14">
    <cfRule type="cellIs" dxfId="1" priority="2" operator="lessThan">
      <formula>0</formula>
    </cfRule>
  </conditionalFormatting>
  <dataValidations count="1">
    <dataValidation type="list" sqref="B3" xr:uid="{00000000-0002-0000-0300-000000000000}">
      <formula1>"Best Case,Expected Case,Worst Case"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3"/>
  <sheetViews>
    <sheetView workbookViewId="0">
      <pane ySplit="4" topLeftCell="A5" activePane="bottomLeft" state="frozen"/>
      <selection pane="bottomLeft" sqref="A1:H1"/>
    </sheetView>
  </sheetViews>
  <sheetFormatPr baseColWidth="10" defaultColWidth="8.83203125" defaultRowHeight="14"/>
  <cols>
    <col min="1" max="1" width="28" customWidth="1"/>
    <col min="2" max="2" width="30" customWidth="1"/>
    <col min="3" max="3" width="14" customWidth="1"/>
    <col min="5" max="5" width="28" customWidth="1"/>
    <col min="6" max="6" width="32" customWidth="1"/>
    <col min="7" max="7" width="14" customWidth="1"/>
    <col min="8" max="8" width="20" customWidth="1"/>
  </cols>
  <sheetData>
    <row r="1" spans="1:26" ht="19">
      <c r="A1" s="21" t="s">
        <v>126</v>
      </c>
      <c r="B1" s="20"/>
      <c r="C1" s="20"/>
      <c r="D1" s="20"/>
      <c r="E1" s="20"/>
      <c r="F1" s="20"/>
      <c r="G1" s="20"/>
      <c r="H1" s="20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 ht="15">
      <c r="A3" s="9" t="s">
        <v>127</v>
      </c>
      <c r="B3" t="s">
        <v>79</v>
      </c>
    </row>
    <row r="5" spans="1:26">
      <c r="A5" s="22" t="s">
        <v>128</v>
      </c>
      <c r="B5" s="20"/>
      <c r="C5" s="20"/>
      <c r="D5" s="20"/>
      <c r="E5" s="22" t="s">
        <v>129</v>
      </c>
      <c r="F5" s="20"/>
      <c r="G5" s="20"/>
      <c r="H5" s="20"/>
    </row>
    <row r="6" spans="1:26" ht="16">
      <c r="A6" s="4" t="s">
        <v>106</v>
      </c>
      <c r="B6" s="4" t="s">
        <v>130</v>
      </c>
      <c r="C6" s="4" t="s">
        <v>22</v>
      </c>
      <c r="D6" s="2"/>
      <c r="E6" s="4" t="s">
        <v>131</v>
      </c>
      <c r="F6" s="4" t="s">
        <v>132</v>
      </c>
      <c r="G6" s="4" t="s">
        <v>22</v>
      </c>
      <c r="H6" s="4" t="s">
        <v>133</v>
      </c>
    </row>
    <row r="7" spans="1:26" ht="15">
      <c r="A7" s="2" t="s">
        <v>134</v>
      </c>
      <c r="B7" s="2" t="s">
        <v>135</v>
      </c>
      <c r="C7" s="6">
        <f>Location_Data!F6</f>
        <v>170000</v>
      </c>
      <c r="D7" s="2"/>
      <c r="E7" s="2" t="s">
        <v>136</v>
      </c>
      <c r="F7" s="2" t="s">
        <v>137</v>
      </c>
      <c r="G7" s="10">
        <f>Location_Data!N6</f>
        <v>5257.5</v>
      </c>
      <c r="H7" s="2"/>
    </row>
    <row r="8" spans="1:26" ht="15">
      <c r="A8" s="2" t="s">
        <v>138</v>
      </c>
      <c r="B8" s="2" t="s">
        <v>139</v>
      </c>
      <c r="C8" s="11">
        <f>1/(1+Inputs!$B$4)+1/(1+Inputs!$B$4)^2+1/(1+Inputs!$B$4)^3</f>
        <v>2.4868519909842224</v>
      </c>
      <c r="D8" s="2"/>
      <c r="E8" s="2" t="s">
        <v>47</v>
      </c>
      <c r="F8" s="2" t="s">
        <v>140</v>
      </c>
      <c r="G8" s="10">
        <f>Inputs!$B$9</f>
        <v>250</v>
      </c>
      <c r="H8" s="2"/>
    </row>
    <row r="9" spans="1:26" ht="30">
      <c r="A9" s="2" t="s">
        <v>141</v>
      </c>
      <c r="B9" s="2" t="s">
        <v>142</v>
      </c>
      <c r="C9" s="6">
        <f>C7/C8</f>
        <v>68359.516616314198</v>
      </c>
      <c r="D9" s="2"/>
      <c r="E9" s="2" t="s">
        <v>51</v>
      </c>
      <c r="F9" s="2" t="s">
        <v>143</v>
      </c>
      <c r="G9" s="6">
        <f>Inputs!$B$10</f>
        <v>1500</v>
      </c>
      <c r="H9" s="2"/>
    </row>
    <row r="10" spans="1:26" ht="15">
      <c r="A10" s="2" t="s">
        <v>144</v>
      </c>
      <c r="B10" s="2" t="s">
        <v>145</v>
      </c>
      <c r="C10" s="6">
        <f>C9/12</f>
        <v>5696.6263846928496</v>
      </c>
      <c r="D10" s="2"/>
      <c r="E10" s="2" t="s">
        <v>146</v>
      </c>
      <c r="F10" s="2" t="s">
        <v>147</v>
      </c>
      <c r="G10" s="10">
        <f>CEILING(G7/G8,1)</f>
        <v>22</v>
      </c>
      <c r="H10" s="2"/>
    </row>
    <row r="11" spans="1:26" ht="15">
      <c r="A11" s="2" t="s">
        <v>148</v>
      </c>
      <c r="B11" s="2" t="s">
        <v>149</v>
      </c>
      <c r="C11" s="6">
        <f>Location_Data!Q6</f>
        <v>58500</v>
      </c>
      <c r="D11" s="2"/>
      <c r="E11" s="2" t="s">
        <v>150</v>
      </c>
      <c r="F11" s="2" t="s">
        <v>151</v>
      </c>
      <c r="G11" s="10">
        <v>24</v>
      </c>
      <c r="H11" s="2"/>
    </row>
    <row r="12" spans="1:26" ht="30">
      <c r="A12" s="2" t="s">
        <v>152</v>
      </c>
      <c r="B12" s="2" t="s">
        <v>153</v>
      </c>
      <c r="C12" s="5">
        <f>Location_Data!H6</f>
        <v>0.59</v>
      </c>
      <c r="D12" s="2"/>
      <c r="E12" s="2" t="s">
        <v>154</v>
      </c>
      <c r="F12" s="2" t="s">
        <v>155</v>
      </c>
      <c r="G12" s="10">
        <f>G11*G8</f>
        <v>6000</v>
      </c>
      <c r="H12" s="2"/>
    </row>
    <row r="13" spans="1:26" ht="30">
      <c r="A13" s="2" t="s">
        <v>156</v>
      </c>
      <c r="B13" s="2" t="s">
        <v>157</v>
      </c>
      <c r="C13" s="6">
        <f>(C11+C10)/C12</f>
        <v>108807.84132998789</v>
      </c>
      <c r="D13" s="2"/>
      <c r="E13" s="2" t="s">
        <v>158</v>
      </c>
      <c r="F13" s="2" t="s">
        <v>159</v>
      </c>
      <c r="G13" s="2" t="str">
        <f>IF(G12&gt;=G7,"Feasible","Not feasible")</f>
        <v>Feasible</v>
      </c>
      <c r="H13" s="2"/>
    </row>
    <row r="14" spans="1:26" ht="30">
      <c r="A14" s="2"/>
      <c r="B14" s="2"/>
      <c r="C14" s="2"/>
      <c r="D14" s="2"/>
      <c r="E14" s="2" t="s">
        <v>160</v>
      </c>
      <c r="F14" s="2" t="s">
        <v>161</v>
      </c>
      <c r="G14" s="6">
        <f>Location_Data!P6-Location_Data!B6-Location_Data!K6-Location_Data!L6-G11*G9</f>
        <v>9844.2749999999942</v>
      </c>
      <c r="H14" s="2"/>
    </row>
    <row r="15" spans="1:26" ht="32">
      <c r="A15" s="2"/>
      <c r="B15" s="2"/>
      <c r="C15" s="2"/>
      <c r="D15" s="2"/>
      <c r="E15" s="2" t="s">
        <v>162</v>
      </c>
      <c r="F15" s="2" t="s">
        <v>163</v>
      </c>
      <c r="G15" s="6">
        <f>G10</f>
        <v>22</v>
      </c>
      <c r="H15" s="8" t="s">
        <v>164</v>
      </c>
    </row>
    <row r="16" spans="1:26" ht="16">
      <c r="A16" s="2"/>
      <c r="B16" s="2"/>
      <c r="C16" s="2"/>
      <c r="D16" s="2"/>
      <c r="E16" s="2" t="s">
        <v>165</v>
      </c>
      <c r="F16" s="2" t="s">
        <v>166</v>
      </c>
      <c r="G16" s="6">
        <f>Location_Data!P6-Location_Data!B6-Location_Data!K6-Location_Data!L6-G15*G9</f>
        <v>12844.274999999994</v>
      </c>
      <c r="H16" s="8"/>
    </row>
    <row r="19" spans="1:8">
      <c r="A19" s="22" t="s">
        <v>167</v>
      </c>
      <c r="B19" s="20"/>
      <c r="C19" s="20"/>
      <c r="D19" s="20"/>
      <c r="E19" s="20"/>
      <c r="F19" s="20"/>
      <c r="G19" s="20"/>
      <c r="H19" s="20"/>
    </row>
    <row r="20" spans="1:8" ht="31">
      <c r="A20" s="1" t="s">
        <v>168</v>
      </c>
      <c r="B20" s="2" t="s">
        <v>169</v>
      </c>
      <c r="C20" s="2"/>
      <c r="D20" s="2"/>
      <c r="E20" s="2"/>
      <c r="F20" s="2"/>
      <c r="G20" s="2"/>
      <c r="H20" s="2"/>
    </row>
    <row r="21" spans="1:8" ht="31">
      <c r="A21" s="1" t="s">
        <v>170</v>
      </c>
      <c r="B21" s="2" t="s">
        <v>171</v>
      </c>
      <c r="C21" s="2"/>
      <c r="D21" s="2"/>
      <c r="E21" s="2"/>
      <c r="F21" s="2"/>
      <c r="G21" s="2"/>
      <c r="H21" s="2"/>
    </row>
    <row r="22" spans="1:8" ht="61">
      <c r="A22" s="1" t="s">
        <v>172</v>
      </c>
      <c r="B22" s="2" t="s">
        <v>173</v>
      </c>
      <c r="C22" s="2"/>
      <c r="D22" s="2"/>
      <c r="E22" s="2"/>
      <c r="F22" s="2"/>
      <c r="G22" s="2"/>
      <c r="H22" s="2"/>
    </row>
    <row r="23" spans="1:8" ht="61">
      <c r="A23" s="1" t="s">
        <v>174</v>
      </c>
      <c r="B23" s="2" t="s">
        <v>175</v>
      </c>
      <c r="C23" s="2"/>
      <c r="D23" s="2"/>
      <c r="E23" s="2"/>
      <c r="F23" s="2"/>
      <c r="G23" s="2"/>
      <c r="H23" s="2"/>
    </row>
  </sheetData>
  <mergeCells count="4">
    <mergeCell ref="A5:D5"/>
    <mergeCell ref="A19:H19"/>
    <mergeCell ref="E5:H5"/>
    <mergeCell ref="A1:H1"/>
  </mergeCells>
  <conditionalFormatting sqref="G14:G1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4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4"/>
  <cols>
    <col min="1" max="1" width="25" customWidth="1"/>
    <col min="2" max="2" width="18" customWidth="1"/>
    <col min="3" max="3" width="38" customWidth="1"/>
  </cols>
  <sheetData>
    <row r="1" spans="1:26" ht="21">
      <c r="A1" s="19" t="s">
        <v>176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3" spans="1:26" ht="16">
      <c r="A3" s="4" t="s">
        <v>177</v>
      </c>
      <c r="B3" s="4" t="s">
        <v>22</v>
      </c>
      <c r="C3" s="4" t="s">
        <v>178</v>
      </c>
    </row>
    <row r="4" spans="1:26" ht="30">
      <c r="A4" s="2" t="s">
        <v>127</v>
      </c>
      <c r="B4" s="2" t="str">
        <f>Location_Data!B14</f>
        <v>SouthSide</v>
      </c>
      <c r="C4" s="2" t="s">
        <v>179</v>
      </c>
    </row>
    <row r="5" spans="1:26" ht="15">
      <c r="A5" s="2" t="s">
        <v>180</v>
      </c>
      <c r="B5" s="6">
        <f>Location_Data!R6</f>
        <v>12844.274999999994</v>
      </c>
      <c r="C5" s="2" t="s">
        <v>181</v>
      </c>
    </row>
    <row r="6" spans="1:26" ht="15">
      <c r="A6" s="2" t="s">
        <v>182</v>
      </c>
      <c r="B6" s="6">
        <f>Location_Data!T6</f>
        <v>213301.73027798624</v>
      </c>
      <c r="C6" s="2" t="s">
        <v>183</v>
      </c>
    </row>
    <row r="7" spans="1:26" ht="15">
      <c r="A7" s="2" t="s">
        <v>184</v>
      </c>
      <c r="B7" s="12">
        <f>Location_Data!U6</f>
        <v>79</v>
      </c>
      <c r="C7" s="2" t="s">
        <v>185</v>
      </c>
    </row>
    <row r="8" spans="1:26" ht="15">
      <c r="A8" s="2" t="s">
        <v>186</v>
      </c>
      <c r="B8" s="6">
        <f>Goal_Seek_Solver!C13</f>
        <v>108807.84132998789</v>
      </c>
      <c r="C8" s="2" t="s">
        <v>187</v>
      </c>
    </row>
    <row r="10" spans="1:26" ht="16">
      <c r="A10" s="4" t="s">
        <v>91</v>
      </c>
      <c r="B10" s="4" t="s">
        <v>73</v>
      </c>
      <c r="C10" s="4" t="s">
        <v>75</v>
      </c>
    </row>
    <row r="11" spans="1:26" ht="15">
      <c r="A11" s="2" t="s">
        <v>99</v>
      </c>
      <c r="B11" s="6">
        <f>Scenario_Manager!G12</f>
        <v>38844.857766233763</v>
      </c>
      <c r="C11" s="6">
        <f>Scenario_Manager!I12</f>
        <v>989216.94250548829</v>
      </c>
    </row>
    <row r="12" spans="1:26" ht="15">
      <c r="A12" s="2" t="s">
        <v>90</v>
      </c>
      <c r="B12" s="6">
        <f>Scenario_Manager!G13</f>
        <v>12844.274999999994</v>
      </c>
      <c r="C12" s="6">
        <f>Scenario_Manager!I13</f>
        <v>213301.73027798624</v>
      </c>
    </row>
    <row r="13" spans="1:26" ht="15">
      <c r="A13" s="2" t="s">
        <v>102</v>
      </c>
      <c r="B13" s="6">
        <f>Scenario_Manager!G14</f>
        <v>-11080.144558139531</v>
      </c>
      <c r="C13" s="6">
        <f>Scenario_Manager!I14</f>
        <v>-500656.15465762746</v>
      </c>
    </row>
    <row r="14" spans="1:26" ht="80">
      <c r="A14" s="13" t="s">
        <v>188</v>
      </c>
      <c r="B14" s="13" t="s">
        <v>189</v>
      </c>
      <c r="C14" s="13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</vt:lpstr>
      <vt:lpstr>Location_Data</vt:lpstr>
      <vt:lpstr>Scenario_Manager</vt:lpstr>
      <vt:lpstr>Goal_Seek_Solver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Barrera</dc:creator>
  <cp:keywords/>
  <dc:description/>
  <cp:lastModifiedBy>Barrera, Juan J</cp:lastModifiedBy>
  <dcterms:created xsi:type="dcterms:W3CDTF">2026-06-23T03:46:07Z</dcterms:created>
  <dcterms:modified xsi:type="dcterms:W3CDTF">2026-06-23T03:53:26Z</dcterms:modified>
  <cp:category/>
</cp:coreProperties>
</file>